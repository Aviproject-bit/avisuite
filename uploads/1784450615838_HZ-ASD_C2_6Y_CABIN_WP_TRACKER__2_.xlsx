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55ACB8F7-8AD1-4E9B-B2AB-2F5B1FB0CBAD}" xr6:coauthVersionLast="47" xr6:coauthVersionMax="47" xr10:uidLastSave="{00000000-0000-0000-0000-000000000000}"/>
  <bookViews>
    <workbookView xWindow="0" yWindow="0" windowWidth="38400" windowHeight="17610" tabRatio="500" xr2:uid="{00000000-000D-0000-FFFF-FFFF00000000}"/>
  </bookViews>
  <sheets>
    <sheet name="HZ-ASD Tracker" sheetId="1" r:id="rId1"/>
    <sheet name="DASHBOARD" sheetId="2" r:id="rId2"/>
    <sheet name="LAYOVER" sheetId="3" r:id="rId3"/>
    <sheet name="OPEN UP-ACCESS" sheetId="4" r:id="rId4"/>
    <sheet name="Findings Draft" sheetId="5" r:id="rId5"/>
    <sheet name="DASHBOARD OLD" sheetId="6" state="hidden" r:id="rId6"/>
  </sheets>
  <definedNames>
    <definedName name="_xlnm._FilterDatabase" localSheetId="3" hidden="1">'OPEN UP-ACCESS'!$A$3:$J$504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6" l="1"/>
  <c r="F52" i="6"/>
  <c r="C52" i="6"/>
  <c r="I50" i="6"/>
  <c r="F50" i="6"/>
  <c r="C50" i="6"/>
  <c r="H46" i="6"/>
  <c r="E46" i="6"/>
  <c r="B46" i="6"/>
  <c r="I45" i="6"/>
  <c r="F45" i="6"/>
  <c r="C45" i="6"/>
  <c r="H43" i="6"/>
  <c r="E43" i="6"/>
  <c r="B43" i="6"/>
  <c r="I42" i="6"/>
  <c r="F42" i="6"/>
  <c r="C42" i="6"/>
  <c r="H40" i="6"/>
  <c r="E40" i="6"/>
  <c r="B40" i="6"/>
  <c r="I39" i="6"/>
  <c r="F39" i="6"/>
  <c r="C39" i="6"/>
  <c r="E35" i="6"/>
  <c r="B35" i="6"/>
  <c r="F34" i="6"/>
  <c r="C34" i="6"/>
  <c r="E32" i="6"/>
  <c r="B32" i="6"/>
  <c r="M31" i="6"/>
  <c r="H31" i="6" s="1"/>
  <c r="L31" i="6"/>
  <c r="I31" i="6"/>
  <c r="F31" i="6"/>
  <c r="C31" i="6"/>
  <c r="H29" i="6"/>
  <c r="E29" i="6"/>
  <c r="B29" i="6"/>
  <c r="I28" i="6"/>
  <c r="F28" i="6"/>
  <c r="C28" i="6"/>
  <c r="H26" i="6"/>
  <c r="E26" i="6"/>
  <c r="B26" i="6"/>
  <c r="I25" i="6"/>
  <c r="F25" i="6"/>
  <c r="C25" i="6"/>
  <c r="H21" i="6"/>
  <c r="E21" i="6"/>
  <c r="B21" i="6"/>
  <c r="I20" i="6"/>
  <c r="F20" i="6"/>
  <c r="C20" i="6"/>
  <c r="G18" i="6"/>
  <c r="H16" i="6"/>
  <c r="E16" i="6"/>
  <c r="B16" i="6"/>
  <c r="I15" i="6"/>
  <c r="F15" i="6"/>
  <c r="C15" i="6"/>
  <c r="G13" i="6"/>
  <c r="I11" i="6"/>
  <c r="F11" i="6"/>
  <c r="C11" i="6"/>
  <c r="I7" i="6"/>
  <c r="F7" i="6"/>
  <c r="C7" i="6"/>
  <c r="I5" i="6"/>
  <c r="F5" i="6"/>
  <c r="C5" i="6"/>
  <c r="H3" i="6"/>
  <c r="M2" i="6"/>
  <c r="M1" i="6"/>
  <c r="A2" i="6" s="1"/>
  <c r="I1" i="6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6" i="4"/>
  <c r="A5" i="4"/>
  <c r="A4" i="4"/>
  <c r="F2" i="4"/>
  <c r="A2" i="4"/>
  <c r="F1" i="4"/>
  <c r="B48" i="3"/>
  <c r="B47" i="3"/>
  <c r="B46" i="3"/>
  <c r="B45" i="3"/>
  <c r="B44" i="3"/>
  <c r="B43" i="3"/>
  <c r="B42" i="3"/>
  <c r="B41" i="3"/>
  <c r="BZ25" i="3"/>
  <c r="BX25" i="3"/>
  <c r="BV25" i="3"/>
  <c r="BT25" i="3"/>
  <c r="BR25" i="3"/>
  <c r="BP25" i="3"/>
  <c r="BN25" i="3"/>
  <c r="BL25" i="3"/>
  <c r="BJ25" i="3"/>
  <c r="BH25" i="3"/>
  <c r="BF25" i="3"/>
  <c r="BD25" i="3"/>
  <c r="BB25" i="3"/>
  <c r="AZ25" i="3"/>
  <c r="AX25" i="3"/>
  <c r="AV25" i="3"/>
  <c r="AT25" i="3"/>
  <c r="AR25" i="3"/>
  <c r="AP25" i="3"/>
  <c r="AN25" i="3"/>
  <c r="AL25" i="3"/>
  <c r="AJ25" i="3"/>
  <c r="AH25" i="3"/>
  <c r="AF25" i="3"/>
  <c r="AD25" i="3"/>
  <c r="AB25" i="3"/>
  <c r="Z25" i="3"/>
  <c r="X25" i="3"/>
  <c r="V25" i="3"/>
  <c r="T25" i="3"/>
  <c r="R25" i="3"/>
  <c r="P25" i="3"/>
  <c r="N25" i="3"/>
  <c r="L25" i="3"/>
  <c r="J25" i="3"/>
  <c r="H25" i="3"/>
  <c r="F25" i="3"/>
  <c r="D25" i="3"/>
  <c r="BZ19" i="3"/>
  <c r="BX19" i="3"/>
  <c r="BV19" i="3"/>
  <c r="BT19" i="3"/>
  <c r="BR19" i="3"/>
  <c r="BP19" i="3"/>
  <c r="BN19" i="3"/>
  <c r="BL19" i="3"/>
  <c r="BJ19" i="3"/>
  <c r="BH19" i="3"/>
  <c r="BF19" i="3"/>
  <c r="BD19" i="3"/>
  <c r="BB19" i="3"/>
  <c r="AZ19" i="3"/>
  <c r="AX19" i="3"/>
  <c r="AV19" i="3"/>
  <c r="AT19" i="3"/>
  <c r="AR19" i="3"/>
  <c r="AP19" i="3"/>
  <c r="AN19" i="3"/>
  <c r="AL19" i="3"/>
  <c r="AJ19" i="3"/>
  <c r="AH19" i="3"/>
  <c r="AF19" i="3"/>
  <c r="AD19" i="3"/>
  <c r="AB19" i="3"/>
  <c r="Z19" i="3"/>
  <c r="X19" i="3"/>
  <c r="V19" i="3"/>
  <c r="T19" i="3"/>
  <c r="R19" i="3"/>
  <c r="P19" i="3"/>
  <c r="N19" i="3"/>
  <c r="L19" i="3"/>
  <c r="J19" i="3"/>
  <c r="H19" i="3"/>
  <c r="F19" i="3"/>
  <c r="D19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X4" i="3"/>
  <c r="CV4" i="3"/>
  <c r="CT4" i="3"/>
  <c r="CR4" i="3"/>
  <c r="CP4" i="3"/>
  <c r="CN4" i="3"/>
  <c r="CL4" i="3"/>
  <c r="CJ4" i="3"/>
  <c r="CH4" i="3"/>
  <c r="CF4" i="3"/>
  <c r="CD4" i="3"/>
  <c r="CB4" i="3"/>
  <c r="BZ4" i="3"/>
  <c r="BX4" i="3"/>
  <c r="BV4" i="3"/>
  <c r="BT4" i="3"/>
  <c r="BR4" i="3"/>
  <c r="BP4" i="3"/>
  <c r="BN4" i="3"/>
  <c r="BL4" i="3"/>
  <c r="BJ4" i="3"/>
  <c r="BH4" i="3"/>
  <c r="BF4" i="3"/>
  <c r="BD4" i="3"/>
  <c r="BB4" i="3"/>
  <c r="AZ4" i="3"/>
  <c r="AX4" i="3"/>
  <c r="AV4" i="3"/>
  <c r="AT4" i="3"/>
  <c r="AR4" i="3"/>
  <c r="AP4" i="3"/>
  <c r="AN4" i="3"/>
  <c r="AL4" i="3"/>
  <c r="AJ4" i="3"/>
  <c r="AH4" i="3"/>
  <c r="AF4" i="3"/>
  <c r="AD4" i="3"/>
  <c r="AB4" i="3"/>
  <c r="Z4" i="3"/>
  <c r="X4" i="3"/>
  <c r="V4" i="3"/>
  <c r="T4" i="3"/>
  <c r="R4" i="3"/>
  <c r="P4" i="3"/>
  <c r="N4" i="3"/>
  <c r="L4" i="3"/>
  <c r="J4" i="3"/>
  <c r="H4" i="3"/>
  <c r="F4" i="3"/>
  <c r="D4" i="3"/>
  <c r="CX3" i="3"/>
  <c r="CV3" i="3"/>
  <c r="CT3" i="3"/>
  <c r="CR3" i="3"/>
  <c r="CP3" i="3"/>
  <c r="CN3" i="3"/>
  <c r="CL3" i="3"/>
  <c r="CJ3" i="3"/>
  <c r="CH3" i="3"/>
  <c r="CF3" i="3"/>
  <c r="CD3" i="3"/>
  <c r="CB3" i="3"/>
  <c r="BZ3" i="3"/>
  <c r="BX3" i="3"/>
  <c r="BV3" i="3"/>
  <c r="BT3" i="3"/>
  <c r="BR3" i="3"/>
  <c r="BP3" i="3"/>
  <c r="BN3" i="3"/>
  <c r="BL3" i="3"/>
  <c r="BJ3" i="3"/>
  <c r="BH3" i="3"/>
  <c r="BF3" i="3"/>
  <c r="BD3" i="3"/>
  <c r="BB3" i="3"/>
  <c r="AZ3" i="3"/>
  <c r="AX3" i="3"/>
  <c r="AV3" i="3"/>
  <c r="AT3" i="3"/>
  <c r="AR3" i="3"/>
  <c r="AP3" i="3"/>
  <c r="AN3" i="3"/>
  <c r="AL3" i="3"/>
  <c r="AJ3" i="3"/>
  <c r="AH3" i="3"/>
  <c r="AF3" i="3"/>
  <c r="AD3" i="3"/>
  <c r="AB3" i="3"/>
  <c r="Z3" i="3"/>
  <c r="X3" i="3"/>
  <c r="V3" i="3"/>
  <c r="T3" i="3"/>
  <c r="R3" i="3"/>
  <c r="P3" i="3"/>
  <c r="N3" i="3"/>
  <c r="L3" i="3"/>
  <c r="J3" i="3"/>
  <c r="H3" i="3"/>
  <c r="F3" i="3"/>
  <c r="D3" i="3"/>
  <c r="AQ1" i="3"/>
  <c r="A76" i="2"/>
  <c r="C75" i="2"/>
  <c r="D75" i="2" s="1"/>
  <c r="C74" i="2"/>
  <c r="C73" i="2"/>
  <c r="E73" i="2" s="1"/>
  <c r="G73" i="2" s="1"/>
  <c r="C72" i="2"/>
  <c r="C71" i="2"/>
  <c r="E71" i="2" s="1"/>
  <c r="G71" i="2" s="1"/>
  <c r="C70" i="2"/>
  <c r="D70" i="2" s="1"/>
  <c r="C69" i="2"/>
  <c r="C68" i="2"/>
  <c r="E68" i="2" s="1"/>
  <c r="G68" i="2" s="1"/>
  <c r="C67" i="2"/>
  <c r="A64" i="2"/>
  <c r="A63" i="2"/>
  <c r="A62" i="2"/>
  <c r="C60" i="2"/>
  <c r="B60" i="2"/>
  <c r="C59" i="2"/>
  <c r="B59" i="2"/>
  <c r="C58" i="2"/>
  <c r="B58" i="2"/>
  <c r="E56" i="2"/>
  <c r="C54" i="2"/>
  <c r="E54" i="2" s="1"/>
  <c r="F54" i="2" s="1"/>
  <c r="B54" i="2"/>
  <c r="G54" i="2" s="1"/>
  <c r="A54" i="2"/>
  <c r="C53" i="2"/>
  <c r="D53" i="2" s="1"/>
  <c r="B53" i="2"/>
  <c r="G53" i="2" s="1"/>
  <c r="A53" i="2"/>
  <c r="C52" i="2"/>
  <c r="D52" i="2" s="1"/>
  <c r="B52" i="2"/>
  <c r="G52" i="2" s="1"/>
  <c r="A52" i="2"/>
  <c r="C51" i="2"/>
  <c r="E51" i="2" s="1"/>
  <c r="F51" i="2" s="1"/>
  <c r="B51" i="2"/>
  <c r="G51" i="2" s="1"/>
  <c r="A51" i="2"/>
  <c r="C50" i="2"/>
  <c r="E50" i="2" s="1"/>
  <c r="F50" i="2" s="1"/>
  <c r="B50" i="2"/>
  <c r="G50" i="2" s="1"/>
  <c r="A50" i="2"/>
  <c r="C49" i="2"/>
  <c r="E49" i="2" s="1"/>
  <c r="F49" i="2" s="1"/>
  <c r="B49" i="2"/>
  <c r="G49" i="2" s="1"/>
  <c r="A49" i="2"/>
  <c r="C48" i="2"/>
  <c r="D48" i="2" s="1"/>
  <c r="B48" i="2"/>
  <c r="G48" i="2" s="1"/>
  <c r="A48" i="2"/>
  <c r="C47" i="2"/>
  <c r="D47" i="2" s="1"/>
  <c r="B47" i="2"/>
  <c r="G47" i="2" s="1"/>
  <c r="A47" i="2"/>
  <c r="C46" i="2"/>
  <c r="E46" i="2" s="1"/>
  <c r="F46" i="2" s="1"/>
  <c r="B46" i="2"/>
  <c r="G46" i="2" s="1"/>
  <c r="A46" i="2"/>
  <c r="C45" i="2"/>
  <c r="E45" i="2" s="1"/>
  <c r="F45" i="2" s="1"/>
  <c r="B45" i="2"/>
  <c r="G45" i="2" s="1"/>
  <c r="A45" i="2"/>
  <c r="C42" i="2"/>
  <c r="B42" i="2"/>
  <c r="D42" i="2" s="1"/>
  <c r="G42" i="2" s="1"/>
  <c r="C41" i="2"/>
  <c r="B41" i="2"/>
  <c r="D41" i="2" s="1"/>
  <c r="G41" i="2" s="1"/>
  <c r="C40" i="2"/>
  <c r="B40" i="2"/>
  <c r="D40" i="2" s="1"/>
  <c r="G40" i="2" s="1"/>
  <c r="C39" i="2"/>
  <c r="B39" i="2"/>
  <c r="D39" i="2" s="1"/>
  <c r="G39" i="2" s="1"/>
  <c r="C38" i="2"/>
  <c r="B38" i="2"/>
  <c r="D38" i="2" s="1"/>
  <c r="G38" i="2" s="1"/>
  <c r="C37" i="2"/>
  <c r="B37" i="2"/>
  <c r="D37" i="2" s="1"/>
  <c r="G37" i="2" s="1"/>
  <c r="C36" i="2"/>
  <c r="B36" i="2"/>
  <c r="D36" i="2" s="1"/>
  <c r="G36" i="2" s="1"/>
  <c r="C35" i="2"/>
  <c r="B35" i="2"/>
  <c r="D35" i="2" s="1"/>
  <c r="G35" i="2" s="1"/>
  <c r="C34" i="2"/>
  <c r="B34" i="2"/>
  <c r="D34" i="2" s="1"/>
  <c r="G34" i="2" s="1"/>
  <c r="C30" i="2"/>
  <c r="B30" i="2"/>
  <c r="D30" i="2" s="1"/>
  <c r="G30" i="2" s="1"/>
  <c r="C29" i="2"/>
  <c r="B29" i="2"/>
  <c r="D29" i="2" s="1"/>
  <c r="G29" i="2" s="1"/>
  <c r="C28" i="2"/>
  <c r="B28" i="2"/>
  <c r="D28" i="2" s="1"/>
  <c r="G28" i="2" s="1"/>
  <c r="C27" i="2"/>
  <c r="B27" i="2"/>
  <c r="D27" i="2" s="1"/>
  <c r="G27" i="2" s="1"/>
  <c r="C26" i="2"/>
  <c r="B26" i="2"/>
  <c r="D26" i="2" s="1"/>
  <c r="G26" i="2" s="1"/>
  <c r="C25" i="2"/>
  <c r="B25" i="2"/>
  <c r="D25" i="2" s="1"/>
  <c r="G25" i="2" s="1"/>
  <c r="C24" i="2"/>
  <c r="B24" i="2"/>
  <c r="D24" i="2" s="1"/>
  <c r="G24" i="2" s="1"/>
  <c r="C23" i="2"/>
  <c r="B23" i="2"/>
  <c r="D23" i="2" s="1"/>
  <c r="G23" i="2" s="1"/>
  <c r="C22" i="2"/>
  <c r="B22" i="2"/>
  <c r="D22" i="2" s="1"/>
  <c r="G22" i="2" s="1"/>
  <c r="C21" i="2"/>
  <c r="B21" i="2"/>
  <c r="D21" i="2" s="1"/>
  <c r="G21" i="2" s="1"/>
  <c r="E17" i="2"/>
  <c r="C17" i="2"/>
  <c r="B17" i="2"/>
  <c r="D17" i="2" s="1"/>
  <c r="G17" i="2" s="1"/>
  <c r="E16" i="2"/>
  <c r="C16" i="2"/>
  <c r="B16" i="2"/>
  <c r="D16" i="2" s="1"/>
  <c r="G16" i="2" s="1"/>
  <c r="E15" i="2"/>
  <c r="C15" i="2"/>
  <c r="B15" i="2"/>
  <c r="D15" i="2" s="1"/>
  <c r="G15" i="2" s="1"/>
  <c r="A12" i="2"/>
  <c r="A10" i="2"/>
  <c r="A9" i="2"/>
  <c r="A8" i="2"/>
  <c r="G5" i="2"/>
  <c r="F5" i="2"/>
  <c r="E5" i="2"/>
  <c r="D5" i="2"/>
  <c r="C5" i="2"/>
  <c r="B5" i="2"/>
  <c r="A5" i="2"/>
  <c r="A2" i="2"/>
  <c r="F1" i="2"/>
  <c r="H2" i="1"/>
  <c r="A2" i="1"/>
  <c r="H1" i="1"/>
  <c r="E1" i="1"/>
  <c r="A11" i="2"/>
  <c r="H9" i="6"/>
  <c r="F15" i="2" l="1"/>
  <c r="F16" i="2"/>
  <c r="F17" i="2"/>
  <c r="F21" i="2"/>
  <c r="E21" i="2"/>
  <c r="F22" i="2"/>
  <c r="F23" i="2"/>
  <c r="E24" i="2"/>
  <c r="F24" i="2"/>
  <c r="F25" i="2"/>
  <c r="F26" i="2"/>
  <c r="E26" i="2"/>
  <c r="F27" i="2"/>
  <c r="F28" i="2"/>
  <c r="E29" i="2"/>
  <c r="F29" i="2"/>
  <c r="F30" i="2"/>
  <c r="F34" i="2"/>
  <c r="E34" i="2"/>
  <c r="F35" i="2"/>
  <c r="F36" i="2"/>
  <c r="E37" i="2"/>
  <c r="F37" i="2"/>
  <c r="F38" i="2"/>
  <c r="F39" i="2"/>
  <c r="E39" i="2"/>
  <c r="F40" i="2"/>
  <c r="F41" i="2"/>
  <c r="E42" i="2"/>
  <c r="F42" i="2"/>
  <c r="D67" i="2"/>
  <c r="E67" i="2"/>
  <c r="G67" i="2" s="1"/>
  <c r="D69" i="2"/>
  <c r="E69" i="2"/>
  <c r="G69" i="2" s="1"/>
  <c r="D72" i="2"/>
  <c r="E72" i="2"/>
  <c r="G72" i="2" s="1"/>
  <c r="D74" i="2"/>
  <c r="E74" i="2"/>
  <c r="G74" i="2" s="1"/>
  <c r="D58" i="2"/>
  <c r="G58" i="2" s="1"/>
  <c r="D60" i="2"/>
  <c r="G60" i="2" s="1"/>
  <c r="D54" i="2"/>
  <c r="D59" i="2"/>
  <c r="G59" i="2" s="1"/>
  <c r="E47" i="2"/>
  <c r="F47" i="2" s="1"/>
  <c r="D50" i="2"/>
  <c r="H32" i="6"/>
  <c r="D46" i="2"/>
  <c r="E53" i="2"/>
  <c r="F53" i="2" s="1"/>
  <c r="E70" i="2"/>
  <c r="G70" i="2" s="1"/>
  <c r="E75" i="2"/>
  <c r="G75" i="2" s="1"/>
  <c r="E25" i="2"/>
  <c r="E30" i="2"/>
  <c r="E38" i="2"/>
  <c r="D45" i="2"/>
  <c r="E52" i="2"/>
  <c r="F52" i="2" s="1"/>
  <c r="D71" i="2"/>
  <c r="E22" i="2"/>
  <c r="E27" i="2"/>
  <c r="E35" i="2"/>
  <c r="E40" i="2"/>
  <c r="E48" i="2"/>
  <c r="F48" i="2" s="1"/>
  <c r="D51" i="2"/>
  <c r="E23" i="2"/>
  <c r="E28" i="2"/>
  <c r="E36" i="2"/>
  <c r="E41" i="2"/>
  <c r="D49" i="2"/>
  <c r="D68" i="2"/>
  <c r="D73" i="2"/>
</calcChain>
</file>

<file path=xl/sharedStrings.xml><?xml version="1.0" encoding="utf-8"?>
<sst xmlns="http://schemas.openxmlformats.org/spreadsheetml/2006/main" count="3405" uniqueCount="853">
  <si>
    <t>POOL CABIN  ✈ HZ-ASD ✈  C2+6Y CHECK WORK PACKAGE TRACKER</t>
  </si>
  <si>
    <t>WO / Event
Number</t>
  </si>
  <si>
    <t>Task Description</t>
  </si>
  <si>
    <t>Seq.
No.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</si>
  <si>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</si>
  <si>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</si>
  <si>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</si>
  <si>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</si>
  <si>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</si>
  <si>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</si>
  <si>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</si>
  <si>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</si>
  <si>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Updated</t>
  </si>
  <si>
    <t>Closed
Date</t>
  </si>
  <si>
    <t>Est
MH</t>
  </si>
  <si>
    <t>ATA</t>
  </si>
  <si>
    <t>Booked
MH</t>
  </si>
  <si>
    <t>Actual
Dur (h)</t>
  </si>
  <si>
    <t>32797253</t>
  </si>
  <si>
    <t>6Y_N/6Y_N YEARS STRUCTURE</t>
  </si>
  <si>
    <t>1</t>
  </si>
  <si>
    <t>ACFT GENERAL T/C</t>
  </si>
  <si>
    <t>Open</t>
  </si>
  <si>
    <t>Normal</t>
  </si>
  <si>
    <t>AP</t>
  </si>
  <si>
    <t>N/A</t>
  </si>
  <si>
    <t>JOINT</t>
  </si>
  <si>
    <t>05</t>
  </si>
  <si>
    <t>200231-03-1</t>
  </si>
  <si>
    <t>200231-03-1 (2) / FORWARD PASSENGER COMPARTMENT INSP</t>
  </si>
  <si>
    <t>24</t>
  </si>
  <si>
    <t>GENERAL CABIN</t>
  </si>
  <si>
    <t>CAB + INSP</t>
  </si>
  <si>
    <t>FWD</t>
  </si>
  <si>
    <t>24-92</t>
  </si>
  <si>
    <t>200241-04-1</t>
  </si>
  <si>
    <t>200241-04-1 (2) / CENTER PASSENGER COMPARTMENT INSP</t>
  </si>
  <si>
    <t>25</t>
  </si>
  <si>
    <t>200251-03-1</t>
  </si>
  <si>
    <t>200251-03-1 (2) / AFT PASSENGER COMPARTMENT INSPECTION</t>
  </si>
  <si>
    <t>26</t>
  </si>
  <si>
    <t>AFT</t>
  </si>
  <si>
    <t>25-11-00-18-0-SVA-001</t>
  </si>
  <si>
    <t>25-11-00-18-0-SVA-001 (04) / FOURTH OCCUPANT SEAT COVERS REPLCMNT</t>
  </si>
  <si>
    <t>32</t>
  </si>
  <si>
    <t>FLIGHT DECK</t>
  </si>
  <si>
    <t>CAB</t>
  </si>
  <si>
    <t>Requested</t>
  </si>
  <si>
    <t>P/S 4509031</t>
  </si>
  <si>
    <t>25-11</t>
  </si>
  <si>
    <t>25-11-00-18-0-SVA-002</t>
  </si>
  <si>
    <t>25-11-00-18-0-SVA-002 (04) / THIRD OCCUPANT SEAT COVERS R/R</t>
  </si>
  <si>
    <t>33</t>
  </si>
  <si>
    <t>P/S 4509039</t>
  </si>
  <si>
    <t>25-22-00-03-0-SVA-002</t>
  </si>
  <si>
    <t>25-22-00-03-0-SVA-002 (02) / CABIN ATTENDANT SEAT COVERS R&amp;R</t>
  </si>
  <si>
    <t>34</t>
  </si>
  <si>
    <t>F/A SEAT</t>
  </si>
  <si>
    <t>AOG</t>
  </si>
  <si>
    <t>P/S 4509037 (SOME PARTS S/D)</t>
  </si>
  <si>
    <t>25-22</t>
  </si>
  <si>
    <t>253000-01-1</t>
  </si>
  <si>
    <t>253000-01-1 (3) / GALLEY ATTACHMENT POINTS INSPECTION</t>
  </si>
  <si>
    <t>35</t>
  </si>
  <si>
    <t>GALLEY</t>
  </si>
  <si>
    <t>25-30</t>
  </si>
  <si>
    <t>254000-02-2</t>
  </si>
  <si>
    <t>254000-02-2 (2) / LAVATORIE’S ATTACHMENT POINTS INSP</t>
  </si>
  <si>
    <t>36</t>
  </si>
  <si>
    <t>LAVATORY</t>
  </si>
  <si>
    <t>25-40</t>
  </si>
  <si>
    <t>256141-01-1</t>
  </si>
  <si>
    <t>256141-01-1 (3) / CAPT AND F/O EMERGENCY DEVICE INSP</t>
  </si>
  <si>
    <t>37</t>
  </si>
  <si>
    <t>25-61</t>
  </si>
  <si>
    <t>262541-01-1</t>
  </si>
  <si>
    <t>262541-01-1 (3) / LAVATORIES FIRE EXTINGUISHERS INSP</t>
  </si>
  <si>
    <t>38</t>
  </si>
  <si>
    <t>INSP</t>
  </si>
  <si>
    <t>26-25</t>
  </si>
  <si>
    <t>323300-01-1</t>
  </si>
  <si>
    <t>323300-01-1 (2) / LG FREE FALL EXTN MECH&amp;CABLE INSP</t>
  </si>
  <si>
    <t>44</t>
  </si>
  <si>
    <t>CABIN + COCKPIT ACCESS</t>
  </si>
  <si>
    <t>32-33</t>
  </si>
  <si>
    <t>323300-04-1</t>
  </si>
  <si>
    <t>323300-04-1 (3) / LG FREE FALL MECH CABLE TENTION CHK</t>
  </si>
  <si>
    <t>45</t>
  </si>
  <si>
    <t>531102-01-1</t>
  </si>
  <si>
    <t>531102-01-1 (5) / LH/RH FORWARD PASSENGER DOORS INSP</t>
  </si>
  <si>
    <t>51</t>
  </si>
  <si>
    <t>PAX DOORS</t>
  </si>
  <si>
    <t>EXTERNAL</t>
  </si>
  <si>
    <t>53-11</t>
  </si>
  <si>
    <t>531164-01-1</t>
  </si>
  <si>
    <t>531164-01-1 (02) / FUSELAGE FR 15-21 INSPECTION</t>
  </si>
  <si>
    <t>52</t>
  </si>
  <si>
    <t>A&amp;P</t>
  </si>
  <si>
    <t>531166-01-2</t>
  </si>
  <si>
    <t>531166-01-2 (2) / FUSELAGE FR 16-20 INSPECTION</t>
  </si>
  <si>
    <t>53</t>
  </si>
  <si>
    <t>FWD DOORS GIRT FITTINGS</t>
  </si>
  <si>
    <t>531181-01-1</t>
  </si>
  <si>
    <t>531181-01-1 (3) / FUSELAGE INTERNL STRUCT FR15-21 INSP</t>
  </si>
  <si>
    <t>55</t>
  </si>
  <si>
    <t>FWD GALLEY + LAV A + SOME B/C SEATS + COCKPIT DOOR + FLOOR PANELS REMOVAL</t>
  </si>
  <si>
    <t>531189-01-2</t>
  </si>
  <si>
    <t>531189-01-2 (2) / CABIN FLOOR STRUCT FR12 &amp; FR21 INSP</t>
  </si>
  <si>
    <t>56</t>
  </si>
  <si>
    <t>531194-01-2</t>
  </si>
  <si>
    <t>531194-01-2 (2) / FLOOR STRUCTURE FR21 TO FR24 INSP</t>
  </si>
  <si>
    <t>57</t>
  </si>
  <si>
    <t>G2 GALLEY + SOME B/C SEATS REMOVAL</t>
  </si>
  <si>
    <t>534132-02-1</t>
  </si>
  <si>
    <t>534132-02-1 (2) / DETAILED INSP OF AFT PASS/CREW DOOR CUTOUT, UPPER CORNERS</t>
  </si>
  <si>
    <t>60</t>
  </si>
  <si>
    <t>53-41</t>
  </si>
  <si>
    <t>534135-01-4</t>
  </si>
  <si>
    <t>534135-01-4 (03) / AFT PASSENGER/CREW DOOR CUTOUT INSP</t>
  </si>
  <si>
    <t>61</t>
  </si>
  <si>
    <t>534147-01-1</t>
  </si>
  <si>
    <t>534147-01-1 (2) / CABIN FLOOR STRUC AROUND GALLEY&amp;LAV</t>
  </si>
  <si>
    <t>62</t>
  </si>
  <si>
    <t>REMOVE ALL GALLEYS AND LAVS + SOME ROWS OF G/C SEATS</t>
  </si>
  <si>
    <t>534195-01-2</t>
  </si>
  <si>
    <t>534195-01-2 (01) / CABIN FLOOR STRUCT BELOW AFT ENTERAN</t>
  </si>
  <si>
    <t>66</t>
  </si>
  <si>
    <t>AFT AREA / OPEN UP</t>
  </si>
  <si>
    <t>562101-01-1</t>
  </si>
  <si>
    <t>562101-01-1 (3) / CABIN AND DOOR WINDOW PANES INSP</t>
  </si>
  <si>
    <t>79</t>
  </si>
  <si>
    <t>56-21</t>
  </si>
  <si>
    <t>ZL-145-01-1</t>
  </si>
  <si>
    <t>ZL-145-01-1 (2) / ZONE UNDER CABIN FLOOR INSPECTION</t>
  </si>
  <si>
    <t>109</t>
  </si>
  <si>
    <t>CAB + INSP / FR 36 TO FR 46</t>
  </si>
  <si>
    <t>05-21</t>
  </si>
  <si>
    <t>ZL-171-02-1</t>
  </si>
  <si>
    <t>ZL-171-02-1 (2) / AFT CABIN UNDERFLOOR COMPART INSP</t>
  </si>
  <si>
    <t>115</t>
  </si>
  <si>
    <t>ISNP</t>
  </si>
  <si>
    <t>ZL-193-01-1</t>
  </si>
  <si>
    <t>ZL-193-01-1 (03) / UPPER WING FAIRING SLIDE STOWAGE AREA</t>
  </si>
  <si>
    <t>117</t>
  </si>
  <si>
    <t>OFFWING SLIDE (AP)</t>
  </si>
  <si>
    <t>ZL-211-01-1</t>
  </si>
  <si>
    <t>ZL-211-01-1 (03) / COCKPIT ZONAL INSPECTION</t>
  </si>
  <si>
    <t>122</t>
  </si>
  <si>
    <t>05-22</t>
  </si>
  <si>
    <t>ZL-833-02-1</t>
  </si>
  <si>
    <t>ZL-833-02-1 (04) / FWD AND AFT EMERGENCY EXITS INSP</t>
  </si>
  <si>
    <t>157</t>
  </si>
  <si>
    <t>05-28</t>
  </si>
  <si>
    <t>31871161</t>
  </si>
  <si>
    <t>A_N (A_N09)/A_N-CHECK</t>
  </si>
  <si>
    <t>158</t>
  </si>
  <si>
    <t>20-00</t>
  </si>
  <si>
    <t>05-SVA-01</t>
  </si>
  <si>
    <t>05-SVA-01 (00) / EMERGENCY EQUIPMENTS EXPIRY CHECK</t>
  </si>
  <si>
    <t>159</t>
  </si>
  <si>
    <t>CAB ONLY</t>
  </si>
  <si>
    <t>11-11-00-01-0-SVA</t>
  </si>
  <si>
    <t>11-11-00-01-0-SVA (02) / INTERIOR PLACARDS CHECK</t>
  </si>
  <si>
    <t>160</t>
  </si>
  <si>
    <t>PAINT</t>
  </si>
  <si>
    <t>11-11</t>
  </si>
  <si>
    <t>212300-02-1</t>
  </si>
  <si>
    <t>212300-02-1 (4) / LAVATORY AIR EXTRACTION FLTR R/R</t>
  </si>
  <si>
    <t>162</t>
  </si>
  <si>
    <t>P/S 4509043</t>
  </si>
  <si>
    <t>21-23</t>
  </si>
  <si>
    <t>25-10-00-00-SVA</t>
  </si>
  <si>
    <t>25-10-00-00-SVA (00) / COCKPIT CHECK</t>
  </si>
  <si>
    <t>168</t>
  </si>
  <si>
    <t>25-10</t>
  </si>
  <si>
    <t>25-20-00-00-SVA</t>
  </si>
  <si>
    <t>25-20-00-00-SVA (01) / GENERAL CABIN DEEP INSP</t>
  </si>
  <si>
    <t>169</t>
  </si>
  <si>
    <t>25-21-00-00-SVA</t>
  </si>
  <si>
    <t>25-21-00-00-SVA (01) / B/C SEAT DEEP INSP</t>
  </si>
  <si>
    <t>170</t>
  </si>
  <si>
    <t>PAX SEAT</t>
  </si>
  <si>
    <t>SEAT</t>
  </si>
  <si>
    <t>SEAT SHOP</t>
  </si>
  <si>
    <t>25-21-01-00-SVA</t>
  </si>
  <si>
    <t>25-21-01-00-SVA (01) / G/C SEAT DEEP INSP</t>
  </si>
  <si>
    <t>171</t>
  </si>
  <si>
    <t>STEP 8 (CAB POOL SPLTY)</t>
  </si>
  <si>
    <t>25-22-00-00-SVA</t>
  </si>
  <si>
    <t>25-22-00-00-SVA (01) / CABIN CREW SEAT DEEP INSP</t>
  </si>
  <si>
    <t>172</t>
  </si>
  <si>
    <t>25-26-00-08-0-SVA</t>
  </si>
  <si>
    <t>25-26-00-08-0-SVA (05) / PASSNGER COMPT CURTAINS REPLACEMENT</t>
  </si>
  <si>
    <t>173</t>
  </si>
  <si>
    <t>P/S 4509045</t>
  </si>
  <si>
    <t>25-26</t>
  </si>
  <si>
    <t>25-28-00-03-0-SVA-001</t>
  </si>
  <si>
    <t>25-28-00-03-0-SVA-001 (07) / HZ-ASA TO ASG AISLE CARPETS R/R</t>
  </si>
  <si>
    <t>174</t>
  </si>
  <si>
    <t>P/S 4509318</t>
  </si>
  <si>
    <t>25-28</t>
  </si>
  <si>
    <t>25-30-00-03-0-SVA</t>
  </si>
  <si>
    <t>25-30-00-03-0-SVA (02) / GALLEY CTL PANELS ELECTRICAL INSP</t>
  </si>
  <si>
    <t>175</t>
  </si>
  <si>
    <t>AV</t>
  </si>
  <si>
    <t>25-30-00-13-0-SVA</t>
  </si>
  <si>
    <t>25-30-00-13-0-SVA (02) / GALLY &amp; WATER AUTO DRAIN VALVES OPC</t>
  </si>
  <si>
    <t>176</t>
  </si>
  <si>
    <t>25-32-00-00-SVA</t>
  </si>
  <si>
    <t>25-32-00-00-SVA (01) / GALLEY CHECK</t>
  </si>
  <si>
    <t>177</t>
  </si>
  <si>
    <t>25-40-00-00-SVA</t>
  </si>
  <si>
    <t>25-40-00-00-SVA (01) / LAV CHECK</t>
  </si>
  <si>
    <t>178</t>
  </si>
  <si>
    <t>25-60-00-03-0-SVA</t>
  </si>
  <si>
    <t>25-60-00-03-0-SVA (01) / EMERGENCY EQUIPMENT IN C/A SEAT STOWAGE INSPECTION</t>
  </si>
  <si>
    <t>179</t>
  </si>
  <si>
    <t>25-60</t>
  </si>
  <si>
    <t>25-65-00-01-0-SVA</t>
  </si>
  <si>
    <t>25-65-00-01-0-SVA (02) / EMERGENCY EQUIP VALIDITY INSP</t>
  </si>
  <si>
    <t>180</t>
  </si>
  <si>
    <t>25-65</t>
  </si>
  <si>
    <t>25-65-00-01-0-SVA-001</t>
  </si>
  <si>
    <t>25-65-00-01-0-SVA-001 (02) / FIRST AID MEDICAL SURVL KIT CHECK</t>
  </si>
  <si>
    <t>181</t>
  </si>
  <si>
    <t>253400-01-1.</t>
  </si>
  <si>
    <t>253400-01-1. (03) / GALLEY COOLING CLEANING</t>
  </si>
  <si>
    <t>182</t>
  </si>
  <si>
    <t>253400-02-1</t>
  </si>
  <si>
    <t>253400-02-1 (3) / AIRCHILLER CONDENSER AIR FLTR CLEANING</t>
  </si>
  <si>
    <t>183</t>
  </si>
  <si>
    <t>25-34</t>
  </si>
  <si>
    <t>256241-05-1</t>
  </si>
  <si>
    <t>256241-05-1 (5) / CABN DOORS GIRT BAR FITT STOP CLEAN</t>
  </si>
  <si>
    <t>186</t>
  </si>
  <si>
    <t>25-62</t>
  </si>
  <si>
    <t>261700-06-1</t>
  </si>
  <si>
    <t>261700-06-1 (0) / LAVATORY SMOKE DETECTION</t>
  </si>
  <si>
    <t>189</t>
  </si>
  <si>
    <t>31-63-00-01-SVA-001</t>
  </si>
  <si>
    <t>31-63-00-01-SVA-001 (04) / COCKPIT AND AVIONICS COMPARTMENT AREA AND EQUIPMENT`S CLEANING.</t>
  </si>
  <si>
    <t>207</t>
  </si>
  <si>
    <t>31-63</t>
  </si>
  <si>
    <t>353000-01-1</t>
  </si>
  <si>
    <t>353000-01-1 (5) / PORTABLE OXYGEN CYLINDERS OPC</t>
  </si>
  <si>
    <t>215</t>
  </si>
  <si>
    <t>35-32</t>
  </si>
  <si>
    <t>353000-05-1</t>
  </si>
  <si>
    <t>353000-05-1 (5) / CABIN PBE INSP</t>
  </si>
  <si>
    <t>216</t>
  </si>
  <si>
    <t>35-30</t>
  </si>
  <si>
    <t>383200-01-1</t>
  </si>
  <si>
    <t>383200-01-1 (3) / WASHBASIN FILTER ELEMENT CLEANING</t>
  </si>
  <si>
    <t>219</t>
  </si>
  <si>
    <t>38-32</t>
  </si>
  <si>
    <t>525111-06-2</t>
  </si>
  <si>
    <t>525111-06-2 (2) / FUNCTIONAL CHECK OF THE CORRECT ADJUSTMENT OF THE COCKPIT DOOR, ELECTRICAL RELEASE STRIKES AND LATCH MECHANISM</t>
  </si>
  <si>
    <t>223</t>
  </si>
  <si>
    <t>52-51</t>
  </si>
  <si>
    <t>527100-02-1</t>
  </si>
  <si>
    <t>527100-02-1 (4) / MAIN ENTRY DR WARNING PRX SW ACTUAT</t>
  </si>
  <si>
    <t>224</t>
  </si>
  <si>
    <t>12-22</t>
  </si>
  <si>
    <t>561000-01-1-SVA</t>
  </si>
  <si>
    <t>561000-01-1-SVA (04) / COCKPIT WINDOWS INSPECTION</t>
  </si>
  <si>
    <t>227</t>
  </si>
  <si>
    <t>AP + INSP (ACCESS)</t>
  </si>
  <si>
    <t>56-10</t>
  </si>
  <si>
    <t>31574335</t>
  </si>
  <si>
    <t>C_N (C_N02)/C-CHECK</t>
  </si>
  <si>
    <t>233</t>
  </si>
  <si>
    <t>05-00-00-05-SVA</t>
  </si>
  <si>
    <t>05-00-00-05-SVA (03) / FINAL PRODUCT QUALITY INSPECTION</t>
  </si>
  <si>
    <t>234</t>
  </si>
  <si>
    <t>SVTI</t>
  </si>
  <si>
    <t>05-00</t>
  </si>
  <si>
    <t>08-10-00-01-0-A</t>
  </si>
  <si>
    <t>08-10-00-01-0-A (02) / WIGHT &amp; BALANCE</t>
  </si>
  <si>
    <t>235</t>
  </si>
  <si>
    <t>08-10</t>
  </si>
  <si>
    <t>212100-01-1</t>
  </si>
  <si>
    <t>212100-01-1 (05) / COKPT AIR SUPPLY DUCT GRID CLEANING</t>
  </si>
  <si>
    <t>241</t>
  </si>
  <si>
    <t>21-21</t>
  </si>
  <si>
    <t>23-73-00-01-0-SVA</t>
  </si>
  <si>
    <t>23-73-00-01-0-SVA (01) / CABIN SIGNS OPS CHK</t>
  </si>
  <si>
    <t>257</t>
  </si>
  <si>
    <t>23-73</t>
  </si>
  <si>
    <t>233300-02-1</t>
  </si>
  <si>
    <t>233300-02-1 (4) / PASSENGER ENTERTAINMENT OPC</t>
  </si>
  <si>
    <t>258</t>
  </si>
  <si>
    <t>23-33</t>
  </si>
  <si>
    <t>235100-01-1</t>
  </si>
  <si>
    <t>235100-01-1 (02) / CAPT AND F/O AUDIO CTL PANELS OPC</t>
  </si>
  <si>
    <t>259</t>
  </si>
  <si>
    <t>23-51</t>
  </si>
  <si>
    <t>25-11-00-03-0-SVA-001</t>
  </si>
  <si>
    <t>25-11-00-03-0-SVA-001 (02) / THIRD OCCUPANT SEAT BOTTOM CUSHION REPLACMENT</t>
  </si>
  <si>
    <t>272</t>
  </si>
  <si>
    <t>P/S 4509325</t>
  </si>
  <si>
    <t>25-11-00-08-0-SVA</t>
  </si>
  <si>
    <t>25-11-00-08-0-SVA (03) / CAPTAIN AND F/O SEATS BOTTOM REPLACMENT</t>
  </si>
  <si>
    <t>273</t>
  </si>
  <si>
    <t>P/S 4509326</t>
  </si>
  <si>
    <t>25-11-00-09-0-SVA</t>
  </si>
  <si>
    <t>25-11-00-09-0-SVA (04) / CAPTAIN &amp; F/O SEATS COVERS REPLACMENT</t>
  </si>
  <si>
    <t>274</t>
  </si>
  <si>
    <t>P/S 4509328</t>
  </si>
  <si>
    <t>25-11-00-17-0-SVA-002</t>
  </si>
  <si>
    <t>25-11-00-17-0-SVA-002 (03) / FOURTH OCCUPANT SEAT BOTTOM CUSHION REPLACMENT</t>
  </si>
  <si>
    <t>275</t>
  </si>
  <si>
    <t>P/S 4509333</t>
  </si>
  <si>
    <t>25-28-00-04-0-SVA-001</t>
  </si>
  <si>
    <t>25-28-00-04-0-SVA-001 (03) / A320(HZ-ASA TO ASG) CARPETS&amp;MATS R/R</t>
  </si>
  <si>
    <t>276</t>
  </si>
  <si>
    <t>P/S 4509334</t>
  </si>
  <si>
    <t>25-28-00-04-0-SVA-002</t>
  </si>
  <si>
    <t>25-28-00-04-0-SVA-002 (03) / COCKPIT COMPARTMENT CARPETS REPLCMNT</t>
  </si>
  <si>
    <t>277</t>
  </si>
  <si>
    <t>P/S 4509336</t>
  </si>
  <si>
    <t>25-SVA-01</t>
  </si>
  <si>
    <t>25-SVA-01 (01) / COCKPIT CHECK</t>
  </si>
  <si>
    <t>278</t>
  </si>
  <si>
    <t>25-SVA-02</t>
  </si>
  <si>
    <t>25-SVA-02 (01) / GENERAL CABIN ITEMS C-CHK</t>
  </si>
  <si>
    <t>279</t>
  </si>
  <si>
    <t>25-SVA-03</t>
  </si>
  <si>
    <t>25-SVA-03 (01) / B/C SEAT REFRESH</t>
  </si>
  <si>
    <t>280</t>
  </si>
  <si>
    <t>25-SVA-04</t>
  </si>
  <si>
    <t>25-SVA-04 (01) / B/C SEAT DEEP REFRESH</t>
  </si>
  <si>
    <t>281</t>
  </si>
  <si>
    <t>25-SVA-05</t>
  </si>
  <si>
    <t>25-SVA-05 (01) / G/C SEAT REFRESH</t>
  </si>
  <si>
    <t>282</t>
  </si>
  <si>
    <t>STEP 6 (CAB POOL SPLTY)</t>
  </si>
  <si>
    <t>25-SVA-06</t>
  </si>
  <si>
    <t>25-SVA-06 (01) / GALLEY REFRESH</t>
  </si>
  <si>
    <t>283</t>
  </si>
  <si>
    <t>25-SVA-07</t>
  </si>
  <si>
    <t>25-SVA-07 (01) / LAV REFRESH</t>
  </si>
  <si>
    <t>284</t>
  </si>
  <si>
    <t>25-SVA-08</t>
  </si>
  <si>
    <t>25-SVA-08 (01) / CABIN CREW SEAT DEEP INSP</t>
  </si>
  <si>
    <t>285</t>
  </si>
  <si>
    <t>25-SVA-09</t>
  </si>
  <si>
    <t>25-SVA-09 (01) / B/C PAX SEATS CUSHION R/R</t>
  </si>
  <si>
    <t>286</t>
  </si>
  <si>
    <t>25-SVA-10</t>
  </si>
  <si>
    <t>25-SVA-10 (02) / G/C PAX SEATS CUSHION R/R</t>
  </si>
  <si>
    <t>287</t>
  </si>
  <si>
    <t>252100-01-0-SVA-002</t>
  </si>
  <si>
    <t>252100-01-0-SVA-002 (02) / A320 AIRCRAFT HZ-ASA THRU HZ-ASG PASSENGER SEATS COVERS R/R</t>
  </si>
  <si>
    <t>288</t>
  </si>
  <si>
    <t>25-21</t>
  </si>
  <si>
    <t>252100-01-1</t>
  </si>
  <si>
    <t>252100-01-1 (4) / PAX SEAT ATTACH TO FLOOR&amp;STRUC INSP</t>
  </si>
  <si>
    <t>289</t>
  </si>
  <si>
    <t>CAB + INSP (AND SHOP)</t>
  </si>
  <si>
    <t>2521000103-001</t>
  </si>
  <si>
    <t>2521000103-001 (05) / PASS COMPARTMENT SEAT BELTS CLEANING B/C</t>
  </si>
  <si>
    <t>290</t>
  </si>
  <si>
    <t>2521000103-002</t>
  </si>
  <si>
    <t>2521000103-002 (06) / PASS COMPARTMENT SEAT BELTS CLEANING G/C</t>
  </si>
  <si>
    <t>291</t>
  </si>
  <si>
    <t>252200-01-1</t>
  </si>
  <si>
    <t>252200-01-1 (4) / CABIN ATTED SEAT ATTACHMENTS INSP</t>
  </si>
  <si>
    <t>292</t>
  </si>
  <si>
    <t>252200-03-1</t>
  </si>
  <si>
    <t>252200-03-1 (4) / CABIN ATTENDANT SEATS BELTS INSP</t>
  </si>
  <si>
    <t>293</t>
  </si>
  <si>
    <t>254000-04-2</t>
  </si>
  <si>
    <t>254000-04-2 (4) / LAVATORIES FLOOR PANELS INSPECTION</t>
  </si>
  <si>
    <t>294</t>
  </si>
  <si>
    <t>256535-01-1</t>
  </si>
  <si>
    <t>256535-01-1 (02) / EMERGENCY LOCATOR TRANSMITTER OPC</t>
  </si>
  <si>
    <t>297</t>
  </si>
  <si>
    <t>256652-01-1-SVA</t>
  </si>
  <si>
    <t>256652-01-1-SVA (01) / LIFE VEST RESTORATION PERIODIC CHECK FOR EXPIRATION</t>
  </si>
  <si>
    <t>299</t>
  </si>
  <si>
    <t>262541-04-1</t>
  </si>
  <si>
    <t>262541-04-1 (3) / LAVATORY FIRE EXTG PRESS READING CHK</t>
  </si>
  <si>
    <t>312</t>
  </si>
  <si>
    <t>335100-11-1</t>
  </si>
  <si>
    <t>335100-11-1 (1) / CABIN EMERGENCY LIGHTING</t>
  </si>
  <si>
    <t>413</t>
  </si>
  <si>
    <t>33-51</t>
  </si>
  <si>
    <t>351000-01-1</t>
  </si>
  <si>
    <t>351000-01-1 (3) / FULL FACE/QUICK OXYGEN MASKS OPC</t>
  </si>
  <si>
    <t>425</t>
  </si>
  <si>
    <t>35-12</t>
  </si>
  <si>
    <t>351241-01-1</t>
  </si>
  <si>
    <t>351241-01-1 (3) / CREW OXYGEN MASKS INSPECTION</t>
  </si>
  <si>
    <t>426</t>
  </si>
  <si>
    <t>352000-02-1</t>
  </si>
  <si>
    <t>352000-02-1 (3) / PAX OXYGEN SYSTEM MASK RELEASE FNC</t>
  </si>
  <si>
    <t>427</t>
  </si>
  <si>
    <t>35-23</t>
  </si>
  <si>
    <t>352142-01-1-SVA</t>
  </si>
  <si>
    <t>352142-01-1-SVA (01) / VALIDITY CHECK OF CHEMICAL OXYGEN GENERATORS</t>
  </si>
  <si>
    <t>428</t>
  </si>
  <si>
    <t>35-21</t>
  </si>
  <si>
    <t>353000-06-1-SVA</t>
  </si>
  <si>
    <t>353000-06-1-SVA (03) / COCKPIT (PBE) INSPECTION</t>
  </si>
  <si>
    <t>429</t>
  </si>
  <si>
    <t>25-64</t>
  </si>
  <si>
    <t>353000-07-1</t>
  </si>
  <si>
    <t>353000-07-1 (4) / PORTABLE OXYGEN MASKS INSPECTION</t>
  </si>
  <si>
    <t>430</t>
  </si>
  <si>
    <t>383100-07-1</t>
  </si>
  <si>
    <t>383100-07-1 (07) / VACUUM TOILET SYSTEM CLEANING</t>
  </si>
  <si>
    <t>439</t>
  </si>
  <si>
    <t>OPEN UP</t>
  </si>
  <si>
    <t>38-31</t>
  </si>
  <si>
    <t>384242-01-1</t>
  </si>
  <si>
    <t>384242-01-1 (01) / WATER COMPRESSOR AIR FILTER R&amp;R</t>
  </si>
  <si>
    <t>442</t>
  </si>
  <si>
    <t>38-42</t>
  </si>
  <si>
    <t>521000-01-SVA</t>
  </si>
  <si>
    <t>521000-01-SVA (01) / FWD LH PASSENGER/CREW DOOR DAMPER AND EMERGENCY OPERATION CYLINDER DIAPHRAGM REPLACEMENT</t>
  </si>
  <si>
    <t>446</t>
  </si>
  <si>
    <t>52-10</t>
  </si>
  <si>
    <t>521000-02-1</t>
  </si>
  <si>
    <t>521000-02-1 (3) / PASSENGER/CREW DOOR SUSPENSION CHK</t>
  </si>
  <si>
    <t>447</t>
  </si>
  <si>
    <t>521000-02-SVA</t>
  </si>
  <si>
    <t>521000-02-SVA (01) / FWD RH PASSENGER/CREW DOOR DAMPER AND EMERGENCY OPERATION CYLINDER DIAPHRAGM REPLACEMENT</t>
  </si>
  <si>
    <t>448</t>
  </si>
  <si>
    <t>521000-03-SVA</t>
  </si>
  <si>
    <t>521000-03-SVA (01) / AFT LH PASSENGER/CREW DOOR DAMPER AND EMERGENCY OPERATION CYLINDER DIAPHRAGM REPLACEMENT</t>
  </si>
  <si>
    <t>449</t>
  </si>
  <si>
    <t>521000-04-1-001</t>
  </si>
  <si>
    <t>521000-04-1-001 (03) / L/H FWD PAX/CREW DOOR INTEGRITY CHK</t>
  </si>
  <si>
    <t>450</t>
  </si>
  <si>
    <t>521000-04-1-002</t>
  </si>
  <si>
    <t>521000-04-1-002 (03) / R/H FWD PAX/CREW DOOR INTEGRITY CHK</t>
  </si>
  <si>
    <t>451</t>
  </si>
  <si>
    <t>521000-04-1-003</t>
  </si>
  <si>
    <t>521000-04-1-003 (03) / L/H AFT PAX/CREW DOOR INTEGRITY CHK</t>
  </si>
  <si>
    <t>452</t>
  </si>
  <si>
    <t>521000-04-1-004</t>
  </si>
  <si>
    <t>521000-04-1-004 (03) / R/H AFT PAX/CREW DOOR INTEGRITY CHK</t>
  </si>
  <si>
    <t>453</t>
  </si>
  <si>
    <t>521000-04-SVA</t>
  </si>
  <si>
    <t>521000-04-SVA (01) / AFT RH PASSENGER/CREW DOOR DAMPER AND EMERGENCY OPERATION CYLINDER DIAPHRAGM REPLACEMENT</t>
  </si>
  <si>
    <t>454</t>
  </si>
  <si>
    <t>521000-05-1</t>
  </si>
  <si>
    <t>521000-05-1 (4) / PAX/CREW DOOR LOCKING MECHANISM CHK</t>
  </si>
  <si>
    <t>455</t>
  </si>
  <si>
    <t>521000-06-1</t>
  </si>
  <si>
    <t>521000-06-1 (4) / PASS/CRW DOOR EMER ESC SLIDE FUNCHK</t>
  </si>
  <si>
    <t>456</t>
  </si>
  <si>
    <t>521000-07-1-001</t>
  </si>
  <si>
    <t>521000-07-1-001 (4) / FWRD L/H&amp;R/H PASS/CREW DOR AJAST CK</t>
  </si>
  <si>
    <t>457</t>
  </si>
  <si>
    <t>521000-07-1-002</t>
  </si>
  <si>
    <t>521000-07-1-002 (5) / AFT PASS/CREW DOORS ADJUSTMENT CHK</t>
  </si>
  <si>
    <t>458</t>
  </si>
  <si>
    <t>521000-08-1</t>
  </si>
  <si>
    <t>521000-08-1 (5) / PASS/CREW DOORS INTRLK MECHANISM OPC</t>
  </si>
  <si>
    <t>459</t>
  </si>
  <si>
    <t>521000-09-1</t>
  </si>
  <si>
    <t>521000-09-1 (6) / PASS/CREW DOOR MECH LOCK IND FUN CHK</t>
  </si>
  <si>
    <t>460</t>
  </si>
  <si>
    <t>521000-10-1</t>
  </si>
  <si>
    <t>521000-10-1 (6) / PASS/CREW DOOR DAMPING FUNC CHECK</t>
  </si>
  <si>
    <t>461</t>
  </si>
  <si>
    <t>521000-11-1</t>
  </si>
  <si>
    <t>521000-11-1 (6) / PASS/CREW DOORS STRIKERS MECHNSM OP</t>
  </si>
  <si>
    <t>462</t>
  </si>
  <si>
    <t>521000-12-1</t>
  </si>
  <si>
    <t>521000-12-1 (6) / PASS/CREW DOOR ESCAB SLIDE DIS OPC</t>
  </si>
  <si>
    <t>463</t>
  </si>
  <si>
    <t>521000-18-1</t>
  </si>
  <si>
    <t>521000-18-1 (3) / FUNCTIONAL CHECK OF ESCAPE SLIDE DISARMING WHEN DOOR IS OPENED FROM OUTSIDE.</t>
  </si>
  <si>
    <t>464</t>
  </si>
  <si>
    <t>521121-02-1</t>
  </si>
  <si>
    <t>521121-02-1 (4) / PASSENGER/CREW DOORS LUBRICATION</t>
  </si>
  <si>
    <t>465</t>
  </si>
  <si>
    <t>522100-01-1</t>
  </si>
  <si>
    <t>522100-01-1 (02) / PAX EMER EXIT OPENING FROM INSIDE</t>
  </si>
  <si>
    <t>466</t>
  </si>
  <si>
    <t>52-21</t>
  </si>
  <si>
    <t>522100-02-5</t>
  </si>
  <si>
    <t>522100-02-5 (04) / PASSENGER COMP EMERGENCY EXIT FNC</t>
  </si>
  <si>
    <t>467</t>
  </si>
  <si>
    <t>522100-07-5</t>
  </si>
  <si>
    <t>522100-07-5 (03) / EMERGENCY EXIT HATCH OPERATION</t>
  </si>
  <si>
    <t>468</t>
  </si>
  <si>
    <t>AP + INSP</t>
  </si>
  <si>
    <t>522100-08-1</t>
  </si>
  <si>
    <t>522100-08-1 (02) / PASSENGER COMPT EMERGENCY EXIT OPC</t>
  </si>
  <si>
    <t>469</t>
  </si>
  <si>
    <t>525111-01-1</t>
  </si>
  <si>
    <t>525111-01-1 (3) / COCKPIT DOOR LOCKING SYS MECH PARTS INSP</t>
  </si>
  <si>
    <t>473</t>
  </si>
  <si>
    <t>525111-02-1</t>
  </si>
  <si>
    <t>525111-02-1 (3) / COCKPIT DOOR PRESS SENSING CHANNELS</t>
  </si>
  <si>
    <t>474</t>
  </si>
  <si>
    <t>AV + INSP</t>
  </si>
  <si>
    <t>525111-03-1</t>
  </si>
  <si>
    <t>525111-03-1 (4) / COCKPIT DOOR MANUAL SWITCH OVER OPS</t>
  </si>
  <si>
    <t>475</t>
  </si>
  <si>
    <t>525111-04-1</t>
  </si>
  <si>
    <t>525111-04-1 (3) / COCKPIT DOOR OPENING WITH POWER OFF</t>
  </si>
  <si>
    <t>476</t>
  </si>
  <si>
    <t>525111-05-1</t>
  </si>
  <si>
    <t>525111-05-1 (3) / COCKPIT DOOR OPENING BY EMERG CODE</t>
  </si>
  <si>
    <t>477</t>
  </si>
  <si>
    <t>527100-01-1</t>
  </si>
  <si>
    <t>527100-01-1 (6) / DOOR WARNING SYSTEM OPERATIONAL TEST</t>
  </si>
  <si>
    <t>478</t>
  </si>
  <si>
    <t>52-71</t>
  </si>
  <si>
    <t>527300-01-1</t>
  </si>
  <si>
    <t>527300-01-1 (04) / EMERGENCY ESCAPE SLIDE WARNING SYS</t>
  </si>
  <si>
    <t>479</t>
  </si>
  <si>
    <t>52-73</t>
  </si>
  <si>
    <t>527300-02-1</t>
  </si>
  <si>
    <t>527300-02-1 (3) / EMERGENCY ESCAPE SLIDE RELEASE AND OVERPRESSURE WARNING SYSTEMS</t>
  </si>
  <si>
    <t>480</t>
  </si>
  <si>
    <t>531151-02-1</t>
  </si>
  <si>
    <t>531151-02-1 (1) / DETAILED INSPECTION OF DOOR STOP FITTINGS PROTRUDING PART NOT COVERED BY THE LINING ON FRAME 16 AND FRAME 20, LH/RH.</t>
  </si>
  <si>
    <t>481</t>
  </si>
  <si>
    <t>531176-02-1</t>
  </si>
  <si>
    <t>531176-02-1 (1) / GVI OF COCKPIT SIDE WINDOWS, EXTERNAL VISIBLE PORTION OF FRAMEWORK, BETWEEN FR 4 AND FR 12, LH/RH.</t>
  </si>
  <si>
    <t>482</t>
  </si>
  <si>
    <t>531178-02-1</t>
  </si>
  <si>
    <t>531178-02-1 (3) / GENERAL VISUAL INSPECTION OF COCKPIT WINDSHIELD, EXTERNAL VISIBLE PORTION OF RETAINERS.</t>
  </si>
  <si>
    <t>483</t>
  </si>
  <si>
    <t>531182-02-1</t>
  </si>
  <si>
    <t>531182-02-1 (1) / DET INSP OF SLIDING WINDOW FRAME, UPPER AND LOWER FRAMES AND FR4 &amp; FR8 FRAMES, INTERNAL STR FROM FR4 TO FR8 LH/RH</t>
  </si>
  <si>
    <t>484</t>
  </si>
  <si>
    <t>561200-02-1</t>
  </si>
  <si>
    <t>561200-02-1 (2) / COCKPIT SLIDING WINDOW LUBRICATION</t>
  </si>
  <si>
    <t>509</t>
  </si>
  <si>
    <t>P/S 4509339</t>
  </si>
  <si>
    <t>38-10-00-SVA</t>
  </si>
  <si>
    <t>38-10-00-SVA (01) / DECALCIFICATION OF THE POTABLE WATER TANK AND DISTRIBUTION SYSTEM</t>
  </si>
  <si>
    <t>591</t>
  </si>
  <si>
    <t>38-10</t>
  </si>
  <si>
    <t>521000-14-1</t>
  </si>
  <si>
    <t>521000-14-1 (7) / FWD AND AFT PASS/CREW DOOR HINGE LUB</t>
  </si>
  <si>
    <t>594</t>
  </si>
  <si>
    <t>521121-01-1</t>
  </si>
  <si>
    <t>521121-01-1 (4) / FWD AND AFT PASS/CREW DOOR EXT LUB</t>
  </si>
  <si>
    <t>595</t>
  </si>
  <si>
    <t>ZL-831-01-1</t>
  </si>
  <si>
    <t>ZL-831-01-1 (05) / AFT PASSENGER/CREW DOOR</t>
  </si>
  <si>
    <t>602</t>
  </si>
  <si>
    <t>05-00-00-01-0-A</t>
  </si>
  <si>
    <t>05-00-00-01-0-A (04) / AIRCRAFT C&amp;D CHECKS DATA REVIEW</t>
  </si>
  <si>
    <t>603</t>
  </si>
  <si>
    <t>PLNG</t>
  </si>
  <si>
    <t>05-11</t>
  </si>
  <si>
    <t>521000-20-1</t>
  </si>
  <si>
    <t>521000-20-1 (1) / OPERATIONAL CHECK OF DOOR DAMPING.</t>
  </si>
  <si>
    <t>609</t>
  </si>
  <si>
    <t>521104-01-1</t>
  </si>
  <si>
    <t>521104-01-1 (02) / FWD PAX DOOR INTERNAL STRUCTURE INSP</t>
  </si>
  <si>
    <t>610</t>
  </si>
  <si>
    <t>521304-01-1</t>
  </si>
  <si>
    <t>521304-01-1 (02) / AFT PAX DOOR INTERNAL STRUCTURE INSP</t>
  </si>
  <si>
    <t>611</t>
  </si>
  <si>
    <t>52-13</t>
  </si>
  <si>
    <t>522102-01-1</t>
  </si>
  <si>
    <t>522102-01-1 (04) / EMERGENCY EXITS STRUCTURE INSPECTION</t>
  </si>
  <si>
    <t>612</t>
  </si>
  <si>
    <t>531163-01-1</t>
  </si>
  <si>
    <t>531163-01-1 (03) / FWD PAX/CREW DOOR SURROUND INSP</t>
  </si>
  <si>
    <t>618</t>
  </si>
  <si>
    <t>533129-07-1</t>
  </si>
  <si>
    <t>533129-07-1 (0) / EMERGENCY EXIT CUTOUTS</t>
  </si>
  <si>
    <t>626</t>
  </si>
  <si>
    <t>534123-01-3</t>
  </si>
  <si>
    <t>534123-01-3 (06) / GUSSET PLATE FASTENER HOLE NDT INSP</t>
  </si>
  <si>
    <t>630</t>
  </si>
  <si>
    <t>ACCESS (AFT GALLEY/LAVS - AFT DOOR LININGS - BLANKETS)</t>
  </si>
  <si>
    <t>534135-02-1</t>
  </si>
  <si>
    <t>534135-02-1 (0) / REAR FUSELAGE</t>
  </si>
  <si>
    <t>631</t>
  </si>
  <si>
    <t>57-21</t>
  </si>
  <si>
    <t>534143-01-3</t>
  </si>
  <si>
    <t>534143-01-3 (03) / AFT PASSENGER/CREW DOOR CUTOUT INSP</t>
  </si>
  <si>
    <t>632</t>
  </si>
  <si>
    <t>534195-01-1</t>
  </si>
  <si>
    <t>534195-01-1 (0) / CABIN FLOOR STRUCTURE AFT ENTRANCE A</t>
  </si>
  <si>
    <t>635</t>
  </si>
  <si>
    <t>ACCESS (AFT AREA)</t>
  </si>
  <si>
    <t>534395-01-2</t>
  </si>
  <si>
    <t>534395-01-2 (0) / LATERAL SHEAR PLATES BETWEEN FRAME 6</t>
  </si>
  <si>
    <t>636</t>
  </si>
  <si>
    <t>ACCESS (AFT AREA - GALLEY/LAVS)</t>
  </si>
  <si>
    <t>53-51</t>
  </si>
  <si>
    <t>29294847</t>
  </si>
  <si>
    <t>252582/AD-A320/A321, INSPECTION OF ALL LAVATORY WASTE RECEPTACLE DOORS</t>
  </si>
  <si>
    <t>706</t>
  </si>
  <si>
    <t>30970374</t>
  </si>
  <si>
    <t>EOD-320-25-00052-R00/PAD-THIRD OCCUPANT SEAT – 168 SERIES BOTTOM EQUIPPED SCREW REPLACEMENT</t>
  </si>
  <si>
    <t>711</t>
  </si>
  <si>
    <t>P/S 4509340</t>
  </si>
  <si>
    <t>29155624</t>
  </si>
  <si>
    <t>EOD-320-31-00010-R00/FDIMU - TELEDYNE DMU SOFTWARE CAPABLE FOMAX</t>
  </si>
  <si>
    <t>720</t>
  </si>
  <si>
    <t>FOMAX</t>
  </si>
  <si>
    <t>31</t>
  </si>
  <si>
    <t>29155749</t>
  </si>
  <si>
    <t>EOD-320-31-00011-R00/FDIMU - TELEDYNE ETHERNET AND ADC ACTIVATION FOR FOMAX</t>
  </si>
  <si>
    <t>721</t>
  </si>
  <si>
    <t>29155864</t>
  </si>
  <si>
    <t>EOD-320-31-00012-R00/FDIMU - INSTALL NEW ADC DMU SW FOR FOMAX</t>
  </si>
  <si>
    <t>722</t>
  </si>
  <si>
    <t>30817926</t>
  </si>
  <si>
    <t>EOD-320-44-00014-R00/ECLIPSE CONNECTIVITY MODIFICATION</t>
  </si>
  <si>
    <t>727</t>
  </si>
  <si>
    <t>REVIEW FOR ACCESS</t>
  </si>
  <si>
    <t>31328631</t>
  </si>
  <si>
    <t>EOD-320-44-00028-R00/DE-MOD TAQNIA SYSTEM REMOVAL</t>
  </si>
  <si>
    <t>728</t>
  </si>
  <si>
    <t>29155915</t>
  </si>
  <si>
    <t>EOD-320-46-00004-R00/INSTALL FOMAX SYSTEM PROVISIONS</t>
  </si>
  <si>
    <t>729</t>
  </si>
  <si>
    <t>FOMAX (ACCESS COCKPIT)</t>
  </si>
  <si>
    <t>46</t>
  </si>
  <si>
    <t>29156039</t>
  </si>
  <si>
    <t>EOD-320-46-00005-R00/INSTALL INTERNAL GATELINK ANTENNA FOR FOMAX</t>
  </si>
  <si>
    <t>730</t>
  </si>
  <si>
    <t>FOMAX (B/C BLANKETS REMOVAL)</t>
  </si>
  <si>
    <t>29156133</t>
  </si>
  <si>
    <t>EOD-320-46-00006-R00/INSTALL COCKPIT WIFI ANTENNA FOR FOMAX</t>
  </si>
  <si>
    <t>731</t>
  </si>
  <si>
    <t>29156195</t>
  </si>
  <si>
    <t>EOD-320-46-00007-R00/CONNECT ETHERNET LINK BETWEEN FOMAX AND FDIMU</t>
  </si>
  <si>
    <t>732</t>
  </si>
  <si>
    <t>29157165</t>
  </si>
  <si>
    <t>EOD-320-46-00008-R00/FOMAX 4 ACTIVATION</t>
  </si>
  <si>
    <t>733</t>
  </si>
  <si>
    <t>29156249</t>
  </si>
  <si>
    <t>EOD-320-46-00009-R00/ACTIVATE FOMAX OPTION 1</t>
  </si>
  <si>
    <t>734</t>
  </si>
  <si>
    <t>15777417</t>
  </si>
  <si>
    <t>EOD-320-53-00008-R00/AD-INSPECTION OF HORIZONTAL UPPER STIFFENER OF LATERAL WINDOW FRAME</t>
  </si>
  <si>
    <t>735</t>
  </si>
  <si>
    <t>15777631</t>
  </si>
  <si>
    <t>EOD-320-53-00009-R00/AD-INSPECTION OF HORIZONTAL UPPER STIFFENER OF LATERAL WINDOW FRAME</t>
  </si>
  <si>
    <t>736</t>
  </si>
  <si>
    <t>16152729</t>
  </si>
  <si>
    <t>EOD-320-53-00014-R00/INSPECTION OF VERTICAL STIFFENER OF LATERAL WINDOW FRAME AT FR 4 LHS</t>
  </si>
  <si>
    <t>737</t>
  </si>
  <si>
    <t>16152761</t>
  </si>
  <si>
    <t>EOD-320-53-00015-R00/INSPECTION OF VERTICAL STIFFENER OF LATERAL WINDOW FRAME AT FR 4 RHS</t>
  </si>
  <si>
    <t>738</t>
  </si>
  <si>
    <t>17837147</t>
  </si>
  <si>
    <t>EOD-320-53-00022-R00/CENTER FUSELAGE -INSPECTION OF FRAME FOOT AT FR43 RH/LH-</t>
  </si>
  <si>
    <t>739</t>
  </si>
  <si>
    <t>18607800</t>
  </si>
  <si>
    <t>EOD-320-53-00023-R00/CENTER FUSELAGE -MODIFY FASTENER HOLE OF FRAME FEET COUPLING</t>
  </si>
  <si>
    <t>740</t>
  </si>
  <si>
    <t>CABIN ACCESS</t>
  </si>
  <si>
    <t>29441536</t>
  </si>
  <si>
    <t>EOD-320-53-00026-R01/A320- FUSELAGE - REAR FUSELAGE - INSPECTION FOR CRACKS AT FR68</t>
  </si>
  <si>
    <t>741</t>
  </si>
  <si>
    <t>28479751</t>
  </si>
  <si>
    <t>EOD-320-53-00039-R00/FUSELAGE - CENTER FUSELAGE - KEEL BEAM BOTTOM PANEL INSPECTION AT FR46</t>
  </si>
  <si>
    <t>742</t>
  </si>
  <si>
    <t>31381248</t>
  </si>
  <si>
    <t>EOD-320-53-00047-R00/AD-REAR FUSELAGE - EXCHANGE NYLON BUSHES REF SB 53-1542</t>
  </si>
  <si>
    <t>743</t>
  </si>
  <si>
    <t>SEATS REMOVAL</t>
  </si>
  <si>
    <t>31053001</t>
  </si>
  <si>
    <t>EOD-333-25-00024-R00/AD- A330/A320- INSPECT EACH BUCKLE SCREW FOR CRACKED,LOOSE</t>
  </si>
  <si>
    <t>745</t>
  </si>
  <si>
    <t>31053051</t>
  </si>
  <si>
    <t>746</t>
  </si>
  <si>
    <t>30936889</t>
  </si>
  <si>
    <t>S32-R10370/A32S - LANDING GEAR - FLEET CAMPIAGN FOR FREE FALL MECHANISM</t>
  </si>
  <si>
    <t>751</t>
  </si>
  <si>
    <t>ACCESS (FLOOR PANLES/SEATS)</t>
  </si>
  <si>
    <t>31197928</t>
  </si>
  <si>
    <t>REPLACE MF20-534/B005068 (FULL FACE QUICK DONN MASK REGULATOR)</t>
  </si>
  <si>
    <t>763</t>
  </si>
  <si>
    <t>80944787</t>
  </si>
  <si>
    <t>PANEL 41C CEILING PANEL FOUND DAMAGE</t>
  </si>
  <si>
    <t>772</t>
  </si>
  <si>
    <t>TEDLAR/SIDEWALL</t>
  </si>
  <si>
    <t>LOGBOOK CABIN</t>
  </si>
  <si>
    <t>81002632</t>
  </si>
  <si>
    <t>AFT GALLEY COMP COVERT ATTACHMENT FITTING S302 S303 S304 LOWER FLAP IS BROKEN AND DETACHED FROM FLOOR</t>
  </si>
  <si>
    <t>773</t>
  </si>
  <si>
    <t>STJC-20-00-00-01-GA-GO</t>
  </si>
  <si>
    <t>HEAVY CHK AIRCRAFT (PRE-INSP)</t>
  </si>
  <si>
    <t>782</t>
  </si>
  <si>
    <t>20</t>
  </si>
  <si>
    <t>STJC-20-00-00-06-A32S-SV</t>
  </si>
  <si>
    <t>HEAVEY CHECK PRE-HANGAR PREPARATION</t>
  </si>
  <si>
    <t>786</t>
  </si>
  <si>
    <t>STJC-20-00-00-07-A32S-SV</t>
  </si>
  <si>
    <t>HEAVEY CHECK DE-HANGARING PREPARATION</t>
  </si>
  <si>
    <t>787</t>
  </si>
  <si>
    <t>STJC-20-00-00-08-A32S-SV</t>
  </si>
  <si>
    <t>CABIN DOORS SAFETY PINS INSTALLATION/REMOVAL</t>
  </si>
  <si>
    <t>788</t>
  </si>
  <si>
    <t>STJC-AREAS-FINAL-INSPECTION-01-GA-GO</t>
  </si>
  <si>
    <t>AIRCRAFT FINAL INSPECTION</t>
  </si>
  <si>
    <t>789</t>
  </si>
  <si>
    <t>STJC-AREAS-FINAL-INSPECTION-02-GA-GO</t>
  </si>
  <si>
    <t>COCKPIT AND PAX CABIN FINAL INSPECTION</t>
  </si>
  <si>
    <t>790</t>
  </si>
  <si>
    <t>STJC-CRS-GA-SV</t>
  </si>
  <si>
    <t>CERTIFICATE OF RELEASE TO SERVICE (CRS)</t>
  </si>
  <si>
    <t>798</t>
  </si>
  <si>
    <t>STJC-RTS-03-A32S-SV</t>
  </si>
  <si>
    <t>AIRCRAFT RETURN TO SERVICE FOR HEAVEY CHECK</t>
  </si>
  <si>
    <t>799</t>
  </si>
  <si>
    <t>381000-01-1</t>
  </si>
  <si>
    <t>381000-01-1 (3) / WATER TANK DISINFECTION</t>
  </si>
  <si>
    <t>803</t>
  </si>
  <si>
    <t>32840057</t>
  </si>
  <si>
    <t>DCC-32S (13) / DCC A32S DAILY CABIN CHECK</t>
  </si>
  <si>
    <t>804</t>
  </si>
  <si>
    <t>25-00</t>
  </si>
  <si>
    <t>CCC-32S</t>
  </si>
  <si>
    <t>CCC-32S (05) / A32S CABIN CRITICAL CHECK</t>
  </si>
  <si>
    <t>810</t>
  </si>
  <si>
    <t>📊  HZ-ASD C2+6Y  —  WORK PACKAGE DASHBOARD</t>
  </si>
  <si>
    <t>START →</t>
  </si>
  <si>
    <t>END →</t>
  </si>
  <si>
    <t>TOTAL WOs</t>
  </si>
  <si>
    <t>CLOSED</t>
  </si>
  <si>
    <t>OPEN</t>
  </si>
  <si>
    <t>HPC ⏳</t>
  </si>
  <si>
    <t>🚨 AOG/CRIT</t>
  </si>
  <si>
    <t>MH DONE ⏱</t>
  </si>
  <si>
    <t>DONE</t>
  </si>
  <si>
    <t xml:space="preserve">  TIMELINE  —  linked to LAYOVER sheet</t>
  </si>
  <si>
    <t xml:space="preserve">  BY SOURCE</t>
  </si>
  <si>
    <t>Closed</t>
  </si>
  <si>
    <t>Total</t>
  </si>
  <si>
    <t>%</t>
  </si>
  <si>
    <t>Window ⏱</t>
  </si>
  <si>
    <t>Left</t>
  </si>
  <si>
    <t>ROUTINE TASKS (WP)</t>
  </si>
  <si>
    <t>ENG ORDERS (EOD/AD/EO)</t>
  </si>
  <si>
    <t>FINDINGS (AMOS)</t>
  </si>
  <si>
    <t xml:space="preserve">  BY CATEGORY</t>
  </si>
  <si>
    <t>Share</t>
  </si>
  <si>
    <t>ACCESS</t>
  </si>
  <si>
    <t xml:space="preserve">  SPECIALTY</t>
  </si>
  <si>
    <t>WALL</t>
  </si>
  <si>
    <t>S/M</t>
  </si>
  <si>
    <t xml:space="preserve">  DAILY CLOSURES  —  last 10 days</t>
  </si>
  <si>
    <t>Σ Closed</t>
  </si>
  <si>
    <t>Cum %</t>
  </si>
  <si>
    <t xml:space="preserve">  OPEN UP / ACCESS  —  removed items status</t>
  </si>
  <si>
    <t>🔴 Still Open</t>
  </si>
  <si>
    <t>🟡 Partially</t>
  </si>
  <si>
    <t>🟢 Re-Installed</t>
  </si>
  <si>
    <t xml:space="preserve">  WORKLOAD BY SPECIALTY  (Est MH)</t>
  </si>
  <si>
    <t>MH</t>
  </si>
  <si>
    <t>Done</t>
  </si>
  <si>
    <t>HZ-ASD  C2+6Y-CHK  +  WIFI  —  LAYOVER SCHEDULE</t>
  </si>
  <si>
    <t>TASK</t>
  </si>
  <si>
    <t>Start</t>
  </si>
  <si>
    <t>Finish</t>
  </si>
  <si>
    <t>PHASE 1  (Pre Hangar)</t>
  </si>
  <si>
    <t>Aircraft Arrival</t>
  </si>
  <si>
    <t>Heavy Wash</t>
  </si>
  <si>
    <t>Both ENG Preservation</t>
  </si>
  <si>
    <t>Pre HGR</t>
  </si>
  <si>
    <t>Pre Insp</t>
  </si>
  <si>
    <t>Defuel</t>
  </si>
  <si>
    <t>PHASE 2  (Inspection)</t>
  </si>
  <si>
    <t>Nose Jacking – Prox Sensor Check</t>
  </si>
  <si>
    <t>Open-Up</t>
  </si>
  <si>
    <t>Cabin Structure</t>
  </si>
  <si>
    <t>Joint Cards Insp</t>
  </si>
  <si>
    <t>Power Off</t>
  </si>
  <si>
    <t>FINDING CUT-OFF</t>
  </si>
  <si>
    <t>PHASE 3  (Modification &amp; Rectification)</t>
  </si>
  <si>
    <t>Findings &amp; Rectification</t>
  </si>
  <si>
    <t>Engineering Orders Doc (EOD's / ER's)</t>
  </si>
  <si>
    <t>FOMAX &amp; Eclipse Connectivity Mods</t>
  </si>
  <si>
    <t>Jacking – Free Fall Func Chk &amp; NLG</t>
  </si>
  <si>
    <t>MATERIALS ARRIVAL CUT-OFF</t>
  </si>
  <si>
    <t>PHASE 4  (Close Up &amp; Final Inspection)</t>
  </si>
  <si>
    <t>Cabin Restoration</t>
  </si>
  <si>
    <t>Areas Close Up</t>
  </si>
  <si>
    <t>Cabin, Cargos &amp; Cockpit</t>
  </si>
  <si>
    <t>Fuselage, Empennage &amp; Wings</t>
  </si>
  <si>
    <t>Engines</t>
  </si>
  <si>
    <t>OPS &amp; Func Check  (Power On)</t>
  </si>
  <si>
    <t>W&amp;B</t>
  </si>
  <si>
    <t>Refuel &amp; Leak Checks</t>
  </si>
  <si>
    <t>Engine Run</t>
  </si>
  <si>
    <t>PHASE 5  (Release)</t>
  </si>
  <si>
    <t>Final Product Quality Inspection (FPQI)</t>
  </si>
  <si>
    <t>Aircraft Release</t>
  </si>
  <si>
    <t xml:space="preserve">  MILESTONES  —  auto from the schedule above</t>
  </si>
  <si>
    <t>FINDINGS CUTOFF</t>
  </si>
  <si>
    <t>FOMAX START</t>
  </si>
  <si>
    <t>FOMAX END</t>
  </si>
  <si>
    <t>POWER OFF</t>
  </si>
  <si>
    <t>POWER ON</t>
  </si>
  <si>
    <t>CABIN CLOSE-UP</t>
  </si>
  <si>
    <t>FINAL INSPECTION</t>
  </si>
  <si>
    <t>DE-HANGAR</t>
  </si>
  <si>
    <t>OPEN UP / ACCESS LOG  ✈ HZ-ASD ✈  C2+6Y CHECK</t>
  </si>
  <si>
    <t>Item Removed  (panel / seat / component)</t>
  </si>
  <si>
    <t>Relevant
WO No.</t>
  </si>
  <si>
    <t>Removed By</t>
  </si>
  <si>
    <t>Date
Removed</t>
  </si>
  <si>
    <t>Re-Installed By</t>
  </si>
  <si>
    <t>Date
Re-Installed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</si>
  <si>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</si>
  <si>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</si>
  <si>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</si>
  <si>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</si>
  <si>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</si>
  <si>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</si>
  <si>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</si>
  <si>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</si>
  <si>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</si>
  <si>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</si>
  <si>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</si>
  <si>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Not Raised</t>
  </si>
  <si>
    <t>📊  ASD C2+6Y-CHECK — WORK PACKAGE DASHBOARD</t>
  </si>
  <si>
    <t>CHECK START →</t>
  </si>
  <si>
    <t>CHECK END →</t>
  </si>
  <si>
    <t xml:space="preserve">  STATUS OVERVIEW</t>
  </si>
  <si>
    <t>Total Items/WOs</t>
  </si>
  <si>
    <t>Completion</t>
  </si>
  <si>
    <t>In Work  (I/W)</t>
  </si>
  <si>
    <t>Deferred / Hold</t>
  </si>
  <si>
    <t xml:space="preserve">  PRIORITY ALERTS</t>
  </si>
  <si>
    <t>Critical</t>
  </si>
  <si>
    <t>🚨 AOG/CRIT — STILL OPEN</t>
  </si>
  <si>
    <t xml:space="preserve">  BY SOURCE  —  ROUTINE  ·  ENG ORDERS  ·  FINDINGS</t>
  </si>
  <si>
    <t>ROUTINE TASKS  (WP)</t>
  </si>
  <si>
    <t>ENG ORDERS  (EOD/AD/EO)</t>
  </si>
  <si>
    <t>FINDINGS  (AMOS WOs)</t>
  </si>
  <si>
    <t xml:space="preserve">  OPEN UP / ACCESS  —  removed items</t>
  </si>
  <si>
    <t>⚠️ STILL OPEN</t>
  </si>
  <si>
    <t>PARTIALLY</t>
  </si>
  <si>
    <t>RE-INSTALLED</t>
  </si>
  <si>
    <t>CABIN</t>
  </si>
  <si>
    <t>AV/FOMAX</t>
  </si>
  <si>
    <t>SIDEWALL</t>
  </si>
  <si>
    <t>A/P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</si>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</sst>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"/>
    <numFmt numFmtId="165" formatCode="dd\-mmm\-yyyy"/>
    <numFmt numFmtId="166" formatCode=";;;"/>
    <numFmt numFmtId="167" formatCode="ddd\ \ dd\-mmm"/>
    <numFmt numFmtId="168" formatCode="0.0"/>
  </numFmts>
  <fonts count="162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  <font>
      <b/>
      <sz val="13"/>
      <color rgb="FFFFFFFF"/>
      <name val="Arial"/>
    </font>
    <font>
      <b/>
      <sz val="16"/>
      <color rgb="FFFFFFFF"/>
      <name val="Arial"/>
    </font>
    <font>
      <b/>
      <sz val="11"/>
      <color rgb="FF555555"/>
      <name val="Arial"/>
    </font>
    <font>
      <b/>
      <sz val="12"/>
      <color rgb="FFFFFFFF"/>
      <name val="Arial"/>
    </font>
    <font>
      <sz val="12"/>
      <name val="Arial"/>
    </font>
    <font>
      <b/>
      <sz val="12"/>
      <color rgb="FF1A237E"/>
      <name val="Arial"/>
    </font>
    <font>
      <b/>
      <sz val="9"/>
      <color rgb="FFFFFFFF"/>
      <name val="Arial"/>
    </font>
    <font>
      <b/>
      <sz val="10"/>
      <color rgb="FF1A237E"/>
      <name val="Arial"/>
    </font>
    <font>
      <b/>
      <sz val="16"/>
      <color rgb="FF1A237E"/>
      <name val="Arial"/>
    </font>
    <font>
      <sz val="8"/>
      <color rgb="FF1A237E"/>
      <name val="Arial"/>
    </font>
    <font>
      <b/>
      <sz val="10"/>
      <color rgb="FFB45309"/>
      <name val="Arial"/>
    </font>
    <font>
      <b/>
      <sz val="16"/>
      <color rgb="FFB45309"/>
      <name val="Arial"/>
    </font>
    <font>
      <sz val="8"/>
      <color rgb="FFB45309"/>
      <name val="Arial"/>
    </font>
    <font>
      <b/>
      <sz val="10"/>
      <color rgb="FF006937"/>
      <name val="Arial"/>
    </font>
    <font>
      <b/>
      <sz val="16"/>
      <color rgb="FF006937"/>
      <name val="Arial"/>
    </font>
    <font>
      <sz val="8"/>
      <color rgb="FF006937"/>
      <name val="Arial"/>
    </font>
    <font>
      <sz val="8"/>
      <color rgb="FFFFFFFF"/>
      <name val="Calibri"/>
    </font>
    <font>
      <b/>
      <sz val="11"/>
      <color rgb="FF333333"/>
      <name val="Arial"/>
    </font>
    <font>
      <b/>
      <sz val="9"/>
      <color rgb="FF777777"/>
      <name val="Arial"/>
    </font>
    <font>
      <b/>
      <sz val="10"/>
      <name val="Arial"/>
    </font>
    <font>
      <b/>
      <sz val="10"/>
      <color rgb="FFB71C1C"/>
      <name val="Arial"/>
    </font>
    <font>
      <b/>
      <sz val="18"/>
      <color rgb="FFB71C1C"/>
      <name val="Arial"/>
    </font>
    <font>
      <sz val="8"/>
      <color rgb="FFB71C1C"/>
      <name val="Arial"/>
    </font>
    <font>
      <b/>
      <sz val="10"/>
      <color rgb="FF8A6D00"/>
      <name val="Arial"/>
    </font>
    <font>
      <b/>
      <sz val="18"/>
      <color rgb="FF8A6D00"/>
      <name val="Arial"/>
    </font>
    <font>
      <sz val="8"/>
      <color rgb="FF8A6D00"/>
      <name val="Arial"/>
    </font>
    <font>
      <b/>
      <sz val="10"/>
      <color rgb="FF1B5E20"/>
      <name val="Arial"/>
    </font>
    <font>
      <b/>
      <sz val="18"/>
      <color rgb="FF1B5E20"/>
      <name val="Arial"/>
    </font>
    <font>
      <sz val="8"/>
      <color rgb="FF1B5E20"/>
      <name val="Arial"/>
    </font>
    <font>
      <b/>
      <sz val="9"/>
      <color rgb="FFFFE9A8"/>
      <name val="Arial"/>
    </font>
    <font>
      <sz val="11"/>
      <name val="Calibri"/>
    </font>
    <font>
      <b/>
      <sz val="7"/>
      <color rgb="FFFFFFFF"/>
      <name val="Arial"/>
    </font>
    <font>
      <sz val="9"/>
      <color rgb="FF333333"/>
      <name val="Arial"/>
    </font>
    <font>
      <b/>
      <sz val="9"/>
      <color rgb="FFB71C1C"/>
      <name val="Arial"/>
    </font>
    <font>
      <b/>
      <sz val="14"/>
      <color rgb="FF026938"/>
      <name val="Arial"/>
    </font>
    <font>
      <b/>
      <sz val="6.5"/>
      <color rgb="FFFFFFFF"/>
      <name val="Arial"/>
    </font>
    <font>
      <b/>
      <sz val="14"/>
      <color rgb="FFFFFFFF"/>
      <name val="Arial"/>
      <family val="2"/>
    </font>
    <font>
      <b/>
      <sz val="7"/>
      <color rgb="FF1B5E20"/>
      <name val="Arial"/>
    </font>
    <font>
      <b/>
      <sz val="6.5"/>
      <color rgb="FF1B5E20"/>
      <name val="Arial"/>
    </font>
    <font>
      <b/>
      <sz val="6.5"/>
      <color rgb="FF9CA3AF"/>
      <name val="Arial"/>
    </font>
    <font>
      <b/>
      <sz val="10"/>
      <color rgb="FFFFFFFF"/>
      <name val="Arial"/>
    </font>
    <font>
      <sz val="9"/>
      <color rgb="FF444444"/>
      <name val="Arial"/>
    </font>
    <font>
      <b/>
      <sz val="9"/>
      <color rgb="FF026938"/>
      <name val="Arial"/>
    </font>
    <font>
      <b/>
      <sz val="10"/>
      <color rgb="FF333333"/>
      <name val="Arial"/>
    </font>
    <font>
      <b/>
      <sz val="20"/>
      <color rgb="FF1A237E"/>
      <name val="Arial"/>
    </font>
    <font>
      <b/>
      <sz val="20"/>
      <color rgb="FF1B5E20"/>
      <name val="Arial"/>
    </font>
    <font>
      <b/>
      <sz val="20"/>
      <color rgb="FFB45309"/>
      <name val="Arial"/>
    </font>
    <font>
      <b/>
      <sz val="20"/>
      <color rgb="FFB71C1C"/>
      <name val="Arial"/>
    </font>
    <font>
      <b/>
      <sz val="8"/>
      <color rgb="FF999999"/>
      <name val="Arial"/>
    </font>
    <font>
      <sz val="9"/>
      <color rgb="FF666666"/>
      <name val="Arial"/>
    </font>
    <font>
      <b/>
      <sz val="9"/>
      <name val="Arial"/>
    </font>
    <font>
      <b/>
      <sz val="12"/>
      <color rgb="FF1B5E20"/>
      <name val="Arial"/>
    </font>
    <font>
      <b/>
      <sz val="8"/>
      <color rgb="FF666666"/>
      <name val="Arial"/>
    </font>
    <font>
      <b/>
      <sz val="8"/>
      <color rgb="FFFFFFFF"/>
      <name val="Arial"/>
    </font>
    <font>
      <b/>
      <sz val="20"/>
      <color rgb="FFFFFFFF"/>
      <name val="Arial"/>
    </font>
    <font>
      <b/>
      <sz val="9.5"/>
      <color rgb="FF1B5E20"/>
      <name val="Arial"/>
    </font>
    <font>
      <b/>
      <sz val="9.5"/>
      <color rgb="FF3730A3"/>
      <name val="Arial"/>
    </font>
    <font>
      <b/>
      <sz val="9.5"/>
      <color rgb="FF8A6D00"/>
      <name val="Arial"/>
    </font>
    <font>
      <b/>
      <sz val="9.5"/>
      <color rgb="FF0C4A6E"/>
      <name val="Arial"/>
    </font>
    <font>
      <b/>
      <sz val="9.5"/>
      <color rgb="FF880E4F"/>
      <name val="Arial"/>
    </font>
    <font>
      <b/>
      <sz val="9.5"/>
      <color rgb="FF1A237E"/>
      <name val="Arial"/>
    </font>
    <font>
      <sz val="9.5"/>
      <name val="Arial"/>
    </font>
    <font>
      <b/>
      <sz val="9.5"/>
      <color rgb="FF6D28D9"/>
      <name val="Arial"/>
    </font>
    <font>
      <b/>
      <sz val="9.5"/>
      <color rgb="FFB45309"/>
      <name val="Arial"/>
    </font>
    <font>
      <b/>
      <sz val="9.5"/>
      <color rgb="FFE65100"/>
      <name val="Arial"/>
    </font>
    <font>
      <b/>
      <sz val="9.5"/>
      <color rgb="FF1565C0"/>
      <name val="Arial"/>
    </font>
    <font>
      <b/>
      <sz val="9.5"/>
      <color rgb="FF5E35B1"/>
      <name val="Arial"/>
    </font>
    <font>
      <b/>
      <sz val="9.5"/>
      <color rgb="FFC2185B"/>
      <name val="Arial"/>
    </font>
    <font>
      <b/>
      <sz val="9.5"/>
      <color rgb="FFA16207"/>
      <name val="Arial"/>
    </font>
    <font>
      <b/>
      <sz val="9.5"/>
      <color rgb="FF558B2F"/>
      <name val="Arial"/>
    </font>
    <font>
      <b/>
      <sz val="9.5"/>
      <color rgb="FF0E7490"/>
      <name val="Arial"/>
    </font>
    <font>
      <b/>
      <sz val="9.5"/>
      <color rgb="FF455A64"/>
      <name val="Arial"/>
    </font>
    <font>
      <b/>
      <sz val="9.5"/>
      <color rgb="FFC62828"/>
      <name val="Arial"/>
    </font>
    <font>
      <b/>
      <sz val="9.5"/>
      <color rgb="FF7C3AED"/>
      <name val="Arial"/>
    </font>
    <font>
      <b/>
      <sz val="9.5"/>
      <color rgb="FF334155"/>
      <name val="Arial"/>
    </font>
    <font>
      <b/>
      <sz val="8.5"/>
      <color rgb="FFFFE9A8"/>
      <name val="Arial"/>
    </font>
    <font>
      <b/>
      <sz val="9.5"/>
      <color rgb="FFB71C1C"/>
      <name val="Arial"/>
    </font>
    <font>
      <b/>
      <sz val="9.5"/>
      <color rgb="FF444444"/>
      <name val="Arial"/>
    </font>
    <font>
      <b/>
      <sz val="20"/>
      <color rgb="FF00695C"/>
      <name val="Arial"/>
    </font>
    <font>
      <sz val="9.5"/>
      <color rgb="FF777777"/>
      <name val="Arial"/>
    </font>
    <font>
      <b/>
      <sz val="8"/>
      <color rgb="FFD9EDE1"/>
      <name val="Arial"/>
    </font>
    <font>
      <b/>
      <sz val="11.5"/>
      <color rgb="FFFFE9A8"/>
      <name val="Arial"/>
    </font>
    <font>
      <sz val="10"/>
      <color rgb="FF607D8B"/>
      <name val="Arial"/>
    </font>
    <font>
      <b/>
      <sz val="9.5"/>
      <color rgb="FF004D40"/>
      <name val="Arial"/>
    </font>
    <font>
      <b/>
      <sz val="9.5"/>
      <color rgb="FF37474F"/>
      <name val="Arial"/>
    </font>
    <font>
      <b/>
      <sz val="13"/>
      <color rgb="FFFFE9A8"/>
      <name val="Arial"/>
    </font>
    <font>
      <b/>
      <sz val="22"/>
      <color rgb="FFFFFFFF"/>
      <name val="Arial"/>
    </font>
  </fonts>
  <fills count="54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0F7F3"/>
      </patternFill>
    </fill>
    <fill>
      <patternFill patternType="solid">
        <fgColor rgb="FFFFE0B2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rgb="FF006937"/>
      </patternFill>
    </fill>
    <fill>
      <patternFill patternType="solid">
        <fgColor rgb="FFC8E6C9"/>
      </patternFill>
    </fill>
    <fill>
      <patternFill patternType="solid">
        <fgColor rgb="FFFFF3CD"/>
      </patternFill>
    </fill>
    <fill>
      <patternFill patternType="solid">
        <fgColor rgb="FFFFFDE7"/>
      </patternFill>
    </fill>
    <fill>
      <patternFill patternType="solid">
        <fgColor rgb="FF1A7A4A"/>
      </patternFill>
    </fill>
    <fill>
      <patternFill patternType="solid">
        <fgColor rgb="FFF5F7F6"/>
      </patternFill>
    </fill>
    <fill>
      <patternFill patternType="solid">
        <fgColor rgb="FFF6F9F7"/>
      </patternFill>
    </fill>
    <fill>
      <patternFill patternType="solid">
        <fgColor rgb="FF026938"/>
      </patternFill>
    </fill>
    <fill>
      <patternFill patternType="solid">
        <fgColor rgb="FFF5F8F6"/>
      </patternFill>
    </fill>
    <fill>
      <patternFill patternType="solid">
        <fgColor rgb="FFFFFFFF"/>
      </patternFill>
    </fill>
    <fill>
      <patternFill patternType="solid">
        <fgColor rgb="FF0F5A38"/>
      </patternFill>
    </fill>
    <fill>
      <patternFill patternType="solid">
        <fgColor rgb="FFF7F7F7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0F2FE"/>
      </patternFill>
    </fill>
    <fill>
      <patternFill patternType="solid">
        <fgColor rgb="FFFFEBEE"/>
      </patternFill>
    </fill>
    <fill>
      <patternFill patternType="solid">
        <fgColor rgb="FFE0E7FF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1F8E9"/>
      </patternFill>
    </fill>
    <fill>
      <patternFill patternType="solid">
        <fgColor rgb="FFCFFAFE"/>
      </patternFill>
    </fill>
    <fill>
      <patternFill patternType="solid">
        <fgColor rgb="FFECEFF1"/>
      </patternFill>
    </fill>
    <fill>
      <patternFill patternType="solid">
        <fgColor rgb="FFF1F5F9"/>
      </patternFill>
    </fill>
    <fill>
      <patternFill patternType="solid">
        <fgColor rgb="FFE0F2F1"/>
      </patternFill>
    </fill>
    <fill>
      <patternFill patternType="solid">
        <fgColor rgb="FF00695C"/>
      </patternFill>
    </fill>
  </fills>
  <borders count="24">
    <border>
      <left/>
      <right/>
      <top/>
      <bottom/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 style="thin">
        <color rgb="FFDDE3DF"/>
      </left>
      <right style="thin">
        <color rgb="FFDDE3DF"/>
      </right>
      <top style="thin">
        <color rgb="FFDDE3DF"/>
      </top>
      <bottom style="thin">
        <color rgb="FFDDE3DF"/>
      </bottom>
      <diagonal/>
    </border>
    <border>
      <left/>
      <right style="thin">
        <color rgb="FFDDE3DF"/>
      </right>
      <top style="thin">
        <color rgb="FFDDE3DF"/>
      </top>
      <bottom style="thin">
        <color rgb="FFDDE3DF"/>
      </bottom>
      <diagonal/>
    </border>
    <border>
      <left style="thin">
        <color rgb="FFB7BFB9"/>
      </left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 style="thin">
        <color rgb="FFB7BFB9"/>
      </top>
      <bottom style="thin">
        <color rgb="FFB7BFB9"/>
      </bottom>
      <diagonal/>
    </border>
    <border>
      <left/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6937"/>
      </bottom>
      <diagonal/>
    </border>
    <border>
      <left style="thin">
        <color rgb="FFB7BFB9"/>
      </left>
      <right/>
      <top style="thin">
        <color rgb="FFB7BFB9"/>
      </top>
      <bottom style="thin">
        <color rgb="FFB7BFB9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8"/>
  </cellStyleXfs>
  <cellXfs count="260">
    <xf numFmtId="0" fontId="0" fillId="0" borderId="0" xfId="0" applyBorder="1"/>
    <xf numFmtId="0" fontId="4" fillId="0" borderId="0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79" fillId="0" borderId="7" xfId="0" applyFont="1" applyBorder="1" applyAlignment="1">
      <alignment horizontal="left" vertical="center" wrapText="1"/>
    </xf>
    <xf numFmtId="0" fontId="79" fillId="0" borderId="7" xfId="0" applyFont="1" applyBorder="1" applyAlignment="1">
      <alignment horizontal="center" vertical="center"/>
    </xf>
    <xf numFmtId="164" fontId="79" fillId="0" borderId="7" xfId="0" applyNumberFormat="1" applyFont="1" applyBorder="1" applyAlignment="1">
      <alignment horizontal="center" vertical="center"/>
    </xf>
    <xf numFmtId="0" fontId="105" fillId="0" borderId="8" xfId="0" applyFont="1" applyAlignment="1">
      <alignment horizontal="right" vertical="center"/>
    </xf>
    <xf numFmtId="165" fontId="105" fillId="0" borderId="8" xfId="0" applyNumberFormat="1" applyFont="1" applyAlignment="1">
      <alignment horizontal="center" vertical="center"/>
    </xf>
    <xf numFmtId="0" fontId="105" fillId="0" borderId="8" xfId="0" applyFont="1" applyAlignment="1">
      <alignment horizontal="center" vertical="center"/>
    </xf>
    <xf numFmtId="0" fontId="105" fillId="0" borderId="8" xfId="0" applyFont="1"/>
    <xf numFmtId="164" fontId="105" fillId="0" borderId="8" xfId="0" applyNumberFormat="1" applyFont="1" applyAlignment="1">
      <alignment horizontal="center" vertical="center"/>
    </xf>
    <xf numFmtId="0" fontId="93" fillId="0" borderId="8" xfId="0" applyFont="1" applyAlignment="1">
      <alignment horizontal="right" vertical="center"/>
    </xf>
    <xf numFmtId="0" fontId="113" fillId="28" borderId="10" xfId="0" applyFont="1" applyFill="1" applyBorder="1" applyAlignment="1">
      <alignment horizontal="center" vertical="center"/>
    </xf>
    <xf numFmtId="0" fontId="114" fillId="28" borderId="11" xfId="0" applyFont="1" applyFill="1" applyBorder="1" applyAlignment="1">
      <alignment horizontal="center" vertical="center"/>
    </xf>
    <xf numFmtId="0" fontId="105" fillId="0" borderId="13" xfId="0" applyFont="1" applyBorder="1"/>
    <xf numFmtId="0" fontId="0" fillId="0" borderId="13" xfId="0" applyBorder="1"/>
    <xf numFmtId="0" fontId="116" fillId="31" borderId="14" xfId="0" applyFont="1" applyFill="1" applyBorder="1" applyAlignment="1">
      <alignment horizontal="left" vertical="center" indent="1"/>
    </xf>
    <xf numFmtId="0" fontId="116" fillId="32" borderId="14" xfId="0" applyFont="1" applyFill="1" applyBorder="1" applyAlignment="1">
      <alignment horizontal="left" vertical="center" indent="1"/>
    </xf>
    <xf numFmtId="0" fontId="107" fillId="0" borderId="16" xfId="0" applyFont="1" applyBorder="1" applyAlignment="1">
      <alignment horizontal="left" vertical="center"/>
    </xf>
    <xf numFmtId="0" fontId="0" fillId="0" borderId="14" xfId="0" applyBorder="1"/>
    <xf numFmtId="166" fontId="0" fillId="0" borderId="14" xfId="0" applyNumberFormat="1" applyBorder="1"/>
    <xf numFmtId="0" fontId="125" fillId="0" borderId="14" xfId="0" applyFont="1" applyBorder="1" applyAlignment="1">
      <alignment horizontal="center"/>
    </xf>
    <xf numFmtId="0" fontId="135" fillId="43" borderId="14" xfId="0" applyFont="1" applyFill="1" applyBorder="1" applyAlignment="1">
      <alignment horizontal="left" vertical="center" indent="1"/>
    </xf>
    <xf numFmtId="0" fontId="136" fillId="0" borderId="14" xfId="0" applyFont="1" applyBorder="1" applyAlignment="1">
      <alignment horizontal="center"/>
    </xf>
    <xf numFmtId="9" fontId="136" fillId="0" borderId="14" xfId="0" applyNumberFormat="1" applyFont="1" applyBorder="1" applyAlignment="1">
      <alignment horizontal="center"/>
    </xf>
    <xf numFmtId="0" fontId="137" fillId="44" borderId="14" xfId="0" applyFont="1" applyFill="1" applyBorder="1" applyAlignment="1">
      <alignment horizontal="left" vertical="center" indent="1"/>
    </xf>
    <xf numFmtId="0" fontId="138" fillId="45" borderId="14" xfId="0" applyFont="1" applyFill="1" applyBorder="1" applyAlignment="1">
      <alignment horizontal="left" vertical="center" indent="1"/>
    </xf>
    <xf numFmtId="0" fontId="130" fillId="36" borderId="14" xfId="0" applyFont="1" applyFill="1" applyBorder="1" applyAlignment="1">
      <alignment horizontal="left" vertical="center" indent="1"/>
    </xf>
    <xf numFmtId="0" fontId="139" fillId="37" borderId="14" xfId="0" applyFont="1" applyFill="1" applyBorder="1" applyAlignment="1">
      <alignment horizontal="left" vertical="center" indent="1"/>
    </xf>
    <xf numFmtId="0" fontId="140" fillId="46" borderId="14" xfId="0" applyFont="1" applyFill="1" applyBorder="1" applyAlignment="1">
      <alignment horizontal="left" vertical="center" indent="1"/>
    </xf>
    <xf numFmtId="0" fontId="141" fillId="47" borderId="14" xfId="0" applyFont="1" applyFill="1" applyBorder="1" applyAlignment="1">
      <alignment horizontal="left" vertical="center" indent="1"/>
    </xf>
    <xf numFmtId="0" fontId="142" fillId="42" borderId="14" xfId="0" applyFont="1" applyFill="1" applyBorder="1" applyAlignment="1">
      <alignment horizontal="left" vertical="center" indent="1"/>
    </xf>
    <xf numFmtId="0" fontId="143" fillId="41" borderId="14" xfId="0" applyFont="1" applyFill="1" applyBorder="1" applyAlignment="1">
      <alignment horizontal="left" vertical="center" indent="1"/>
    </xf>
    <xf numFmtId="0" fontId="131" fillId="40" borderId="14" xfId="0" applyFont="1" applyFill="1" applyBorder="1" applyAlignment="1">
      <alignment horizontal="left" vertical="center" indent="1"/>
    </xf>
    <xf numFmtId="0" fontId="144" fillId="48" borderId="14" xfId="0" applyFont="1" applyFill="1" applyBorder="1" applyAlignment="1">
      <alignment horizontal="left" vertical="center" indent="1"/>
    </xf>
    <xf numFmtId="0" fontId="145" fillId="49" borderId="14" xfId="0" applyFont="1" applyFill="1" applyBorder="1" applyAlignment="1">
      <alignment horizontal="left" vertical="center" indent="1"/>
    </xf>
    <xf numFmtId="0" fontId="146" fillId="50" borderId="14" xfId="0" applyFont="1" applyFill="1" applyBorder="1" applyAlignment="1">
      <alignment horizontal="left" vertical="center" indent="1"/>
    </xf>
    <xf numFmtId="0" fontId="133" fillId="38" borderId="14" xfId="0" applyFont="1" applyFill="1" applyBorder="1" applyAlignment="1">
      <alignment horizontal="left" vertical="center" indent="1"/>
    </xf>
    <xf numFmtId="0" fontId="147" fillId="39" borderId="14" xfId="0" applyFont="1" applyFill="1" applyBorder="1" applyAlignment="1">
      <alignment horizontal="left" vertical="center" indent="1"/>
    </xf>
    <xf numFmtId="0" fontId="148" fillId="44" borderId="14" xfId="0" applyFont="1" applyFill="1" applyBorder="1" applyAlignment="1">
      <alignment horizontal="left" vertical="center" indent="1"/>
    </xf>
    <xf numFmtId="0" fontId="149" fillId="51" borderId="14" xfId="0" applyFont="1" applyFill="1" applyBorder="1" applyAlignment="1">
      <alignment horizontal="left" vertical="center" indent="1"/>
    </xf>
    <xf numFmtId="167" fontId="124" fillId="0" borderId="14" xfId="0" applyNumberFormat="1" applyFont="1" applyBorder="1" applyAlignment="1">
      <alignment horizontal="left" vertical="center" indent="1"/>
    </xf>
    <xf numFmtId="0" fontId="151" fillId="39" borderId="14" xfId="0" applyFont="1" applyFill="1" applyBorder="1" applyAlignment="1">
      <alignment horizontal="left" vertical="center" indent="1"/>
    </xf>
    <xf numFmtId="0" fontId="154" fillId="0" borderId="14" xfId="0" applyFont="1" applyBorder="1" applyAlignment="1">
      <alignment horizontal="center"/>
    </xf>
    <xf numFmtId="9" fontId="154" fillId="0" borderId="14" xfId="0" applyNumberFormat="1" applyFont="1" applyBorder="1" applyAlignment="1">
      <alignment horizontal="center"/>
    </xf>
    <xf numFmtId="9" fontId="136" fillId="0" borderId="19" xfId="0" applyNumberFormat="1" applyFont="1" applyBorder="1" applyAlignment="1">
      <alignment horizontal="center"/>
    </xf>
    <xf numFmtId="0" fontId="0" fillId="0" borderId="19" xfId="0" applyBorder="1"/>
    <xf numFmtId="3" fontId="136" fillId="0" borderId="14" xfId="0" applyNumberFormat="1" applyFont="1" applyBorder="1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65" fontId="94" fillId="26" borderId="20" xfId="0" applyNumberFormat="1" applyFont="1" applyFill="1" applyBorder="1" applyAlignment="1" applyProtection="1">
      <alignment horizontal="center" vertical="center"/>
      <protection locked="0"/>
    </xf>
    <xf numFmtId="14" fontId="79" fillId="0" borderId="7" xfId="0" applyNumberFormat="1" applyFont="1" applyBorder="1" applyAlignment="1">
      <alignment horizontal="left" vertical="center" wrapText="1"/>
    </xf>
    <xf numFmtId="164" fontId="107" fillId="26" borderId="16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164" fontId="126" fillId="0" borderId="7" xfId="0" applyNumberFormat="1" applyFont="1" applyBorder="1" applyAlignment="1">
      <alignment horizontal="center" vertical="center"/>
    </xf>
    <xf numFmtId="168" fontId="157" fillId="0" borderId="7" xfId="0" applyNumberFormat="1" applyFont="1" applyBorder="1" applyAlignment="1">
      <alignment horizontal="center" vertical="center"/>
    </xf>
    <xf numFmtId="164" fontId="157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93" fillId="0" borderId="19" xfId="0" applyFont="1" applyBorder="1" applyAlignment="1">
      <alignment horizontal="right" vertical="center"/>
    </xf>
    <xf numFmtId="0" fontId="127" fillId="35" borderId="19" xfId="0" applyFont="1" applyFill="1" applyBorder="1" applyAlignment="1">
      <alignment horizontal="center" vertical="center"/>
    </xf>
    <xf numFmtId="0" fontId="127" fillId="36" borderId="19" xfId="0" applyFont="1" applyFill="1" applyBorder="1" applyAlignment="1">
      <alignment horizontal="center" vertical="center"/>
    </xf>
    <xf numFmtId="0" fontId="127" fillId="37" borderId="19" xfId="0" applyFont="1" applyFill="1" applyBorder="1" applyAlignment="1">
      <alignment horizontal="center" vertical="center"/>
    </xf>
    <xf numFmtId="0" fontId="127" fillId="52" borderId="19" xfId="0" applyFont="1" applyFill="1" applyBorder="1" applyAlignment="1">
      <alignment horizontal="center" vertical="center"/>
    </xf>
    <xf numFmtId="0" fontId="127" fillId="39" borderId="19" xfId="0" applyFont="1" applyFill="1" applyBorder="1" applyAlignment="1">
      <alignment horizontal="center" vertical="center"/>
    </xf>
    <xf numFmtId="0" fontId="128" fillId="53" borderId="19" xfId="0" applyFont="1" applyFill="1" applyBorder="1" applyAlignment="1">
      <alignment horizontal="center" vertical="center"/>
    </xf>
    <xf numFmtId="0" fontId="128" fillId="30" borderId="19" xfId="0" applyFont="1" applyFill="1" applyBorder="1" applyAlignment="1">
      <alignment horizontal="center" vertical="center"/>
    </xf>
    <xf numFmtId="0" fontId="119" fillId="35" borderId="19" xfId="0" applyFont="1" applyFill="1" applyBorder="1" applyAlignment="1">
      <alignment horizontal="center" vertical="center"/>
    </xf>
    <xf numFmtId="0" fontId="120" fillId="36" borderId="19" xfId="0" applyFont="1" applyFill="1" applyBorder="1" applyAlignment="1">
      <alignment horizontal="center" vertical="center"/>
    </xf>
    <xf numFmtId="0" fontId="121" fillId="37" borderId="19" xfId="0" applyFont="1" applyFill="1" applyBorder="1" applyAlignment="1">
      <alignment horizontal="center" vertical="center"/>
    </xf>
    <xf numFmtId="0" fontId="153" fillId="52" borderId="19" xfId="0" applyFont="1" applyFill="1" applyBorder="1" applyAlignment="1">
      <alignment horizontal="center" vertical="center"/>
    </xf>
    <xf numFmtId="0" fontId="122" fillId="39" borderId="19" xfId="0" applyFont="1" applyFill="1" applyBorder="1" applyAlignment="1">
      <alignment horizontal="center" vertical="center"/>
    </xf>
    <xf numFmtId="9" fontId="129" fillId="53" borderId="19" xfId="0" applyNumberFormat="1" applyFont="1" applyFill="1" applyBorder="1" applyAlignment="1">
      <alignment horizontal="center" vertical="center"/>
    </xf>
    <xf numFmtId="9" fontId="161" fillId="30" borderId="19" xfId="0" applyNumberFormat="1" applyFont="1" applyFill="1" applyBorder="1" applyAlignment="1">
      <alignment horizontal="center" vertical="center"/>
    </xf>
    <xf numFmtId="0" fontId="123" fillId="0" borderId="19" xfId="0" applyFont="1" applyBorder="1" applyAlignment="1">
      <alignment horizontal="center"/>
    </xf>
    <xf numFmtId="0" fontId="155" fillId="27" borderId="19" xfId="0" applyFont="1" applyFill="1" applyBorder="1" applyAlignment="1">
      <alignment horizontal="center" vertical="center"/>
    </xf>
    <xf numFmtId="0" fontId="0" fillId="27" borderId="19" xfId="0" applyFill="1" applyBorder="1"/>
    <xf numFmtId="0" fontId="110" fillId="0" borderId="12" xfId="0" applyFont="1" applyBorder="1" applyAlignment="1">
      <alignment horizontal="left" vertical="center"/>
    </xf>
    <xf numFmtId="0" fontId="108" fillId="39" borderId="16" xfId="0" applyFont="1" applyFill="1" applyBorder="1" applyAlignment="1">
      <alignment horizontal="left" vertical="center"/>
    </xf>
    <xf numFmtId="0" fontId="106" fillId="0" borderId="12" xfId="0" applyFont="1" applyBorder="1" applyAlignment="1">
      <alignment horizontal="left" vertical="center"/>
    </xf>
    <xf numFmtId="0" fontId="78" fillId="27" borderId="20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5" fillId="39" borderId="7" xfId="0" applyFont="1" applyFill="1" applyBorder="1" applyAlignment="1">
      <alignment horizontal="center" vertical="center"/>
    </xf>
    <xf numFmtId="165" fontId="94" fillId="26" borderId="20" xfId="0" applyNumberFormat="1" applyFont="1" applyFill="1" applyBorder="1" applyAlignment="1">
      <alignment horizontal="center" vertical="center"/>
    </xf>
    <xf numFmtId="0" fontId="13" fillId="43" borderId="7" xfId="0" applyFont="1" applyFill="1" applyBorder="1" applyAlignment="1">
      <alignment horizontal="left" vertical="center" indent="1"/>
    </xf>
    <xf numFmtId="0" fontId="29" fillId="35" borderId="7" xfId="0" applyFont="1" applyFill="1" applyBorder="1" applyAlignment="1">
      <alignment horizontal="center" vertical="center"/>
    </xf>
    <xf numFmtId="0" fontId="17" fillId="24" borderId="7" xfId="0" applyFont="1" applyFill="1" applyBorder="1" applyAlignment="1">
      <alignment horizontal="left" vertical="center" indent="1"/>
    </xf>
    <xf numFmtId="0" fontId="30" fillId="36" borderId="7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horizontal="left" vertical="center" indent="1"/>
    </xf>
    <xf numFmtId="0" fontId="32" fillId="24" borderId="7" xfId="0" applyFont="1" applyFill="1" applyBorder="1" applyAlignment="1">
      <alignment horizontal="center" vertical="center"/>
    </xf>
    <xf numFmtId="0" fontId="15" fillId="17" borderId="7" xfId="0" applyFont="1" applyFill="1" applyBorder="1" applyAlignment="1">
      <alignment horizontal="left" vertical="center" indent="1"/>
    </xf>
    <xf numFmtId="0" fontId="33" fillId="39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left" vertical="center" indent="1"/>
    </xf>
    <xf numFmtId="0" fontId="34" fillId="37" borderId="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left" vertical="center" indent="1"/>
    </xf>
    <xf numFmtId="0" fontId="35" fillId="15" borderId="7" xfId="0" applyFont="1" applyFill="1" applyBorder="1" applyAlignment="1">
      <alignment horizontal="center" vertical="center"/>
    </xf>
    <xf numFmtId="0" fontId="21" fillId="17" borderId="7" xfId="0" applyFont="1" applyFill="1" applyBorder="1" applyAlignment="1">
      <alignment horizontal="left" vertical="center" indent="1"/>
    </xf>
    <xf numFmtId="0" fontId="36" fillId="39" borderId="7" xfId="0" applyFont="1" applyFill="1" applyBorder="1" applyAlignment="1">
      <alignment horizontal="center" vertical="center"/>
    </xf>
    <xf numFmtId="0" fontId="23" fillId="13" borderId="7" xfId="0" applyFont="1" applyFill="1" applyBorder="1" applyAlignment="1">
      <alignment horizontal="left" vertical="center" indent="1"/>
    </xf>
    <xf numFmtId="0" fontId="37" fillId="26" borderId="7" xfId="0" applyFont="1" applyFill="1" applyBorder="1" applyAlignment="1">
      <alignment horizontal="center" vertical="center"/>
    </xf>
    <xf numFmtId="0" fontId="82" fillId="43" borderId="19" xfId="0" applyFont="1" applyFill="1" applyBorder="1" applyAlignment="1">
      <alignment horizontal="left" vertical="center" wrapText="1"/>
    </xf>
    <xf numFmtId="0" fontId="83" fillId="43" borderId="19" xfId="0" applyFont="1" applyFill="1" applyBorder="1" applyAlignment="1">
      <alignment horizontal="center" vertical="center"/>
    </xf>
    <xf numFmtId="0" fontId="85" fillId="45" borderId="19" xfId="0" applyFont="1" applyFill="1" applyBorder="1" applyAlignment="1">
      <alignment horizontal="left" vertical="center" wrapText="1"/>
    </xf>
    <xf numFmtId="0" fontId="86" fillId="45" borderId="19" xfId="0" applyFont="1" applyFill="1" applyBorder="1" applyAlignment="1">
      <alignment horizontal="center" vertical="center"/>
    </xf>
    <xf numFmtId="0" fontId="88" fillId="24" borderId="19" xfId="0" applyFont="1" applyFill="1" applyBorder="1" applyAlignment="1">
      <alignment horizontal="left" vertical="center" wrapText="1"/>
    </xf>
    <xf numFmtId="0" fontId="89" fillId="24" borderId="19" xfId="0" applyFont="1" applyFill="1" applyBorder="1" applyAlignment="1">
      <alignment horizontal="center" vertical="center"/>
    </xf>
    <xf numFmtId="0" fontId="95" fillId="39" borderId="19" xfId="0" applyFont="1" applyFill="1" applyBorder="1" applyAlignment="1">
      <alignment horizontal="left" vertical="center" wrapText="1"/>
    </xf>
    <xf numFmtId="0" fontId="96" fillId="39" borderId="19" xfId="0" applyFont="1" applyFill="1" applyBorder="1" applyAlignment="1">
      <alignment horizontal="center" vertical="center"/>
    </xf>
    <xf numFmtId="0" fontId="98" fillId="25" borderId="19" xfId="0" applyFont="1" applyFill="1" applyBorder="1" applyAlignment="1">
      <alignment horizontal="left" vertical="center" wrapText="1"/>
    </xf>
    <xf numFmtId="0" fontId="99" fillId="25" borderId="19" xfId="0" applyFont="1" applyFill="1" applyBorder="1" applyAlignment="1">
      <alignment horizontal="center" vertical="center"/>
    </xf>
    <xf numFmtId="0" fontId="101" fillId="24" borderId="19" xfId="0" applyFont="1" applyFill="1" applyBorder="1" applyAlignment="1">
      <alignment horizontal="left" vertical="center" wrapText="1"/>
    </xf>
    <xf numFmtId="0" fontId="102" fillId="24" borderId="19" xfId="0" applyFont="1" applyFill="1" applyBorder="1" applyAlignment="1">
      <alignment horizontal="center" vertical="center"/>
    </xf>
    <xf numFmtId="0" fontId="21" fillId="39" borderId="7" xfId="0" applyFont="1" applyFill="1" applyBorder="1" applyAlignment="1">
      <alignment horizontal="left" vertical="center" indent="1"/>
    </xf>
    <xf numFmtId="0" fontId="22" fillId="39" borderId="7" xfId="0" applyFont="1" applyFill="1" applyBorder="1" applyAlignment="1">
      <alignment horizontal="center" vertical="center"/>
    </xf>
    <xf numFmtId="0" fontId="42" fillId="46" borderId="7" xfId="0" applyFont="1" applyFill="1" applyBorder="1" applyAlignment="1">
      <alignment horizontal="left" vertical="center" indent="1"/>
    </xf>
    <xf numFmtId="0" fontId="43" fillId="46" borderId="7" xfId="0" applyFont="1" applyFill="1" applyBorder="1" applyAlignment="1">
      <alignment horizontal="center" vertical="center"/>
    </xf>
    <xf numFmtId="0" fontId="44" fillId="14" borderId="7" xfId="0" applyFont="1" applyFill="1" applyBorder="1" applyAlignment="1">
      <alignment horizontal="left" vertical="center" indent="1"/>
    </xf>
    <xf numFmtId="0" fontId="45" fillId="14" borderId="7" xfId="0" applyFont="1" applyFill="1" applyBorder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0" fontId="46" fillId="50" borderId="7" xfId="0" applyFont="1" applyFill="1" applyBorder="1" applyAlignment="1">
      <alignment horizontal="left" vertical="center" indent="1"/>
    </xf>
    <xf numFmtId="0" fontId="47" fillId="50" borderId="7" xfId="0" applyFont="1" applyFill="1" applyBorder="1" applyAlignment="1">
      <alignment horizontal="center" vertical="center"/>
    </xf>
    <xf numFmtId="0" fontId="48" fillId="48" borderId="7" xfId="0" applyFont="1" applyFill="1" applyBorder="1" applyAlignment="1">
      <alignment horizontal="left" vertical="center" indent="1"/>
    </xf>
    <xf numFmtId="0" fontId="49" fillId="48" borderId="7" xfId="0" applyFont="1" applyFill="1" applyBorder="1" applyAlignment="1">
      <alignment horizontal="center" vertical="center"/>
    </xf>
    <xf numFmtId="0" fontId="13" fillId="35" borderId="7" xfId="0" applyFont="1" applyFill="1" applyBorder="1" applyAlignment="1">
      <alignment horizontal="left" vertical="center" indent="1"/>
    </xf>
    <xf numFmtId="0" fontId="14" fillId="35" borderId="7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left" vertical="center" indent="1"/>
    </xf>
    <xf numFmtId="0" fontId="20" fillId="15" borderId="7" xfId="0" applyFont="1" applyFill="1" applyBorder="1" applyAlignment="1">
      <alignment horizontal="center" vertical="center"/>
    </xf>
    <xf numFmtId="0" fontId="17" fillId="36" borderId="7" xfId="0" applyFont="1" applyFill="1" applyBorder="1" applyAlignment="1">
      <alignment horizontal="left" vertical="center" indent="1"/>
    </xf>
    <xf numFmtId="0" fontId="18" fillId="36" borderId="7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left" vertical="center" indent="1"/>
    </xf>
    <xf numFmtId="0" fontId="57" fillId="18" borderId="7" xfId="0" applyFont="1" applyFill="1" applyBorder="1" applyAlignment="1">
      <alignment horizontal="center" vertical="center"/>
    </xf>
    <xf numFmtId="0" fontId="91" fillId="0" borderId="19" xfId="0" applyFont="1" applyBorder="1"/>
    <xf numFmtId="0" fontId="50" fillId="35" borderId="7" xfId="0" applyFont="1" applyFill="1" applyBorder="1" applyAlignment="1">
      <alignment horizontal="left" vertical="center" indent="1"/>
    </xf>
    <xf numFmtId="0" fontId="51" fillId="35" borderId="7" xfId="0" applyFont="1" applyFill="1" applyBorder="1" applyAlignment="1">
      <alignment horizontal="center" vertical="center"/>
    </xf>
    <xf numFmtId="0" fontId="68" fillId="46" borderId="7" xfId="0" applyFont="1" applyFill="1" applyBorder="1" applyAlignment="1">
      <alignment horizontal="center" vertical="center"/>
    </xf>
    <xf numFmtId="0" fontId="69" fillId="15" borderId="7" xfId="0" applyFont="1" applyFill="1" applyBorder="1" applyAlignment="1">
      <alignment horizontal="center" vertical="center"/>
    </xf>
    <xf numFmtId="0" fontId="26" fillId="50" borderId="7" xfId="0" applyFont="1" applyFill="1" applyBorder="1" applyAlignment="1">
      <alignment horizontal="left" vertical="center" indent="1"/>
    </xf>
    <xf numFmtId="0" fontId="70" fillId="50" borderId="7" xfId="0" applyFont="1" applyFill="1" applyBorder="1" applyAlignment="1">
      <alignment horizontal="center" vertical="center"/>
    </xf>
    <xf numFmtId="0" fontId="71" fillId="48" borderId="7" xfId="0" applyFont="1" applyFill="1" applyBorder="1" applyAlignment="1">
      <alignment horizontal="center" vertical="center"/>
    </xf>
    <xf numFmtId="0" fontId="44" fillId="16" borderId="7" xfId="0" applyFont="1" applyFill="1" applyBorder="1" applyAlignment="1">
      <alignment horizontal="left" vertical="center" indent="1"/>
    </xf>
    <xf numFmtId="0" fontId="72" fillId="16" borderId="7" xfId="0" applyFont="1" applyFill="1" applyBorder="1" applyAlignment="1">
      <alignment horizontal="center" vertical="center"/>
    </xf>
    <xf numFmtId="0" fontId="59" fillId="19" borderId="7" xfId="0" applyFont="1" applyFill="1" applyBorder="1" applyAlignment="1">
      <alignment horizontal="left" vertical="center" indent="1"/>
    </xf>
    <xf numFmtId="0" fontId="73" fillId="19" borderId="7" xfId="0" applyFont="1" applyFill="1" applyBorder="1" applyAlignment="1">
      <alignment horizontal="center" vertical="center"/>
    </xf>
    <xf numFmtId="0" fontId="52" fillId="16" borderId="7" xfId="0" applyFont="1" applyFill="1" applyBorder="1" applyAlignment="1">
      <alignment horizontal="left" vertical="center" indent="1"/>
    </xf>
    <xf numFmtId="0" fontId="74" fillId="16" borderId="7" xfId="0" applyFont="1" applyFill="1" applyBorder="1" applyAlignment="1">
      <alignment horizontal="center" vertical="center"/>
    </xf>
    <xf numFmtId="0" fontId="53" fillId="42" borderId="7" xfId="0" applyFont="1" applyFill="1" applyBorder="1" applyAlignment="1">
      <alignment horizontal="left" vertical="center" indent="1"/>
    </xf>
    <xf numFmtId="0" fontId="68" fillId="42" borderId="7" xfId="0" applyFont="1" applyFill="1" applyBorder="1" applyAlignment="1">
      <alignment horizontal="center" vertical="center"/>
    </xf>
    <xf numFmtId="0" fontId="60" fillId="20" borderId="7" xfId="0" applyFont="1" applyFill="1" applyBorder="1" applyAlignment="1">
      <alignment horizontal="left" vertical="center" indent="1"/>
    </xf>
    <xf numFmtId="0" fontId="70" fillId="20" borderId="7" xfId="0" applyFont="1" applyFill="1" applyBorder="1" applyAlignment="1">
      <alignment horizontal="center" vertical="center"/>
    </xf>
    <xf numFmtId="0" fontId="24" fillId="43" borderId="7" xfId="0" applyFont="1" applyFill="1" applyBorder="1" applyAlignment="1">
      <alignment horizontal="left" vertical="center" indent="1"/>
    </xf>
    <xf numFmtId="0" fontId="38" fillId="46" borderId="7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left" vertical="center" indent="1"/>
    </xf>
    <xf numFmtId="0" fontId="39" fillId="15" borderId="7" xfId="0" applyFont="1" applyFill="1" applyBorder="1" applyAlignment="1">
      <alignment horizontal="center" vertical="center"/>
    </xf>
    <xf numFmtId="0" fontId="40" fillId="9" borderId="7" xfId="0" applyFont="1" applyFill="1" applyBorder="1" applyAlignment="1">
      <alignment horizontal="center" vertical="center"/>
    </xf>
    <xf numFmtId="0" fontId="27" fillId="10" borderId="7" xfId="0" applyFont="1" applyFill="1" applyBorder="1" applyAlignment="1">
      <alignment horizontal="left" vertical="center" wrapText="1" indent="1"/>
    </xf>
    <xf numFmtId="0" fontId="37" fillId="41" borderId="7" xfId="0" applyFont="1" applyFill="1" applyBorder="1" applyAlignment="1">
      <alignment horizontal="center" vertical="center"/>
    </xf>
    <xf numFmtId="0" fontId="28" fillId="11" borderId="7" xfId="0" applyFont="1" applyFill="1" applyBorder="1" applyAlignment="1">
      <alignment horizontal="left" vertical="center" indent="1"/>
    </xf>
    <xf numFmtId="0" fontId="41" fillId="9" borderId="7" xfId="0" applyFont="1" applyFill="1" applyBorder="1" applyAlignment="1">
      <alignment horizontal="center" vertical="center"/>
    </xf>
    <xf numFmtId="0" fontId="1" fillId="23" borderId="6" xfId="0" applyFont="1" applyFill="1" applyBorder="1" applyAlignment="1">
      <alignment horizontal="center" vertical="center"/>
    </xf>
    <xf numFmtId="0" fontId="66" fillId="22" borderId="4" xfId="0" applyFont="1" applyFill="1" applyBorder="1" applyAlignment="1">
      <alignment horizontal="center" vertical="center"/>
    </xf>
    <xf numFmtId="0" fontId="65" fillId="17" borderId="3" xfId="0" applyFont="1" applyFill="1" applyBorder="1" applyAlignment="1">
      <alignment horizontal="center" vertical="center"/>
    </xf>
    <xf numFmtId="0" fontId="67" fillId="0" borderId="5" xfId="0" applyFont="1" applyBorder="1" applyAlignment="1">
      <alignment horizontal="left" vertical="center"/>
    </xf>
    <xf numFmtId="0" fontId="64" fillId="27" borderId="8" xfId="0" applyFont="1" applyFill="1" applyAlignment="1">
      <alignment horizontal="center" vertical="center"/>
    </xf>
    <xf numFmtId="0" fontId="156" fillId="30" borderId="19" xfId="0" applyFont="1" applyFill="1" applyBorder="1" applyAlignment="1">
      <alignment horizontal="center" vertical="center"/>
    </xf>
    <xf numFmtId="0" fontId="148" fillId="44" borderId="14" xfId="0" applyFont="1" applyFill="1" applyBorder="1" applyAlignment="1">
      <alignment horizontal="left" vertical="center" indent="1"/>
    </xf>
    <xf numFmtId="0" fontId="152" fillId="34" borderId="19" xfId="0" applyFont="1" applyFill="1" applyBorder="1" applyAlignment="1">
      <alignment horizontal="left" vertical="center" indent="1"/>
    </xf>
    <xf numFmtId="0" fontId="78" fillId="30" borderId="19" xfId="0" applyFont="1" applyFill="1" applyBorder="1" applyAlignment="1">
      <alignment horizontal="center" vertical="center"/>
    </xf>
    <xf numFmtId="0" fontId="144" fillId="48" borderId="14" xfId="0" applyFont="1" applyFill="1" applyBorder="1" applyAlignment="1">
      <alignment horizontal="left" vertical="center" indent="1"/>
    </xf>
    <xf numFmtId="0" fontId="81" fillId="27" borderId="19" xfId="0" applyFont="1" applyFill="1" applyBorder="1" applyAlignment="1">
      <alignment horizontal="left" vertical="center"/>
    </xf>
    <xf numFmtId="0" fontId="132" fillId="41" borderId="19" xfId="0" applyFont="1" applyFill="1" applyBorder="1" applyAlignment="1">
      <alignment horizontal="left" vertical="center" indent="1"/>
    </xf>
    <xf numFmtId="0" fontId="141" fillId="47" borderId="14" xfId="0" applyFont="1" applyFill="1" applyBorder="1" applyAlignment="1">
      <alignment horizontal="left" vertical="center" indent="1"/>
    </xf>
    <xf numFmtId="0" fontId="131" fillId="40" borderId="19" xfId="0" applyFont="1" applyFill="1" applyBorder="1" applyAlignment="1">
      <alignment horizontal="left" vertical="center" indent="1"/>
    </xf>
    <xf numFmtId="0" fontId="160" fillId="33" borderId="19" xfId="0" applyFont="1" applyFill="1" applyBorder="1" applyAlignment="1">
      <alignment horizontal="center" vertical="center"/>
    </xf>
    <xf numFmtId="0" fontId="159" fillId="50" borderId="19" xfId="0" applyFont="1" applyFill="1" applyBorder="1" applyAlignment="1">
      <alignment horizontal="left" vertical="center" indent="1"/>
    </xf>
    <xf numFmtId="0" fontId="134" fillId="42" borderId="19" xfId="0" applyFont="1" applyFill="1" applyBorder="1" applyAlignment="1">
      <alignment horizontal="left" vertical="center" indent="1"/>
    </xf>
    <xf numFmtId="0" fontId="118" fillId="0" borderId="19" xfId="0" applyFont="1" applyBorder="1" applyAlignment="1">
      <alignment horizontal="center" vertical="center"/>
    </xf>
    <xf numFmtId="0" fontId="133" fillId="38" borderId="14" xfId="0" applyFont="1" applyFill="1" applyBorder="1" applyAlignment="1">
      <alignment horizontal="left" vertical="center" indent="1"/>
    </xf>
    <xf numFmtId="0" fontId="149" fillId="51" borderId="14" xfId="0" applyFont="1" applyFill="1" applyBorder="1" applyAlignment="1">
      <alignment horizontal="left" vertical="center" indent="1"/>
    </xf>
    <xf numFmtId="0" fontId="158" fillId="52" borderId="19" xfId="0" applyFont="1" applyFill="1" applyBorder="1" applyAlignment="1">
      <alignment horizontal="left" vertical="center" indent="1"/>
    </xf>
    <xf numFmtId="0" fontId="130" fillId="36" borderId="14" xfId="0" applyFont="1" applyFill="1" applyBorder="1" applyAlignment="1">
      <alignment horizontal="left" vertical="center" indent="1"/>
    </xf>
    <xf numFmtId="0" fontId="133" fillId="38" borderId="19" xfId="0" applyFont="1" applyFill="1" applyBorder="1" applyAlignment="1">
      <alignment horizontal="left" vertical="center" indent="1"/>
    </xf>
    <xf numFmtId="0" fontId="139" fillId="37" borderId="14" xfId="0" applyFont="1" applyFill="1" applyBorder="1" applyAlignment="1">
      <alignment horizontal="left" vertical="center" indent="1"/>
    </xf>
    <xf numFmtId="0" fontId="150" fillId="33" borderId="19" xfId="0" applyFont="1" applyFill="1" applyBorder="1" applyAlignment="1">
      <alignment horizontal="center" vertical="center"/>
    </xf>
    <xf numFmtId="0" fontId="147" fillId="39" borderId="14" xfId="0" applyFont="1" applyFill="1" applyBorder="1" applyAlignment="1">
      <alignment horizontal="left" vertical="center" indent="1"/>
    </xf>
    <xf numFmtId="0" fontId="142" fillId="42" borderId="14" xfId="0" applyFont="1" applyFill="1" applyBorder="1" applyAlignment="1">
      <alignment horizontal="left" vertical="center" indent="1"/>
    </xf>
    <xf numFmtId="0" fontId="0" fillId="29" borderId="8" xfId="0" applyFill="1" applyAlignment="1">
      <alignment horizontal="center"/>
    </xf>
    <xf numFmtId="0" fontId="106" fillId="27" borderId="8" xfId="0" applyFont="1" applyFill="1" applyAlignment="1">
      <alignment horizontal="center" vertical="center"/>
    </xf>
    <xf numFmtId="164" fontId="112" fillId="0" borderId="8" xfId="0" applyNumberFormat="1" applyFont="1" applyAlignment="1">
      <alignment horizontal="center" vertical="center"/>
    </xf>
    <xf numFmtId="164" fontId="107" fillId="26" borderId="16" xfId="0" applyNumberFormat="1" applyFont="1" applyFill="1" applyBorder="1" applyAlignment="1">
      <alignment horizontal="center" vertical="center"/>
    </xf>
    <xf numFmtId="0" fontId="81" fillId="30" borderId="16" xfId="0" applyFont="1" applyFill="1" applyBorder="1" applyAlignment="1">
      <alignment horizontal="left" vertical="center"/>
    </xf>
    <xf numFmtId="0" fontId="109" fillId="29" borderId="8" xfId="0" applyFont="1" applyFill="1" applyAlignment="1">
      <alignment horizontal="center" vertical="center"/>
    </xf>
    <xf numFmtId="0" fontId="111" fillId="30" borderId="8" xfId="0" applyFont="1" applyFill="1" applyAlignment="1">
      <alignment horizontal="center" vertical="center"/>
    </xf>
    <xf numFmtId="164" fontId="112" fillId="0" borderId="19" xfId="0" applyNumberFormat="1" applyFont="1" applyBorder="1" applyAlignment="1">
      <alignment horizontal="center" vertical="center"/>
    </xf>
    <xf numFmtId="164" fontId="117" fillId="31" borderId="14" xfId="0" applyNumberFormat="1" applyFont="1" applyFill="1" applyBorder="1" applyAlignment="1">
      <alignment horizontal="center" vertical="center"/>
    </xf>
    <xf numFmtId="164" fontId="108" fillId="26" borderId="16" xfId="0" applyNumberFormat="1" applyFont="1" applyFill="1" applyBorder="1" applyAlignment="1">
      <alignment horizontal="center" vertical="center"/>
    </xf>
    <xf numFmtId="0" fontId="115" fillId="27" borderId="19" xfId="0" applyFont="1" applyFill="1" applyBorder="1" applyAlignment="1">
      <alignment horizontal="center" vertical="center"/>
    </xf>
    <xf numFmtId="164" fontId="117" fillId="32" borderId="14" xfId="0" applyNumberFormat="1" applyFont="1" applyFill="1" applyBorder="1" applyAlignment="1">
      <alignment horizontal="center" vertical="center"/>
    </xf>
    <xf numFmtId="164" fontId="107" fillId="26" borderId="22" xfId="0" applyNumberFormat="1" applyFont="1" applyFill="1" applyBorder="1" applyAlignment="1">
      <alignment horizontal="center" vertical="center"/>
    </xf>
    <xf numFmtId="164" fontId="107" fillId="26" borderId="18" xfId="0" applyNumberFormat="1" applyFont="1" applyFill="1" applyBorder="1" applyAlignment="1">
      <alignment horizontal="center" vertical="center"/>
    </xf>
    <xf numFmtId="0" fontId="79" fillId="0" borderId="23" xfId="0" applyFont="1" applyBorder="1" applyAlignment="1">
      <alignment horizontal="center" vertical="center" wrapText="1"/>
    </xf>
    <xf numFmtId="0" fontId="79" fillId="0" borderId="9" xfId="0" applyFont="1" applyBorder="1" applyAlignment="1">
      <alignment horizontal="center" vertical="center" wrapText="1"/>
    </xf>
    <xf numFmtId="0" fontId="76" fillId="27" borderId="8" xfId="0" applyFont="1" applyFill="1" applyAlignment="1">
      <alignment horizontal="center" vertical="center"/>
    </xf>
    <xf numFmtId="0" fontId="75" fillId="23" borderId="8" xfId="0" applyFont="1" applyFill="1" applyAlignment="1">
      <alignment horizontal="center" vertical="center"/>
    </xf>
    <xf numFmtId="0" fontId="77" fillId="0" borderId="8" xfId="0" applyFont="1" applyAlignment="1">
      <alignment horizontal="left" vertical="center"/>
    </xf>
    <xf numFmtId="0" fontId="78" fillId="27" borderId="8" xfId="0" applyFont="1" applyFill="1" applyAlignment="1">
      <alignment horizontal="center" vertical="center"/>
    </xf>
    <xf numFmtId="14" fontId="79" fillId="0" borderId="23" xfId="0" applyNumberFormat="1" applyFont="1" applyBorder="1" applyAlignment="1">
      <alignment horizontal="center" vertical="center" wrapText="1"/>
    </xf>
    <xf numFmtId="14" fontId="79" fillId="0" borderId="9" xfId="0" applyNumberFormat="1" applyFont="1" applyBorder="1" applyAlignment="1">
      <alignment horizontal="center" vertical="center" wrapText="1"/>
    </xf>
    <xf numFmtId="0" fontId="61" fillId="39" borderId="8" xfId="0" applyFont="1" applyFill="1" applyAlignment="1">
      <alignment horizontal="left" vertical="center" indent="1"/>
    </xf>
    <xf numFmtId="0" fontId="1" fillId="12" borderId="8" xfId="0" applyFont="1" applyFill="1" applyAlignment="1">
      <alignment horizontal="center" vertical="center"/>
    </xf>
    <xf numFmtId="0" fontId="55" fillId="16" borderId="7" xfId="0" applyFont="1" applyFill="1" applyBorder="1" applyAlignment="1">
      <alignment horizontal="center" vertical="center"/>
    </xf>
    <xf numFmtId="0" fontId="3" fillId="27" borderId="8" xfId="0" applyFont="1" applyFill="1" applyAlignment="1">
      <alignment horizontal="left" vertical="center" indent="1"/>
    </xf>
    <xf numFmtId="0" fontId="84" fillId="43" borderId="8" xfId="0" applyFont="1" applyFill="1" applyAlignment="1">
      <alignment horizontal="center" vertical="center"/>
    </xf>
    <xf numFmtId="0" fontId="55" fillId="35" borderId="7" xfId="0" applyFont="1" applyFill="1" applyBorder="1" applyAlignment="1">
      <alignment horizontal="center" vertical="center"/>
    </xf>
    <xf numFmtId="0" fontId="55" fillId="19" borderId="7" xfId="0" applyFont="1" applyFill="1" applyBorder="1" applyAlignment="1">
      <alignment horizontal="center" vertical="center"/>
    </xf>
    <xf numFmtId="0" fontId="100" fillId="25" borderId="8" xfId="0" applyFont="1" applyFill="1" applyAlignment="1">
      <alignment horizontal="center" vertical="center"/>
    </xf>
    <xf numFmtId="0" fontId="55" fillId="14" borderId="7" xfId="0" applyFont="1" applyFill="1" applyBorder="1" applyAlignment="1">
      <alignment horizontal="center" vertical="center"/>
    </xf>
    <xf numFmtId="0" fontId="81" fillId="27" borderId="8" xfId="0" applyFont="1" applyFill="1" applyAlignment="1">
      <alignment horizontal="left" vertical="center"/>
    </xf>
    <xf numFmtId="0" fontId="62" fillId="23" borderId="8" xfId="0" applyFont="1" applyFill="1" applyAlignment="1">
      <alignment horizontal="center" vertical="center" indent="1"/>
    </xf>
    <xf numFmtId="0" fontId="55" fillId="50" borderId="7" xfId="0" applyFont="1" applyFill="1" applyBorder="1" applyAlignment="1">
      <alignment horizontal="center" vertical="center"/>
    </xf>
    <xf numFmtId="0" fontId="55" fillId="48" borderId="7" xfId="0" applyFont="1" applyFill="1" applyBorder="1" applyAlignment="1">
      <alignment horizontal="center" vertical="center"/>
    </xf>
    <xf numFmtId="0" fontId="97" fillId="39" borderId="8" xfId="0" applyFont="1" applyFill="1" applyAlignment="1">
      <alignment horizontal="center" vertical="center"/>
    </xf>
    <xf numFmtId="0" fontId="103" fillId="24" borderId="8" xfId="0" applyFont="1" applyFill="1" applyAlignment="1">
      <alignment horizontal="center" vertical="center"/>
    </xf>
    <xf numFmtId="0" fontId="3" fillId="7" borderId="8" xfId="0" applyFont="1" applyFill="1" applyAlignment="1">
      <alignment horizontal="left" vertical="center" indent="1"/>
    </xf>
    <xf numFmtId="0" fontId="55" fillId="20" borderId="7" xfId="0" applyFont="1" applyFill="1" applyBorder="1" applyAlignment="1">
      <alignment horizontal="center" vertical="center"/>
    </xf>
    <xf numFmtId="0" fontId="63" fillId="21" borderId="8" xfId="0" applyFont="1" applyFill="1" applyAlignment="1">
      <alignment horizontal="center" vertical="center"/>
    </xf>
    <xf numFmtId="0" fontId="55" fillId="15" borderId="7" xfId="0" applyFont="1" applyFill="1" applyBorder="1" applyAlignment="1">
      <alignment horizontal="center" vertical="center"/>
    </xf>
    <xf numFmtId="0" fontId="104" fillId="33" borderId="8" xfId="0" applyFont="1" applyFill="1" applyAlignment="1">
      <alignment horizontal="center" vertical="center"/>
    </xf>
    <xf numFmtId="0" fontId="92" fillId="3" borderId="8" xfId="0" applyFont="1" applyFill="1" applyAlignment="1">
      <alignment horizontal="center" vertical="center"/>
    </xf>
    <xf numFmtId="0" fontId="90" fillId="24" borderId="8" xfId="0" applyFont="1" applyFill="1" applyAlignment="1">
      <alignment horizontal="center" vertical="center"/>
    </xf>
    <xf numFmtId="0" fontId="55" fillId="42" borderId="7" xfId="0" applyFont="1" applyFill="1" applyBorder="1" applyAlignment="1">
      <alignment horizontal="center" vertical="center"/>
    </xf>
    <xf numFmtId="0" fontId="58" fillId="18" borderId="7" xfId="0" applyFont="1" applyFill="1" applyBorder="1" applyAlignment="1">
      <alignment horizontal="center" vertical="center"/>
    </xf>
    <xf numFmtId="0" fontId="55" fillId="46" borderId="7" xfId="0" applyFont="1" applyFill="1" applyBorder="1" applyAlignment="1">
      <alignment horizontal="center" vertical="center"/>
    </xf>
    <xf numFmtId="0" fontId="104" fillId="33" borderId="19" xfId="0" applyFont="1" applyFill="1" applyBorder="1" applyAlignment="1">
      <alignment horizontal="center" vertical="center"/>
    </xf>
    <xf numFmtId="0" fontId="87" fillId="45" borderId="8" xfId="0" applyFont="1" applyFill="1" applyAlignment="1">
      <alignment horizontal="center" vertical="center"/>
    </xf>
    <xf numFmtId="0" fontId="55" fillId="39" borderId="7" xfId="0" applyFont="1" applyFill="1" applyBorder="1" applyAlignment="1">
      <alignment horizontal="center" vertical="center"/>
    </xf>
    <xf numFmtId="0" fontId="55" fillId="36" borderId="7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19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15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9" xfId="0" applyBorder="1" applyAlignment="1"/>
  </cellXfs>
  <cellStyles count="1">
    <cellStyle name="Normal" xfId="0" builtinId="0"/>
  </cellStyles>
  <dxfs count="120">
    <dxf>
      <font>
        <b/>
        <sz val="9"/>
        <color rgb="FFFFFFFF"/>
      </font>
      <fill>
        <patternFill patternType="solid">
          <fgColor rgb="FFB71C1C"/>
          <bgColor rgb="FFB71C1C"/>
        </patternFill>
      </fill>
    </dxf>
    <dxf>
      <font>
        <b/>
        <sz val="9"/>
        <color rgb="FFFFFFFF"/>
      </font>
      <fill>
        <patternFill patternType="solid">
          <fgColor rgb="FFE65100"/>
          <bgColor rgb="FFE65100"/>
        </patternFill>
      </fill>
    </dxf>
    <dxf>
      <font>
        <b/>
        <sz val="9"/>
        <color rgb="FFFFFFFF"/>
      </font>
      <fill>
        <patternFill patternType="solid">
          <fgColor rgb="FF455A64"/>
          <bgColor rgb="FF455A64"/>
        </patternFill>
      </fill>
    </dxf>
    <dxf>
      <font>
        <b/>
        <sz val="11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1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1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1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color rgb="FF9CA3AF"/>
      </font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C81E1E"/>
      </font>
      <fill>
        <patternFill patternType="solid">
          <fgColor rgb="FFFDE8E8"/>
          <bgColor rgb="FFFDE8E8"/>
        </patternFill>
      </fill>
    </dxf>
    <dxf>
      <fill>
        <patternFill patternType="solid">
          <fgColor rgb="FFFFF7E6"/>
          <bgColor rgb="FFFFF7E6"/>
        </patternFill>
      </fill>
    </dxf>
    <dxf>
      <font>
        <color rgb="FF3730A3"/>
      </font>
      <fill>
        <patternFill patternType="solid">
          <fgColor rgb="FFE0E7FF"/>
          <bgColor rgb="FFE0E7FF"/>
        </patternFill>
      </fill>
    </dxf>
    <dxf>
      <font>
        <color rgb="FF7C3AED"/>
      </font>
      <fill>
        <patternFill patternType="solid">
          <fgColor rgb="FFF3E8FF"/>
          <bgColor rgb="FFF3E8FF"/>
        </patternFill>
      </fill>
    </dxf>
    <dxf>
      <font>
        <color rgb="FFB45309"/>
      </font>
      <fill>
        <patternFill patternType="solid">
          <fgColor rgb="FFFEF3C7"/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1D4ED8"/>
      </font>
      <fill>
        <patternFill patternType="solid">
          <fgColor rgb="FFDBEAFE"/>
          <bgColor rgb="FFDBEAFE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F4FBF5"/>
          <bgColor rgb="FFF4FBF5"/>
        </patternFill>
      </fill>
    </dxf>
    <dxf>
      <fill>
        <patternFill patternType="solid">
          <fgColor rgb="FFFFF5F5"/>
          <bgColor rgb="FFFFF5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DCEDC8"/>
          <bgColor rgb="FFDCEDC8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CFCFC"/>
          <bgColor rgb="FFFCFCFC"/>
        </patternFill>
      </fill>
    </dxf>
    <dxf>
      <border>
        <right style="medium">
          <color rgb="FFE65100"/>
        </right>
      </border>
    </dxf>
    <dxf>
      <border>
        <left style="medium">
          <color rgb="FFC62828"/>
        </left>
      </border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C62828"/>
          <bgColor rgb="FFC62828"/>
        </patternFill>
      </fill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10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0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  <bgColor rgb="FFC8E6C9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ill>
        <patternFill patternType="solid">
          <fgColor rgb="FFFAFBFA"/>
          <bgColor rgb="FFFAFBFA"/>
        </patternFill>
      </fill>
    </dxf>
    <dxf>
      <font>
        <sz val="12"/>
        <color rgb="FF90A4AE"/>
        <name val="Arial"/>
      </font>
      <fill>
        <patternFill patternType="solid">
          <fgColor rgb="FFECEFF1"/>
          <bgColor rgb="FFECEFF1"/>
        </patternFill>
      </fill>
    </dxf>
    <dxf>
      <fill>
        <patternFill patternType="solid">
          <fgColor rgb="FFFDE8E8"/>
          <bgColor rgb="FFFDE8E8"/>
        </patternFill>
      </fill>
    </dxf>
    <dxf>
      <font>
        <b/>
        <sz val="12"/>
        <color rgb="FFE65100"/>
        <name val="Arial"/>
      </font>
      <fill>
        <patternFill patternType="solid">
          <fgColor rgb="FFFFF3E0"/>
          <bgColor rgb="FFFFF3E0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color rgb="FF37474F"/>
      </font>
    </dxf>
    <dxf>
      <font>
        <b/>
        <color rgb="FF1565C0"/>
      </font>
    </dxf>
    <dxf>
      <font>
        <color rgb="FF9E9E9E"/>
      </font>
    </dxf>
    <dxf>
      <font>
        <color rgb="FFBDBDBD"/>
      </font>
    </dxf>
    <dxf>
      <font>
        <b/>
        <color rgb="FFBF360C"/>
      </font>
      <fill>
        <patternFill patternType="solid">
          <fgColor rgb="FFFBE9E7"/>
          <bgColor rgb="FFFBE9E7"/>
        </patternFill>
      </fill>
    </dxf>
    <dxf>
      <font>
        <b/>
        <color rgb="FF4527A0"/>
      </font>
    </dxf>
    <dxf>
      <font>
        <b/>
        <color rgb="FF0C4A6E"/>
      </font>
      <fill>
        <patternFill patternType="solid">
          <fgColor rgb="FFE0F2FE"/>
          <bgColor rgb="FFE0F2FE"/>
        </patternFill>
      </fill>
    </dxf>
    <dxf>
      <font>
        <b/>
        <color rgb="FF334155"/>
      </font>
    </dxf>
    <dxf>
      <font>
        <b/>
        <color rgb="FF6A1B9A"/>
      </font>
    </dxf>
    <dxf>
      <font>
        <b/>
        <color rgb="FF2E7D32"/>
      </font>
    </dxf>
    <dxf>
      <font>
        <b/>
        <color rgb="FFBF360C"/>
      </font>
    </dxf>
    <dxf>
      <font>
        <b/>
        <color rgb="FF880E4F"/>
      </font>
    </dxf>
    <dxf>
      <font>
        <b/>
        <color rgb="FF37474F"/>
      </font>
    </dxf>
    <dxf>
      <font>
        <b/>
        <color rgb="FF4E342E"/>
      </font>
    </dxf>
    <dxf>
      <font>
        <b/>
        <color rgb="FFE65100"/>
      </font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7A8F80"/>
      </font>
      <fill>
        <patternFill patternType="solid">
          <fgColor rgb="FFF4FAF5"/>
          <bgColor rgb="FFF4FAF5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color rgb="FF00695C"/>
      </font>
      <fill>
        <patternFill patternType="solid">
          <fgColor rgb="FFE0F2F1"/>
          <bgColor rgb="FFE0F2F1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0E7490"/>
      </font>
      <fill>
        <patternFill patternType="solid">
          <fgColor rgb="FFCFFAFE"/>
          <bgColor rgb="FFCFFAFE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ill>
        <patternFill patternType="solid">
          <fgColor rgb="FFFFF8EF"/>
          <bgColor rgb="FFFFF8EF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sz val="12"/>
        <color rgb="FF0369A1"/>
        <name val="Arial"/>
      </font>
      <fill>
        <patternFill patternType="solid">
          <fgColor rgb="FFE0F2FE"/>
          <bgColor rgb="FFE0F2FE"/>
        </patternFill>
      </fill>
    </dxf>
    <dxf>
      <font>
        <b/>
        <sz val="12"/>
        <color rgb="FF55705F"/>
        <name val="Arial"/>
      </font>
      <fill>
        <patternFill patternType="solid">
          <fgColor rgb="FFF1F5F2"/>
          <bgColor rgb="FFF1F5F2"/>
        </patternFill>
      </fill>
    </dxf>
    <dxf>
      <font>
        <b/>
        <sz val="12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2"/>
        <color rgb="FF7C3AED"/>
        <name val="Arial"/>
      </font>
      <fill>
        <patternFill patternType="solid">
          <fgColor rgb="FFFAF5FF"/>
          <bgColor rgb="FFFAF5FF"/>
        </patternFill>
      </fill>
    </dxf>
    <dxf>
      <font>
        <b/>
        <sz val="12"/>
        <color rgb="FFA16207"/>
        <name val="Arial"/>
      </font>
      <fill>
        <patternFill patternType="solid">
          <fgColor rgb="FFFFFBEB"/>
          <bgColor rgb="FFFFFB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57150</xdr:rowOff>
    </xdr:from>
    <xdr:ext cx="1266825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Q1004" totalsRowShown="0">
  <autoFilter ref="A3:Q1004" xr:uid="{00000000-0009-0000-0100-000001000000}"/>
  <sortState xmlns:xlrd2="http://schemas.microsoft.com/office/spreadsheetml/2017/richdata2" ref="A4:J1004">
    <sortCondition ref="I3:I1004"/>
  </sortState>
  <tableColumns count="17">
    <tableColumn id="1" xr3:uid="{00000000-0010-0000-0000-000001000000}" name="WO / Event_x000a_Number"/>
    <tableColumn id="2" xr3:uid="{00000000-0010-0000-0000-000002000000}" name="Task Description"/>
    <tableColumn id="3" xr3:uid="{00000000-0010-0000-0000-000003000000}" name="Seq._x000a_No.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53"/>
    <tableColumn id="9" xr3:uid="{00000000-0010-0000-0000-000009000000}" name="Remarks" dataDxfId="52"/>
    <tableColumn id="10" xr3:uid="{00000000-0010-0000-0000-00000A000000}" name="Time EVAL?" dataDxfId="51"/>
    <tableColumn id="11" xr3:uid="{00000000-0010-0000-0000-00000B000000}" name="AREA"/>
    <tableColumn id="12" xr3:uid="{00000000-0010-0000-0000-00000C000000}" name="Updated"/>
    <tableColumn id="13" xr3:uid="{00000000-0010-0000-0000-00000D000000}" name="Closed_x000a_Date"/>
    <tableColumn id="14" xr3:uid="{00000000-0010-0000-0000-00000E000000}" name="Est_x000a_MH"/>
    <tableColumn id="15" xr3:uid="{00000000-0010-0000-0000-00000F000000}" name="ATA"/>
    <tableColumn id="16" xr3:uid="{00000000-0010-0000-0000-000010000000}" name="Booked_x000a_MH"/>
    <tableColumn id="17" xr3:uid="{00000000-0010-0000-0000-000011000000}" name="Actual_x000a_Dur (h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503">
  <autoFilter ref="A3:K503" xr:uid="{00000000-0009-0000-0100-000002000000}"/>
  <tableColumns count="11">
    <tableColumn id="1" xr3:uid="{00000000-0010-0000-0100-000001000000}" name="#"/>
    <tableColumn id="9" xr3:uid="{00000000-0010-0000-0100-000009000000}" name=" By" dataDxfId="15"/>
    <tableColumn id="2" xr3:uid="{00000000-0010-0000-0100-000002000000}" name="Category" dataDxfId="14"/>
    <tableColumn id="4" xr3:uid="{00000000-0010-0000-0100-000004000000}" name="Sub-Category" dataDxfId="13"/>
    <tableColumn id="3" xr3:uid="{00000000-0010-0000-0100-000003000000}" name="Finding Description" dataDxfId="12"/>
    <tableColumn id="7" xr3:uid="{00000000-0010-0000-0100-000007000000}" name="Remarks" dataDxfId="11"/>
    <tableColumn id="10" xr3:uid="{00000000-0010-0000-0100-00000A000000}" name="Photo URL"/>
    <tableColumn id="5" xr3:uid="{00000000-0010-0000-0100-000005000000}" name="AMOS Status" dataDxfId="10"/>
    <tableColumn id="6" xr3:uid="{00000000-0010-0000-0100-000006000000}" name="WO No." dataDxfId="9"/>
    <tableColumn id="8" xr3:uid="{00000000-0010-0000-0100-000008000000}" name="P/N Required" dataDxfId="8"/>
    <tableColumn id="11" xr3:uid="{00000000-0010-0000-0100-00000B000000}" name="Qty" dataDxfId="7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4"/>
  <sheetViews>
    <sheetView showGridLines="0" tabSelected="1" zoomScaleNormal="100" workbookViewId="0">
      <pane ySplit="3" topLeftCell="A144" activePane="bottomLeft" state="frozen"/>
      <selection pane="bottomLeft" activeCell="H158" sqref="H158"/>
      <selection activeCell="H1" sqref="H1"/>
    </sheetView>
  </sheetViews>
  <sheetFormatPr defaultColWidth="8.7109375" defaultRowHeight="15"/>
  <cols>
    <col min="1" max="1" width="13" customWidth="1"/>
    <col min="2" max="2" width="90" customWidth="1"/>
    <col min="3" max="3" width="7.28515625" customWidth="1"/>
    <col min="4" max="4" width="21.7109375" style="3" bestFit="1" customWidth="1"/>
    <col min="5" max="5" width="11.42578125" bestFit="1" customWidth="1"/>
    <col min="6" max="6" width="11.7109375" bestFit="1" customWidth="1"/>
    <col min="7" max="7" width="10" customWidth="1"/>
    <col min="8" max="8" width="18.5703125" customWidth="1"/>
    <col min="9" max="9" width="38" customWidth="1"/>
    <col min="10" max="10" width="10" hidden="1" customWidth="1"/>
    <col min="11" max="11" width="9" customWidth="1"/>
    <col min="12" max="12" width="10.42578125" customWidth="1"/>
    <col min="13" max="13" width="10.42578125" hidden="1" customWidth="1"/>
    <col min="14" max="17" width="8" hidden="1" customWidth="1"/>
  </cols>
  <sheetData>
    <row r="1" spans="1:17" ht="34.15" customHeight="1">
      <c r="A1" s="174" t="s">
        <v>0</v>
      </c>
      <c r="B1" s="252"/>
      <c r="C1" s="252"/>
      <c r="D1" s="252"/>
      <c r="E1" s="175" t="str">
        <f ca="1">IF(OR(NOT(ISNUMBER(DASHBOARD!$M$1)),NOT(ISNUMBER(DASHBOARD!$M$2))),"PENDING","DAY "&amp;MAX(MIN(TODAY()-DASHBOARD!$M$1+1,DASHBOARD!$M$2-DASHBOARD!$M$1+1),0)&amp;"/"&amp;(DASHBOARD!$M$2-DASHBOARD!$M$1+1))</f>
        <v>DAY 2/38</v>
      </c>
      <c r="F1" s="253"/>
      <c r="G1" s="253"/>
      <c r="H1" s="178" t="str">
        <f>"✅ "&amp;COUNTIFS(A4:A1004,"&lt;&gt;",E4:E1004,"Closed")&amp;" / "&amp;COUNTIF(A4:A1004,"&lt;&gt;")&amp;" Closed ("&amp;TEXT(IFERROR(COUNTIFS(A4:A1004,"&lt;&gt;",E4:E1004,"Closed")/COUNTIF(A4:A1004,"&lt;&gt;"),0),"0%")&amp;")"</f>
        <v>✅ 0 / 192 Closed (0%)</v>
      </c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9.899999999999999" customHeight="1">
      <c r="A2" s="177" t="str">
        <f>IF(COUNT($L$4:$L$1004)=0,"No dated updates yet — type todays date (e.g. 19/7) in column L when you edit a row","LAST UPDATE: "&amp;TEXT(MAX($L$4:$L$1004),"DD-MMM")&amp;"  ·  "&amp;COUNTIF($L$4:$L$1004,MAX($L$4:$L$1004))&amp;" row(s) updated  —  filter column L for details")</f>
        <v>LAST UPDATE: 19-Jul  ·  13 row(s) updated  —  filter column L for details</v>
      </c>
      <c r="B2" s="254"/>
      <c r="C2" s="254"/>
      <c r="D2" s="254"/>
      <c r="E2" s="255"/>
      <c r="F2" s="255"/>
      <c r="G2" s="255"/>
      <c r="H2" s="176" t="str">
        <f>"AOG/Critical: "&amp;COUNTIFS(A4:A1004,"&lt;&gt;",F4:F1004,"AOG")+COUNTIFS(A4:A1004,"&lt;&gt;",F4:F1004,"Critical")</f>
        <v>AOG/Critical: 1</v>
      </c>
      <c r="I2" s="255"/>
      <c r="J2" s="255"/>
      <c r="K2" s="255"/>
      <c r="L2" s="255"/>
      <c r="M2" s="255"/>
      <c r="N2" s="255"/>
      <c r="O2" s="255"/>
      <c r="P2" s="255"/>
      <c r="Q2" s="255"/>
    </row>
    <row r="3" spans="1:17" s="1" customFormat="1" ht="31.5" customHeight="1">
      <c r="A3" s="50" t="s">
        <v>1</v>
      </c>
      <c r="B3" s="50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1" t="s">
        <v>7</v>
      </c>
      <c r="H3" s="51" t="s">
        <v>8</v>
      </c>
      <c r="I3" s="50" t="s">
        <v>9</v>
      </c>
      <c r="J3" s="51" t="s">
        <v>10</v>
      </c>
      <c r="K3" s="51" t="s">
        <v>11</v>
      </c>
      <c r="L3" s="51" t="s">
        <v>12</v>
      </c>
      <c r="M3" s="51" t="s">
        <v>13</v>
      </c>
      <c r="N3" s="51" t="s">
        <v>14</v>
      </c>
      <c r="O3" s="51" t="s">
        <v>15</v>
      </c>
      <c r="P3" s="51" t="s">
        <v>16</v>
      </c>
      <c r="Q3" s="51" t="s">
        <v>17</v>
      </c>
    </row>
    <row r="4" spans="1:17" ht="15.75">
      <c r="A4" s="55" t="s">
        <v>18</v>
      </c>
      <c r="B4" s="56" t="s">
        <v>19</v>
      </c>
      <c r="C4" s="57" t="s">
        <v>20</v>
      </c>
      <c r="D4" s="58" t="s">
        <v>21</v>
      </c>
      <c r="E4" s="59" t="s">
        <v>22</v>
      </c>
      <c r="F4" s="59" t="s">
        <v>23</v>
      </c>
      <c r="G4" s="58" t="s">
        <v>24</v>
      </c>
      <c r="H4" s="60"/>
      <c r="I4" s="61"/>
      <c r="J4" s="59" t="s">
        <v>25</v>
      </c>
      <c r="K4" s="59" t="s">
        <v>26</v>
      </c>
      <c r="L4" s="62"/>
      <c r="M4" s="63"/>
      <c r="N4" s="64">
        <v>0</v>
      </c>
      <c r="O4" s="65" t="s">
        <v>27</v>
      </c>
      <c r="P4" s="64"/>
      <c r="Q4" s="64"/>
    </row>
    <row r="5" spans="1:17" ht="15.75">
      <c r="A5" s="55" t="s">
        <v>28</v>
      </c>
      <c r="B5" s="56" t="s">
        <v>29</v>
      </c>
      <c r="C5" s="57" t="s">
        <v>30</v>
      </c>
      <c r="D5" s="58" t="s">
        <v>31</v>
      </c>
      <c r="E5" s="59" t="s">
        <v>22</v>
      </c>
      <c r="F5" s="59" t="s">
        <v>23</v>
      </c>
      <c r="G5" s="58" t="s">
        <v>26</v>
      </c>
      <c r="H5" s="60"/>
      <c r="I5" s="61" t="s">
        <v>32</v>
      </c>
      <c r="J5" s="59" t="s">
        <v>25</v>
      </c>
      <c r="K5" s="59" t="s">
        <v>33</v>
      </c>
      <c r="L5" s="62"/>
      <c r="M5" s="63"/>
      <c r="N5" s="64">
        <v>7.15</v>
      </c>
      <c r="O5" s="65" t="s">
        <v>34</v>
      </c>
      <c r="P5" s="64"/>
      <c r="Q5" s="64"/>
    </row>
    <row r="6" spans="1:17" ht="15.75">
      <c r="A6" s="55" t="s">
        <v>35</v>
      </c>
      <c r="B6" s="56" t="s">
        <v>36</v>
      </c>
      <c r="C6" s="57" t="s">
        <v>37</v>
      </c>
      <c r="D6" s="58" t="s">
        <v>31</v>
      </c>
      <c r="E6" s="59" t="s">
        <v>22</v>
      </c>
      <c r="F6" s="59" t="s">
        <v>23</v>
      </c>
      <c r="G6" s="58" t="s">
        <v>26</v>
      </c>
      <c r="H6" s="60"/>
      <c r="I6" s="61" t="s">
        <v>32</v>
      </c>
      <c r="J6" s="59" t="s">
        <v>25</v>
      </c>
      <c r="K6" s="59"/>
      <c r="L6" s="62"/>
      <c r="M6" s="63"/>
      <c r="N6" s="64">
        <v>7.15</v>
      </c>
      <c r="O6" s="65" t="s">
        <v>34</v>
      </c>
      <c r="P6" s="64"/>
      <c r="Q6" s="64"/>
    </row>
    <row r="7" spans="1:17" ht="15.75">
      <c r="A7" s="55" t="s">
        <v>38</v>
      </c>
      <c r="B7" s="56" t="s">
        <v>39</v>
      </c>
      <c r="C7" s="57" t="s">
        <v>40</v>
      </c>
      <c r="D7" s="58" t="s">
        <v>31</v>
      </c>
      <c r="E7" s="59" t="s">
        <v>22</v>
      </c>
      <c r="F7" s="59" t="s">
        <v>23</v>
      </c>
      <c r="G7" s="58" t="s">
        <v>26</v>
      </c>
      <c r="H7" s="60"/>
      <c r="I7" s="61" t="s">
        <v>32</v>
      </c>
      <c r="J7" s="59" t="s">
        <v>25</v>
      </c>
      <c r="K7" s="59" t="s">
        <v>41</v>
      </c>
      <c r="L7" s="62"/>
      <c r="M7" s="63"/>
      <c r="N7" s="64">
        <v>7.15</v>
      </c>
      <c r="O7" s="65" t="s">
        <v>34</v>
      </c>
      <c r="P7" s="64"/>
      <c r="Q7" s="64"/>
    </row>
    <row r="8" spans="1:17" ht="15.75">
      <c r="A8" s="55" t="s">
        <v>42</v>
      </c>
      <c r="B8" s="56" t="s">
        <v>43</v>
      </c>
      <c r="C8" s="57" t="s">
        <v>44</v>
      </c>
      <c r="D8" s="58" t="s">
        <v>45</v>
      </c>
      <c r="E8" s="59" t="s">
        <v>22</v>
      </c>
      <c r="F8" s="59" t="s">
        <v>23</v>
      </c>
      <c r="G8" s="58" t="s">
        <v>46</v>
      </c>
      <c r="H8" s="60" t="s">
        <v>47</v>
      </c>
      <c r="I8" s="61" t="s">
        <v>48</v>
      </c>
      <c r="J8" s="59" t="s">
        <v>25</v>
      </c>
      <c r="K8" s="59" t="s">
        <v>33</v>
      </c>
      <c r="L8" s="62">
        <v>46222</v>
      </c>
      <c r="M8" s="63"/>
      <c r="N8" s="64">
        <v>2</v>
      </c>
      <c r="O8" s="65" t="s">
        <v>49</v>
      </c>
      <c r="P8" s="64"/>
      <c r="Q8" s="64"/>
    </row>
    <row r="9" spans="1:17" ht="15.75">
      <c r="A9" s="55" t="s">
        <v>50</v>
      </c>
      <c r="B9" s="56" t="s">
        <v>51</v>
      </c>
      <c r="C9" s="57" t="s">
        <v>52</v>
      </c>
      <c r="D9" s="58" t="s">
        <v>45</v>
      </c>
      <c r="E9" s="59" t="s">
        <v>22</v>
      </c>
      <c r="F9" s="59" t="s">
        <v>23</v>
      </c>
      <c r="G9" s="58" t="s">
        <v>46</v>
      </c>
      <c r="H9" s="60" t="s">
        <v>47</v>
      </c>
      <c r="I9" s="61" t="s">
        <v>53</v>
      </c>
      <c r="J9" s="59" t="s">
        <v>25</v>
      </c>
      <c r="K9" s="59" t="s">
        <v>33</v>
      </c>
      <c r="L9" s="62">
        <v>46222</v>
      </c>
      <c r="M9" s="63"/>
      <c r="N9" s="64">
        <v>2</v>
      </c>
      <c r="O9" s="65" t="s">
        <v>49</v>
      </c>
      <c r="P9" s="64"/>
      <c r="Q9" s="64"/>
    </row>
    <row r="10" spans="1:17" ht="15.75">
      <c r="A10" s="55" t="s">
        <v>54</v>
      </c>
      <c r="B10" s="56" t="s">
        <v>55</v>
      </c>
      <c r="C10" s="57" t="s">
        <v>56</v>
      </c>
      <c r="D10" s="58" t="s">
        <v>57</v>
      </c>
      <c r="E10" s="59" t="s">
        <v>22</v>
      </c>
      <c r="F10" s="59" t="s">
        <v>58</v>
      </c>
      <c r="G10" s="58" t="s">
        <v>46</v>
      </c>
      <c r="H10" s="60" t="s">
        <v>47</v>
      </c>
      <c r="I10" s="61" t="s">
        <v>59</v>
      </c>
      <c r="J10" s="59" t="s">
        <v>25</v>
      </c>
      <c r="K10" s="59" t="s">
        <v>26</v>
      </c>
      <c r="L10" s="62">
        <v>46222</v>
      </c>
      <c r="M10" s="63"/>
      <c r="N10" s="64">
        <v>4</v>
      </c>
      <c r="O10" s="65" t="s">
        <v>60</v>
      </c>
      <c r="P10" s="64"/>
      <c r="Q10" s="64"/>
    </row>
    <row r="11" spans="1:17" ht="15.75">
      <c r="A11" s="55" t="s">
        <v>61</v>
      </c>
      <c r="B11" s="56" t="s">
        <v>62</v>
      </c>
      <c r="C11" s="57" t="s">
        <v>63</v>
      </c>
      <c r="D11" s="58" t="s">
        <v>64</v>
      </c>
      <c r="E11" s="59" t="s">
        <v>22</v>
      </c>
      <c r="F11" s="59" t="s">
        <v>23</v>
      </c>
      <c r="G11" s="58" t="s">
        <v>26</v>
      </c>
      <c r="H11" s="60"/>
      <c r="I11" s="61" t="s">
        <v>32</v>
      </c>
      <c r="J11" s="59" t="s">
        <v>25</v>
      </c>
      <c r="K11" s="59" t="s">
        <v>26</v>
      </c>
      <c r="L11" s="62"/>
      <c r="M11" s="63"/>
      <c r="N11" s="64">
        <v>0.75</v>
      </c>
      <c r="O11" s="65" t="s">
        <v>65</v>
      </c>
      <c r="P11" s="64"/>
      <c r="Q11" s="64"/>
    </row>
    <row r="12" spans="1:17" ht="15.75">
      <c r="A12" s="55" t="s">
        <v>66</v>
      </c>
      <c r="B12" s="56" t="s">
        <v>67</v>
      </c>
      <c r="C12" s="57" t="s">
        <v>68</v>
      </c>
      <c r="D12" s="58" t="s">
        <v>69</v>
      </c>
      <c r="E12" s="59" t="s">
        <v>22</v>
      </c>
      <c r="F12" s="59" t="s">
        <v>23</v>
      </c>
      <c r="G12" s="58" t="s">
        <v>26</v>
      </c>
      <c r="H12" s="60"/>
      <c r="I12" s="61" t="s">
        <v>32</v>
      </c>
      <c r="J12" s="59" t="s">
        <v>25</v>
      </c>
      <c r="K12" s="59" t="s">
        <v>26</v>
      </c>
      <c r="L12" s="62"/>
      <c r="M12" s="63"/>
      <c r="N12" s="64">
        <v>0.65</v>
      </c>
      <c r="O12" s="65" t="s">
        <v>70</v>
      </c>
      <c r="P12" s="64"/>
      <c r="Q12" s="64"/>
    </row>
    <row r="13" spans="1:17" ht="15.75">
      <c r="A13" s="55" t="s">
        <v>71</v>
      </c>
      <c r="B13" s="56" t="s">
        <v>72</v>
      </c>
      <c r="C13" s="57" t="s">
        <v>73</v>
      </c>
      <c r="D13" s="58" t="s">
        <v>45</v>
      </c>
      <c r="E13" s="59" t="s">
        <v>22</v>
      </c>
      <c r="F13" s="59" t="s">
        <v>23</v>
      </c>
      <c r="G13" s="58" t="s">
        <v>26</v>
      </c>
      <c r="H13" s="60"/>
      <c r="I13" s="61" t="s">
        <v>32</v>
      </c>
      <c r="J13" s="59" t="s">
        <v>25</v>
      </c>
      <c r="K13" s="59" t="s">
        <v>33</v>
      </c>
      <c r="L13" s="62"/>
      <c r="M13" s="63"/>
      <c r="N13" s="64">
        <v>0.43</v>
      </c>
      <c r="O13" s="65" t="s">
        <v>74</v>
      </c>
      <c r="P13" s="64"/>
      <c r="Q13" s="64"/>
    </row>
    <row r="14" spans="1:17" ht="15.75">
      <c r="A14" s="55" t="s">
        <v>75</v>
      </c>
      <c r="B14" s="56" t="s">
        <v>76</v>
      </c>
      <c r="C14" s="57" t="s">
        <v>77</v>
      </c>
      <c r="D14" s="58" t="s">
        <v>69</v>
      </c>
      <c r="E14" s="59" t="s">
        <v>22</v>
      </c>
      <c r="F14" s="59" t="s">
        <v>23</v>
      </c>
      <c r="G14" s="58" t="s">
        <v>78</v>
      </c>
      <c r="H14" s="60"/>
      <c r="I14" s="61" t="s">
        <v>78</v>
      </c>
      <c r="J14" s="59" t="s">
        <v>25</v>
      </c>
      <c r="K14" s="59" t="s">
        <v>26</v>
      </c>
      <c r="L14" s="62"/>
      <c r="M14" s="63"/>
      <c r="N14" s="64">
        <v>0.22</v>
      </c>
      <c r="O14" s="65" t="s">
        <v>79</v>
      </c>
      <c r="P14" s="64"/>
      <c r="Q14" s="64"/>
    </row>
    <row r="15" spans="1:17" ht="15.75">
      <c r="A15" s="55" t="s">
        <v>80</v>
      </c>
      <c r="B15" s="56" t="s">
        <v>81</v>
      </c>
      <c r="C15" s="57" t="s">
        <v>82</v>
      </c>
      <c r="D15" s="58" t="s">
        <v>21</v>
      </c>
      <c r="E15" s="59" t="s">
        <v>22</v>
      </c>
      <c r="F15" s="59" t="s">
        <v>23</v>
      </c>
      <c r="G15" s="58"/>
      <c r="H15" s="60"/>
      <c r="I15" s="61" t="s">
        <v>83</v>
      </c>
      <c r="J15" s="59" t="s">
        <v>25</v>
      </c>
      <c r="K15" s="59"/>
      <c r="L15" s="62"/>
      <c r="M15" s="63"/>
      <c r="N15" s="64">
        <v>2.2000000000000002</v>
      </c>
      <c r="O15" s="65" t="s">
        <v>84</v>
      </c>
      <c r="P15" s="64"/>
      <c r="Q15" s="64"/>
    </row>
    <row r="16" spans="1:17" ht="15.75">
      <c r="A16" s="55" t="s">
        <v>85</v>
      </c>
      <c r="B16" s="56" t="s">
        <v>86</v>
      </c>
      <c r="C16" s="57" t="s">
        <v>87</v>
      </c>
      <c r="D16" s="58" t="s">
        <v>21</v>
      </c>
      <c r="E16" s="59" t="s">
        <v>22</v>
      </c>
      <c r="F16" s="59" t="s">
        <v>23</v>
      </c>
      <c r="G16" s="58"/>
      <c r="H16" s="60"/>
      <c r="I16" s="61" t="s">
        <v>83</v>
      </c>
      <c r="J16" s="59" t="s">
        <v>25</v>
      </c>
      <c r="K16" s="59"/>
      <c r="L16" s="62"/>
      <c r="M16" s="63"/>
      <c r="N16" s="64">
        <v>0.55000000000000004</v>
      </c>
      <c r="O16" s="65" t="s">
        <v>84</v>
      </c>
      <c r="P16" s="64"/>
      <c r="Q16" s="64"/>
    </row>
    <row r="17" spans="1:17" ht="15.75">
      <c r="A17" s="55" t="s">
        <v>88</v>
      </c>
      <c r="B17" s="56" t="s">
        <v>89</v>
      </c>
      <c r="C17" s="57" t="s">
        <v>90</v>
      </c>
      <c r="D17" s="58" t="s">
        <v>91</v>
      </c>
      <c r="E17" s="59" t="s">
        <v>22</v>
      </c>
      <c r="F17" s="59" t="s">
        <v>23</v>
      </c>
      <c r="G17" s="58"/>
      <c r="H17" s="60"/>
      <c r="I17" s="61" t="s">
        <v>92</v>
      </c>
      <c r="J17" s="59" t="s">
        <v>25</v>
      </c>
      <c r="K17" s="59" t="s">
        <v>33</v>
      </c>
      <c r="L17" s="62"/>
      <c r="M17" s="63"/>
      <c r="N17" s="64">
        <v>0.65</v>
      </c>
      <c r="O17" s="65" t="s">
        <v>93</v>
      </c>
      <c r="P17" s="64"/>
      <c r="Q17" s="64"/>
    </row>
    <row r="18" spans="1:17" ht="15.75">
      <c r="A18" s="55" t="s">
        <v>94</v>
      </c>
      <c r="B18" s="56" t="s">
        <v>95</v>
      </c>
      <c r="C18" s="57" t="s">
        <v>96</v>
      </c>
      <c r="D18" s="58" t="s">
        <v>21</v>
      </c>
      <c r="E18" s="59" t="s">
        <v>22</v>
      </c>
      <c r="F18" s="59" t="s">
        <v>23</v>
      </c>
      <c r="G18" s="58"/>
      <c r="H18" s="60"/>
      <c r="I18" s="61" t="s">
        <v>97</v>
      </c>
      <c r="J18" s="59" t="s">
        <v>25</v>
      </c>
      <c r="K18" s="59" t="s">
        <v>33</v>
      </c>
      <c r="L18" s="62"/>
      <c r="M18" s="63"/>
      <c r="N18" s="64">
        <v>2.85</v>
      </c>
      <c r="O18" s="65" t="s">
        <v>93</v>
      </c>
      <c r="P18" s="64"/>
      <c r="Q18" s="64"/>
    </row>
    <row r="19" spans="1:17" ht="15.75">
      <c r="A19" s="55" t="s">
        <v>98</v>
      </c>
      <c r="B19" s="56" t="s">
        <v>99</v>
      </c>
      <c r="C19" s="57" t="s">
        <v>100</v>
      </c>
      <c r="D19" s="58" t="s">
        <v>21</v>
      </c>
      <c r="E19" s="59" t="s">
        <v>22</v>
      </c>
      <c r="F19" s="59" t="s">
        <v>23</v>
      </c>
      <c r="G19" s="58"/>
      <c r="H19" s="60"/>
      <c r="I19" s="61" t="s">
        <v>101</v>
      </c>
      <c r="J19" s="59" t="s">
        <v>25</v>
      </c>
      <c r="K19" s="59" t="s">
        <v>33</v>
      </c>
      <c r="L19" s="62"/>
      <c r="M19" s="63"/>
      <c r="N19" s="64">
        <v>3.52</v>
      </c>
      <c r="O19" s="65" t="s">
        <v>93</v>
      </c>
      <c r="P19" s="64"/>
      <c r="Q19" s="64"/>
    </row>
    <row r="20" spans="1:17" ht="45.75">
      <c r="A20" s="55" t="s">
        <v>102</v>
      </c>
      <c r="B20" s="56" t="s">
        <v>103</v>
      </c>
      <c r="C20" s="57" t="s">
        <v>104</v>
      </c>
      <c r="D20" s="58" t="s">
        <v>21</v>
      </c>
      <c r="E20" s="59" t="s">
        <v>22</v>
      </c>
      <c r="F20" s="59" t="s">
        <v>23</v>
      </c>
      <c r="G20" s="58" t="s">
        <v>78</v>
      </c>
      <c r="H20" s="60"/>
      <c r="I20" s="61" t="s">
        <v>105</v>
      </c>
      <c r="J20" s="59" t="s">
        <v>25</v>
      </c>
      <c r="K20" s="59" t="s">
        <v>33</v>
      </c>
      <c r="L20" s="62"/>
      <c r="M20" s="63"/>
      <c r="N20" s="64">
        <v>4.88</v>
      </c>
      <c r="O20" s="65" t="s">
        <v>93</v>
      </c>
      <c r="P20" s="64"/>
      <c r="Q20" s="64"/>
    </row>
    <row r="21" spans="1:17" ht="45.75">
      <c r="A21" s="55" t="s">
        <v>106</v>
      </c>
      <c r="B21" s="56" t="s">
        <v>107</v>
      </c>
      <c r="C21" s="57" t="s">
        <v>108</v>
      </c>
      <c r="D21" s="58" t="s">
        <v>21</v>
      </c>
      <c r="E21" s="59" t="s">
        <v>22</v>
      </c>
      <c r="F21" s="59" t="s">
        <v>23</v>
      </c>
      <c r="G21" s="58" t="s">
        <v>78</v>
      </c>
      <c r="H21" s="60"/>
      <c r="I21" s="61" t="s">
        <v>105</v>
      </c>
      <c r="J21" s="59" t="s">
        <v>25</v>
      </c>
      <c r="K21" s="59" t="s">
        <v>33</v>
      </c>
      <c r="L21" s="62"/>
      <c r="M21" s="63"/>
      <c r="N21" s="64">
        <v>21.87</v>
      </c>
      <c r="O21" s="65" t="s">
        <v>93</v>
      </c>
      <c r="P21" s="64"/>
      <c r="Q21" s="64"/>
    </row>
    <row r="22" spans="1:17" ht="30.75">
      <c r="A22" s="55" t="s">
        <v>109</v>
      </c>
      <c r="B22" s="56" t="s">
        <v>110</v>
      </c>
      <c r="C22" s="57" t="s">
        <v>111</v>
      </c>
      <c r="D22" s="58" t="s">
        <v>21</v>
      </c>
      <c r="E22" s="59" t="s">
        <v>22</v>
      </c>
      <c r="F22" s="59" t="s">
        <v>23</v>
      </c>
      <c r="G22" s="58" t="s">
        <v>78</v>
      </c>
      <c r="H22" s="60"/>
      <c r="I22" s="61" t="s">
        <v>112</v>
      </c>
      <c r="J22" s="59" t="s">
        <v>25</v>
      </c>
      <c r="K22" s="59" t="s">
        <v>33</v>
      </c>
      <c r="L22" s="62"/>
      <c r="M22" s="63"/>
      <c r="N22" s="64">
        <v>39.799999999999997</v>
      </c>
      <c r="O22" s="65" t="s">
        <v>93</v>
      </c>
      <c r="P22" s="64"/>
      <c r="Q22" s="64"/>
    </row>
    <row r="23" spans="1:17" ht="30">
      <c r="A23" s="55" t="s">
        <v>113</v>
      </c>
      <c r="B23" s="56" t="s">
        <v>114</v>
      </c>
      <c r="C23" s="57" t="s">
        <v>115</v>
      </c>
      <c r="D23" s="58" t="s">
        <v>21</v>
      </c>
      <c r="E23" s="59" t="s">
        <v>22</v>
      </c>
      <c r="F23" s="59" t="s">
        <v>23</v>
      </c>
      <c r="G23" s="58" t="s">
        <v>26</v>
      </c>
      <c r="H23" s="60"/>
      <c r="I23" s="61" t="s">
        <v>32</v>
      </c>
      <c r="J23" s="59" t="s">
        <v>25</v>
      </c>
      <c r="K23" s="59" t="s">
        <v>41</v>
      </c>
      <c r="L23" s="62"/>
      <c r="M23" s="63"/>
      <c r="N23" s="64">
        <v>0.75</v>
      </c>
      <c r="O23" s="65" t="s">
        <v>116</v>
      </c>
      <c r="P23" s="64"/>
      <c r="Q23" s="64"/>
    </row>
    <row r="24" spans="1:17" ht="15.75">
      <c r="A24" s="55" t="s">
        <v>117</v>
      </c>
      <c r="B24" s="56" t="s">
        <v>118</v>
      </c>
      <c r="C24" s="57" t="s">
        <v>119</v>
      </c>
      <c r="D24" s="58" t="s">
        <v>21</v>
      </c>
      <c r="E24" s="59" t="s">
        <v>22</v>
      </c>
      <c r="F24" s="59" t="s">
        <v>23</v>
      </c>
      <c r="G24" s="58" t="s">
        <v>26</v>
      </c>
      <c r="H24" s="60"/>
      <c r="I24" s="61" t="s">
        <v>32</v>
      </c>
      <c r="J24" s="59" t="s">
        <v>25</v>
      </c>
      <c r="K24" s="59" t="s">
        <v>41</v>
      </c>
      <c r="L24" s="62"/>
      <c r="M24" s="63"/>
      <c r="N24" s="64">
        <v>5.72</v>
      </c>
      <c r="O24" s="65" t="s">
        <v>116</v>
      </c>
      <c r="P24" s="64"/>
      <c r="Q24" s="64"/>
    </row>
    <row r="25" spans="1:17" ht="45.75">
      <c r="A25" s="55" t="s">
        <v>120</v>
      </c>
      <c r="B25" s="56" t="s">
        <v>121</v>
      </c>
      <c r="C25" s="57" t="s">
        <v>122</v>
      </c>
      <c r="D25" s="58" t="s">
        <v>21</v>
      </c>
      <c r="E25" s="59" t="s">
        <v>22</v>
      </c>
      <c r="F25" s="59" t="s">
        <v>23</v>
      </c>
      <c r="G25" s="58"/>
      <c r="H25" s="60"/>
      <c r="I25" s="61" t="s">
        <v>123</v>
      </c>
      <c r="J25" s="59" t="s">
        <v>25</v>
      </c>
      <c r="K25" s="59" t="s">
        <v>26</v>
      </c>
      <c r="L25" s="62"/>
      <c r="M25" s="63"/>
      <c r="N25" s="64">
        <v>89</v>
      </c>
      <c r="O25" s="65" t="s">
        <v>116</v>
      </c>
      <c r="P25" s="64"/>
      <c r="Q25" s="64"/>
    </row>
    <row r="26" spans="1:17" ht="15.75">
      <c r="A26" s="55" t="s">
        <v>124</v>
      </c>
      <c r="B26" s="56" t="s">
        <v>125</v>
      </c>
      <c r="C26" s="57" t="s">
        <v>126</v>
      </c>
      <c r="D26" s="58" t="s">
        <v>21</v>
      </c>
      <c r="E26" s="59" t="s">
        <v>22</v>
      </c>
      <c r="F26" s="59" t="s">
        <v>23</v>
      </c>
      <c r="G26" s="58"/>
      <c r="H26" s="60"/>
      <c r="I26" s="61" t="s">
        <v>127</v>
      </c>
      <c r="J26" s="59" t="s">
        <v>25</v>
      </c>
      <c r="K26" s="59" t="s">
        <v>41</v>
      </c>
      <c r="L26" s="62"/>
      <c r="M26" s="63"/>
      <c r="N26" s="64">
        <v>8</v>
      </c>
      <c r="O26" s="65" t="s">
        <v>116</v>
      </c>
      <c r="P26" s="64"/>
      <c r="Q26" s="64"/>
    </row>
    <row r="27" spans="1:17" ht="15.75">
      <c r="A27" s="55" t="s">
        <v>128</v>
      </c>
      <c r="B27" s="56" t="s">
        <v>129</v>
      </c>
      <c r="C27" s="57" t="s">
        <v>130</v>
      </c>
      <c r="D27" s="58" t="s">
        <v>31</v>
      </c>
      <c r="E27" s="59" t="s">
        <v>22</v>
      </c>
      <c r="F27" s="59" t="s">
        <v>23</v>
      </c>
      <c r="G27" s="58" t="s">
        <v>26</v>
      </c>
      <c r="H27" s="60"/>
      <c r="I27" s="61" t="s">
        <v>32</v>
      </c>
      <c r="J27" s="59" t="s">
        <v>25</v>
      </c>
      <c r="K27" s="59" t="s">
        <v>26</v>
      </c>
      <c r="L27" s="62"/>
      <c r="M27" s="63"/>
      <c r="N27" s="64">
        <v>13.2</v>
      </c>
      <c r="O27" s="65" t="s">
        <v>131</v>
      </c>
      <c r="P27" s="64"/>
      <c r="Q27" s="64"/>
    </row>
    <row r="28" spans="1:17" ht="15.75">
      <c r="A28" s="55" t="s">
        <v>132</v>
      </c>
      <c r="B28" s="56" t="s">
        <v>133</v>
      </c>
      <c r="C28" s="57" t="s">
        <v>134</v>
      </c>
      <c r="D28" s="58" t="s">
        <v>21</v>
      </c>
      <c r="E28" s="59" t="s">
        <v>22</v>
      </c>
      <c r="F28" s="59" t="s">
        <v>23</v>
      </c>
      <c r="G28" s="58"/>
      <c r="H28" s="60"/>
      <c r="I28" s="61" t="s">
        <v>135</v>
      </c>
      <c r="J28" s="59" t="s">
        <v>25</v>
      </c>
      <c r="K28" s="59" t="s">
        <v>26</v>
      </c>
      <c r="L28" s="62"/>
      <c r="M28" s="63"/>
      <c r="N28" s="64">
        <v>11.5</v>
      </c>
      <c r="O28" s="65" t="s">
        <v>136</v>
      </c>
      <c r="P28" s="64"/>
      <c r="Q28" s="64"/>
    </row>
    <row r="29" spans="1:17" ht="15.75">
      <c r="A29" s="55" t="s">
        <v>137</v>
      </c>
      <c r="B29" s="56" t="s">
        <v>138</v>
      </c>
      <c r="C29" s="57" t="s">
        <v>139</v>
      </c>
      <c r="D29" s="58" t="s">
        <v>21</v>
      </c>
      <c r="E29" s="59" t="s">
        <v>22</v>
      </c>
      <c r="F29" s="59" t="s">
        <v>23</v>
      </c>
      <c r="G29" s="58" t="s">
        <v>78</v>
      </c>
      <c r="H29" s="60"/>
      <c r="I29" s="61" t="s">
        <v>140</v>
      </c>
      <c r="J29" s="59" t="s">
        <v>25</v>
      </c>
      <c r="K29" s="59" t="s">
        <v>41</v>
      </c>
      <c r="L29" s="62"/>
      <c r="M29" s="63"/>
      <c r="N29" s="64">
        <v>77</v>
      </c>
      <c r="O29" s="65" t="s">
        <v>136</v>
      </c>
      <c r="P29" s="64"/>
      <c r="Q29" s="64"/>
    </row>
    <row r="30" spans="1:17" ht="15.75">
      <c r="A30" s="55" t="s">
        <v>141</v>
      </c>
      <c r="B30" s="56" t="s">
        <v>142</v>
      </c>
      <c r="C30" s="57" t="s">
        <v>143</v>
      </c>
      <c r="D30" s="58" t="s">
        <v>21</v>
      </c>
      <c r="E30" s="59" t="s">
        <v>22</v>
      </c>
      <c r="F30" s="59" t="s">
        <v>23</v>
      </c>
      <c r="G30" s="58" t="s">
        <v>24</v>
      </c>
      <c r="H30" s="60"/>
      <c r="I30" s="61" t="s">
        <v>144</v>
      </c>
      <c r="J30" s="59" t="s">
        <v>25</v>
      </c>
      <c r="K30" s="59"/>
      <c r="L30" s="62"/>
      <c r="M30" s="63"/>
      <c r="N30" s="64">
        <v>1.75</v>
      </c>
      <c r="O30" s="65" t="s">
        <v>136</v>
      </c>
      <c r="P30" s="64"/>
      <c r="Q30" s="64"/>
    </row>
    <row r="31" spans="1:17" ht="15.75">
      <c r="A31" s="55" t="s">
        <v>145</v>
      </c>
      <c r="B31" s="56" t="s">
        <v>146</v>
      </c>
      <c r="C31" s="57" t="s">
        <v>147</v>
      </c>
      <c r="D31" s="58" t="s">
        <v>45</v>
      </c>
      <c r="E31" s="59" t="s">
        <v>22</v>
      </c>
      <c r="F31" s="59" t="s">
        <v>23</v>
      </c>
      <c r="G31" s="58" t="s">
        <v>78</v>
      </c>
      <c r="H31" s="60"/>
      <c r="I31" s="61" t="s">
        <v>78</v>
      </c>
      <c r="J31" s="59" t="s">
        <v>25</v>
      </c>
      <c r="K31" s="59" t="s">
        <v>33</v>
      </c>
      <c r="L31" s="62"/>
      <c r="M31" s="63"/>
      <c r="N31" s="64">
        <v>0.43</v>
      </c>
      <c r="O31" s="65" t="s">
        <v>148</v>
      </c>
      <c r="P31" s="64"/>
      <c r="Q31" s="64"/>
    </row>
    <row r="32" spans="1:17" ht="15.75">
      <c r="A32" s="55" t="s">
        <v>149</v>
      </c>
      <c r="B32" s="56" t="s">
        <v>150</v>
      </c>
      <c r="C32" s="57" t="s">
        <v>151</v>
      </c>
      <c r="D32" s="58" t="s">
        <v>91</v>
      </c>
      <c r="E32" s="59" t="s">
        <v>22</v>
      </c>
      <c r="F32" s="59" t="s">
        <v>23</v>
      </c>
      <c r="G32" s="58" t="s">
        <v>24</v>
      </c>
      <c r="H32" s="60"/>
      <c r="I32" s="61" t="s">
        <v>24</v>
      </c>
      <c r="J32" s="59" t="s">
        <v>25</v>
      </c>
      <c r="K32" s="59" t="s">
        <v>26</v>
      </c>
      <c r="L32" s="62"/>
      <c r="M32" s="63"/>
      <c r="N32" s="64">
        <v>1.97</v>
      </c>
      <c r="O32" s="65" t="s">
        <v>152</v>
      </c>
      <c r="P32" s="64"/>
      <c r="Q32" s="64"/>
    </row>
    <row r="33" spans="1:17" ht="15.75">
      <c r="A33" s="55" t="s">
        <v>153</v>
      </c>
      <c r="B33" s="56" t="s">
        <v>154</v>
      </c>
      <c r="C33" s="57" t="s">
        <v>155</v>
      </c>
      <c r="D33" s="58" t="s">
        <v>21</v>
      </c>
      <c r="E33" s="59" t="s">
        <v>22</v>
      </c>
      <c r="F33" s="59" t="s">
        <v>23</v>
      </c>
      <c r="G33" s="58"/>
      <c r="H33" s="60"/>
      <c r="I33" s="61"/>
      <c r="J33" s="59" t="s">
        <v>25</v>
      </c>
      <c r="K33" s="59" t="s">
        <v>26</v>
      </c>
      <c r="L33" s="62"/>
      <c r="M33" s="63"/>
      <c r="N33" s="64">
        <v>0</v>
      </c>
      <c r="O33" s="65" t="s">
        <v>156</v>
      </c>
      <c r="P33" s="64"/>
      <c r="Q33" s="64"/>
    </row>
    <row r="34" spans="1:17" ht="15.75">
      <c r="A34" s="55" t="s">
        <v>157</v>
      </c>
      <c r="B34" s="56" t="s">
        <v>158</v>
      </c>
      <c r="C34" s="57" t="s">
        <v>159</v>
      </c>
      <c r="D34" s="58" t="s">
        <v>31</v>
      </c>
      <c r="E34" s="59" t="s">
        <v>22</v>
      </c>
      <c r="F34" s="59" t="s">
        <v>23</v>
      </c>
      <c r="G34" s="58" t="s">
        <v>46</v>
      </c>
      <c r="H34" s="60"/>
      <c r="I34" s="61" t="s">
        <v>160</v>
      </c>
      <c r="J34" s="59" t="s">
        <v>25</v>
      </c>
      <c r="K34" s="59" t="s">
        <v>26</v>
      </c>
      <c r="L34" s="62"/>
      <c r="M34" s="63"/>
      <c r="N34" s="64">
        <v>2.17</v>
      </c>
      <c r="O34" s="65" t="s">
        <v>27</v>
      </c>
      <c r="P34" s="64"/>
      <c r="Q34" s="64"/>
    </row>
    <row r="35" spans="1:17" ht="15.75">
      <c r="A35" s="55" t="s">
        <v>161</v>
      </c>
      <c r="B35" s="56" t="s">
        <v>162</v>
      </c>
      <c r="C35" s="57" t="s">
        <v>163</v>
      </c>
      <c r="D35" s="58" t="s">
        <v>31</v>
      </c>
      <c r="E35" s="59" t="s">
        <v>22</v>
      </c>
      <c r="F35" s="59" t="s">
        <v>23</v>
      </c>
      <c r="G35" s="58" t="s">
        <v>164</v>
      </c>
      <c r="H35" s="60"/>
      <c r="I35" s="61" t="s">
        <v>164</v>
      </c>
      <c r="J35" s="59" t="s">
        <v>25</v>
      </c>
      <c r="K35" s="59" t="s">
        <v>26</v>
      </c>
      <c r="L35" s="62"/>
      <c r="M35" s="63"/>
      <c r="N35" s="64">
        <v>1</v>
      </c>
      <c r="O35" s="65" t="s">
        <v>165</v>
      </c>
      <c r="P35" s="64"/>
      <c r="Q35" s="64"/>
    </row>
    <row r="36" spans="1:17" ht="15.75">
      <c r="A36" s="55" t="s">
        <v>166</v>
      </c>
      <c r="B36" s="56" t="s">
        <v>167</v>
      </c>
      <c r="C36" s="57" t="s">
        <v>168</v>
      </c>
      <c r="D36" s="58" t="s">
        <v>69</v>
      </c>
      <c r="E36" s="59" t="s">
        <v>22</v>
      </c>
      <c r="F36" s="59" t="s">
        <v>23</v>
      </c>
      <c r="G36" s="58" t="s">
        <v>46</v>
      </c>
      <c r="H36" s="60" t="s">
        <v>47</v>
      </c>
      <c r="I36" s="61" t="s">
        <v>169</v>
      </c>
      <c r="J36" s="59" t="s">
        <v>25</v>
      </c>
      <c r="K36" s="59" t="s">
        <v>26</v>
      </c>
      <c r="L36" s="62">
        <v>46222</v>
      </c>
      <c r="M36" s="63"/>
      <c r="N36" s="64">
        <v>0.43</v>
      </c>
      <c r="O36" s="65" t="s">
        <v>170</v>
      </c>
      <c r="P36" s="64"/>
      <c r="Q36" s="64"/>
    </row>
    <row r="37" spans="1:17" ht="15.75">
      <c r="A37" s="55" t="s">
        <v>171</v>
      </c>
      <c r="B37" s="56" t="s">
        <v>172</v>
      </c>
      <c r="C37" s="57" t="s">
        <v>173</v>
      </c>
      <c r="D37" s="58" t="s">
        <v>45</v>
      </c>
      <c r="E37" s="59" t="s">
        <v>22</v>
      </c>
      <c r="F37" s="59" t="s">
        <v>23</v>
      </c>
      <c r="G37" s="58" t="s">
        <v>46</v>
      </c>
      <c r="H37" s="60"/>
      <c r="I37" s="61" t="s">
        <v>160</v>
      </c>
      <c r="J37" s="59" t="s">
        <v>25</v>
      </c>
      <c r="K37" s="59" t="s">
        <v>33</v>
      </c>
      <c r="L37" s="62"/>
      <c r="M37" s="63"/>
      <c r="N37" s="64">
        <v>6.83</v>
      </c>
      <c r="O37" s="65" t="s">
        <v>174</v>
      </c>
      <c r="P37" s="64"/>
      <c r="Q37" s="64"/>
    </row>
    <row r="38" spans="1:17" ht="15.75">
      <c r="A38" s="55" t="s">
        <v>175</v>
      </c>
      <c r="B38" s="56" t="s">
        <v>176</v>
      </c>
      <c r="C38" s="57" t="s">
        <v>177</v>
      </c>
      <c r="D38" s="58" t="s">
        <v>31</v>
      </c>
      <c r="E38" s="59" t="s">
        <v>22</v>
      </c>
      <c r="F38" s="59" t="s">
        <v>23</v>
      </c>
      <c r="G38" s="58" t="s">
        <v>26</v>
      </c>
      <c r="H38" s="60"/>
      <c r="I38" s="61" t="s">
        <v>32</v>
      </c>
      <c r="J38" s="59" t="s">
        <v>25</v>
      </c>
      <c r="K38" s="59" t="s">
        <v>26</v>
      </c>
      <c r="L38" s="62"/>
      <c r="M38" s="63"/>
      <c r="N38" s="64">
        <v>10.83</v>
      </c>
      <c r="O38" s="65" t="s">
        <v>174</v>
      </c>
      <c r="P38" s="64"/>
      <c r="Q38" s="64"/>
    </row>
    <row r="39" spans="1:17" ht="15.75">
      <c r="A39" s="55" t="s">
        <v>178</v>
      </c>
      <c r="B39" s="56" t="s">
        <v>179</v>
      </c>
      <c r="C39" s="57" t="s">
        <v>180</v>
      </c>
      <c r="D39" s="58" t="s">
        <v>181</v>
      </c>
      <c r="E39" s="59" t="s">
        <v>22</v>
      </c>
      <c r="F39" s="59" t="s">
        <v>23</v>
      </c>
      <c r="G39" s="58" t="s">
        <v>182</v>
      </c>
      <c r="H39" s="60"/>
      <c r="I39" s="61" t="s">
        <v>183</v>
      </c>
      <c r="J39" s="59" t="s">
        <v>25</v>
      </c>
      <c r="K39" s="59" t="s">
        <v>26</v>
      </c>
      <c r="L39" s="62"/>
      <c r="M39" s="63"/>
      <c r="N39" s="64">
        <v>6.42</v>
      </c>
      <c r="O39" s="65" t="s">
        <v>174</v>
      </c>
      <c r="P39" s="64"/>
      <c r="Q39" s="64"/>
    </row>
    <row r="40" spans="1:17" ht="15.75">
      <c r="A40" s="55" t="s">
        <v>184</v>
      </c>
      <c r="B40" s="56" t="s">
        <v>185</v>
      </c>
      <c r="C40" s="57" t="s">
        <v>186</v>
      </c>
      <c r="D40" s="58" t="s">
        <v>181</v>
      </c>
      <c r="E40" s="59" t="s">
        <v>22</v>
      </c>
      <c r="F40" s="59" t="s">
        <v>23</v>
      </c>
      <c r="G40" s="58" t="s">
        <v>182</v>
      </c>
      <c r="H40" s="60"/>
      <c r="I40" s="61" t="s">
        <v>187</v>
      </c>
      <c r="J40" s="59" t="s">
        <v>25</v>
      </c>
      <c r="K40" s="59" t="s">
        <v>26</v>
      </c>
      <c r="L40" s="62"/>
      <c r="M40" s="63"/>
      <c r="N40" s="64">
        <v>6.92</v>
      </c>
      <c r="O40" s="65" t="s">
        <v>174</v>
      </c>
      <c r="P40" s="64"/>
      <c r="Q40" s="64"/>
    </row>
    <row r="41" spans="1:17" ht="15.75">
      <c r="A41" s="55" t="s">
        <v>188</v>
      </c>
      <c r="B41" s="56" t="s">
        <v>189</v>
      </c>
      <c r="C41" s="57" t="s">
        <v>190</v>
      </c>
      <c r="D41" s="58" t="s">
        <v>57</v>
      </c>
      <c r="E41" s="59" t="s">
        <v>22</v>
      </c>
      <c r="F41" s="59" t="s">
        <v>23</v>
      </c>
      <c r="G41" s="58" t="s">
        <v>46</v>
      </c>
      <c r="H41" s="60"/>
      <c r="I41" s="61" t="s">
        <v>46</v>
      </c>
      <c r="J41" s="59" t="s">
        <v>25</v>
      </c>
      <c r="K41" s="59" t="s">
        <v>26</v>
      </c>
      <c r="L41" s="62"/>
      <c r="M41" s="63"/>
      <c r="N41" s="64">
        <v>2.75</v>
      </c>
      <c r="O41" s="65" t="s">
        <v>174</v>
      </c>
      <c r="P41" s="64"/>
      <c r="Q41" s="64"/>
    </row>
    <row r="42" spans="1:17" ht="15.75">
      <c r="A42" s="55" t="s">
        <v>191</v>
      </c>
      <c r="B42" s="56" t="s">
        <v>192</v>
      </c>
      <c r="C42" s="57" t="s">
        <v>193</v>
      </c>
      <c r="D42" s="58" t="s">
        <v>31</v>
      </c>
      <c r="E42" s="59" t="s">
        <v>22</v>
      </c>
      <c r="F42" s="59" t="s">
        <v>23</v>
      </c>
      <c r="G42" s="58" t="s">
        <v>46</v>
      </c>
      <c r="H42" s="60" t="s">
        <v>47</v>
      </c>
      <c r="I42" s="61" t="s">
        <v>194</v>
      </c>
      <c r="J42" s="59" t="s">
        <v>25</v>
      </c>
      <c r="K42" s="59" t="s">
        <v>26</v>
      </c>
      <c r="L42" s="62">
        <v>46222</v>
      </c>
      <c r="M42" s="63"/>
      <c r="N42" s="64">
        <v>4</v>
      </c>
      <c r="O42" s="65" t="s">
        <v>195</v>
      </c>
      <c r="P42" s="64"/>
      <c r="Q42" s="64"/>
    </row>
    <row r="43" spans="1:17" ht="15.75">
      <c r="A43" s="55" t="s">
        <v>196</v>
      </c>
      <c r="B43" s="56" t="s">
        <v>197</v>
      </c>
      <c r="C43" s="57" t="s">
        <v>198</v>
      </c>
      <c r="D43" s="58" t="s">
        <v>31</v>
      </c>
      <c r="E43" s="59" t="s">
        <v>22</v>
      </c>
      <c r="F43" s="59" t="s">
        <v>23</v>
      </c>
      <c r="G43" s="58" t="s">
        <v>46</v>
      </c>
      <c r="H43" s="60" t="s">
        <v>47</v>
      </c>
      <c r="I43" s="61" t="s">
        <v>199</v>
      </c>
      <c r="J43" s="59" t="s">
        <v>25</v>
      </c>
      <c r="K43" s="59" t="s">
        <v>26</v>
      </c>
      <c r="L43" s="62">
        <v>46222</v>
      </c>
      <c r="M43" s="63"/>
      <c r="N43" s="64">
        <v>4</v>
      </c>
      <c r="O43" s="65" t="s">
        <v>200</v>
      </c>
      <c r="P43" s="64"/>
      <c r="Q43" s="64"/>
    </row>
    <row r="44" spans="1:17" ht="15.75">
      <c r="A44" s="55" t="s">
        <v>201</v>
      </c>
      <c r="B44" s="56" t="s">
        <v>202</v>
      </c>
      <c r="C44" s="57" t="s">
        <v>203</v>
      </c>
      <c r="D44" s="58" t="s">
        <v>64</v>
      </c>
      <c r="E44" s="59" t="s">
        <v>22</v>
      </c>
      <c r="F44" s="59" t="s">
        <v>23</v>
      </c>
      <c r="G44" s="58" t="s">
        <v>204</v>
      </c>
      <c r="H44" s="60"/>
      <c r="I44" s="61" t="s">
        <v>204</v>
      </c>
      <c r="J44" s="59" t="s">
        <v>25</v>
      </c>
      <c r="K44" s="59" t="s">
        <v>26</v>
      </c>
      <c r="L44" s="62"/>
      <c r="M44" s="63"/>
      <c r="N44" s="64">
        <v>2</v>
      </c>
      <c r="O44" s="65" t="s">
        <v>65</v>
      </c>
      <c r="P44" s="64"/>
      <c r="Q44" s="64"/>
    </row>
    <row r="45" spans="1:17" ht="15.75">
      <c r="A45" s="55" t="s">
        <v>205</v>
      </c>
      <c r="B45" s="56" t="s">
        <v>206</v>
      </c>
      <c r="C45" s="57" t="s">
        <v>207</v>
      </c>
      <c r="D45" s="58" t="s">
        <v>64</v>
      </c>
      <c r="E45" s="59" t="s">
        <v>22</v>
      </c>
      <c r="F45" s="59" t="s">
        <v>23</v>
      </c>
      <c r="G45" s="58" t="s">
        <v>46</v>
      </c>
      <c r="H45" s="60"/>
      <c r="I45" s="61" t="s">
        <v>160</v>
      </c>
      <c r="J45" s="59" t="s">
        <v>25</v>
      </c>
      <c r="K45" s="59" t="s">
        <v>26</v>
      </c>
      <c r="L45" s="62"/>
      <c r="M45" s="63"/>
      <c r="N45" s="64">
        <v>0.5</v>
      </c>
      <c r="O45" s="65" t="s">
        <v>65</v>
      </c>
      <c r="P45" s="64"/>
      <c r="Q45" s="64"/>
    </row>
    <row r="46" spans="1:17" ht="15.75">
      <c r="A46" s="55" t="s">
        <v>208</v>
      </c>
      <c r="B46" s="56" t="s">
        <v>209</v>
      </c>
      <c r="C46" s="57" t="s">
        <v>210</v>
      </c>
      <c r="D46" s="58" t="s">
        <v>64</v>
      </c>
      <c r="E46" s="59" t="s">
        <v>22</v>
      </c>
      <c r="F46" s="59" t="s">
        <v>23</v>
      </c>
      <c r="G46" s="58" t="s">
        <v>46</v>
      </c>
      <c r="H46" s="60"/>
      <c r="I46" s="61" t="s">
        <v>160</v>
      </c>
      <c r="J46" s="59" t="s">
        <v>25</v>
      </c>
      <c r="K46" s="59" t="s">
        <v>26</v>
      </c>
      <c r="L46" s="62"/>
      <c r="M46" s="63"/>
      <c r="N46" s="64">
        <v>6.92</v>
      </c>
      <c r="O46" s="65" t="s">
        <v>174</v>
      </c>
      <c r="P46" s="64"/>
      <c r="Q46" s="64"/>
    </row>
    <row r="47" spans="1:17" ht="15.75">
      <c r="A47" s="55" t="s">
        <v>211</v>
      </c>
      <c r="B47" s="56" t="s">
        <v>212</v>
      </c>
      <c r="C47" s="57" t="s">
        <v>213</v>
      </c>
      <c r="D47" s="58" t="s">
        <v>69</v>
      </c>
      <c r="E47" s="59" t="s">
        <v>22</v>
      </c>
      <c r="F47" s="59" t="s">
        <v>23</v>
      </c>
      <c r="G47" s="58" t="s">
        <v>46</v>
      </c>
      <c r="H47" s="60"/>
      <c r="I47" s="61" t="s">
        <v>160</v>
      </c>
      <c r="J47" s="59" t="s">
        <v>25</v>
      </c>
      <c r="K47" s="59" t="s">
        <v>26</v>
      </c>
      <c r="L47" s="62"/>
      <c r="M47" s="63"/>
      <c r="N47" s="64">
        <v>7.42</v>
      </c>
      <c r="O47" s="65" t="s">
        <v>174</v>
      </c>
      <c r="P47" s="64"/>
      <c r="Q47" s="64"/>
    </row>
    <row r="48" spans="1:17" ht="30">
      <c r="A48" s="55" t="s">
        <v>214</v>
      </c>
      <c r="B48" s="56" t="s">
        <v>215</v>
      </c>
      <c r="C48" s="57" t="s">
        <v>216</v>
      </c>
      <c r="D48" s="58" t="s">
        <v>57</v>
      </c>
      <c r="E48" s="59" t="s">
        <v>22</v>
      </c>
      <c r="F48" s="59" t="s">
        <v>23</v>
      </c>
      <c r="G48" s="58" t="s">
        <v>78</v>
      </c>
      <c r="H48" s="60"/>
      <c r="I48" s="61" t="s">
        <v>140</v>
      </c>
      <c r="J48" s="59" t="s">
        <v>25</v>
      </c>
      <c r="K48" s="59" t="s">
        <v>26</v>
      </c>
      <c r="L48" s="62"/>
      <c r="M48" s="63"/>
      <c r="N48" s="64">
        <v>2</v>
      </c>
      <c r="O48" s="65" t="s">
        <v>217</v>
      </c>
      <c r="P48" s="64"/>
      <c r="Q48" s="64"/>
    </row>
    <row r="49" spans="1:17" ht="15.75">
      <c r="A49" s="55" t="s">
        <v>218</v>
      </c>
      <c r="B49" s="56" t="s">
        <v>219</v>
      </c>
      <c r="C49" s="57" t="s">
        <v>220</v>
      </c>
      <c r="D49" s="58" t="s">
        <v>31</v>
      </c>
      <c r="E49" s="59" t="s">
        <v>22</v>
      </c>
      <c r="F49" s="59" t="s">
        <v>23</v>
      </c>
      <c r="G49" s="58" t="s">
        <v>78</v>
      </c>
      <c r="H49" s="60"/>
      <c r="I49" s="61" t="s">
        <v>78</v>
      </c>
      <c r="J49" s="59" t="s">
        <v>25</v>
      </c>
      <c r="K49" s="59" t="s">
        <v>26</v>
      </c>
      <c r="L49" s="62"/>
      <c r="M49" s="63"/>
      <c r="N49" s="64">
        <v>2</v>
      </c>
      <c r="O49" s="65" t="s">
        <v>221</v>
      </c>
      <c r="P49" s="64"/>
      <c r="Q49" s="64"/>
    </row>
    <row r="50" spans="1:17" ht="15.75">
      <c r="A50" s="55" t="s">
        <v>222</v>
      </c>
      <c r="B50" s="56" t="s">
        <v>223</v>
      </c>
      <c r="C50" s="57" t="s">
        <v>224</v>
      </c>
      <c r="D50" s="58" t="s">
        <v>31</v>
      </c>
      <c r="E50" s="59" t="s">
        <v>22</v>
      </c>
      <c r="F50" s="59" t="s">
        <v>23</v>
      </c>
      <c r="G50" s="58" t="s">
        <v>78</v>
      </c>
      <c r="H50" s="60"/>
      <c r="I50" s="61" t="s">
        <v>78</v>
      </c>
      <c r="J50" s="59" t="s">
        <v>25</v>
      </c>
      <c r="K50" s="59" t="s">
        <v>26</v>
      </c>
      <c r="L50" s="62"/>
      <c r="M50" s="63"/>
      <c r="N50" s="64">
        <v>1</v>
      </c>
      <c r="O50" s="65" t="s">
        <v>221</v>
      </c>
      <c r="P50" s="64"/>
      <c r="Q50" s="64"/>
    </row>
    <row r="51" spans="1:17" ht="15.75">
      <c r="A51" s="55" t="s">
        <v>225</v>
      </c>
      <c r="B51" s="56" t="s">
        <v>226</v>
      </c>
      <c r="C51" s="57" t="s">
        <v>227</v>
      </c>
      <c r="D51" s="58" t="s">
        <v>64</v>
      </c>
      <c r="E51" s="59" t="s">
        <v>22</v>
      </c>
      <c r="F51" s="59" t="s">
        <v>23</v>
      </c>
      <c r="G51" s="58" t="s">
        <v>46</v>
      </c>
      <c r="H51" s="60"/>
      <c r="I51" s="61" t="s">
        <v>46</v>
      </c>
      <c r="J51" s="59" t="s">
        <v>25</v>
      </c>
      <c r="K51" s="59" t="s">
        <v>26</v>
      </c>
      <c r="L51" s="62"/>
      <c r="M51" s="63"/>
      <c r="N51" s="64">
        <v>0.33</v>
      </c>
      <c r="O51" s="65" t="s">
        <v>156</v>
      </c>
      <c r="P51" s="64"/>
      <c r="Q51" s="64"/>
    </row>
    <row r="52" spans="1:17" ht="15.75">
      <c r="A52" s="55" t="s">
        <v>228</v>
      </c>
      <c r="B52" s="56" t="s">
        <v>229</v>
      </c>
      <c r="C52" s="57" t="s">
        <v>230</v>
      </c>
      <c r="D52" s="58" t="s">
        <v>64</v>
      </c>
      <c r="E52" s="59" t="s">
        <v>22</v>
      </c>
      <c r="F52" s="59" t="s">
        <v>23</v>
      </c>
      <c r="G52" s="58" t="s">
        <v>46</v>
      </c>
      <c r="H52" s="60"/>
      <c r="I52" s="61" t="s">
        <v>46</v>
      </c>
      <c r="J52" s="59" t="s">
        <v>25</v>
      </c>
      <c r="K52" s="59" t="s">
        <v>26</v>
      </c>
      <c r="L52" s="62"/>
      <c r="M52" s="63"/>
      <c r="N52" s="64">
        <v>0.43</v>
      </c>
      <c r="O52" s="65" t="s">
        <v>231</v>
      </c>
      <c r="P52" s="64"/>
      <c r="Q52" s="64"/>
    </row>
    <row r="53" spans="1:17" ht="15.75">
      <c r="A53" s="55" t="s">
        <v>232</v>
      </c>
      <c r="B53" s="56" t="s">
        <v>233</v>
      </c>
      <c r="C53" s="57" t="s">
        <v>234</v>
      </c>
      <c r="D53" s="58" t="s">
        <v>91</v>
      </c>
      <c r="E53" s="59" t="s">
        <v>22</v>
      </c>
      <c r="F53" s="59" t="s">
        <v>23</v>
      </c>
      <c r="G53" s="58" t="s">
        <v>46</v>
      </c>
      <c r="H53" s="60"/>
      <c r="I53" s="61" t="s">
        <v>46</v>
      </c>
      <c r="J53" s="59" t="s">
        <v>25</v>
      </c>
      <c r="K53" s="59" t="s">
        <v>26</v>
      </c>
      <c r="L53" s="62"/>
      <c r="M53" s="63"/>
      <c r="N53" s="64">
        <v>0.87</v>
      </c>
      <c r="O53" s="65" t="s">
        <v>235</v>
      </c>
      <c r="P53" s="64"/>
      <c r="Q53" s="64"/>
    </row>
    <row r="54" spans="1:17" ht="15.75">
      <c r="A54" s="55" t="s">
        <v>236</v>
      </c>
      <c r="B54" s="56" t="s">
        <v>237</v>
      </c>
      <c r="C54" s="57" t="s">
        <v>238</v>
      </c>
      <c r="D54" s="58" t="s">
        <v>69</v>
      </c>
      <c r="E54" s="59" t="s">
        <v>22</v>
      </c>
      <c r="F54" s="59" t="s">
        <v>23</v>
      </c>
      <c r="G54" s="58" t="s">
        <v>204</v>
      </c>
      <c r="H54" s="60"/>
      <c r="I54" s="61" t="s">
        <v>204</v>
      </c>
      <c r="J54" s="59" t="s">
        <v>25</v>
      </c>
      <c r="K54" s="59" t="s">
        <v>26</v>
      </c>
      <c r="L54" s="62"/>
      <c r="M54" s="63"/>
      <c r="N54" s="64">
        <v>0.5</v>
      </c>
      <c r="O54" s="65" t="s">
        <v>30</v>
      </c>
      <c r="P54" s="64"/>
      <c r="Q54" s="64"/>
    </row>
    <row r="55" spans="1:17" ht="30">
      <c r="A55" s="55" t="s">
        <v>239</v>
      </c>
      <c r="B55" s="56" t="s">
        <v>240</v>
      </c>
      <c r="C55" s="57" t="s">
        <v>241</v>
      </c>
      <c r="D55" s="58" t="s">
        <v>45</v>
      </c>
      <c r="E55" s="59" t="s">
        <v>22</v>
      </c>
      <c r="F55" s="59" t="s">
        <v>23</v>
      </c>
      <c r="G55" s="58" t="s">
        <v>204</v>
      </c>
      <c r="H55" s="60"/>
      <c r="I55" s="61" t="s">
        <v>204</v>
      </c>
      <c r="J55" s="59" t="s">
        <v>25</v>
      </c>
      <c r="K55" s="59" t="s">
        <v>33</v>
      </c>
      <c r="L55" s="62"/>
      <c r="M55" s="63"/>
      <c r="N55" s="64">
        <v>2</v>
      </c>
      <c r="O55" s="65" t="s">
        <v>242</v>
      </c>
      <c r="P55" s="64"/>
      <c r="Q55" s="64"/>
    </row>
    <row r="56" spans="1:17" ht="15.75">
      <c r="A56" s="55" t="s">
        <v>243</v>
      </c>
      <c r="B56" s="56" t="s">
        <v>244</v>
      </c>
      <c r="C56" s="57" t="s">
        <v>245</v>
      </c>
      <c r="D56" s="58" t="s">
        <v>31</v>
      </c>
      <c r="E56" s="59" t="s">
        <v>22</v>
      </c>
      <c r="F56" s="59" t="s">
        <v>23</v>
      </c>
      <c r="G56" s="58" t="s">
        <v>26</v>
      </c>
      <c r="H56" s="60"/>
      <c r="I56" s="61" t="s">
        <v>32</v>
      </c>
      <c r="J56" s="59" t="s">
        <v>25</v>
      </c>
      <c r="K56" s="59" t="s">
        <v>26</v>
      </c>
      <c r="L56" s="62"/>
      <c r="M56" s="63"/>
      <c r="N56" s="64">
        <v>0.37</v>
      </c>
      <c r="O56" s="65" t="s">
        <v>246</v>
      </c>
      <c r="P56" s="64"/>
      <c r="Q56" s="64"/>
    </row>
    <row r="57" spans="1:17" ht="15.75">
      <c r="A57" s="55" t="s">
        <v>247</v>
      </c>
      <c r="B57" s="56" t="s">
        <v>248</v>
      </c>
      <c r="C57" s="57" t="s">
        <v>249</v>
      </c>
      <c r="D57" s="58" t="s">
        <v>31</v>
      </c>
      <c r="E57" s="59" t="s">
        <v>22</v>
      </c>
      <c r="F57" s="59" t="s">
        <v>23</v>
      </c>
      <c r="G57" s="58" t="s">
        <v>26</v>
      </c>
      <c r="H57" s="60"/>
      <c r="I57" s="61" t="s">
        <v>32</v>
      </c>
      <c r="J57" s="59" t="s">
        <v>25</v>
      </c>
      <c r="K57" s="59" t="s">
        <v>26</v>
      </c>
      <c r="L57" s="62"/>
      <c r="M57" s="63"/>
      <c r="N57" s="64">
        <v>0.43</v>
      </c>
      <c r="O57" s="65" t="s">
        <v>250</v>
      </c>
      <c r="P57" s="64"/>
      <c r="Q57" s="64"/>
    </row>
    <row r="58" spans="1:17" ht="15.75">
      <c r="A58" s="55" t="s">
        <v>251</v>
      </c>
      <c r="B58" s="56" t="s">
        <v>252</v>
      </c>
      <c r="C58" s="57" t="s">
        <v>253</v>
      </c>
      <c r="D58" s="58" t="s">
        <v>69</v>
      </c>
      <c r="E58" s="59" t="s">
        <v>22</v>
      </c>
      <c r="F58" s="59" t="s">
        <v>23</v>
      </c>
      <c r="G58" s="58" t="s">
        <v>46</v>
      </c>
      <c r="H58" s="60"/>
      <c r="I58" s="61" t="s">
        <v>46</v>
      </c>
      <c r="J58" s="59" t="s">
        <v>25</v>
      </c>
      <c r="K58" s="59" t="s">
        <v>26</v>
      </c>
      <c r="L58" s="62"/>
      <c r="M58" s="63"/>
      <c r="N58" s="64">
        <v>0.22</v>
      </c>
      <c r="O58" s="65" t="s">
        <v>254</v>
      </c>
      <c r="P58" s="64"/>
      <c r="Q58" s="64"/>
    </row>
    <row r="59" spans="1:17" ht="45">
      <c r="A59" s="55" t="s">
        <v>255</v>
      </c>
      <c r="B59" s="56" t="s">
        <v>256</v>
      </c>
      <c r="C59" s="57" t="s">
        <v>257</v>
      </c>
      <c r="D59" s="58" t="s">
        <v>45</v>
      </c>
      <c r="E59" s="59" t="s">
        <v>22</v>
      </c>
      <c r="F59" s="59" t="s">
        <v>23</v>
      </c>
      <c r="G59" s="58" t="s">
        <v>26</v>
      </c>
      <c r="H59" s="60"/>
      <c r="I59" s="61" t="s">
        <v>32</v>
      </c>
      <c r="J59" s="59" t="s">
        <v>25</v>
      </c>
      <c r="K59" s="59" t="s">
        <v>33</v>
      </c>
      <c r="L59" s="62"/>
      <c r="M59" s="63"/>
      <c r="N59" s="64">
        <v>0.92</v>
      </c>
      <c r="O59" s="65" t="s">
        <v>258</v>
      </c>
      <c r="P59" s="64"/>
      <c r="Q59" s="64"/>
    </row>
    <row r="60" spans="1:17" ht="15.75">
      <c r="A60" s="55" t="s">
        <v>259</v>
      </c>
      <c r="B60" s="56" t="s">
        <v>260</v>
      </c>
      <c r="C60" s="57" t="s">
        <v>261</v>
      </c>
      <c r="D60" s="58" t="s">
        <v>91</v>
      </c>
      <c r="E60" s="59" t="s">
        <v>22</v>
      </c>
      <c r="F60" s="59" t="s">
        <v>23</v>
      </c>
      <c r="G60" s="58" t="s">
        <v>46</v>
      </c>
      <c r="H60" s="60"/>
      <c r="I60" s="61" t="s">
        <v>46</v>
      </c>
      <c r="J60" s="59" t="s">
        <v>25</v>
      </c>
      <c r="K60" s="59"/>
      <c r="L60" s="62"/>
      <c r="M60" s="63"/>
      <c r="N60" s="64">
        <v>0.43</v>
      </c>
      <c r="O60" s="65" t="s">
        <v>262</v>
      </c>
      <c r="P60" s="64"/>
      <c r="Q60" s="64"/>
    </row>
    <row r="61" spans="1:17" ht="15.75">
      <c r="A61" s="55" t="s">
        <v>263</v>
      </c>
      <c r="B61" s="56" t="s">
        <v>264</v>
      </c>
      <c r="C61" s="57" t="s">
        <v>265</v>
      </c>
      <c r="D61" s="58" t="s">
        <v>45</v>
      </c>
      <c r="E61" s="59" t="s">
        <v>22</v>
      </c>
      <c r="F61" s="59" t="s">
        <v>23</v>
      </c>
      <c r="G61" s="58" t="s">
        <v>24</v>
      </c>
      <c r="H61" s="60"/>
      <c r="I61" s="61" t="s">
        <v>266</v>
      </c>
      <c r="J61" s="59" t="s">
        <v>25</v>
      </c>
      <c r="K61" s="59" t="s">
        <v>33</v>
      </c>
      <c r="L61" s="62"/>
      <c r="M61" s="63"/>
      <c r="N61" s="64">
        <v>3.5</v>
      </c>
      <c r="O61" s="65" t="s">
        <v>267</v>
      </c>
      <c r="P61" s="64"/>
      <c r="Q61" s="64"/>
    </row>
    <row r="62" spans="1:17" ht="15.75">
      <c r="A62" s="55" t="s">
        <v>268</v>
      </c>
      <c r="B62" s="56" t="s">
        <v>269</v>
      </c>
      <c r="C62" s="57" t="s">
        <v>270</v>
      </c>
      <c r="D62" s="58" t="s">
        <v>21</v>
      </c>
      <c r="E62" s="59" t="s">
        <v>22</v>
      </c>
      <c r="F62" s="59" t="s">
        <v>23</v>
      </c>
      <c r="G62" s="58" t="s">
        <v>24</v>
      </c>
      <c r="H62" s="60"/>
      <c r="I62" s="61"/>
      <c r="J62" s="59" t="s">
        <v>25</v>
      </c>
      <c r="K62" s="59" t="s">
        <v>26</v>
      </c>
      <c r="L62" s="62"/>
      <c r="M62" s="63"/>
      <c r="N62" s="64">
        <v>0</v>
      </c>
      <c r="O62" s="65" t="s">
        <v>156</v>
      </c>
      <c r="P62" s="64"/>
      <c r="Q62" s="64"/>
    </row>
    <row r="63" spans="1:17" ht="15.75">
      <c r="A63" s="55" t="s">
        <v>271</v>
      </c>
      <c r="B63" s="56" t="s">
        <v>272</v>
      </c>
      <c r="C63" s="57" t="s">
        <v>273</v>
      </c>
      <c r="D63" s="58" t="s">
        <v>21</v>
      </c>
      <c r="E63" s="59" t="s">
        <v>22</v>
      </c>
      <c r="F63" s="59" t="s">
        <v>23</v>
      </c>
      <c r="G63" s="58" t="s">
        <v>78</v>
      </c>
      <c r="H63" s="60"/>
      <c r="I63" s="61" t="s">
        <v>274</v>
      </c>
      <c r="J63" s="59" t="s">
        <v>25</v>
      </c>
      <c r="K63" s="59" t="s">
        <v>26</v>
      </c>
      <c r="L63" s="62"/>
      <c r="M63" s="63"/>
      <c r="N63" s="64">
        <v>1</v>
      </c>
      <c r="O63" s="65" t="s">
        <v>275</v>
      </c>
      <c r="P63" s="64"/>
      <c r="Q63" s="64"/>
    </row>
    <row r="64" spans="1:17" ht="15.75">
      <c r="A64" s="55" t="s">
        <v>276</v>
      </c>
      <c r="B64" s="56" t="s">
        <v>277</v>
      </c>
      <c r="C64" s="57" t="s">
        <v>278</v>
      </c>
      <c r="D64" s="58" t="s">
        <v>21</v>
      </c>
      <c r="E64" s="59" t="s">
        <v>22</v>
      </c>
      <c r="F64" s="59" t="s">
        <v>23</v>
      </c>
      <c r="G64" s="58" t="s">
        <v>24</v>
      </c>
      <c r="H64" s="60"/>
      <c r="I64" s="61"/>
      <c r="J64" s="59" t="s">
        <v>25</v>
      </c>
      <c r="K64" s="59" t="s">
        <v>26</v>
      </c>
      <c r="L64" s="62"/>
      <c r="M64" s="63"/>
      <c r="N64" s="64">
        <v>65</v>
      </c>
      <c r="O64" s="65" t="s">
        <v>279</v>
      </c>
      <c r="P64" s="64"/>
      <c r="Q64" s="64"/>
    </row>
    <row r="65" spans="1:17" ht="15.75">
      <c r="A65" s="55" t="s">
        <v>280</v>
      </c>
      <c r="B65" s="56" t="s">
        <v>281</v>
      </c>
      <c r="C65" s="57" t="s">
        <v>282</v>
      </c>
      <c r="D65" s="58" t="s">
        <v>45</v>
      </c>
      <c r="E65" s="59" t="s">
        <v>22</v>
      </c>
      <c r="F65" s="59" t="s">
        <v>23</v>
      </c>
      <c r="G65" s="58" t="s">
        <v>24</v>
      </c>
      <c r="H65" s="60"/>
      <c r="I65" s="61" t="s">
        <v>24</v>
      </c>
      <c r="J65" s="59" t="s">
        <v>25</v>
      </c>
      <c r="K65" s="59" t="s">
        <v>33</v>
      </c>
      <c r="L65" s="62"/>
      <c r="M65" s="63"/>
      <c r="N65" s="64">
        <v>0.43</v>
      </c>
      <c r="O65" s="65" t="s">
        <v>283</v>
      </c>
      <c r="P65" s="64"/>
      <c r="Q65" s="64"/>
    </row>
    <row r="66" spans="1:17" ht="15.75">
      <c r="A66" s="55" t="s">
        <v>284</v>
      </c>
      <c r="B66" s="56" t="s">
        <v>285</v>
      </c>
      <c r="C66" s="57" t="s">
        <v>286</v>
      </c>
      <c r="D66" s="58" t="s">
        <v>31</v>
      </c>
      <c r="E66" s="59" t="s">
        <v>22</v>
      </c>
      <c r="F66" s="59" t="s">
        <v>23</v>
      </c>
      <c r="G66" s="58" t="s">
        <v>204</v>
      </c>
      <c r="H66" s="60"/>
      <c r="I66" s="61" t="s">
        <v>204</v>
      </c>
      <c r="J66" s="59" t="s">
        <v>25</v>
      </c>
      <c r="K66" s="59" t="s">
        <v>26</v>
      </c>
      <c r="L66" s="62"/>
      <c r="M66" s="63"/>
      <c r="N66" s="64">
        <v>8</v>
      </c>
      <c r="O66" s="65" t="s">
        <v>287</v>
      </c>
      <c r="P66" s="64"/>
      <c r="Q66" s="64"/>
    </row>
    <row r="67" spans="1:17" ht="15.75">
      <c r="A67" s="55" t="s">
        <v>288</v>
      </c>
      <c r="B67" s="56" t="s">
        <v>289</v>
      </c>
      <c r="C67" s="57" t="s">
        <v>290</v>
      </c>
      <c r="D67" s="58" t="s">
        <v>31</v>
      </c>
      <c r="E67" s="59" t="s">
        <v>22</v>
      </c>
      <c r="F67" s="59" t="s">
        <v>23</v>
      </c>
      <c r="G67" s="58" t="s">
        <v>204</v>
      </c>
      <c r="H67" s="60"/>
      <c r="I67" s="61" t="s">
        <v>204</v>
      </c>
      <c r="J67" s="59" t="s">
        <v>25</v>
      </c>
      <c r="K67" s="59" t="s">
        <v>26</v>
      </c>
      <c r="L67" s="62"/>
      <c r="M67" s="63"/>
      <c r="N67" s="64">
        <v>0.87</v>
      </c>
      <c r="O67" s="65" t="s">
        <v>291</v>
      </c>
      <c r="P67" s="64"/>
      <c r="Q67" s="64"/>
    </row>
    <row r="68" spans="1:17" ht="15.75">
      <c r="A68" s="55" t="s">
        <v>292</v>
      </c>
      <c r="B68" s="56" t="s">
        <v>293</v>
      </c>
      <c r="C68" s="57" t="s">
        <v>294</v>
      </c>
      <c r="D68" s="58" t="s">
        <v>45</v>
      </c>
      <c r="E68" s="59" t="s">
        <v>22</v>
      </c>
      <c r="F68" s="59" t="s">
        <v>23</v>
      </c>
      <c r="G68" s="58" t="s">
        <v>204</v>
      </c>
      <c r="H68" s="60"/>
      <c r="I68" s="61" t="s">
        <v>204</v>
      </c>
      <c r="J68" s="59" t="s">
        <v>25</v>
      </c>
      <c r="K68" s="59" t="s">
        <v>33</v>
      </c>
      <c r="L68" s="62"/>
      <c r="M68" s="63"/>
      <c r="N68" s="64">
        <v>0.22</v>
      </c>
      <c r="O68" s="65" t="s">
        <v>295</v>
      </c>
      <c r="P68" s="64"/>
      <c r="Q68" s="64"/>
    </row>
    <row r="69" spans="1:17" ht="30.75">
      <c r="A69" s="55" t="s">
        <v>296</v>
      </c>
      <c r="B69" s="56" t="s">
        <v>297</v>
      </c>
      <c r="C69" s="57" t="s">
        <v>298</v>
      </c>
      <c r="D69" s="58" t="s">
        <v>45</v>
      </c>
      <c r="E69" s="59" t="s">
        <v>22</v>
      </c>
      <c r="F69" s="59" t="s">
        <v>23</v>
      </c>
      <c r="G69" s="58" t="s">
        <v>46</v>
      </c>
      <c r="H69" s="60" t="s">
        <v>47</v>
      </c>
      <c r="I69" s="61" t="s">
        <v>299</v>
      </c>
      <c r="J69" s="59" t="s">
        <v>25</v>
      </c>
      <c r="K69" s="59" t="s">
        <v>33</v>
      </c>
      <c r="L69" s="62">
        <v>46222</v>
      </c>
      <c r="M69" s="63"/>
      <c r="N69" s="64">
        <v>0.5</v>
      </c>
      <c r="O69" s="65" t="s">
        <v>49</v>
      </c>
      <c r="P69" s="64"/>
      <c r="Q69" s="64"/>
    </row>
    <row r="70" spans="1:17" ht="15.75">
      <c r="A70" s="55" t="s">
        <v>300</v>
      </c>
      <c r="B70" s="56" t="s">
        <v>301</v>
      </c>
      <c r="C70" s="57" t="s">
        <v>302</v>
      </c>
      <c r="D70" s="58" t="s">
        <v>45</v>
      </c>
      <c r="E70" s="59" t="s">
        <v>22</v>
      </c>
      <c r="F70" s="59" t="s">
        <v>23</v>
      </c>
      <c r="G70" s="58" t="s">
        <v>46</v>
      </c>
      <c r="H70" s="60" t="s">
        <v>47</v>
      </c>
      <c r="I70" s="61" t="s">
        <v>303</v>
      </c>
      <c r="J70" s="59" t="s">
        <v>25</v>
      </c>
      <c r="K70" s="59" t="s">
        <v>33</v>
      </c>
      <c r="L70" s="62">
        <v>46222</v>
      </c>
      <c r="M70" s="63"/>
      <c r="N70" s="64">
        <v>1</v>
      </c>
      <c r="O70" s="65" t="s">
        <v>49</v>
      </c>
      <c r="P70" s="64"/>
      <c r="Q70" s="64"/>
    </row>
    <row r="71" spans="1:17" ht="15.75">
      <c r="A71" s="55" t="s">
        <v>304</v>
      </c>
      <c r="B71" s="56" t="s">
        <v>305</v>
      </c>
      <c r="C71" s="57" t="s">
        <v>306</v>
      </c>
      <c r="D71" s="58" t="s">
        <v>45</v>
      </c>
      <c r="E71" s="59" t="s">
        <v>22</v>
      </c>
      <c r="F71" s="59" t="s">
        <v>23</v>
      </c>
      <c r="G71" s="58" t="s">
        <v>46</v>
      </c>
      <c r="H71" s="60" t="s">
        <v>47</v>
      </c>
      <c r="I71" s="61" t="s">
        <v>307</v>
      </c>
      <c r="J71" s="59" t="s">
        <v>25</v>
      </c>
      <c r="K71" s="59" t="s">
        <v>33</v>
      </c>
      <c r="L71" s="62">
        <v>46222</v>
      </c>
      <c r="M71" s="63"/>
      <c r="N71" s="64">
        <v>4</v>
      </c>
      <c r="O71" s="65" t="s">
        <v>49</v>
      </c>
      <c r="P71" s="64"/>
      <c r="Q71" s="64"/>
    </row>
    <row r="72" spans="1:17" ht="30.75">
      <c r="A72" s="55" t="s">
        <v>308</v>
      </c>
      <c r="B72" s="56" t="s">
        <v>309</v>
      </c>
      <c r="C72" s="57" t="s">
        <v>310</v>
      </c>
      <c r="D72" s="58" t="s">
        <v>45</v>
      </c>
      <c r="E72" s="59" t="s">
        <v>22</v>
      </c>
      <c r="F72" s="59" t="s">
        <v>23</v>
      </c>
      <c r="G72" s="58" t="s">
        <v>46</v>
      </c>
      <c r="H72" s="60" t="s">
        <v>47</v>
      </c>
      <c r="I72" s="61" t="s">
        <v>311</v>
      </c>
      <c r="J72" s="59" t="s">
        <v>25</v>
      </c>
      <c r="K72" s="59" t="s">
        <v>33</v>
      </c>
      <c r="L72" s="62">
        <v>46222</v>
      </c>
      <c r="M72" s="63"/>
      <c r="N72" s="64">
        <v>0.5</v>
      </c>
      <c r="O72" s="65" t="s">
        <v>49</v>
      </c>
      <c r="P72" s="64"/>
      <c r="Q72" s="64"/>
    </row>
    <row r="73" spans="1:17" ht="15.75">
      <c r="A73" s="55" t="s">
        <v>312</v>
      </c>
      <c r="B73" s="56" t="s">
        <v>313</v>
      </c>
      <c r="C73" s="57" t="s">
        <v>314</v>
      </c>
      <c r="D73" s="58" t="s">
        <v>31</v>
      </c>
      <c r="E73" s="59" t="s">
        <v>22</v>
      </c>
      <c r="F73" s="59" t="s">
        <v>23</v>
      </c>
      <c r="G73" s="58" t="s">
        <v>46</v>
      </c>
      <c r="H73" s="60" t="s">
        <v>47</v>
      </c>
      <c r="I73" s="61" t="s">
        <v>315</v>
      </c>
      <c r="J73" s="59" t="s">
        <v>25</v>
      </c>
      <c r="K73" s="59" t="s">
        <v>26</v>
      </c>
      <c r="L73" s="62">
        <v>46222</v>
      </c>
      <c r="M73" s="63"/>
      <c r="N73" s="64">
        <v>48</v>
      </c>
      <c r="O73" s="65" t="s">
        <v>200</v>
      </c>
      <c r="P73" s="64"/>
      <c r="Q73" s="64"/>
    </row>
    <row r="74" spans="1:17" ht="15.75">
      <c r="A74" s="55" t="s">
        <v>316</v>
      </c>
      <c r="B74" s="56" t="s">
        <v>317</v>
      </c>
      <c r="C74" s="57" t="s">
        <v>318</v>
      </c>
      <c r="D74" s="58" t="s">
        <v>45</v>
      </c>
      <c r="E74" s="59" t="s">
        <v>22</v>
      </c>
      <c r="F74" s="59" t="s">
        <v>23</v>
      </c>
      <c r="G74" s="58" t="s">
        <v>46</v>
      </c>
      <c r="H74" s="60" t="s">
        <v>47</v>
      </c>
      <c r="I74" s="61" t="s">
        <v>319</v>
      </c>
      <c r="J74" s="59" t="s">
        <v>25</v>
      </c>
      <c r="K74" s="59" t="s">
        <v>33</v>
      </c>
      <c r="L74" s="62">
        <v>46222</v>
      </c>
      <c r="M74" s="63"/>
      <c r="N74" s="64">
        <v>6</v>
      </c>
      <c r="O74" s="65" t="s">
        <v>200</v>
      </c>
      <c r="P74" s="64"/>
      <c r="Q74" s="64"/>
    </row>
    <row r="75" spans="1:17" ht="15.75">
      <c r="A75" s="55" t="s">
        <v>320</v>
      </c>
      <c r="B75" s="56" t="s">
        <v>321</v>
      </c>
      <c r="C75" s="57" t="s">
        <v>322</v>
      </c>
      <c r="D75" s="58" t="s">
        <v>45</v>
      </c>
      <c r="E75" s="59" t="s">
        <v>22</v>
      </c>
      <c r="F75" s="59" t="s">
        <v>23</v>
      </c>
      <c r="G75" s="58" t="s">
        <v>26</v>
      </c>
      <c r="H75" s="60"/>
      <c r="I75" s="61" t="s">
        <v>32</v>
      </c>
      <c r="J75" s="59" t="s">
        <v>25</v>
      </c>
      <c r="K75" s="59" t="s">
        <v>33</v>
      </c>
      <c r="L75" s="62"/>
      <c r="M75" s="63"/>
      <c r="N75" s="64">
        <v>3.5</v>
      </c>
      <c r="O75" s="65" t="s">
        <v>37</v>
      </c>
      <c r="P75" s="64"/>
      <c r="Q75" s="64"/>
    </row>
    <row r="76" spans="1:17" ht="15.75">
      <c r="A76" s="55" t="s">
        <v>323</v>
      </c>
      <c r="B76" s="56" t="s">
        <v>324</v>
      </c>
      <c r="C76" s="57" t="s">
        <v>325</v>
      </c>
      <c r="D76" s="58" t="s">
        <v>31</v>
      </c>
      <c r="E76" s="59" t="s">
        <v>22</v>
      </c>
      <c r="F76" s="59" t="s">
        <v>23</v>
      </c>
      <c r="G76" s="58" t="s">
        <v>26</v>
      </c>
      <c r="H76" s="60"/>
      <c r="I76" s="61" t="s">
        <v>32</v>
      </c>
      <c r="J76" s="59" t="s">
        <v>25</v>
      </c>
      <c r="K76" s="59" t="s">
        <v>26</v>
      </c>
      <c r="L76" s="62"/>
      <c r="M76" s="63"/>
      <c r="N76" s="64">
        <v>16.670000000000002</v>
      </c>
      <c r="O76" s="65" t="s">
        <v>37</v>
      </c>
      <c r="P76" s="64"/>
      <c r="Q76" s="64"/>
    </row>
    <row r="77" spans="1:17" ht="15.75">
      <c r="A77" s="55" t="s">
        <v>326</v>
      </c>
      <c r="B77" s="56" t="s">
        <v>327</v>
      </c>
      <c r="C77" s="57" t="s">
        <v>328</v>
      </c>
      <c r="D77" s="58" t="s">
        <v>181</v>
      </c>
      <c r="E77" s="59" t="s">
        <v>22</v>
      </c>
      <c r="F77" s="59" t="s">
        <v>23</v>
      </c>
      <c r="G77" s="58" t="s">
        <v>182</v>
      </c>
      <c r="H77" s="60"/>
      <c r="I77" s="61" t="s">
        <v>183</v>
      </c>
      <c r="J77" s="59" t="s">
        <v>25</v>
      </c>
      <c r="K77" s="59" t="s">
        <v>26</v>
      </c>
      <c r="L77" s="62"/>
      <c r="M77" s="63"/>
      <c r="N77" s="64">
        <v>11.83</v>
      </c>
      <c r="O77" s="65" t="s">
        <v>37</v>
      </c>
      <c r="P77" s="64"/>
      <c r="Q77" s="64"/>
    </row>
    <row r="78" spans="1:17" ht="15.75">
      <c r="A78" s="55" t="s">
        <v>329</v>
      </c>
      <c r="B78" s="56" t="s">
        <v>330</v>
      </c>
      <c r="C78" s="57" t="s">
        <v>331</v>
      </c>
      <c r="D78" s="58" t="s">
        <v>181</v>
      </c>
      <c r="E78" s="59" t="s">
        <v>22</v>
      </c>
      <c r="F78" s="59" t="s">
        <v>23</v>
      </c>
      <c r="G78" s="58" t="s">
        <v>182</v>
      </c>
      <c r="H78" s="60"/>
      <c r="I78" s="61" t="s">
        <v>183</v>
      </c>
      <c r="J78" s="59" t="s">
        <v>25</v>
      </c>
      <c r="K78" s="59" t="s">
        <v>26</v>
      </c>
      <c r="L78" s="62"/>
      <c r="M78" s="63"/>
      <c r="N78" s="64">
        <v>19</v>
      </c>
      <c r="O78" s="65" t="s">
        <v>37</v>
      </c>
      <c r="P78" s="64"/>
      <c r="Q78" s="64"/>
    </row>
    <row r="79" spans="1:17" ht="15.75">
      <c r="A79" s="55" t="s">
        <v>332</v>
      </c>
      <c r="B79" s="56" t="s">
        <v>333</v>
      </c>
      <c r="C79" s="57" t="s">
        <v>334</v>
      </c>
      <c r="D79" s="58" t="s">
        <v>181</v>
      </c>
      <c r="E79" s="59" t="s">
        <v>22</v>
      </c>
      <c r="F79" s="59" t="s">
        <v>23</v>
      </c>
      <c r="G79" s="58" t="s">
        <v>182</v>
      </c>
      <c r="H79" s="60"/>
      <c r="I79" s="61" t="s">
        <v>335</v>
      </c>
      <c r="J79" s="59" t="s">
        <v>25</v>
      </c>
      <c r="K79" s="59" t="s">
        <v>26</v>
      </c>
      <c r="L79" s="62"/>
      <c r="M79" s="63"/>
      <c r="N79" s="64">
        <v>18</v>
      </c>
      <c r="O79" s="65" t="s">
        <v>37</v>
      </c>
      <c r="P79" s="64"/>
      <c r="Q79" s="64"/>
    </row>
    <row r="80" spans="1:17" ht="15.75">
      <c r="A80" s="55" t="s">
        <v>336</v>
      </c>
      <c r="B80" s="56" t="s">
        <v>337</v>
      </c>
      <c r="C80" s="57" t="s">
        <v>338</v>
      </c>
      <c r="D80" s="58" t="s">
        <v>64</v>
      </c>
      <c r="E80" s="59" t="s">
        <v>22</v>
      </c>
      <c r="F80" s="59" t="s">
        <v>23</v>
      </c>
      <c r="G80" s="58" t="s">
        <v>46</v>
      </c>
      <c r="H80" s="60"/>
      <c r="I80" s="61" t="s">
        <v>160</v>
      </c>
      <c r="J80" s="59" t="s">
        <v>25</v>
      </c>
      <c r="K80" s="59" t="s">
        <v>26</v>
      </c>
      <c r="L80" s="62"/>
      <c r="M80" s="63"/>
      <c r="N80" s="64">
        <v>2</v>
      </c>
      <c r="O80" s="65" t="s">
        <v>37</v>
      </c>
      <c r="P80" s="64"/>
      <c r="Q80" s="64"/>
    </row>
    <row r="81" spans="1:17" ht="15.75">
      <c r="A81" s="55" t="s">
        <v>339</v>
      </c>
      <c r="B81" s="56" t="s">
        <v>340</v>
      </c>
      <c r="C81" s="57" t="s">
        <v>341</v>
      </c>
      <c r="D81" s="58" t="s">
        <v>69</v>
      </c>
      <c r="E81" s="59" t="s">
        <v>22</v>
      </c>
      <c r="F81" s="59" t="s">
        <v>23</v>
      </c>
      <c r="G81" s="58" t="s">
        <v>46</v>
      </c>
      <c r="H81" s="60"/>
      <c r="I81" s="61" t="s">
        <v>160</v>
      </c>
      <c r="J81" s="59" t="s">
        <v>25</v>
      </c>
      <c r="K81" s="59" t="s">
        <v>26</v>
      </c>
      <c r="L81" s="62"/>
      <c r="M81" s="63"/>
      <c r="N81" s="64">
        <v>2</v>
      </c>
      <c r="O81" s="65" t="s">
        <v>37</v>
      </c>
      <c r="P81" s="64"/>
      <c r="Q81" s="64"/>
    </row>
    <row r="82" spans="1:17" ht="15.75">
      <c r="A82" s="55" t="s">
        <v>342</v>
      </c>
      <c r="B82" s="56" t="s">
        <v>343</v>
      </c>
      <c r="C82" s="57" t="s">
        <v>344</v>
      </c>
      <c r="D82" s="58" t="s">
        <v>57</v>
      </c>
      <c r="E82" s="59" t="s">
        <v>22</v>
      </c>
      <c r="F82" s="59" t="s">
        <v>23</v>
      </c>
      <c r="G82" s="58" t="s">
        <v>46</v>
      </c>
      <c r="H82" s="60"/>
      <c r="I82" s="61" t="s">
        <v>160</v>
      </c>
      <c r="J82" s="59" t="s">
        <v>25</v>
      </c>
      <c r="K82" s="59" t="s">
        <v>26</v>
      </c>
      <c r="L82" s="62"/>
      <c r="M82" s="63"/>
      <c r="N82" s="64">
        <v>3</v>
      </c>
      <c r="O82" s="65" t="s">
        <v>37</v>
      </c>
      <c r="P82" s="64"/>
      <c r="Q82" s="64"/>
    </row>
    <row r="83" spans="1:17" ht="15.75">
      <c r="A83" s="55" t="s">
        <v>345</v>
      </c>
      <c r="B83" s="56" t="s">
        <v>346</v>
      </c>
      <c r="C83" s="57" t="s">
        <v>347</v>
      </c>
      <c r="D83" s="58" t="s">
        <v>181</v>
      </c>
      <c r="E83" s="59" t="s">
        <v>22</v>
      </c>
      <c r="F83" s="59" t="s">
        <v>23</v>
      </c>
      <c r="G83" s="58" t="s">
        <v>182</v>
      </c>
      <c r="H83" s="60"/>
      <c r="I83" s="61" t="s">
        <v>183</v>
      </c>
      <c r="J83" s="59" t="s">
        <v>25</v>
      </c>
      <c r="K83" s="59" t="s">
        <v>26</v>
      </c>
      <c r="L83" s="62"/>
      <c r="M83" s="63"/>
      <c r="N83" s="64">
        <v>0.5</v>
      </c>
      <c r="O83" s="65" t="s">
        <v>37</v>
      </c>
      <c r="P83" s="64"/>
      <c r="Q83" s="64"/>
    </row>
    <row r="84" spans="1:17" ht="15.75">
      <c r="A84" s="55" t="s">
        <v>348</v>
      </c>
      <c r="B84" s="56" t="s">
        <v>349</v>
      </c>
      <c r="C84" s="57" t="s">
        <v>350</v>
      </c>
      <c r="D84" s="58" t="s">
        <v>181</v>
      </c>
      <c r="E84" s="59" t="s">
        <v>22</v>
      </c>
      <c r="F84" s="59" t="s">
        <v>23</v>
      </c>
      <c r="G84" s="58" t="s">
        <v>182</v>
      </c>
      <c r="H84" s="60"/>
      <c r="I84" s="61" t="s">
        <v>183</v>
      </c>
      <c r="J84" s="59" t="s">
        <v>25</v>
      </c>
      <c r="K84" s="59" t="s">
        <v>26</v>
      </c>
      <c r="L84" s="62"/>
      <c r="M84" s="63"/>
      <c r="N84" s="64">
        <v>0.5</v>
      </c>
      <c r="O84" s="65" t="s">
        <v>37</v>
      </c>
      <c r="P84" s="64"/>
      <c r="Q84" s="64"/>
    </row>
    <row r="85" spans="1:17" ht="30">
      <c r="A85" s="55" t="s">
        <v>351</v>
      </c>
      <c r="B85" s="56" t="s">
        <v>352</v>
      </c>
      <c r="C85" s="57" t="s">
        <v>353</v>
      </c>
      <c r="D85" s="58" t="s">
        <v>181</v>
      </c>
      <c r="E85" s="59" t="s">
        <v>22</v>
      </c>
      <c r="F85" s="59" t="s">
        <v>23</v>
      </c>
      <c r="G85" s="58" t="s">
        <v>182</v>
      </c>
      <c r="H85" s="60"/>
      <c r="I85" s="61" t="s">
        <v>183</v>
      </c>
      <c r="J85" s="59" t="s">
        <v>25</v>
      </c>
      <c r="K85" s="59" t="s">
        <v>26</v>
      </c>
      <c r="L85" s="62"/>
      <c r="M85" s="63"/>
      <c r="N85" s="64">
        <v>38</v>
      </c>
      <c r="O85" s="65" t="s">
        <v>354</v>
      </c>
      <c r="P85" s="64"/>
      <c r="Q85" s="64"/>
    </row>
    <row r="86" spans="1:17" ht="15.75">
      <c r="A86" s="55" t="s">
        <v>355</v>
      </c>
      <c r="B86" s="56" t="s">
        <v>356</v>
      </c>
      <c r="C86" s="57" t="s">
        <v>357</v>
      </c>
      <c r="D86" s="58" t="s">
        <v>181</v>
      </c>
      <c r="E86" s="59" t="s">
        <v>22</v>
      </c>
      <c r="F86" s="59" t="s">
        <v>23</v>
      </c>
      <c r="G86" s="58" t="s">
        <v>46</v>
      </c>
      <c r="H86" s="60"/>
      <c r="I86" s="61" t="s">
        <v>358</v>
      </c>
      <c r="J86" s="59" t="s">
        <v>25</v>
      </c>
      <c r="K86" s="59" t="s">
        <v>26</v>
      </c>
      <c r="L86" s="62"/>
      <c r="M86" s="63"/>
      <c r="N86" s="64">
        <v>4.67</v>
      </c>
      <c r="O86" s="65" t="s">
        <v>354</v>
      </c>
      <c r="P86" s="64"/>
      <c r="Q86" s="64"/>
    </row>
    <row r="87" spans="1:17" ht="15.75">
      <c r="A87" s="55" t="s">
        <v>359</v>
      </c>
      <c r="B87" s="56" t="s">
        <v>360</v>
      </c>
      <c r="C87" s="57" t="s">
        <v>361</v>
      </c>
      <c r="D87" s="58" t="s">
        <v>181</v>
      </c>
      <c r="E87" s="59" t="s">
        <v>22</v>
      </c>
      <c r="F87" s="59" t="s">
        <v>23</v>
      </c>
      <c r="G87" s="58" t="s">
        <v>182</v>
      </c>
      <c r="H87" s="60"/>
      <c r="I87" s="61" t="s">
        <v>183</v>
      </c>
      <c r="J87" s="59" t="s">
        <v>25</v>
      </c>
      <c r="K87" s="59" t="s">
        <v>26</v>
      </c>
      <c r="L87" s="62"/>
      <c r="M87" s="63"/>
      <c r="N87" s="64">
        <v>5</v>
      </c>
      <c r="O87" s="65" t="s">
        <v>354</v>
      </c>
      <c r="P87" s="64"/>
      <c r="Q87" s="64"/>
    </row>
    <row r="88" spans="1:17" ht="15.75">
      <c r="A88" s="55" t="s">
        <v>362</v>
      </c>
      <c r="B88" s="56" t="s">
        <v>363</v>
      </c>
      <c r="C88" s="57" t="s">
        <v>364</v>
      </c>
      <c r="D88" s="58" t="s">
        <v>181</v>
      </c>
      <c r="E88" s="59" t="s">
        <v>22</v>
      </c>
      <c r="F88" s="59" t="s">
        <v>23</v>
      </c>
      <c r="G88" s="58" t="s">
        <v>182</v>
      </c>
      <c r="H88" s="60"/>
      <c r="I88" s="61" t="s">
        <v>183</v>
      </c>
      <c r="J88" s="59" t="s">
        <v>25</v>
      </c>
      <c r="K88" s="59" t="s">
        <v>26</v>
      </c>
      <c r="L88" s="62"/>
      <c r="M88" s="63"/>
      <c r="N88" s="64">
        <v>15</v>
      </c>
      <c r="O88" s="65" t="s">
        <v>354</v>
      </c>
      <c r="P88" s="64"/>
      <c r="Q88" s="64"/>
    </row>
    <row r="89" spans="1:17" ht="15.75">
      <c r="A89" s="55" t="s">
        <v>365</v>
      </c>
      <c r="B89" s="56" t="s">
        <v>366</v>
      </c>
      <c r="C89" s="57" t="s">
        <v>367</v>
      </c>
      <c r="D89" s="58" t="s">
        <v>57</v>
      </c>
      <c r="E89" s="59" t="s">
        <v>22</v>
      </c>
      <c r="F89" s="59" t="s">
        <v>23</v>
      </c>
      <c r="G89" s="58" t="s">
        <v>26</v>
      </c>
      <c r="H89" s="60"/>
      <c r="I89" s="61" t="s">
        <v>32</v>
      </c>
      <c r="J89" s="59" t="s">
        <v>25</v>
      </c>
      <c r="K89" s="59" t="s">
        <v>26</v>
      </c>
      <c r="L89" s="62"/>
      <c r="M89" s="63"/>
      <c r="N89" s="64">
        <v>0.67</v>
      </c>
      <c r="O89" s="65" t="s">
        <v>60</v>
      </c>
      <c r="P89" s="64"/>
      <c r="Q89" s="64"/>
    </row>
    <row r="90" spans="1:17" ht="15.75">
      <c r="A90" s="55" t="s">
        <v>368</v>
      </c>
      <c r="B90" s="56" t="s">
        <v>369</v>
      </c>
      <c r="C90" s="57" t="s">
        <v>370</v>
      </c>
      <c r="D90" s="58" t="s">
        <v>57</v>
      </c>
      <c r="E90" s="59" t="s">
        <v>22</v>
      </c>
      <c r="F90" s="59" t="s">
        <v>23</v>
      </c>
      <c r="G90" s="58" t="s">
        <v>78</v>
      </c>
      <c r="H90" s="60"/>
      <c r="I90" s="61" t="s">
        <v>78</v>
      </c>
      <c r="J90" s="59" t="s">
        <v>25</v>
      </c>
      <c r="K90" s="59" t="s">
        <v>26</v>
      </c>
      <c r="L90" s="62"/>
      <c r="M90" s="63"/>
      <c r="N90" s="64">
        <v>0.02</v>
      </c>
      <c r="O90" s="65" t="s">
        <v>60</v>
      </c>
      <c r="P90" s="64"/>
      <c r="Q90" s="64"/>
    </row>
    <row r="91" spans="1:17" ht="15.75">
      <c r="A91" s="55" t="s">
        <v>371</v>
      </c>
      <c r="B91" s="56" t="s">
        <v>372</v>
      </c>
      <c r="C91" s="57" t="s">
        <v>373</v>
      </c>
      <c r="D91" s="58" t="s">
        <v>69</v>
      </c>
      <c r="E91" s="59" t="s">
        <v>22</v>
      </c>
      <c r="F91" s="59" t="s">
        <v>23</v>
      </c>
      <c r="G91" s="58" t="s">
        <v>78</v>
      </c>
      <c r="H91" s="60"/>
      <c r="I91" s="61" t="s">
        <v>78</v>
      </c>
      <c r="J91" s="59" t="s">
        <v>25</v>
      </c>
      <c r="K91" s="59" t="s">
        <v>26</v>
      </c>
      <c r="L91" s="62"/>
      <c r="M91" s="63"/>
      <c r="N91" s="64">
        <v>3.3</v>
      </c>
      <c r="O91" s="65" t="s">
        <v>70</v>
      </c>
      <c r="P91" s="64"/>
      <c r="Q91" s="64"/>
    </row>
    <row r="92" spans="1:17" ht="15.75">
      <c r="A92" s="55" t="s">
        <v>374</v>
      </c>
      <c r="B92" s="56" t="s">
        <v>375</v>
      </c>
      <c r="C92" s="57" t="s">
        <v>376</v>
      </c>
      <c r="D92" s="58" t="s">
        <v>31</v>
      </c>
      <c r="E92" s="59" t="s">
        <v>22</v>
      </c>
      <c r="F92" s="59" t="s">
        <v>23</v>
      </c>
      <c r="G92" s="58" t="s">
        <v>204</v>
      </c>
      <c r="H92" s="60"/>
      <c r="I92" s="61" t="s">
        <v>204</v>
      </c>
      <c r="J92" s="59" t="s">
        <v>25</v>
      </c>
      <c r="K92" s="59" t="s">
        <v>26</v>
      </c>
      <c r="L92" s="62"/>
      <c r="M92" s="63"/>
      <c r="N92" s="64">
        <v>0.22</v>
      </c>
      <c r="O92" s="65" t="s">
        <v>221</v>
      </c>
      <c r="P92" s="64"/>
      <c r="Q92" s="64"/>
    </row>
    <row r="93" spans="1:17" ht="30">
      <c r="A93" s="55" t="s">
        <v>377</v>
      </c>
      <c r="B93" s="56" t="s">
        <v>378</v>
      </c>
      <c r="C93" s="57" t="s">
        <v>379</v>
      </c>
      <c r="D93" s="58" t="s">
        <v>31</v>
      </c>
      <c r="E93" s="59" t="s">
        <v>22</v>
      </c>
      <c r="F93" s="59" t="s">
        <v>23</v>
      </c>
      <c r="G93" s="58" t="s">
        <v>26</v>
      </c>
      <c r="H93" s="60"/>
      <c r="I93" s="61" t="s">
        <v>32</v>
      </c>
      <c r="J93" s="59" t="s">
        <v>25</v>
      </c>
      <c r="K93" s="59" t="s">
        <v>26</v>
      </c>
      <c r="L93" s="62"/>
      <c r="M93" s="63"/>
      <c r="N93" s="64">
        <v>3.25</v>
      </c>
      <c r="O93" s="65" t="s">
        <v>49</v>
      </c>
      <c r="P93" s="64"/>
      <c r="Q93" s="64"/>
    </row>
    <row r="94" spans="1:17" ht="15.75">
      <c r="A94" s="55" t="s">
        <v>380</v>
      </c>
      <c r="B94" s="56" t="s">
        <v>381</v>
      </c>
      <c r="C94" s="57" t="s">
        <v>382</v>
      </c>
      <c r="D94" s="58" t="s">
        <v>69</v>
      </c>
      <c r="E94" s="59" t="s">
        <v>22</v>
      </c>
      <c r="F94" s="59" t="s">
        <v>23</v>
      </c>
      <c r="G94" s="58" t="s">
        <v>78</v>
      </c>
      <c r="H94" s="60"/>
      <c r="I94" s="61" t="s">
        <v>78</v>
      </c>
      <c r="J94" s="59" t="s">
        <v>25</v>
      </c>
      <c r="K94" s="59" t="s">
        <v>26</v>
      </c>
      <c r="L94" s="62"/>
      <c r="M94" s="63"/>
      <c r="N94" s="64">
        <v>0.22</v>
      </c>
      <c r="O94" s="65" t="s">
        <v>79</v>
      </c>
      <c r="P94" s="64"/>
      <c r="Q94" s="64"/>
    </row>
    <row r="95" spans="1:17" ht="15.75">
      <c r="A95" s="55" t="s">
        <v>383</v>
      </c>
      <c r="B95" s="56" t="s">
        <v>384</v>
      </c>
      <c r="C95" s="57" t="s">
        <v>385</v>
      </c>
      <c r="D95" s="58" t="s">
        <v>31</v>
      </c>
      <c r="E95" s="59" t="s">
        <v>22</v>
      </c>
      <c r="F95" s="59" t="s">
        <v>23</v>
      </c>
      <c r="G95" s="58" t="s">
        <v>204</v>
      </c>
      <c r="H95" s="60"/>
      <c r="I95" s="61" t="s">
        <v>204</v>
      </c>
      <c r="J95" s="59" t="s">
        <v>25</v>
      </c>
      <c r="K95" s="59" t="s">
        <v>26</v>
      </c>
      <c r="L95" s="62"/>
      <c r="M95" s="63"/>
      <c r="N95" s="64">
        <v>0.22</v>
      </c>
      <c r="O95" s="65" t="s">
        <v>386</v>
      </c>
      <c r="P95" s="64"/>
      <c r="Q95" s="64"/>
    </row>
    <row r="96" spans="1:17" ht="15.75">
      <c r="A96" s="55" t="s">
        <v>387</v>
      </c>
      <c r="B96" s="56" t="s">
        <v>388</v>
      </c>
      <c r="C96" s="57" t="s">
        <v>389</v>
      </c>
      <c r="D96" s="58" t="s">
        <v>45</v>
      </c>
      <c r="E96" s="59" t="s">
        <v>22</v>
      </c>
      <c r="F96" s="59" t="s">
        <v>23</v>
      </c>
      <c r="G96" s="58" t="s">
        <v>46</v>
      </c>
      <c r="H96" s="60"/>
      <c r="I96" s="61" t="s">
        <v>46</v>
      </c>
      <c r="J96" s="59" t="s">
        <v>25</v>
      </c>
      <c r="K96" s="59" t="s">
        <v>33</v>
      </c>
      <c r="L96" s="62"/>
      <c r="M96" s="63"/>
      <c r="N96" s="64">
        <v>0.22</v>
      </c>
      <c r="O96" s="65" t="s">
        <v>390</v>
      </c>
      <c r="P96" s="64"/>
      <c r="Q96" s="64"/>
    </row>
    <row r="97" spans="1:17" ht="15.75">
      <c r="A97" s="55" t="s">
        <v>391</v>
      </c>
      <c r="B97" s="56" t="s">
        <v>392</v>
      </c>
      <c r="C97" s="57" t="s">
        <v>393</v>
      </c>
      <c r="D97" s="58" t="s">
        <v>45</v>
      </c>
      <c r="E97" s="59" t="s">
        <v>22</v>
      </c>
      <c r="F97" s="59" t="s">
        <v>23</v>
      </c>
      <c r="G97" s="58" t="s">
        <v>26</v>
      </c>
      <c r="H97" s="60"/>
      <c r="I97" s="61" t="s">
        <v>32</v>
      </c>
      <c r="J97" s="59" t="s">
        <v>25</v>
      </c>
      <c r="K97" s="59" t="s">
        <v>33</v>
      </c>
      <c r="L97" s="62"/>
      <c r="M97" s="63"/>
      <c r="N97" s="64">
        <v>0.55000000000000004</v>
      </c>
      <c r="O97" s="65" t="s">
        <v>390</v>
      </c>
      <c r="P97" s="64"/>
      <c r="Q97" s="64"/>
    </row>
    <row r="98" spans="1:17" ht="15.75">
      <c r="A98" s="55" t="s">
        <v>394</v>
      </c>
      <c r="B98" s="56" t="s">
        <v>395</v>
      </c>
      <c r="C98" s="57" t="s">
        <v>396</v>
      </c>
      <c r="D98" s="58" t="s">
        <v>31</v>
      </c>
      <c r="E98" s="59" t="s">
        <v>22</v>
      </c>
      <c r="F98" s="59" t="s">
        <v>23</v>
      </c>
      <c r="G98" s="58" t="s">
        <v>26</v>
      </c>
      <c r="H98" s="60"/>
      <c r="I98" s="61" t="s">
        <v>32</v>
      </c>
      <c r="J98" s="59" t="s">
        <v>25</v>
      </c>
      <c r="K98" s="59" t="s">
        <v>26</v>
      </c>
      <c r="L98" s="62"/>
      <c r="M98" s="63"/>
      <c r="N98" s="64">
        <v>3.07</v>
      </c>
      <c r="O98" s="65" t="s">
        <v>397</v>
      </c>
      <c r="P98" s="64"/>
      <c r="Q98" s="64"/>
    </row>
    <row r="99" spans="1:17" ht="15.75">
      <c r="A99" s="55" t="s">
        <v>398</v>
      </c>
      <c r="B99" s="56" t="s">
        <v>399</v>
      </c>
      <c r="C99" s="57" t="s">
        <v>400</v>
      </c>
      <c r="D99" s="58" t="s">
        <v>31</v>
      </c>
      <c r="E99" s="59" t="s">
        <v>22</v>
      </c>
      <c r="F99" s="59" t="s">
        <v>23</v>
      </c>
      <c r="G99" s="58" t="s">
        <v>26</v>
      </c>
      <c r="H99" s="60"/>
      <c r="I99" s="61" t="s">
        <v>32</v>
      </c>
      <c r="J99" s="59" t="s">
        <v>25</v>
      </c>
      <c r="K99" s="59" t="s">
        <v>26</v>
      </c>
      <c r="L99" s="62"/>
      <c r="M99" s="63"/>
      <c r="N99" s="64">
        <v>5</v>
      </c>
      <c r="O99" s="65" t="s">
        <v>401</v>
      </c>
      <c r="P99" s="64"/>
      <c r="Q99" s="64"/>
    </row>
    <row r="100" spans="1:17" ht="15.75">
      <c r="A100" s="55" t="s">
        <v>402</v>
      </c>
      <c r="B100" s="56" t="s">
        <v>403</v>
      </c>
      <c r="C100" s="57" t="s">
        <v>404</v>
      </c>
      <c r="D100" s="58" t="s">
        <v>45</v>
      </c>
      <c r="E100" s="59" t="s">
        <v>22</v>
      </c>
      <c r="F100" s="59" t="s">
        <v>23</v>
      </c>
      <c r="G100" s="58" t="s">
        <v>26</v>
      </c>
      <c r="H100" s="60"/>
      <c r="I100" s="61" t="s">
        <v>32</v>
      </c>
      <c r="J100" s="59" t="s">
        <v>25</v>
      </c>
      <c r="K100" s="59" t="s">
        <v>33</v>
      </c>
      <c r="L100" s="62"/>
      <c r="M100" s="63"/>
      <c r="N100" s="64">
        <v>2.25</v>
      </c>
      <c r="O100" s="65" t="s">
        <v>405</v>
      </c>
      <c r="P100" s="64"/>
      <c r="Q100" s="64"/>
    </row>
    <row r="101" spans="1:17" ht="15.75">
      <c r="A101" s="55" t="s">
        <v>406</v>
      </c>
      <c r="B101" s="56" t="s">
        <v>407</v>
      </c>
      <c r="C101" s="57" t="s">
        <v>408</v>
      </c>
      <c r="D101" s="58" t="s">
        <v>31</v>
      </c>
      <c r="E101" s="59" t="s">
        <v>22</v>
      </c>
      <c r="F101" s="59" t="s">
        <v>23</v>
      </c>
      <c r="G101" s="58" t="s">
        <v>26</v>
      </c>
      <c r="H101" s="60"/>
      <c r="I101" s="61" t="s">
        <v>32</v>
      </c>
      <c r="J101" s="59" t="s">
        <v>25</v>
      </c>
      <c r="K101" s="59" t="s">
        <v>26</v>
      </c>
      <c r="L101" s="62"/>
      <c r="M101" s="63"/>
      <c r="N101" s="64">
        <v>0.43</v>
      </c>
      <c r="O101" s="65" t="s">
        <v>250</v>
      </c>
      <c r="P101" s="64"/>
      <c r="Q101" s="64"/>
    </row>
    <row r="102" spans="1:17" ht="15.75">
      <c r="A102" s="55" t="s">
        <v>409</v>
      </c>
      <c r="B102" s="56" t="s">
        <v>410</v>
      </c>
      <c r="C102" s="57" t="s">
        <v>411</v>
      </c>
      <c r="D102" s="58" t="s">
        <v>69</v>
      </c>
      <c r="E102" s="59" t="s">
        <v>22</v>
      </c>
      <c r="F102" s="59" t="s">
        <v>23</v>
      </c>
      <c r="G102" s="58" t="s">
        <v>24</v>
      </c>
      <c r="H102" s="60"/>
      <c r="I102" s="61" t="s">
        <v>412</v>
      </c>
      <c r="J102" s="59" t="s">
        <v>25</v>
      </c>
      <c r="K102" s="59" t="s">
        <v>26</v>
      </c>
      <c r="L102" s="62"/>
      <c r="M102" s="63"/>
      <c r="N102" s="64">
        <v>10</v>
      </c>
      <c r="O102" s="65" t="s">
        <v>413</v>
      </c>
      <c r="P102" s="64"/>
      <c r="Q102" s="64"/>
    </row>
    <row r="103" spans="1:17" ht="15.75">
      <c r="A103" s="55" t="s">
        <v>414</v>
      </c>
      <c r="B103" s="56" t="s">
        <v>415</v>
      </c>
      <c r="C103" s="57" t="s">
        <v>416</v>
      </c>
      <c r="D103" s="58" t="s">
        <v>21</v>
      </c>
      <c r="E103" s="59" t="s">
        <v>22</v>
      </c>
      <c r="F103" s="59" t="s">
        <v>23</v>
      </c>
      <c r="G103" s="58" t="s">
        <v>24</v>
      </c>
      <c r="H103" s="60"/>
      <c r="I103" s="61" t="s">
        <v>24</v>
      </c>
      <c r="J103" s="59" t="s">
        <v>25</v>
      </c>
      <c r="K103" s="59" t="s">
        <v>26</v>
      </c>
      <c r="L103" s="62"/>
      <c r="M103" s="63"/>
      <c r="N103" s="64">
        <v>0.65</v>
      </c>
      <c r="O103" s="65" t="s">
        <v>417</v>
      </c>
      <c r="P103" s="64"/>
      <c r="Q103" s="64"/>
    </row>
    <row r="104" spans="1:17" ht="30">
      <c r="A104" s="55" t="s">
        <v>418</v>
      </c>
      <c r="B104" s="56" t="s">
        <v>419</v>
      </c>
      <c r="C104" s="57" t="s">
        <v>420</v>
      </c>
      <c r="D104" s="58" t="s">
        <v>91</v>
      </c>
      <c r="E104" s="59" t="s">
        <v>22</v>
      </c>
      <c r="F104" s="59" t="s">
        <v>23</v>
      </c>
      <c r="G104" s="58" t="s">
        <v>46</v>
      </c>
      <c r="H104" s="60"/>
      <c r="I104" s="61" t="s">
        <v>32</v>
      </c>
      <c r="J104" s="59" t="s">
        <v>25</v>
      </c>
      <c r="K104" s="59" t="s">
        <v>33</v>
      </c>
      <c r="L104" s="62"/>
      <c r="M104" s="63"/>
      <c r="N104" s="64">
        <v>5</v>
      </c>
      <c r="O104" s="65" t="s">
        <v>421</v>
      </c>
      <c r="P104" s="64"/>
      <c r="Q104" s="64"/>
    </row>
    <row r="105" spans="1:17" ht="15.75">
      <c r="A105" s="55" t="s">
        <v>422</v>
      </c>
      <c r="B105" s="56" t="s">
        <v>423</v>
      </c>
      <c r="C105" s="57" t="s">
        <v>424</v>
      </c>
      <c r="D105" s="58" t="s">
        <v>91</v>
      </c>
      <c r="E105" s="59" t="s">
        <v>22</v>
      </c>
      <c r="F105" s="59" t="s">
        <v>23</v>
      </c>
      <c r="G105" s="58" t="s">
        <v>46</v>
      </c>
      <c r="H105" s="60"/>
      <c r="I105" s="61" t="s">
        <v>32</v>
      </c>
      <c r="J105" s="59" t="s">
        <v>25</v>
      </c>
      <c r="K105" s="59" t="s">
        <v>26</v>
      </c>
      <c r="L105" s="62"/>
      <c r="M105" s="63"/>
      <c r="N105" s="64">
        <v>0.7</v>
      </c>
      <c r="O105" s="65" t="s">
        <v>421</v>
      </c>
      <c r="P105" s="64"/>
      <c r="Q105" s="64"/>
    </row>
    <row r="106" spans="1:17" ht="30">
      <c r="A106" s="55" t="s">
        <v>425</v>
      </c>
      <c r="B106" s="56" t="s">
        <v>426</v>
      </c>
      <c r="C106" s="57" t="s">
        <v>427</v>
      </c>
      <c r="D106" s="58" t="s">
        <v>91</v>
      </c>
      <c r="E106" s="59" t="s">
        <v>22</v>
      </c>
      <c r="F106" s="59" t="s">
        <v>23</v>
      </c>
      <c r="G106" s="58" t="s">
        <v>46</v>
      </c>
      <c r="H106" s="60"/>
      <c r="I106" s="61" t="s">
        <v>32</v>
      </c>
      <c r="J106" s="59" t="s">
        <v>25</v>
      </c>
      <c r="K106" s="59" t="s">
        <v>33</v>
      </c>
      <c r="L106" s="62"/>
      <c r="M106" s="63"/>
      <c r="N106" s="64">
        <v>5</v>
      </c>
      <c r="O106" s="65" t="s">
        <v>421</v>
      </c>
      <c r="P106" s="64"/>
      <c r="Q106" s="64"/>
    </row>
    <row r="107" spans="1:17" ht="30">
      <c r="A107" s="55" t="s">
        <v>428</v>
      </c>
      <c r="B107" s="56" t="s">
        <v>429</v>
      </c>
      <c r="C107" s="57" t="s">
        <v>430</v>
      </c>
      <c r="D107" s="58" t="s">
        <v>91</v>
      </c>
      <c r="E107" s="59" t="s">
        <v>22</v>
      </c>
      <c r="F107" s="59" t="s">
        <v>23</v>
      </c>
      <c r="G107" s="58" t="s">
        <v>46</v>
      </c>
      <c r="H107" s="60"/>
      <c r="I107" s="61" t="s">
        <v>32</v>
      </c>
      <c r="J107" s="59" t="s">
        <v>25</v>
      </c>
      <c r="K107" s="59" t="s">
        <v>41</v>
      </c>
      <c r="L107" s="62"/>
      <c r="M107" s="63"/>
      <c r="N107" s="64">
        <v>5</v>
      </c>
      <c r="O107" s="65" t="s">
        <v>421</v>
      </c>
      <c r="P107" s="64"/>
      <c r="Q107" s="64"/>
    </row>
    <row r="108" spans="1:17" ht="15.75">
      <c r="A108" s="55" t="s">
        <v>431</v>
      </c>
      <c r="B108" s="56" t="s">
        <v>432</v>
      </c>
      <c r="C108" s="57" t="s">
        <v>433</v>
      </c>
      <c r="D108" s="58" t="s">
        <v>91</v>
      </c>
      <c r="E108" s="59" t="s">
        <v>22</v>
      </c>
      <c r="F108" s="59" t="s">
        <v>23</v>
      </c>
      <c r="G108" s="58" t="s">
        <v>46</v>
      </c>
      <c r="H108" s="60"/>
      <c r="I108" s="61" t="s">
        <v>32</v>
      </c>
      <c r="J108" s="59" t="s">
        <v>25</v>
      </c>
      <c r="K108" s="59" t="s">
        <v>33</v>
      </c>
      <c r="L108" s="62"/>
      <c r="M108" s="63"/>
      <c r="N108" s="64">
        <v>1.53</v>
      </c>
      <c r="O108" s="65" t="s">
        <v>421</v>
      </c>
      <c r="P108" s="64"/>
      <c r="Q108" s="64"/>
    </row>
    <row r="109" spans="1:17" ht="15.75">
      <c r="A109" s="55" t="s">
        <v>434</v>
      </c>
      <c r="B109" s="56" t="s">
        <v>435</v>
      </c>
      <c r="C109" s="57" t="s">
        <v>436</v>
      </c>
      <c r="D109" s="58" t="s">
        <v>91</v>
      </c>
      <c r="E109" s="59" t="s">
        <v>22</v>
      </c>
      <c r="F109" s="59" t="s">
        <v>23</v>
      </c>
      <c r="G109" s="58" t="s">
        <v>46</v>
      </c>
      <c r="H109" s="60"/>
      <c r="I109" s="61" t="s">
        <v>32</v>
      </c>
      <c r="J109" s="59" t="s">
        <v>25</v>
      </c>
      <c r="K109" s="59" t="s">
        <v>33</v>
      </c>
      <c r="L109" s="62"/>
      <c r="M109" s="63"/>
      <c r="N109" s="64">
        <v>1.53</v>
      </c>
      <c r="O109" s="65" t="s">
        <v>421</v>
      </c>
      <c r="P109" s="64"/>
      <c r="Q109" s="64"/>
    </row>
    <row r="110" spans="1:17" ht="15.75">
      <c r="A110" s="55" t="s">
        <v>437</v>
      </c>
      <c r="B110" s="56" t="s">
        <v>438</v>
      </c>
      <c r="C110" s="57" t="s">
        <v>439</v>
      </c>
      <c r="D110" s="58" t="s">
        <v>91</v>
      </c>
      <c r="E110" s="59" t="s">
        <v>22</v>
      </c>
      <c r="F110" s="59" t="s">
        <v>23</v>
      </c>
      <c r="G110" s="58" t="s">
        <v>46</v>
      </c>
      <c r="H110" s="60"/>
      <c r="I110" s="61" t="s">
        <v>32</v>
      </c>
      <c r="J110" s="59" t="s">
        <v>25</v>
      </c>
      <c r="K110" s="59" t="s">
        <v>41</v>
      </c>
      <c r="L110" s="62"/>
      <c r="M110" s="63"/>
      <c r="N110" s="64">
        <v>1.53</v>
      </c>
      <c r="O110" s="65" t="s">
        <v>421</v>
      </c>
      <c r="P110" s="64"/>
      <c r="Q110" s="64"/>
    </row>
    <row r="111" spans="1:17" ht="15.75">
      <c r="A111" s="55" t="s">
        <v>440</v>
      </c>
      <c r="B111" s="56" t="s">
        <v>441</v>
      </c>
      <c r="C111" s="57" t="s">
        <v>442</v>
      </c>
      <c r="D111" s="58" t="s">
        <v>91</v>
      </c>
      <c r="E111" s="59" t="s">
        <v>22</v>
      </c>
      <c r="F111" s="59" t="s">
        <v>23</v>
      </c>
      <c r="G111" s="58" t="s">
        <v>46</v>
      </c>
      <c r="H111" s="60"/>
      <c r="I111" s="61" t="s">
        <v>32</v>
      </c>
      <c r="J111" s="59" t="s">
        <v>25</v>
      </c>
      <c r="K111" s="59" t="s">
        <v>41</v>
      </c>
      <c r="L111" s="62"/>
      <c r="M111" s="63"/>
      <c r="N111" s="64">
        <v>1.53</v>
      </c>
      <c r="O111" s="65" t="s">
        <v>421</v>
      </c>
      <c r="P111" s="64"/>
      <c r="Q111" s="64"/>
    </row>
    <row r="112" spans="1:17" ht="30">
      <c r="A112" s="55" t="s">
        <v>443</v>
      </c>
      <c r="B112" s="56" t="s">
        <v>444</v>
      </c>
      <c r="C112" s="57" t="s">
        <v>445</v>
      </c>
      <c r="D112" s="58" t="s">
        <v>91</v>
      </c>
      <c r="E112" s="59" t="s">
        <v>22</v>
      </c>
      <c r="F112" s="59" t="s">
        <v>23</v>
      </c>
      <c r="G112" s="58" t="s">
        <v>46</v>
      </c>
      <c r="H112" s="60"/>
      <c r="I112" s="61" t="s">
        <v>32</v>
      </c>
      <c r="J112" s="59" t="s">
        <v>25</v>
      </c>
      <c r="K112" s="59" t="s">
        <v>41</v>
      </c>
      <c r="L112" s="62"/>
      <c r="M112" s="63"/>
      <c r="N112" s="64">
        <v>5</v>
      </c>
      <c r="O112" s="65" t="s">
        <v>421</v>
      </c>
      <c r="P112" s="64"/>
      <c r="Q112" s="64"/>
    </row>
    <row r="113" spans="1:17" ht="15.75">
      <c r="A113" s="55" t="s">
        <v>446</v>
      </c>
      <c r="B113" s="56" t="s">
        <v>447</v>
      </c>
      <c r="C113" s="57" t="s">
        <v>448</v>
      </c>
      <c r="D113" s="58" t="s">
        <v>91</v>
      </c>
      <c r="E113" s="59" t="s">
        <v>22</v>
      </c>
      <c r="F113" s="59" t="s">
        <v>23</v>
      </c>
      <c r="G113" s="58" t="s">
        <v>46</v>
      </c>
      <c r="H113" s="60"/>
      <c r="I113" s="61" t="s">
        <v>32</v>
      </c>
      <c r="J113" s="59" t="s">
        <v>25</v>
      </c>
      <c r="K113" s="59" t="s">
        <v>26</v>
      </c>
      <c r="L113" s="62"/>
      <c r="M113" s="63"/>
      <c r="N113" s="64">
        <v>0.87</v>
      </c>
      <c r="O113" s="65" t="s">
        <v>421</v>
      </c>
      <c r="P113" s="64"/>
      <c r="Q113" s="64"/>
    </row>
    <row r="114" spans="1:17" ht="15.75">
      <c r="A114" s="55" t="s">
        <v>449</v>
      </c>
      <c r="B114" s="56" t="s">
        <v>450</v>
      </c>
      <c r="C114" s="57" t="s">
        <v>451</v>
      </c>
      <c r="D114" s="58" t="s">
        <v>91</v>
      </c>
      <c r="E114" s="59" t="s">
        <v>22</v>
      </c>
      <c r="F114" s="59" t="s">
        <v>23</v>
      </c>
      <c r="G114" s="58" t="s">
        <v>46</v>
      </c>
      <c r="H114" s="60"/>
      <c r="I114" s="61" t="s">
        <v>32</v>
      </c>
      <c r="J114" s="59" t="s">
        <v>25</v>
      </c>
      <c r="K114" s="59" t="s">
        <v>26</v>
      </c>
      <c r="L114" s="62"/>
      <c r="M114" s="63"/>
      <c r="N114" s="64">
        <v>1.75</v>
      </c>
      <c r="O114" s="65" t="s">
        <v>421</v>
      </c>
      <c r="P114" s="64"/>
      <c r="Q114" s="64"/>
    </row>
    <row r="115" spans="1:17" ht="15.75">
      <c r="A115" s="55" t="s">
        <v>452</v>
      </c>
      <c r="B115" s="56" t="s">
        <v>453</v>
      </c>
      <c r="C115" s="57" t="s">
        <v>454</v>
      </c>
      <c r="D115" s="58" t="s">
        <v>91</v>
      </c>
      <c r="E115" s="59" t="s">
        <v>22</v>
      </c>
      <c r="F115" s="59" t="s">
        <v>23</v>
      </c>
      <c r="G115" s="58" t="s">
        <v>46</v>
      </c>
      <c r="H115" s="60"/>
      <c r="I115" s="61" t="s">
        <v>32</v>
      </c>
      <c r="J115" s="59" t="s">
        <v>25</v>
      </c>
      <c r="K115" s="59" t="s">
        <v>33</v>
      </c>
      <c r="L115" s="62"/>
      <c r="M115" s="63"/>
      <c r="N115" s="64">
        <v>0.87</v>
      </c>
      <c r="O115" s="65" t="s">
        <v>421</v>
      </c>
      <c r="P115" s="64"/>
      <c r="Q115" s="64"/>
    </row>
    <row r="116" spans="1:17" ht="15.75">
      <c r="A116" s="55" t="s">
        <v>455</v>
      </c>
      <c r="B116" s="56" t="s">
        <v>456</v>
      </c>
      <c r="C116" s="57" t="s">
        <v>457</v>
      </c>
      <c r="D116" s="58" t="s">
        <v>91</v>
      </c>
      <c r="E116" s="59" t="s">
        <v>22</v>
      </c>
      <c r="F116" s="59" t="s">
        <v>23</v>
      </c>
      <c r="G116" s="58" t="s">
        <v>46</v>
      </c>
      <c r="H116" s="60"/>
      <c r="I116" s="61" t="s">
        <v>32</v>
      </c>
      <c r="J116" s="59" t="s">
        <v>25</v>
      </c>
      <c r="K116" s="59" t="s">
        <v>41</v>
      </c>
      <c r="L116" s="62"/>
      <c r="M116" s="63"/>
      <c r="N116" s="64">
        <v>0.87</v>
      </c>
      <c r="O116" s="65" t="s">
        <v>421</v>
      </c>
      <c r="P116" s="64"/>
      <c r="Q116" s="64"/>
    </row>
    <row r="117" spans="1:17" ht="15.75">
      <c r="A117" s="55" t="s">
        <v>458</v>
      </c>
      <c r="B117" s="56" t="s">
        <v>459</v>
      </c>
      <c r="C117" s="57" t="s">
        <v>460</v>
      </c>
      <c r="D117" s="58" t="s">
        <v>91</v>
      </c>
      <c r="E117" s="59" t="s">
        <v>22</v>
      </c>
      <c r="F117" s="59" t="s">
        <v>23</v>
      </c>
      <c r="G117" s="58" t="s">
        <v>46</v>
      </c>
      <c r="H117" s="60"/>
      <c r="I117" s="61" t="s">
        <v>32</v>
      </c>
      <c r="J117" s="59" t="s">
        <v>25</v>
      </c>
      <c r="K117" s="59" t="s">
        <v>26</v>
      </c>
      <c r="L117" s="62"/>
      <c r="M117" s="63"/>
      <c r="N117" s="64">
        <v>0.87</v>
      </c>
      <c r="O117" s="65" t="s">
        <v>421</v>
      </c>
      <c r="P117" s="64"/>
      <c r="Q117" s="64"/>
    </row>
    <row r="118" spans="1:17" ht="15.75">
      <c r="A118" s="55" t="s">
        <v>461</v>
      </c>
      <c r="B118" s="56" t="s">
        <v>462</v>
      </c>
      <c r="C118" s="57" t="s">
        <v>463</v>
      </c>
      <c r="D118" s="58" t="s">
        <v>91</v>
      </c>
      <c r="E118" s="59" t="s">
        <v>22</v>
      </c>
      <c r="F118" s="59" t="s">
        <v>23</v>
      </c>
      <c r="G118" s="58" t="s">
        <v>46</v>
      </c>
      <c r="H118" s="60"/>
      <c r="I118" s="61" t="s">
        <v>32</v>
      </c>
      <c r="J118" s="59" t="s">
        <v>25</v>
      </c>
      <c r="K118" s="59" t="s">
        <v>26</v>
      </c>
      <c r="L118" s="62"/>
      <c r="M118" s="63"/>
      <c r="N118" s="64">
        <v>0.87</v>
      </c>
      <c r="O118" s="65" t="s">
        <v>421</v>
      </c>
      <c r="P118" s="64"/>
      <c r="Q118" s="64"/>
    </row>
    <row r="119" spans="1:17" ht="15.75">
      <c r="A119" s="55" t="s">
        <v>464</v>
      </c>
      <c r="B119" s="56" t="s">
        <v>465</v>
      </c>
      <c r="C119" s="57" t="s">
        <v>466</v>
      </c>
      <c r="D119" s="58" t="s">
        <v>91</v>
      </c>
      <c r="E119" s="59" t="s">
        <v>22</v>
      </c>
      <c r="F119" s="59" t="s">
        <v>23</v>
      </c>
      <c r="G119" s="58" t="s">
        <v>46</v>
      </c>
      <c r="H119" s="60"/>
      <c r="I119" s="61" t="s">
        <v>32</v>
      </c>
      <c r="J119" s="59" t="s">
        <v>25</v>
      </c>
      <c r="K119" s="59" t="s">
        <v>26</v>
      </c>
      <c r="L119" s="62"/>
      <c r="M119" s="63"/>
      <c r="N119" s="64">
        <v>0.43</v>
      </c>
      <c r="O119" s="65" t="s">
        <v>421</v>
      </c>
      <c r="P119" s="64"/>
      <c r="Q119" s="64"/>
    </row>
    <row r="120" spans="1:17" ht="15.75">
      <c r="A120" s="55" t="s">
        <v>467</v>
      </c>
      <c r="B120" s="56" t="s">
        <v>468</v>
      </c>
      <c r="C120" s="57" t="s">
        <v>469</v>
      </c>
      <c r="D120" s="58" t="s">
        <v>91</v>
      </c>
      <c r="E120" s="59" t="s">
        <v>22</v>
      </c>
      <c r="F120" s="59" t="s">
        <v>23</v>
      </c>
      <c r="G120" s="58" t="s">
        <v>46</v>
      </c>
      <c r="H120" s="60"/>
      <c r="I120" s="61" t="s">
        <v>32</v>
      </c>
      <c r="J120" s="59" t="s">
        <v>25</v>
      </c>
      <c r="K120" s="59" t="s">
        <v>26</v>
      </c>
      <c r="L120" s="62"/>
      <c r="M120" s="63"/>
      <c r="N120" s="64">
        <v>1.47</v>
      </c>
      <c r="O120" s="65" t="s">
        <v>421</v>
      </c>
      <c r="P120" s="64"/>
      <c r="Q120" s="64"/>
    </row>
    <row r="121" spans="1:17" ht="15.75">
      <c r="A121" s="55" t="s">
        <v>470</v>
      </c>
      <c r="B121" s="56" t="s">
        <v>471</v>
      </c>
      <c r="C121" s="57" t="s">
        <v>472</v>
      </c>
      <c r="D121" s="58" t="s">
        <v>91</v>
      </c>
      <c r="E121" s="59" t="s">
        <v>22</v>
      </c>
      <c r="F121" s="59" t="s">
        <v>23</v>
      </c>
      <c r="G121" s="58" t="s">
        <v>46</v>
      </c>
      <c r="H121" s="60"/>
      <c r="I121" s="61" t="s">
        <v>32</v>
      </c>
      <c r="J121" s="59" t="s">
        <v>25</v>
      </c>
      <c r="K121" s="59" t="s">
        <v>26</v>
      </c>
      <c r="L121" s="62"/>
      <c r="M121" s="63"/>
      <c r="N121" s="64">
        <v>0.43</v>
      </c>
      <c r="O121" s="65" t="s">
        <v>421</v>
      </c>
      <c r="P121" s="64"/>
      <c r="Q121" s="64"/>
    </row>
    <row r="122" spans="1:17" ht="30">
      <c r="A122" s="55" t="s">
        <v>473</v>
      </c>
      <c r="B122" s="56" t="s">
        <v>474</v>
      </c>
      <c r="C122" s="57" t="s">
        <v>475</v>
      </c>
      <c r="D122" s="58" t="s">
        <v>91</v>
      </c>
      <c r="E122" s="59" t="s">
        <v>22</v>
      </c>
      <c r="F122" s="59" t="s">
        <v>23</v>
      </c>
      <c r="G122" s="58" t="s">
        <v>46</v>
      </c>
      <c r="H122" s="60"/>
      <c r="I122" s="61" t="s">
        <v>32</v>
      </c>
      <c r="J122" s="59" t="s">
        <v>25</v>
      </c>
      <c r="K122" s="59" t="s">
        <v>26</v>
      </c>
      <c r="L122" s="62"/>
      <c r="M122" s="63"/>
      <c r="N122" s="64">
        <v>3.68</v>
      </c>
      <c r="O122" s="65" t="s">
        <v>421</v>
      </c>
      <c r="P122" s="64"/>
      <c r="Q122" s="64"/>
    </row>
    <row r="123" spans="1:17" ht="15.75">
      <c r="A123" s="55" t="s">
        <v>476</v>
      </c>
      <c r="B123" s="56" t="s">
        <v>477</v>
      </c>
      <c r="C123" s="57" t="s">
        <v>478</v>
      </c>
      <c r="D123" s="58" t="s">
        <v>91</v>
      </c>
      <c r="E123" s="59" t="s">
        <v>22</v>
      </c>
      <c r="F123" s="59" t="s">
        <v>23</v>
      </c>
      <c r="G123" s="58" t="s">
        <v>46</v>
      </c>
      <c r="H123" s="60"/>
      <c r="I123" s="61" t="s">
        <v>32</v>
      </c>
      <c r="J123" s="59" t="s">
        <v>25</v>
      </c>
      <c r="K123" s="59" t="s">
        <v>26</v>
      </c>
      <c r="L123" s="62"/>
      <c r="M123" s="63"/>
      <c r="N123" s="64">
        <v>0.87</v>
      </c>
      <c r="O123" s="65" t="s">
        <v>262</v>
      </c>
      <c r="P123" s="64"/>
      <c r="Q123" s="64"/>
    </row>
    <row r="124" spans="1:17" ht="15.75">
      <c r="A124" s="55" t="s">
        <v>479</v>
      </c>
      <c r="B124" s="56" t="s">
        <v>480</v>
      </c>
      <c r="C124" s="57" t="s">
        <v>481</v>
      </c>
      <c r="D124" s="58" t="s">
        <v>91</v>
      </c>
      <c r="E124" s="59" t="s">
        <v>22</v>
      </c>
      <c r="F124" s="59" t="s">
        <v>23</v>
      </c>
      <c r="G124" s="58" t="s">
        <v>46</v>
      </c>
      <c r="H124" s="60"/>
      <c r="I124" s="61" t="s">
        <v>32</v>
      </c>
      <c r="J124" s="59" t="s">
        <v>25</v>
      </c>
      <c r="K124" s="59" t="s">
        <v>26</v>
      </c>
      <c r="L124" s="62"/>
      <c r="M124" s="63"/>
      <c r="N124" s="64">
        <v>3.52</v>
      </c>
      <c r="O124" s="65" t="s">
        <v>482</v>
      </c>
      <c r="P124" s="64"/>
      <c r="Q124" s="64"/>
    </row>
    <row r="125" spans="1:17" ht="15.75">
      <c r="A125" s="55" t="s">
        <v>483</v>
      </c>
      <c r="B125" s="56" t="s">
        <v>484</v>
      </c>
      <c r="C125" s="57" t="s">
        <v>485</v>
      </c>
      <c r="D125" s="58" t="s">
        <v>91</v>
      </c>
      <c r="E125" s="59" t="s">
        <v>22</v>
      </c>
      <c r="F125" s="59" t="s">
        <v>23</v>
      </c>
      <c r="G125" s="58" t="s">
        <v>46</v>
      </c>
      <c r="H125" s="60"/>
      <c r="I125" s="61" t="s">
        <v>32</v>
      </c>
      <c r="J125" s="59" t="s">
        <v>25</v>
      </c>
      <c r="K125" s="59" t="s">
        <v>26</v>
      </c>
      <c r="L125" s="62"/>
      <c r="M125" s="63"/>
      <c r="N125" s="64">
        <v>3.52</v>
      </c>
      <c r="O125" s="65" t="s">
        <v>482</v>
      </c>
      <c r="P125" s="64"/>
      <c r="Q125" s="64"/>
    </row>
    <row r="126" spans="1:17" ht="15.75">
      <c r="A126" s="55" t="s">
        <v>486</v>
      </c>
      <c r="B126" s="56" t="s">
        <v>487</v>
      </c>
      <c r="C126" s="57" t="s">
        <v>488</v>
      </c>
      <c r="D126" s="58" t="s">
        <v>91</v>
      </c>
      <c r="E126" s="59" t="s">
        <v>22</v>
      </c>
      <c r="F126" s="59" t="s">
        <v>23</v>
      </c>
      <c r="G126" s="58" t="s">
        <v>24</v>
      </c>
      <c r="H126" s="60"/>
      <c r="I126" s="61" t="s">
        <v>489</v>
      </c>
      <c r="J126" s="59" t="s">
        <v>25</v>
      </c>
      <c r="K126" s="59"/>
      <c r="L126" s="62"/>
      <c r="M126" s="63"/>
      <c r="N126" s="64">
        <v>3.52</v>
      </c>
      <c r="O126" s="65" t="s">
        <v>482</v>
      </c>
      <c r="P126" s="64"/>
      <c r="Q126" s="64"/>
    </row>
    <row r="127" spans="1:17" ht="15.75">
      <c r="A127" s="55" t="s">
        <v>490</v>
      </c>
      <c r="B127" s="56" t="s">
        <v>491</v>
      </c>
      <c r="C127" s="57" t="s">
        <v>492</v>
      </c>
      <c r="D127" s="58" t="s">
        <v>91</v>
      </c>
      <c r="E127" s="59" t="s">
        <v>22</v>
      </c>
      <c r="F127" s="59" t="s">
        <v>23</v>
      </c>
      <c r="G127" s="58" t="s">
        <v>26</v>
      </c>
      <c r="H127" s="60"/>
      <c r="I127" s="61" t="s">
        <v>32</v>
      </c>
      <c r="J127" s="59" t="s">
        <v>25</v>
      </c>
      <c r="K127" s="59" t="s">
        <v>26</v>
      </c>
      <c r="L127" s="62"/>
      <c r="M127" s="63"/>
      <c r="N127" s="64">
        <v>3.52</v>
      </c>
      <c r="O127" s="65" t="s">
        <v>482</v>
      </c>
      <c r="P127" s="64"/>
      <c r="Q127" s="64"/>
    </row>
    <row r="128" spans="1:17" ht="15.75">
      <c r="A128" s="55" t="s">
        <v>493</v>
      </c>
      <c r="B128" s="56" t="s">
        <v>494</v>
      </c>
      <c r="C128" s="57" t="s">
        <v>495</v>
      </c>
      <c r="D128" s="58" t="s">
        <v>45</v>
      </c>
      <c r="E128" s="59" t="s">
        <v>22</v>
      </c>
      <c r="F128" s="59" t="s">
        <v>23</v>
      </c>
      <c r="G128" s="58" t="s">
        <v>26</v>
      </c>
      <c r="H128" s="60"/>
      <c r="I128" s="61" t="s">
        <v>32</v>
      </c>
      <c r="J128" s="59" t="s">
        <v>25</v>
      </c>
      <c r="K128" s="59" t="s">
        <v>33</v>
      </c>
      <c r="L128" s="62"/>
      <c r="M128" s="63"/>
      <c r="N128" s="64">
        <v>0.55000000000000004</v>
      </c>
      <c r="O128" s="65" t="s">
        <v>258</v>
      </c>
      <c r="P128" s="64"/>
      <c r="Q128" s="64"/>
    </row>
    <row r="129" spans="1:17" ht="15.75">
      <c r="A129" s="55" t="s">
        <v>496</v>
      </c>
      <c r="B129" s="56" t="s">
        <v>497</v>
      </c>
      <c r="C129" s="57" t="s">
        <v>498</v>
      </c>
      <c r="D129" s="58" t="s">
        <v>45</v>
      </c>
      <c r="E129" s="59" t="s">
        <v>22</v>
      </c>
      <c r="F129" s="59" t="s">
        <v>23</v>
      </c>
      <c r="G129" s="58" t="s">
        <v>204</v>
      </c>
      <c r="H129" s="60"/>
      <c r="I129" s="61" t="s">
        <v>499</v>
      </c>
      <c r="J129" s="59" t="s">
        <v>25</v>
      </c>
      <c r="K129" s="59" t="s">
        <v>33</v>
      </c>
      <c r="L129" s="62"/>
      <c r="M129" s="63"/>
      <c r="N129" s="64">
        <v>0.32</v>
      </c>
      <c r="O129" s="65" t="s">
        <v>258</v>
      </c>
      <c r="P129" s="64"/>
      <c r="Q129" s="64"/>
    </row>
    <row r="130" spans="1:17" ht="15.75">
      <c r="A130" s="55" t="s">
        <v>500</v>
      </c>
      <c r="B130" s="56" t="s">
        <v>501</v>
      </c>
      <c r="C130" s="57" t="s">
        <v>502</v>
      </c>
      <c r="D130" s="58" t="s">
        <v>45</v>
      </c>
      <c r="E130" s="59" t="s">
        <v>22</v>
      </c>
      <c r="F130" s="59" t="s">
        <v>23</v>
      </c>
      <c r="G130" s="58" t="s">
        <v>204</v>
      </c>
      <c r="H130" s="60"/>
      <c r="I130" s="61" t="s">
        <v>499</v>
      </c>
      <c r="J130" s="59" t="s">
        <v>25</v>
      </c>
      <c r="K130" s="59" t="s">
        <v>33</v>
      </c>
      <c r="L130" s="62"/>
      <c r="M130" s="63"/>
      <c r="N130" s="64">
        <v>0.43</v>
      </c>
      <c r="O130" s="65" t="s">
        <v>258</v>
      </c>
      <c r="P130" s="64"/>
      <c r="Q130" s="64"/>
    </row>
    <row r="131" spans="1:17" ht="15.75">
      <c r="A131" s="55" t="s">
        <v>503</v>
      </c>
      <c r="B131" s="56" t="s">
        <v>504</v>
      </c>
      <c r="C131" s="57" t="s">
        <v>505</v>
      </c>
      <c r="D131" s="58" t="s">
        <v>45</v>
      </c>
      <c r="E131" s="59" t="s">
        <v>22</v>
      </c>
      <c r="F131" s="59" t="s">
        <v>23</v>
      </c>
      <c r="G131" s="58" t="s">
        <v>204</v>
      </c>
      <c r="H131" s="60"/>
      <c r="I131" s="61" t="s">
        <v>499</v>
      </c>
      <c r="J131" s="59" t="s">
        <v>25</v>
      </c>
      <c r="K131" s="59" t="s">
        <v>33</v>
      </c>
      <c r="L131" s="62"/>
      <c r="M131" s="63"/>
      <c r="N131" s="64">
        <v>0.12</v>
      </c>
      <c r="O131" s="65" t="s">
        <v>258</v>
      </c>
      <c r="P131" s="64"/>
      <c r="Q131" s="64"/>
    </row>
    <row r="132" spans="1:17" ht="15.75">
      <c r="A132" s="55" t="s">
        <v>506</v>
      </c>
      <c r="B132" s="56" t="s">
        <v>507</v>
      </c>
      <c r="C132" s="57" t="s">
        <v>508</v>
      </c>
      <c r="D132" s="58" t="s">
        <v>45</v>
      </c>
      <c r="E132" s="59" t="s">
        <v>22</v>
      </c>
      <c r="F132" s="59" t="s">
        <v>23</v>
      </c>
      <c r="G132" s="58" t="s">
        <v>204</v>
      </c>
      <c r="H132" s="60"/>
      <c r="I132" s="61" t="s">
        <v>499</v>
      </c>
      <c r="J132" s="59" t="s">
        <v>25</v>
      </c>
      <c r="K132" s="59" t="s">
        <v>33</v>
      </c>
      <c r="L132" s="62"/>
      <c r="M132" s="63"/>
      <c r="N132" s="64">
        <v>0.1</v>
      </c>
      <c r="O132" s="65" t="s">
        <v>258</v>
      </c>
      <c r="P132" s="64"/>
      <c r="Q132" s="64"/>
    </row>
    <row r="133" spans="1:17" ht="15.75">
      <c r="A133" s="55" t="s">
        <v>509</v>
      </c>
      <c r="B133" s="56" t="s">
        <v>510</v>
      </c>
      <c r="C133" s="57" t="s">
        <v>511</v>
      </c>
      <c r="D133" s="58" t="s">
        <v>91</v>
      </c>
      <c r="E133" s="59" t="s">
        <v>22</v>
      </c>
      <c r="F133" s="59" t="s">
        <v>23</v>
      </c>
      <c r="G133" s="58" t="s">
        <v>204</v>
      </c>
      <c r="H133" s="60"/>
      <c r="I133" s="61" t="s">
        <v>204</v>
      </c>
      <c r="J133" s="59" t="s">
        <v>25</v>
      </c>
      <c r="K133" s="59" t="s">
        <v>26</v>
      </c>
      <c r="L133" s="62"/>
      <c r="M133" s="63"/>
      <c r="N133" s="64">
        <v>0.1</v>
      </c>
      <c r="O133" s="65" t="s">
        <v>512</v>
      </c>
      <c r="P133" s="64"/>
      <c r="Q133" s="64"/>
    </row>
    <row r="134" spans="1:17" ht="15.75">
      <c r="A134" s="55" t="s">
        <v>513</v>
      </c>
      <c r="B134" s="56" t="s">
        <v>514</v>
      </c>
      <c r="C134" s="57" t="s">
        <v>515</v>
      </c>
      <c r="D134" s="58" t="s">
        <v>91</v>
      </c>
      <c r="E134" s="59" t="s">
        <v>22</v>
      </c>
      <c r="F134" s="59" t="s">
        <v>23</v>
      </c>
      <c r="G134" s="58" t="s">
        <v>204</v>
      </c>
      <c r="H134" s="60"/>
      <c r="I134" s="61" t="s">
        <v>499</v>
      </c>
      <c r="J134" s="59" t="s">
        <v>25</v>
      </c>
      <c r="K134" s="59" t="s">
        <v>26</v>
      </c>
      <c r="L134" s="62"/>
      <c r="M134" s="63"/>
      <c r="N134" s="64">
        <v>0.22</v>
      </c>
      <c r="O134" s="65" t="s">
        <v>516</v>
      </c>
      <c r="P134" s="64"/>
      <c r="Q134" s="64"/>
    </row>
    <row r="135" spans="1:17" ht="30">
      <c r="A135" s="55" t="s">
        <v>517</v>
      </c>
      <c r="B135" s="56" t="s">
        <v>518</v>
      </c>
      <c r="C135" s="57" t="s">
        <v>519</v>
      </c>
      <c r="D135" s="58" t="s">
        <v>91</v>
      </c>
      <c r="E135" s="59" t="s">
        <v>22</v>
      </c>
      <c r="F135" s="59" t="s">
        <v>23</v>
      </c>
      <c r="G135" s="58" t="s">
        <v>204</v>
      </c>
      <c r="H135" s="60"/>
      <c r="I135" s="61" t="s">
        <v>499</v>
      </c>
      <c r="J135" s="59" t="s">
        <v>25</v>
      </c>
      <c r="K135" s="59" t="s">
        <v>26</v>
      </c>
      <c r="L135" s="62"/>
      <c r="M135" s="63"/>
      <c r="N135" s="64">
        <v>0.22</v>
      </c>
      <c r="O135" s="65" t="s">
        <v>516</v>
      </c>
      <c r="P135" s="64"/>
      <c r="Q135" s="64"/>
    </row>
    <row r="136" spans="1:17" ht="45">
      <c r="A136" s="55" t="s">
        <v>520</v>
      </c>
      <c r="B136" s="56" t="s">
        <v>521</v>
      </c>
      <c r="C136" s="57" t="s">
        <v>522</v>
      </c>
      <c r="D136" s="58" t="s">
        <v>91</v>
      </c>
      <c r="E136" s="59" t="s">
        <v>22</v>
      </c>
      <c r="F136" s="59" t="s">
        <v>23</v>
      </c>
      <c r="G136" s="58" t="s">
        <v>26</v>
      </c>
      <c r="H136" s="60"/>
      <c r="I136" s="61" t="s">
        <v>32</v>
      </c>
      <c r="J136" s="59" t="s">
        <v>25</v>
      </c>
      <c r="K136" s="59" t="s">
        <v>26</v>
      </c>
      <c r="L136" s="62"/>
      <c r="M136" s="63"/>
      <c r="N136" s="64">
        <v>0.92</v>
      </c>
      <c r="O136" s="65" t="s">
        <v>93</v>
      </c>
      <c r="P136" s="64"/>
      <c r="Q136" s="64"/>
    </row>
    <row r="137" spans="1:17" ht="30">
      <c r="A137" s="55" t="s">
        <v>523</v>
      </c>
      <c r="B137" s="56" t="s">
        <v>524</v>
      </c>
      <c r="C137" s="57" t="s">
        <v>525</v>
      </c>
      <c r="D137" s="58" t="s">
        <v>45</v>
      </c>
      <c r="E137" s="59" t="s">
        <v>22</v>
      </c>
      <c r="F137" s="59" t="s">
        <v>23</v>
      </c>
      <c r="G137" s="58" t="s">
        <v>24</v>
      </c>
      <c r="H137" s="60"/>
      <c r="I137" s="61" t="s">
        <v>489</v>
      </c>
      <c r="J137" s="59" t="s">
        <v>25</v>
      </c>
      <c r="K137" s="59" t="s">
        <v>33</v>
      </c>
      <c r="L137" s="62"/>
      <c r="M137" s="63"/>
      <c r="N137" s="64">
        <v>0.42</v>
      </c>
      <c r="O137" s="65" t="s">
        <v>93</v>
      </c>
      <c r="P137" s="64"/>
      <c r="Q137" s="64"/>
    </row>
    <row r="138" spans="1:17" ht="30">
      <c r="A138" s="55" t="s">
        <v>526</v>
      </c>
      <c r="B138" s="56" t="s">
        <v>527</v>
      </c>
      <c r="C138" s="57" t="s">
        <v>528</v>
      </c>
      <c r="D138" s="58" t="s">
        <v>45</v>
      </c>
      <c r="E138" s="59" t="s">
        <v>22</v>
      </c>
      <c r="F138" s="59" t="s">
        <v>23</v>
      </c>
      <c r="G138" s="58" t="s">
        <v>24</v>
      </c>
      <c r="H138" s="60"/>
      <c r="I138" s="61" t="s">
        <v>489</v>
      </c>
      <c r="J138" s="59" t="s">
        <v>25</v>
      </c>
      <c r="K138" s="59" t="s">
        <v>33</v>
      </c>
      <c r="L138" s="62"/>
      <c r="M138" s="63"/>
      <c r="N138" s="64">
        <v>2.33</v>
      </c>
      <c r="O138" s="65" t="s">
        <v>93</v>
      </c>
      <c r="P138" s="64"/>
      <c r="Q138" s="64"/>
    </row>
    <row r="139" spans="1:17" ht="30">
      <c r="A139" s="55" t="s">
        <v>529</v>
      </c>
      <c r="B139" s="56" t="s">
        <v>530</v>
      </c>
      <c r="C139" s="57" t="s">
        <v>531</v>
      </c>
      <c r="D139" s="58" t="s">
        <v>45</v>
      </c>
      <c r="E139" s="59" t="s">
        <v>22</v>
      </c>
      <c r="F139" s="59" t="s">
        <v>23</v>
      </c>
      <c r="G139" s="58" t="s">
        <v>46</v>
      </c>
      <c r="H139" s="60"/>
      <c r="I139" s="61" t="s">
        <v>32</v>
      </c>
      <c r="J139" s="59" t="s">
        <v>25</v>
      </c>
      <c r="K139" s="59" t="s">
        <v>33</v>
      </c>
      <c r="L139" s="62"/>
      <c r="M139" s="63"/>
      <c r="N139" s="64">
        <v>2.33</v>
      </c>
      <c r="O139" s="65" t="s">
        <v>93</v>
      </c>
      <c r="P139" s="64"/>
      <c r="Q139" s="64"/>
    </row>
    <row r="140" spans="1:17" ht="15.75">
      <c r="A140" s="55" t="s">
        <v>532</v>
      </c>
      <c r="B140" s="56" t="s">
        <v>533</v>
      </c>
      <c r="C140" s="57" t="s">
        <v>534</v>
      </c>
      <c r="D140" s="58" t="s">
        <v>45</v>
      </c>
      <c r="E140" s="59" t="s">
        <v>22</v>
      </c>
      <c r="F140" s="59" t="s">
        <v>23</v>
      </c>
      <c r="G140" s="58" t="s">
        <v>46</v>
      </c>
      <c r="H140" s="60"/>
      <c r="I140" s="61" t="s">
        <v>535</v>
      </c>
      <c r="J140" s="59" t="s">
        <v>25</v>
      </c>
      <c r="K140" s="59" t="s">
        <v>33</v>
      </c>
      <c r="L140" s="62"/>
      <c r="M140" s="63"/>
      <c r="N140" s="64">
        <v>0.43</v>
      </c>
      <c r="O140" s="65" t="s">
        <v>262</v>
      </c>
      <c r="P140" s="64"/>
      <c r="Q140" s="64"/>
    </row>
    <row r="141" spans="1:17" ht="30">
      <c r="A141" s="55" t="s">
        <v>536</v>
      </c>
      <c r="B141" s="56" t="s">
        <v>537</v>
      </c>
      <c r="C141" s="57" t="s">
        <v>538</v>
      </c>
      <c r="D141" s="58" t="s">
        <v>21</v>
      </c>
      <c r="E141" s="59" t="s">
        <v>22</v>
      </c>
      <c r="F141" s="59" t="s">
        <v>23</v>
      </c>
      <c r="G141" s="58" t="s">
        <v>46</v>
      </c>
      <c r="H141" s="60"/>
      <c r="I141" s="61" t="s">
        <v>46</v>
      </c>
      <c r="J141" s="59" t="s">
        <v>25</v>
      </c>
      <c r="K141" s="59" t="s">
        <v>26</v>
      </c>
      <c r="L141" s="62"/>
      <c r="M141" s="63"/>
      <c r="N141" s="64">
        <v>10</v>
      </c>
      <c r="O141" s="65" t="s">
        <v>539</v>
      </c>
      <c r="P141" s="64"/>
      <c r="Q141" s="64"/>
    </row>
    <row r="142" spans="1:17" ht="15.75">
      <c r="A142" s="55" t="s">
        <v>540</v>
      </c>
      <c r="B142" s="56" t="s">
        <v>541</v>
      </c>
      <c r="C142" s="57" t="s">
        <v>542</v>
      </c>
      <c r="D142" s="58" t="s">
        <v>91</v>
      </c>
      <c r="E142" s="59" t="s">
        <v>22</v>
      </c>
      <c r="F142" s="59" t="s">
        <v>23</v>
      </c>
      <c r="G142" s="58" t="s">
        <v>46</v>
      </c>
      <c r="H142" s="60"/>
      <c r="I142" s="61" t="s">
        <v>46</v>
      </c>
      <c r="J142" s="59" t="s">
        <v>25</v>
      </c>
      <c r="K142" s="59" t="s">
        <v>26</v>
      </c>
      <c r="L142" s="62"/>
      <c r="M142" s="63"/>
      <c r="N142" s="64">
        <v>0.87</v>
      </c>
      <c r="O142" s="65" t="s">
        <v>262</v>
      </c>
      <c r="P142" s="64"/>
      <c r="Q142" s="64"/>
    </row>
    <row r="143" spans="1:17" ht="15.75">
      <c r="A143" s="55" t="s">
        <v>543</v>
      </c>
      <c r="B143" s="56" t="s">
        <v>544</v>
      </c>
      <c r="C143" s="57" t="s">
        <v>545</v>
      </c>
      <c r="D143" s="58" t="s">
        <v>91</v>
      </c>
      <c r="E143" s="59" t="s">
        <v>22</v>
      </c>
      <c r="F143" s="59" t="s">
        <v>23</v>
      </c>
      <c r="G143" s="58" t="s">
        <v>46</v>
      </c>
      <c r="H143" s="60"/>
      <c r="I143" s="61" t="s">
        <v>46</v>
      </c>
      <c r="J143" s="59" t="s">
        <v>25</v>
      </c>
      <c r="K143" s="59" t="s">
        <v>26</v>
      </c>
      <c r="L143" s="62"/>
      <c r="M143" s="63"/>
      <c r="N143" s="64">
        <v>0.87</v>
      </c>
      <c r="O143" s="65" t="s">
        <v>262</v>
      </c>
      <c r="P143" s="64"/>
      <c r="Q143" s="64"/>
    </row>
    <row r="144" spans="1:17" ht="15.75">
      <c r="A144" s="55" t="s">
        <v>546</v>
      </c>
      <c r="B144" s="56" t="s">
        <v>547</v>
      </c>
      <c r="C144" s="57" t="s">
        <v>548</v>
      </c>
      <c r="D144" s="58" t="s">
        <v>91</v>
      </c>
      <c r="E144" s="59" t="s">
        <v>22</v>
      </c>
      <c r="F144" s="59" t="s">
        <v>23</v>
      </c>
      <c r="G144" s="58" t="s">
        <v>46</v>
      </c>
      <c r="H144" s="60"/>
      <c r="I144" s="61" t="s">
        <v>78</v>
      </c>
      <c r="J144" s="59" t="s">
        <v>25</v>
      </c>
      <c r="K144" s="59" t="s">
        <v>41</v>
      </c>
      <c r="L144" s="62"/>
      <c r="M144" s="63"/>
      <c r="N144" s="64">
        <v>0.22</v>
      </c>
      <c r="O144" s="65" t="s">
        <v>152</v>
      </c>
      <c r="P144" s="64"/>
      <c r="Q144" s="64"/>
    </row>
    <row r="145" spans="1:17" ht="15.75">
      <c r="A145" s="55" t="s">
        <v>549</v>
      </c>
      <c r="B145" s="56" t="s">
        <v>550</v>
      </c>
      <c r="C145" s="57" t="s">
        <v>551</v>
      </c>
      <c r="D145" s="58" t="s">
        <v>21</v>
      </c>
      <c r="E145" s="59" t="s">
        <v>22</v>
      </c>
      <c r="F145" s="59" t="s">
        <v>23</v>
      </c>
      <c r="G145" s="58" t="s">
        <v>552</v>
      </c>
      <c r="H145" s="60"/>
      <c r="I145" s="61" t="s">
        <v>552</v>
      </c>
      <c r="J145" s="59" t="s">
        <v>25</v>
      </c>
      <c r="K145" s="59" t="s">
        <v>26</v>
      </c>
      <c r="L145" s="62"/>
      <c r="M145" s="63"/>
      <c r="N145" s="64">
        <v>1</v>
      </c>
      <c r="O145" s="65" t="s">
        <v>553</v>
      </c>
      <c r="P145" s="64"/>
      <c r="Q145" s="64"/>
    </row>
    <row r="146" spans="1:17" ht="15.75">
      <c r="A146" s="55" t="s">
        <v>554</v>
      </c>
      <c r="B146" s="56" t="s">
        <v>555</v>
      </c>
      <c r="C146" s="57" t="s">
        <v>556</v>
      </c>
      <c r="D146" s="58" t="s">
        <v>91</v>
      </c>
      <c r="E146" s="59" t="s">
        <v>22</v>
      </c>
      <c r="F146" s="59" t="s">
        <v>23</v>
      </c>
      <c r="G146" s="58" t="s">
        <v>46</v>
      </c>
      <c r="H146" s="60"/>
      <c r="I146" s="61" t="s">
        <v>46</v>
      </c>
      <c r="J146" s="59" t="s">
        <v>25</v>
      </c>
      <c r="K146" s="59" t="s">
        <v>26</v>
      </c>
      <c r="L146" s="62"/>
      <c r="M146" s="63"/>
      <c r="N146" s="64">
        <v>2.5</v>
      </c>
      <c r="O146" s="65" t="s">
        <v>421</v>
      </c>
      <c r="P146" s="64"/>
      <c r="Q146" s="64"/>
    </row>
    <row r="147" spans="1:17" ht="15.75">
      <c r="A147" s="55" t="s">
        <v>557</v>
      </c>
      <c r="B147" s="56" t="s">
        <v>558</v>
      </c>
      <c r="C147" s="57" t="s">
        <v>559</v>
      </c>
      <c r="D147" s="58" t="s">
        <v>91</v>
      </c>
      <c r="E147" s="59" t="s">
        <v>22</v>
      </c>
      <c r="F147" s="59" t="s">
        <v>23</v>
      </c>
      <c r="G147" s="58" t="s">
        <v>26</v>
      </c>
      <c r="H147" s="60"/>
      <c r="I147" s="61" t="s">
        <v>32</v>
      </c>
      <c r="J147" s="59" t="s">
        <v>25</v>
      </c>
      <c r="K147" s="59" t="s">
        <v>33</v>
      </c>
      <c r="L147" s="62"/>
      <c r="M147" s="63"/>
      <c r="N147" s="64">
        <v>3.52</v>
      </c>
      <c r="O147" s="65" t="s">
        <v>235</v>
      </c>
      <c r="P147" s="64"/>
      <c r="Q147" s="64"/>
    </row>
    <row r="148" spans="1:17" ht="15.75">
      <c r="A148" s="55" t="s">
        <v>560</v>
      </c>
      <c r="B148" s="56" t="s">
        <v>561</v>
      </c>
      <c r="C148" s="57" t="s">
        <v>562</v>
      </c>
      <c r="D148" s="58" t="s">
        <v>91</v>
      </c>
      <c r="E148" s="59" t="s">
        <v>22</v>
      </c>
      <c r="F148" s="59" t="s">
        <v>23</v>
      </c>
      <c r="G148" s="58" t="s">
        <v>26</v>
      </c>
      <c r="H148" s="60"/>
      <c r="I148" s="61" t="s">
        <v>32</v>
      </c>
      <c r="J148" s="59" t="s">
        <v>25</v>
      </c>
      <c r="K148" s="59" t="s">
        <v>41</v>
      </c>
      <c r="L148" s="62"/>
      <c r="M148" s="63"/>
      <c r="N148" s="64">
        <v>3.52</v>
      </c>
      <c r="O148" s="65" t="s">
        <v>563</v>
      </c>
      <c r="P148" s="64"/>
      <c r="Q148" s="64"/>
    </row>
    <row r="149" spans="1:17" ht="15.75">
      <c r="A149" s="55" t="s">
        <v>564</v>
      </c>
      <c r="B149" s="56" t="s">
        <v>565</v>
      </c>
      <c r="C149" s="57" t="s">
        <v>566</v>
      </c>
      <c r="D149" s="58" t="s">
        <v>91</v>
      </c>
      <c r="E149" s="59" t="s">
        <v>22</v>
      </c>
      <c r="F149" s="59" t="s">
        <v>23</v>
      </c>
      <c r="G149" s="58" t="s">
        <v>24</v>
      </c>
      <c r="H149" s="60"/>
      <c r="I149" s="61" t="s">
        <v>489</v>
      </c>
      <c r="J149" s="59" t="s">
        <v>25</v>
      </c>
      <c r="K149" s="59" t="s">
        <v>26</v>
      </c>
      <c r="L149" s="62"/>
      <c r="M149" s="63"/>
      <c r="N149" s="64">
        <v>10.119999999999999</v>
      </c>
      <c r="O149" s="65" t="s">
        <v>482</v>
      </c>
      <c r="P149" s="64"/>
      <c r="Q149" s="64"/>
    </row>
    <row r="150" spans="1:17" ht="15.75">
      <c r="A150" s="55" t="s">
        <v>567</v>
      </c>
      <c r="B150" s="56" t="s">
        <v>568</v>
      </c>
      <c r="C150" s="57" t="s">
        <v>569</v>
      </c>
      <c r="D150" s="58" t="s">
        <v>91</v>
      </c>
      <c r="E150" s="59" t="s">
        <v>22</v>
      </c>
      <c r="F150" s="59" t="s">
        <v>23</v>
      </c>
      <c r="G150" s="58" t="s">
        <v>26</v>
      </c>
      <c r="H150" s="60"/>
      <c r="I150" s="61" t="s">
        <v>32</v>
      </c>
      <c r="J150" s="59" t="s">
        <v>25</v>
      </c>
      <c r="K150" s="59" t="s">
        <v>33</v>
      </c>
      <c r="L150" s="62"/>
      <c r="M150" s="63"/>
      <c r="N150" s="64">
        <v>6.3</v>
      </c>
      <c r="O150" s="65" t="s">
        <v>93</v>
      </c>
      <c r="P150" s="64"/>
      <c r="Q150" s="64"/>
    </row>
    <row r="151" spans="1:17" ht="15.75">
      <c r="A151" s="55" t="s">
        <v>570</v>
      </c>
      <c r="B151" s="56" t="s">
        <v>571</v>
      </c>
      <c r="C151" s="57" t="s">
        <v>572</v>
      </c>
      <c r="D151" s="58" t="s">
        <v>21</v>
      </c>
      <c r="E151" s="59" t="s">
        <v>22</v>
      </c>
      <c r="F151" s="59" t="s">
        <v>23</v>
      </c>
      <c r="G151" s="58" t="s">
        <v>24</v>
      </c>
      <c r="H151" s="60"/>
      <c r="I151" s="61" t="s">
        <v>489</v>
      </c>
      <c r="J151" s="59" t="s">
        <v>25</v>
      </c>
      <c r="K151" s="59"/>
      <c r="L151" s="62"/>
      <c r="M151" s="63"/>
      <c r="N151" s="64">
        <v>2.1</v>
      </c>
      <c r="O151" s="65" t="s">
        <v>100</v>
      </c>
      <c r="P151" s="64"/>
      <c r="Q151" s="64"/>
    </row>
    <row r="152" spans="1:17" ht="47.25">
      <c r="A152" s="55" t="s">
        <v>573</v>
      </c>
      <c r="B152" s="56" t="s">
        <v>574</v>
      </c>
      <c r="C152" s="57" t="s">
        <v>575</v>
      </c>
      <c r="D152" s="58" t="s">
        <v>21</v>
      </c>
      <c r="E152" s="59" t="s">
        <v>22</v>
      </c>
      <c r="F152" s="59" t="s">
        <v>23</v>
      </c>
      <c r="G152" s="58"/>
      <c r="H152" s="60"/>
      <c r="I152" s="61" t="s">
        <v>576</v>
      </c>
      <c r="J152" s="59" t="s">
        <v>25</v>
      </c>
      <c r="K152" s="59" t="s">
        <v>41</v>
      </c>
      <c r="L152" s="62"/>
      <c r="M152" s="63"/>
      <c r="N152" s="64">
        <v>16.45</v>
      </c>
      <c r="O152" s="65" t="s">
        <v>116</v>
      </c>
      <c r="P152" s="64"/>
      <c r="Q152" s="64"/>
    </row>
    <row r="153" spans="1:17" ht="47.25">
      <c r="A153" s="55" t="s">
        <v>577</v>
      </c>
      <c r="B153" s="56" t="s">
        <v>578</v>
      </c>
      <c r="C153" s="57" t="s">
        <v>579</v>
      </c>
      <c r="D153" s="58" t="s">
        <v>21</v>
      </c>
      <c r="E153" s="59" t="s">
        <v>22</v>
      </c>
      <c r="F153" s="59" t="s">
        <v>23</v>
      </c>
      <c r="G153" s="58"/>
      <c r="H153" s="60"/>
      <c r="I153" s="61" t="s">
        <v>576</v>
      </c>
      <c r="J153" s="59" t="s">
        <v>25</v>
      </c>
      <c r="K153" s="59" t="s">
        <v>41</v>
      </c>
      <c r="L153" s="62"/>
      <c r="M153" s="63"/>
      <c r="N153" s="64">
        <v>0.67</v>
      </c>
      <c r="O153" s="65" t="s">
        <v>580</v>
      </c>
      <c r="P153" s="64"/>
      <c r="Q153" s="64"/>
    </row>
    <row r="154" spans="1:17" ht="15.75">
      <c r="A154" s="55" t="s">
        <v>581</v>
      </c>
      <c r="B154" s="56" t="s">
        <v>582</v>
      </c>
      <c r="C154" s="57" t="s">
        <v>583</v>
      </c>
      <c r="D154" s="58" t="s">
        <v>21</v>
      </c>
      <c r="E154" s="59" t="s">
        <v>22</v>
      </c>
      <c r="F154" s="59" t="s">
        <v>23</v>
      </c>
      <c r="G154" s="58" t="s">
        <v>26</v>
      </c>
      <c r="H154" s="60"/>
      <c r="I154" s="61" t="s">
        <v>32</v>
      </c>
      <c r="J154" s="59" t="s">
        <v>25</v>
      </c>
      <c r="K154" s="59" t="s">
        <v>41</v>
      </c>
      <c r="L154" s="62"/>
      <c r="M154" s="63"/>
      <c r="N154" s="64">
        <v>2.2000000000000002</v>
      </c>
      <c r="O154" s="65" t="s">
        <v>116</v>
      </c>
      <c r="P154" s="64"/>
      <c r="Q154" s="64"/>
    </row>
    <row r="155" spans="1:17" ht="15.75">
      <c r="A155" s="55" t="s">
        <v>584</v>
      </c>
      <c r="B155" s="56" t="s">
        <v>585</v>
      </c>
      <c r="C155" s="57" t="s">
        <v>586</v>
      </c>
      <c r="D155" s="58" t="s">
        <v>21</v>
      </c>
      <c r="E155" s="59" t="s">
        <v>22</v>
      </c>
      <c r="F155" s="59" t="s">
        <v>23</v>
      </c>
      <c r="G155" s="58"/>
      <c r="H155" s="60"/>
      <c r="I155" s="61" t="s">
        <v>587</v>
      </c>
      <c r="J155" s="59" t="s">
        <v>25</v>
      </c>
      <c r="K155" s="59" t="s">
        <v>41</v>
      </c>
      <c r="L155" s="62"/>
      <c r="M155" s="63"/>
      <c r="N155" s="64">
        <v>6.17</v>
      </c>
      <c r="O155" s="65" t="s">
        <v>116</v>
      </c>
      <c r="P155" s="64"/>
      <c r="Q155" s="64"/>
    </row>
    <row r="156" spans="1:17" ht="31.5">
      <c r="A156" s="55" t="s">
        <v>588</v>
      </c>
      <c r="B156" s="56" t="s">
        <v>589</v>
      </c>
      <c r="C156" s="57" t="s">
        <v>590</v>
      </c>
      <c r="D156" s="58" t="s">
        <v>21</v>
      </c>
      <c r="E156" s="59" t="s">
        <v>22</v>
      </c>
      <c r="F156" s="59" t="s">
        <v>23</v>
      </c>
      <c r="G156" s="58"/>
      <c r="H156" s="60"/>
      <c r="I156" s="61" t="s">
        <v>591</v>
      </c>
      <c r="J156" s="59" t="s">
        <v>25</v>
      </c>
      <c r="K156" s="59" t="s">
        <v>41</v>
      </c>
      <c r="L156" s="62"/>
      <c r="M156" s="63"/>
      <c r="N156" s="64">
        <v>3.5</v>
      </c>
      <c r="O156" s="65" t="s">
        <v>592</v>
      </c>
      <c r="P156" s="64"/>
      <c r="Q156" s="64"/>
    </row>
    <row r="157" spans="1:17" ht="30">
      <c r="A157" s="55" t="s">
        <v>593</v>
      </c>
      <c r="B157" s="56" t="s">
        <v>594</v>
      </c>
      <c r="C157" s="57" t="s">
        <v>595</v>
      </c>
      <c r="D157" s="58" t="s">
        <v>69</v>
      </c>
      <c r="E157" s="59" t="s">
        <v>22</v>
      </c>
      <c r="F157" s="59" t="s">
        <v>23</v>
      </c>
      <c r="G157" s="58" t="s">
        <v>78</v>
      </c>
      <c r="H157" s="60"/>
      <c r="I157" s="61" t="s">
        <v>78</v>
      </c>
      <c r="J157" s="59" t="s">
        <v>25</v>
      </c>
      <c r="K157" s="59" t="s">
        <v>26</v>
      </c>
      <c r="L157" s="62"/>
      <c r="M157" s="63"/>
      <c r="N157" s="64">
        <v>1.5</v>
      </c>
      <c r="O157" s="65" t="s">
        <v>37</v>
      </c>
      <c r="P157" s="64"/>
      <c r="Q157" s="64"/>
    </row>
    <row r="158" spans="1:17" ht="30.75">
      <c r="A158" s="55" t="s">
        <v>596</v>
      </c>
      <c r="B158" s="56" t="s">
        <v>597</v>
      </c>
      <c r="C158" s="57" t="s">
        <v>598</v>
      </c>
      <c r="D158" s="58" t="s">
        <v>45</v>
      </c>
      <c r="E158" s="59" t="s">
        <v>22</v>
      </c>
      <c r="F158" s="59" t="s">
        <v>23</v>
      </c>
      <c r="G158" s="58" t="s">
        <v>46</v>
      </c>
      <c r="H158" s="60" t="s">
        <v>47</v>
      </c>
      <c r="I158" s="61" t="s">
        <v>599</v>
      </c>
      <c r="J158" s="59" t="s">
        <v>25</v>
      </c>
      <c r="K158" s="59" t="s">
        <v>33</v>
      </c>
      <c r="L158" s="62">
        <v>46222</v>
      </c>
      <c r="M158" s="63"/>
      <c r="N158" s="64">
        <v>0.5</v>
      </c>
      <c r="O158" s="65" t="s">
        <v>37</v>
      </c>
      <c r="P158" s="64"/>
      <c r="Q158" s="64"/>
    </row>
    <row r="159" spans="1:17" ht="15.75">
      <c r="A159" s="55" t="s">
        <v>600</v>
      </c>
      <c r="B159" s="56" t="s">
        <v>601</v>
      </c>
      <c r="C159" s="57" t="s">
        <v>602</v>
      </c>
      <c r="D159" s="58" t="s">
        <v>21</v>
      </c>
      <c r="E159" s="59" t="s">
        <v>22</v>
      </c>
      <c r="F159" s="59" t="s">
        <v>23</v>
      </c>
      <c r="G159" s="58" t="s">
        <v>204</v>
      </c>
      <c r="H159" s="60"/>
      <c r="I159" s="61" t="s">
        <v>603</v>
      </c>
      <c r="J159" s="59" t="s">
        <v>25</v>
      </c>
      <c r="K159" s="59" t="s">
        <v>26</v>
      </c>
      <c r="L159" s="62"/>
      <c r="M159" s="63"/>
      <c r="N159" s="64">
        <v>2.5</v>
      </c>
      <c r="O159" s="65" t="s">
        <v>604</v>
      </c>
      <c r="P159" s="64"/>
      <c r="Q159" s="64"/>
    </row>
    <row r="160" spans="1:17" ht="30">
      <c r="A160" s="55" t="s">
        <v>605</v>
      </c>
      <c r="B160" s="56" t="s">
        <v>606</v>
      </c>
      <c r="C160" s="57" t="s">
        <v>607</v>
      </c>
      <c r="D160" s="58" t="s">
        <v>21</v>
      </c>
      <c r="E160" s="59" t="s">
        <v>22</v>
      </c>
      <c r="F160" s="59" t="s">
        <v>23</v>
      </c>
      <c r="G160" s="58" t="s">
        <v>204</v>
      </c>
      <c r="H160" s="60"/>
      <c r="I160" s="61" t="s">
        <v>603</v>
      </c>
      <c r="J160" s="59" t="s">
        <v>25</v>
      </c>
      <c r="K160" s="59" t="s">
        <v>26</v>
      </c>
      <c r="L160" s="62"/>
      <c r="M160" s="63"/>
      <c r="N160" s="64">
        <v>2.5</v>
      </c>
      <c r="O160" s="65" t="s">
        <v>604</v>
      </c>
      <c r="P160" s="64"/>
      <c r="Q160" s="64"/>
    </row>
    <row r="161" spans="1:17" ht="15.75">
      <c r="A161" s="55" t="s">
        <v>608</v>
      </c>
      <c r="B161" s="56" t="s">
        <v>609</v>
      </c>
      <c r="C161" s="57" t="s">
        <v>610</v>
      </c>
      <c r="D161" s="58" t="s">
        <v>21</v>
      </c>
      <c r="E161" s="59" t="s">
        <v>22</v>
      </c>
      <c r="F161" s="59" t="s">
        <v>23</v>
      </c>
      <c r="G161" s="58" t="s">
        <v>204</v>
      </c>
      <c r="H161" s="60"/>
      <c r="I161" s="61" t="s">
        <v>603</v>
      </c>
      <c r="J161" s="59" t="s">
        <v>25</v>
      </c>
      <c r="K161" s="59" t="s">
        <v>26</v>
      </c>
      <c r="L161" s="62"/>
      <c r="M161" s="63"/>
      <c r="N161" s="64">
        <v>2</v>
      </c>
      <c r="O161" s="65" t="s">
        <v>604</v>
      </c>
      <c r="P161" s="64"/>
      <c r="Q161" s="64"/>
    </row>
    <row r="162" spans="1:17" ht="15.75">
      <c r="A162" s="55" t="s">
        <v>611</v>
      </c>
      <c r="B162" s="56" t="s">
        <v>612</v>
      </c>
      <c r="C162" s="57" t="s">
        <v>613</v>
      </c>
      <c r="D162" s="58" t="s">
        <v>21</v>
      </c>
      <c r="E162" s="59" t="s">
        <v>22</v>
      </c>
      <c r="F162" s="59" t="s">
        <v>23</v>
      </c>
      <c r="G162" s="58" t="s">
        <v>204</v>
      </c>
      <c r="H162" s="60"/>
      <c r="I162" s="61" t="s">
        <v>614</v>
      </c>
      <c r="J162" s="59" t="s">
        <v>25</v>
      </c>
      <c r="K162" s="59" t="s">
        <v>26</v>
      </c>
      <c r="L162" s="62"/>
      <c r="M162" s="63"/>
      <c r="N162" s="64">
        <v>471</v>
      </c>
      <c r="O162" s="65" t="s">
        <v>82</v>
      </c>
      <c r="P162" s="64"/>
      <c r="Q162" s="64"/>
    </row>
    <row r="163" spans="1:17" ht="15.75">
      <c r="A163" s="55" t="s">
        <v>615</v>
      </c>
      <c r="B163" s="56" t="s">
        <v>616</v>
      </c>
      <c r="C163" s="57" t="s">
        <v>617</v>
      </c>
      <c r="D163" s="58" t="s">
        <v>21</v>
      </c>
      <c r="E163" s="59" t="s">
        <v>22</v>
      </c>
      <c r="F163" s="59" t="s">
        <v>23</v>
      </c>
      <c r="G163" s="58" t="s">
        <v>204</v>
      </c>
      <c r="H163" s="60"/>
      <c r="I163" s="61" t="s">
        <v>614</v>
      </c>
      <c r="J163" s="59" t="s">
        <v>25</v>
      </c>
      <c r="K163" s="59" t="s">
        <v>26</v>
      </c>
      <c r="L163" s="62"/>
      <c r="M163" s="63"/>
      <c r="N163" s="64">
        <v>170</v>
      </c>
      <c r="O163" s="65" t="s">
        <v>82</v>
      </c>
      <c r="P163" s="64"/>
      <c r="Q163" s="64"/>
    </row>
    <row r="164" spans="1:17" ht="15.75">
      <c r="A164" s="55" t="s">
        <v>618</v>
      </c>
      <c r="B164" s="56" t="s">
        <v>619</v>
      </c>
      <c r="C164" s="57" t="s">
        <v>620</v>
      </c>
      <c r="D164" s="58" t="s">
        <v>21</v>
      </c>
      <c r="E164" s="59" t="s">
        <v>22</v>
      </c>
      <c r="F164" s="59" t="s">
        <v>23</v>
      </c>
      <c r="G164" s="58" t="s">
        <v>204</v>
      </c>
      <c r="H164" s="60"/>
      <c r="I164" s="61" t="s">
        <v>621</v>
      </c>
      <c r="J164" s="59" t="s">
        <v>25</v>
      </c>
      <c r="K164" s="59" t="s">
        <v>26</v>
      </c>
      <c r="L164" s="62"/>
      <c r="M164" s="63"/>
      <c r="N164" s="64">
        <v>23.17</v>
      </c>
      <c r="O164" s="65" t="s">
        <v>622</v>
      </c>
      <c r="P164" s="64"/>
      <c r="Q164" s="64"/>
    </row>
    <row r="165" spans="1:17" ht="31.5">
      <c r="A165" s="55" t="s">
        <v>623</v>
      </c>
      <c r="B165" s="56" t="s">
        <v>624</v>
      </c>
      <c r="C165" s="57" t="s">
        <v>625</v>
      </c>
      <c r="D165" s="58" t="s">
        <v>21</v>
      </c>
      <c r="E165" s="59" t="s">
        <v>22</v>
      </c>
      <c r="F165" s="59" t="s">
        <v>23</v>
      </c>
      <c r="G165" s="58" t="s">
        <v>204</v>
      </c>
      <c r="H165" s="60"/>
      <c r="I165" s="61" t="s">
        <v>626</v>
      </c>
      <c r="J165" s="59" t="s">
        <v>25</v>
      </c>
      <c r="K165" s="59" t="s">
        <v>26</v>
      </c>
      <c r="L165" s="62"/>
      <c r="M165" s="63"/>
      <c r="N165" s="64">
        <v>18</v>
      </c>
      <c r="O165" s="65" t="s">
        <v>622</v>
      </c>
      <c r="P165" s="64"/>
      <c r="Q165" s="64"/>
    </row>
    <row r="166" spans="1:17" ht="15.75">
      <c r="A166" s="55" t="s">
        <v>627</v>
      </c>
      <c r="B166" s="56" t="s">
        <v>628</v>
      </c>
      <c r="C166" s="57" t="s">
        <v>629</v>
      </c>
      <c r="D166" s="58" t="s">
        <v>21</v>
      </c>
      <c r="E166" s="59" t="s">
        <v>22</v>
      </c>
      <c r="F166" s="59" t="s">
        <v>23</v>
      </c>
      <c r="G166" s="58" t="s">
        <v>204</v>
      </c>
      <c r="H166" s="60"/>
      <c r="I166" s="61" t="s">
        <v>603</v>
      </c>
      <c r="J166" s="59" t="s">
        <v>25</v>
      </c>
      <c r="K166" s="59" t="s">
        <v>33</v>
      </c>
      <c r="L166" s="62"/>
      <c r="M166" s="63"/>
      <c r="N166" s="64">
        <v>18.5</v>
      </c>
      <c r="O166" s="65" t="s">
        <v>622</v>
      </c>
      <c r="P166" s="64"/>
      <c r="Q166" s="64"/>
    </row>
    <row r="167" spans="1:17" ht="30">
      <c r="A167" s="55" t="s">
        <v>630</v>
      </c>
      <c r="B167" s="56" t="s">
        <v>631</v>
      </c>
      <c r="C167" s="57" t="s">
        <v>632</v>
      </c>
      <c r="D167" s="58" t="s">
        <v>21</v>
      </c>
      <c r="E167" s="59" t="s">
        <v>22</v>
      </c>
      <c r="F167" s="59" t="s">
        <v>23</v>
      </c>
      <c r="G167" s="58" t="s">
        <v>204</v>
      </c>
      <c r="H167" s="60"/>
      <c r="I167" s="61" t="s">
        <v>603</v>
      </c>
      <c r="J167" s="59" t="s">
        <v>25</v>
      </c>
      <c r="K167" s="59" t="s">
        <v>26</v>
      </c>
      <c r="L167" s="62"/>
      <c r="M167" s="63"/>
      <c r="N167" s="64">
        <v>2.5</v>
      </c>
      <c r="O167" s="65" t="s">
        <v>622</v>
      </c>
      <c r="P167" s="64"/>
      <c r="Q167" s="64"/>
    </row>
    <row r="168" spans="1:17" ht="15.75">
      <c r="A168" s="55" t="s">
        <v>633</v>
      </c>
      <c r="B168" s="56" t="s">
        <v>634</v>
      </c>
      <c r="C168" s="57" t="s">
        <v>635</v>
      </c>
      <c r="D168" s="58" t="s">
        <v>21</v>
      </c>
      <c r="E168" s="59" t="s">
        <v>22</v>
      </c>
      <c r="F168" s="59" t="s">
        <v>23</v>
      </c>
      <c r="G168" s="58" t="s">
        <v>204</v>
      </c>
      <c r="H168" s="60"/>
      <c r="I168" s="61" t="s">
        <v>603</v>
      </c>
      <c r="J168" s="59" t="s">
        <v>25</v>
      </c>
      <c r="K168" s="59" t="s">
        <v>26</v>
      </c>
      <c r="L168" s="62"/>
      <c r="M168" s="63"/>
      <c r="N168" s="64">
        <v>4</v>
      </c>
      <c r="O168" s="65" t="s">
        <v>622</v>
      </c>
      <c r="P168" s="64"/>
      <c r="Q168" s="64"/>
    </row>
    <row r="169" spans="1:17" ht="15.75">
      <c r="A169" s="55" t="s">
        <v>636</v>
      </c>
      <c r="B169" s="56" t="s">
        <v>637</v>
      </c>
      <c r="C169" s="57" t="s">
        <v>638</v>
      </c>
      <c r="D169" s="58" t="s">
        <v>21</v>
      </c>
      <c r="E169" s="59" t="s">
        <v>22</v>
      </c>
      <c r="F169" s="59" t="s">
        <v>23</v>
      </c>
      <c r="G169" s="58" t="s">
        <v>204</v>
      </c>
      <c r="H169" s="60"/>
      <c r="I169" s="61" t="s">
        <v>603</v>
      </c>
      <c r="J169" s="59" t="s">
        <v>25</v>
      </c>
      <c r="K169" s="59" t="s">
        <v>26</v>
      </c>
      <c r="L169" s="62"/>
      <c r="M169" s="63"/>
      <c r="N169" s="64">
        <v>2.5</v>
      </c>
      <c r="O169" s="65" t="s">
        <v>622</v>
      </c>
      <c r="P169" s="64"/>
      <c r="Q169" s="64"/>
    </row>
    <row r="170" spans="1:17" ht="30">
      <c r="A170" s="55" t="s">
        <v>639</v>
      </c>
      <c r="B170" s="56" t="s">
        <v>640</v>
      </c>
      <c r="C170" s="57" t="s">
        <v>641</v>
      </c>
      <c r="D170" s="58" t="s">
        <v>21</v>
      </c>
      <c r="E170" s="59" t="s">
        <v>22</v>
      </c>
      <c r="F170" s="59" t="s">
        <v>23</v>
      </c>
      <c r="G170" s="58"/>
      <c r="H170" s="60"/>
      <c r="I170" s="61" t="s">
        <v>614</v>
      </c>
      <c r="J170" s="59" t="s">
        <v>25</v>
      </c>
      <c r="K170" s="59" t="s">
        <v>33</v>
      </c>
      <c r="L170" s="62"/>
      <c r="M170" s="63"/>
      <c r="N170" s="64">
        <v>1.5</v>
      </c>
      <c r="O170" s="65" t="s">
        <v>100</v>
      </c>
      <c r="P170" s="64"/>
      <c r="Q170" s="64"/>
    </row>
    <row r="171" spans="1:17" ht="30">
      <c r="A171" s="55" t="s">
        <v>642</v>
      </c>
      <c r="B171" s="56" t="s">
        <v>643</v>
      </c>
      <c r="C171" s="57" t="s">
        <v>644</v>
      </c>
      <c r="D171" s="58" t="s">
        <v>21</v>
      </c>
      <c r="E171" s="59" t="s">
        <v>22</v>
      </c>
      <c r="F171" s="59" t="s">
        <v>23</v>
      </c>
      <c r="G171" s="58"/>
      <c r="H171" s="60"/>
      <c r="I171" s="61" t="s">
        <v>614</v>
      </c>
      <c r="J171" s="59" t="s">
        <v>25</v>
      </c>
      <c r="K171" s="59" t="s">
        <v>33</v>
      </c>
      <c r="L171" s="62"/>
      <c r="M171" s="63"/>
      <c r="N171" s="64">
        <v>3</v>
      </c>
      <c r="O171" s="65" t="s">
        <v>100</v>
      </c>
      <c r="P171" s="64"/>
      <c r="Q171" s="64"/>
    </row>
    <row r="172" spans="1:17" ht="30">
      <c r="A172" s="55" t="s">
        <v>645</v>
      </c>
      <c r="B172" s="56" t="s">
        <v>646</v>
      </c>
      <c r="C172" s="57" t="s">
        <v>647</v>
      </c>
      <c r="D172" s="58" t="s">
        <v>21</v>
      </c>
      <c r="E172" s="59" t="s">
        <v>22</v>
      </c>
      <c r="F172" s="59" t="s">
        <v>23</v>
      </c>
      <c r="G172" s="58"/>
      <c r="H172" s="60"/>
      <c r="I172" s="61" t="s">
        <v>614</v>
      </c>
      <c r="J172" s="59" t="s">
        <v>25</v>
      </c>
      <c r="K172" s="59" t="s">
        <v>33</v>
      </c>
      <c r="L172" s="62"/>
      <c r="M172" s="63"/>
      <c r="N172" s="64">
        <v>8.33</v>
      </c>
      <c r="O172" s="65" t="s">
        <v>100</v>
      </c>
      <c r="P172" s="64"/>
      <c r="Q172" s="64"/>
    </row>
    <row r="173" spans="1:17" ht="30">
      <c r="A173" s="55" t="s">
        <v>648</v>
      </c>
      <c r="B173" s="56" t="s">
        <v>649</v>
      </c>
      <c r="C173" s="57" t="s">
        <v>650</v>
      </c>
      <c r="D173" s="58" t="s">
        <v>21</v>
      </c>
      <c r="E173" s="59" t="s">
        <v>22</v>
      </c>
      <c r="F173" s="59" t="s">
        <v>23</v>
      </c>
      <c r="G173" s="58"/>
      <c r="H173" s="60"/>
      <c r="I173" s="61" t="s">
        <v>614</v>
      </c>
      <c r="J173" s="59" t="s">
        <v>25</v>
      </c>
      <c r="K173" s="59" t="s">
        <v>33</v>
      </c>
      <c r="L173" s="62"/>
      <c r="M173" s="63"/>
      <c r="N173" s="64">
        <v>8.33</v>
      </c>
      <c r="O173" s="65" t="s">
        <v>100</v>
      </c>
      <c r="P173" s="64"/>
      <c r="Q173" s="64"/>
    </row>
    <row r="174" spans="1:17" ht="30">
      <c r="A174" s="55" t="s">
        <v>651</v>
      </c>
      <c r="B174" s="56" t="s">
        <v>652</v>
      </c>
      <c r="C174" s="57" t="s">
        <v>653</v>
      </c>
      <c r="D174" s="58" t="s">
        <v>21</v>
      </c>
      <c r="E174" s="59" t="s">
        <v>22</v>
      </c>
      <c r="F174" s="59" t="s">
        <v>23</v>
      </c>
      <c r="G174" s="58"/>
      <c r="H174" s="60"/>
      <c r="I174" s="61" t="s">
        <v>614</v>
      </c>
      <c r="J174" s="59" t="s">
        <v>25</v>
      </c>
      <c r="K174" s="59"/>
      <c r="L174" s="62"/>
      <c r="M174" s="63"/>
      <c r="N174" s="64">
        <v>25</v>
      </c>
      <c r="O174" s="65" t="s">
        <v>100</v>
      </c>
      <c r="P174" s="64"/>
      <c r="Q174" s="64"/>
    </row>
    <row r="175" spans="1:17" ht="30">
      <c r="A175" s="55" t="s">
        <v>654</v>
      </c>
      <c r="B175" s="56" t="s">
        <v>655</v>
      </c>
      <c r="C175" s="57" t="s">
        <v>656</v>
      </c>
      <c r="D175" s="58" t="s">
        <v>21</v>
      </c>
      <c r="E175" s="59" t="s">
        <v>22</v>
      </c>
      <c r="F175" s="59" t="s">
        <v>23</v>
      </c>
      <c r="G175" s="58"/>
      <c r="H175" s="60"/>
      <c r="I175" s="61" t="s">
        <v>657</v>
      </c>
      <c r="J175" s="59" t="s">
        <v>25</v>
      </c>
      <c r="K175" s="59"/>
      <c r="L175" s="62"/>
      <c r="M175" s="63"/>
      <c r="N175" s="64">
        <v>62</v>
      </c>
      <c r="O175" s="65" t="s">
        <v>100</v>
      </c>
      <c r="P175" s="64"/>
      <c r="Q175" s="64"/>
    </row>
    <row r="176" spans="1:17" ht="30">
      <c r="A176" s="55" t="s">
        <v>658</v>
      </c>
      <c r="B176" s="56" t="s">
        <v>659</v>
      </c>
      <c r="C176" s="57" t="s">
        <v>660</v>
      </c>
      <c r="D176" s="58" t="s">
        <v>21</v>
      </c>
      <c r="E176" s="59" t="s">
        <v>22</v>
      </c>
      <c r="F176" s="59" t="s">
        <v>23</v>
      </c>
      <c r="G176" s="58"/>
      <c r="H176" s="60"/>
      <c r="I176" s="61" t="s">
        <v>127</v>
      </c>
      <c r="J176" s="59" t="s">
        <v>25</v>
      </c>
      <c r="K176" s="59" t="s">
        <v>41</v>
      </c>
      <c r="L176" s="62"/>
      <c r="M176" s="63"/>
      <c r="N176" s="64">
        <v>33.75</v>
      </c>
      <c r="O176" s="65" t="s">
        <v>100</v>
      </c>
      <c r="P176" s="64"/>
      <c r="Q176" s="64"/>
    </row>
    <row r="177" spans="1:17" ht="30">
      <c r="A177" s="55" t="s">
        <v>661</v>
      </c>
      <c r="B177" s="56" t="s">
        <v>662</v>
      </c>
      <c r="C177" s="57" t="s">
        <v>663</v>
      </c>
      <c r="D177" s="58" t="s">
        <v>21</v>
      </c>
      <c r="E177" s="59" t="s">
        <v>22</v>
      </c>
      <c r="F177" s="59" t="s">
        <v>23</v>
      </c>
      <c r="G177" s="58"/>
      <c r="H177" s="60"/>
      <c r="I177" s="61" t="s">
        <v>614</v>
      </c>
      <c r="J177" s="59" t="s">
        <v>25</v>
      </c>
      <c r="K177" s="59"/>
      <c r="L177" s="62"/>
      <c r="M177" s="63"/>
      <c r="N177" s="64">
        <v>19.829999999999998</v>
      </c>
      <c r="O177" s="65" t="s">
        <v>100</v>
      </c>
      <c r="P177" s="64"/>
      <c r="Q177" s="64"/>
    </row>
    <row r="178" spans="1:17" ht="30">
      <c r="A178" s="55" t="s">
        <v>664</v>
      </c>
      <c r="B178" s="56" t="s">
        <v>665</v>
      </c>
      <c r="C178" s="57" t="s">
        <v>666</v>
      </c>
      <c r="D178" s="58" t="s">
        <v>21</v>
      </c>
      <c r="E178" s="59" t="s">
        <v>22</v>
      </c>
      <c r="F178" s="59" t="s">
        <v>23</v>
      </c>
      <c r="G178" s="58"/>
      <c r="H178" s="60"/>
      <c r="I178" s="61" t="s">
        <v>667</v>
      </c>
      <c r="J178" s="59" t="s">
        <v>25</v>
      </c>
      <c r="K178" s="59" t="s">
        <v>41</v>
      </c>
      <c r="L178" s="62"/>
      <c r="M178" s="63"/>
      <c r="N178" s="64">
        <v>42.25</v>
      </c>
      <c r="O178" s="65" t="s">
        <v>100</v>
      </c>
      <c r="P178" s="64"/>
      <c r="Q178" s="64"/>
    </row>
    <row r="179" spans="1:17" ht="30">
      <c r="A179" s="55" t="s">
        <v>668</v>
      </c>
      <c r="B179" s="56" t="s">
        <v>669</v>
      </c>
      <c r="C179" s="57" t="s">
        <v>670</v>
      </c>
      <c r="D179" s="58" t="s">
        <v>181</v>
      </c>
      <c r="E179" s="59" t="s">
        <v>22</v>
      </c>
      <c r="F179" s="59" t="s">
        <v>23</v>
      </c>
      <c r="G179" s="58" t="s">
        <v>26</v>
      </c>
      <c r="H179" s="60"/>
      <c r="I179" s="61" t="s">
        <v>32</v>
      </c>
      <c r="J179" s="59" t="s">
        <v>25</v>
      </c>
      <c r="K179" s="59" t="s">
        <v>26</v>
      </c>
      <c r="L179" s="62"/>
      <c r="M179" s="63"/>
      <c r="N179" s="64">
        <v>1.67</v>
      </c>
      <c r="O179" s="65" t="s">
        <v>37</v>
      </c>
      <c r="P179" s="64"/>
      <c r="Q179" s="64"/>
    </row>
    <row r="180" spans="1:17" ht="30">
      <c r="A180" s="55" t="s">
        <v>671</v>
      </c>
      <c r="B180" s="56" t="s">
        <v>669</v>
      </c>
      <c r="C180" s="57" t="s">
        <v>672</v>
      </c>
      <c r="D180" s="58" t="s">
        <v>181</v>
      </c>
      <c r="E180" s="59" t="s">
        <v>22</v>
      </c>
      <c r="F180" s="59" t="s">
        <v>23</v>
      </c>
      <c r="G180" s="58" t="s">
        <v>26</v>
      </c>
      <c r="H180" s="60"/>
      <c r="I180" s="61" t="s">
        <v>32</v>
      </c>
      <c r="J180" s="59" t="s">
        <v>25</v>
      </c>
      <c r="K180" s="59" t="s">
        <v>26</v>
      </c>
      <c r="L180" s="62"/>
      <c r="M180" s="63"/>
      <c r="N180" s="64">
        <v>1.67</v>
      </c>
      <c r="O180" s="65" t="s">
        <v>37</v>
      </c>
      <c r="P180" s="64"/>
      <c r="Q180" s="64"/>
    </row>
    <row r="181" spans="1:17" ht="31.5">
      <c r="A181" s="55" t="s">
        <v>673</v>
      </c>
      <c r="B181" s="56" t="s">
        <v>674</v>
      </c>
      <c r="C181" s="57" t="s">
        <v>675</v>
      </c>
      <c r="D181" s="58" t="s">
        <v>21</v>
      </c>
      <c r="E181" s="59" t="s">
        <v>22</v>
      </c>
      <c r="F181" s="59" t="s">
        <v>23</v>
      </c>
      <c r="G181" s="58"/>
      <c r="H181" s="60"/>
      <c r="I181" s="61" t="s">
        <v>676</v>
      </c>
      <c r="J181" s="59" t="s">
        <v>25</v>
      </c>
      <c r="K181" s="59"/>
      <c r="L181" s="62"/>
      <c r="M181" s="63"/>
      <c r="N181" s="64">
        <v>22.5</v>
      </c>
      <c r="O181" s="65" t="s">
        <v>84</v>
      </c>
      <c r="P181" s="64"/>
      <c r="Q181" s="64"/>
    </row>
    <row r="182" spans="1:17" ht="15.75">
      <c r="A182" s="55" t="s">
        <v>677</v>
      </c>
      <c r="B182" s="56" t="s">
        <v>678</v>
      </c>
      <c r="C182" s="57" t="s">
        <v>679</v>
      </c>
      <c r="D182" s="58" t="s">
        <v>45</v>
      </c>
      <c r="E182" s="59" t="s">
        <v>22</v>
      </c>
      <c r="F182" s="59" t="s">
        <v>23</v>
      </c>
      <c r="G182" s="58" t="s">
        <v>46</v>
      </c>
      <c r="H182" s="60"/>
      <c r="I182" s="61" t="s">
        <v>46</v>
      </c>
      <c r="J182" s="59" t="s">
        <v>25</v>
      </c>
      <c r="K182" s="59" t="s">
        <v>33</v>
      </c>
      <c r="L182" s="62"/>
      <c r="M182" s="63"/>
      <c r="N182" s="64">
        <v>0</v>
      </c>
      <c r="O182" s="65" t="s">
        <v>156</v>
      </c>
      <c r="P182" s="64"/>
      <c r="Q182" s="64"/>
    </row>
    <row r="183" spans="1:17" ht="15.75">
      <c r="A183" s="55" t="s">
        <v>680</v>
      </c>
      <c r="B183" s="56" t="s">
        <v>681</v>
      </c>
      <c r="C183" s="57" t="s">
        <v>682</v>
      </c>
      <c r="D183" s="58" t="s">
        <v>683</v>
      </c>
      <c r="E183" s="59" t="s">
        <v>22</v>
      </c>
      <c r="F183" s="59" t="s">
        <v>23</v>
      </c>
      <c r="G183" s="58" t="s">
        <v>46</v>
      </c>
      <c r="H183" s="60"/>
      <c r="I183" s="61" t="s">
        <v>684</v>
      </c>
      <c r="J183" s="59" t="s">
        <v>25</v>
      </c>
      <c r="K183" s="59"/>
      <c r="L183" s="62"/>
      <c r="M183" s="63"/>
      <c r="N183" s="64">
        <v>0</v>
      </c>
      <c r="O183" s="65" t="s">
        <v>37</v>
      </c>
      <c r="P183" s="64"/>
      <c r="Q183" s="64"/>
    </row>
    <row r="184" spans="1:17" ht="30">
      <c r="A184" s="55" t="s">
        <v>685</v>
      </c>
      <c r="B184" s="56" t="s">
        <v>686</v>
      </c>
      <c r="C184" s="57" t="s">
        <v>687</v>
      </c>
      <c r="D184" s="58" t="s">
        <v>64</v>
      </c>
      <c r="E184" s="59" t="s">
        <v>22</v>
      </c>
      <c r="F184" s="59" t="s">
        <v>23</v>
      </c>
      <c r="G184" s="58" t="s">
        <v>46</v>
      </c>
      <c r="H184" s="60"/>
      <c r="I184" s="61" t="s">
        <v>684</v>
      </c>
      <c r="J184" s="59" t="s">
        <v>25</v>
      </c>
      <c r="K184" s="59" t="s">
        <v>41</v>
      </c>
      <c r="L184" s="62"/>
      <c r="M184" s="63"/>
      <c r="N184" s="64">
        <v>0</v>
      </c>
      <c r="O184" s="65" t="s">
        <v>37</v>
      </c>
      <c r="P184" s="64"/>
      <c r="Q184" s="64"/>
    </row>
    <row r="185" spans="1:17" ht="15.75">
      <c r="A185" s="55" t="s">
        <v>688</v>
      </c>
      <c r="B185" s="56" t="s">
        <v>689</v>
      </c>
      <c r="C185" s="57" t="s">
        <v>690</v>
      </c>
      <c r="D185" s="58" t="s">
        <v>21</v>
      </c>
      <c r="E185" s="59" t="s">
        <v>22</v>
      </c>
      <c r="F185" s="59" t="s">
        <v>23</v>
      </c>
      <c r="G185" s="58"/>
      <c r="H185" s="60"/>
      <c r="I185" s="61"/>
      <c r="J185" s="59" t="s">
        <v>25</v>
      </c>
      <c r="K185" s="59" t="s">
        <v>26</v>
      </c>
      <c r="L185" s="62"/>
      <c r="M185" s="63"/>
      <c r="N185" s="64">
        <v>9</v>
      </c>
      <c r="O185" s="65" t="s">
        <v>691</v>
      </c>
      <c r="P185" s="64"/>
      <c r="Q185" s="64"/>
    </row>
    <row r="186" spans="1:17" ht="15.75">
      <c r="A186" s="55" t="s">
        <v>692</v>
      </c>
      <c r="B186" s="56" t="s">
        <v>693</v>
      </c>
      <c r="C186" s="57" t="s">
        <v>694</v>
      </c>
      <c r="D186" s="58" t="s">
        <v>21</v>
      </c>
      <c r="E186" s="59" t="s">
        <v>22</v>
      </c>
      <c r="F186" s="59" t="s">
        <v>23</v>
      </c>
      <c r="G186" s="58"/>
      <c r="H186" s="60"/>
      <c r="I186" s="61"/>
      <c r="J186" s="59" t="s">
        <v>25</v>
      </c>
      <c r="K186" s="59" t="s">
        <v>26</v>
      </c>
      <c r="L186" s="62"/>
      <c r="M186" s="63"/>
      <c r="N186" s="64">
        <v>13</v>
      </c>
      <c r="O186" s="65" t="s">
        <v>691</v>
      </c>
      <c r="P186" s="64"/>
      <c r="Q186" s="64"/>
    </row>
    <row r="187" spans="1:17" ht="15.75">
      <c r="A187" s="55" t="s">
        <v>695</v>
      </c>
      <c r="B187" s="56" t="s">
        <v>696</v>
      </c>
      <c r="C187" s="57" t="s">
        <v>697</v>
      </c>
      <c r="D187" s="58" t="s">
        <v>21</v>
      </c>
      <c r="E187" s="59" t="s">
        <v>22</v>
      </c>
      <c r="F187" s="59" t="s">
        <v>23</v>
      </c>
      <c r="G187" s="58"/>
      <c r="H187" s="60"/>
      <c r="I187" s="61"/>
      <c r="J187" s="59" t="s">
        <v>25</v>
      </c>
      <c r="K187" s="59" t="s">
        <v>26</v>
      </c>
      <c r="L187" s="62"/>
      <c r="M187" s="63"/>
      <c r="N187" s="64">
        <v>22</v>
      </c>
      <c r="O187" s="65" t="s">
        <v>691</v>
      </c>
      <c r="P187" s="64"/>
      <c r="Q187" s="64"/>
    </row>
    <row r="188" spans="1:17" ht="15.75">
      <c r="A188" s="55" t="s">
        <v>698</v>
      </c>
      <c r="B188" s="56" t="s">
        <v>699</v>
      </c>
      <c r="C188" s="57" t="s">
        <v>700</v>
      </c>
      <c r="D188" s="58" t="s">
        <v>91</v>
      </c>
      <c r="E188" s="59" t="s">
        <v>22</v>
      </c>
      <c r="F188" s="59" t="s">
        <v>23</v>
      </c>
      <c r="G188" s="58" t="s">
        <v>46</v>
      </c>
      <c r="H188" s="60"/>
      <c r="I188" s="61" t="s">
        <v>46</v>
      </c>
      <c r="J188" s="59" t="s">
        <v>25</v>
      </c>
      <c r="K188" s="59" t="s">
        <v>26</v>
      </c>
      <c r="L188" s="62"/>
      <c r="M188" s="63"/>
      <c r="N188" s="64">
        <v>2</v>
      </c>
      <c r="O188" s="65" t="s">
        <v>691</v>
      </c>
      <c r="P188" s="64"/>
      <c r="Q188" s="64"/>
    </row>
    <row r="189" spans="1:17" ht="15.75">
      <c r="A189" s="55" t="s">
        <v>701</v>
      </c>
      <c r="B189" s="56" t="s">
        <v>702</v>
      </c>
      <c r="C189" s="57" t="s">
        <v>703</v>
      </c>
      <c r="D189" s="58" t="s">
        <v>21</v>
      </c>
      <c r="E189" s="59" t="s">
        <v>22</v>
      </c>
      <c r="F189" s="59" t="s">
        <v>23</v>
      </c>
      <c r="G189" s="58"/>
      <c r="H189" s="60"/>
      <c r="I189" s="61"/>
      <c r="J189" s="59" t="s">
        <v>25</v>
      </c>
      <c r="K189" s="59" t="s">
        <v>26</v>
      </c>
      <c r="L189" s="62"/>
      <c r="M189" s="63"/>
      <c r="N189" s="64">
        <v>3</v>
      </c>
      <c r="O189" s="65" t="s">
        <v>275</v>
      </c>
      <c r="P189" s="64"/>
      <c r="Q189" s="64"/>
    </row>
    <row r="190" spans="1:17" ht="15.75">
      <c r="A190" s="55" t="s">
        <v>704</v>
      </c>
      <c r="B190" s="56" t="s">
        <v>705</v>
      </c>
      <c r="C190" s="57" t="s">
        <v>706</v>
      </c>
      <c r="D190" s="58" t="s">
        <v>21</v>
      </c>
      <c r="E190" s="59" t="s">
        <v>22</v>
      </c>
      <c r="F190" s="59" t="s">
        <v>23</v>
      </c>
      <c r="G190" s="58" t="s">
        <v>46</v>
      </c>
      <c r="H190" s="60"/>
      <c r="I190" s="61" t="s">
        <v>46</v>
      </c>
      <c r="J190" s="59" t="s">
        <v>25</v>
      </c>
      <c r="K190" s="59" t="s">
        <v>33</v>
      </c>
      <c r="L190" s="62"/>
      <c r="M190" s="63"/>
      <c r="N190" s="64">
        <v>2</v>
      </c>
      <c r="O190" s="65" t="s">
        <v>275</v>
      </c>
      <c r="P190" s="64"/>
      <c r="Q190" s="64"/>
    </row>
    <row r="191" spans="1:17" ht="15.75">
      <c r="A191" s="55" t="s">
        <v>707</v>
      </c>
      <c r="B191" s="56" t="s">
        <v>708</v>
      </c>
      <c r="C191" s="57" t="s">
        <v>709</v>
      </c>
      <c r="D191" s="58" t="s">
        <v>21</v>
      </c>
      <c r="E191" s="59" t="s">
        <v>22</v>
      </c>
      <c r="F191" s="59" t="s">
        <v>23</v>
      </c>
      <c r="G191" s="58"/>
      <c r="H191" s="60"/>
      <c r="I191" s="61"/>
      <c r="J191" s="59" t="s">
        <v>25</v>
      </c>
      <c r="K191" s="59" t="s">
        <v>26</v>
      </c>
      <c r="L191" s="62"/>
      <c r="M191" s="63"/>
      <c r="N191" s="64">
        <v>0.5</v>
      </c>
      <c r="O191" s="65" t="s">
        <v>553</v>
      </c>
      <c r="P191" s="64"/>
      <c r="Q191" s="64"/>
    </row>
    <row r="192" spans="1:17" ht="15.75">
      <c r="A192" s="55" t="s">
        <v>710</v>
      </c>
      <c r="B192" s="56" t="s">
        <v>711</v>
      </c>
      <c r="C192" s="57" t="s">
        <v>712</v>
      </c>
      <c r="D192" s="58" t="s">
        <v>21</v>
      </c>
      <c r="E192" s="59" t="s">
        <v>22</v>
      </c>
      <c r="F192" s="59" t="s">
        <v>23</v>
      </c>
      <c r="G192" s="58"/>
      <c r="H192" s="60"/>
      <c r="I192" s="61"/>
      <c r="J192" s="59" t="s">
        <v>25</v>
      </c>
      <c r="K192" s="59" t="s">
        <v>26</v>
      </c>
      <c r="L192" s="62"/>
      <c r="M192" s="63"/>
      <c r="N192" s="64">
        <v>7</v>
      </c>
      <c r="O192" s="65" t="s">
        <v>275</v>
      </c>
      <c r="P192" s="64"/>
      <c r="Q192" s="64"/>
    </row>
    <row r="193" spans="1:17" ht="15.75">
      <c r="A193" s="55" t="s">
        <v>713</v>
      </c>
      <c r="B193" s="56" t="s">
        <v>714</v>
      </c>
      <c r="C193" s="57" t="s">
        <v>715</v>
      </c>
      <c r="D193" s="58" t="s">
        <v>21</v>
      </c>
      <c r="E193" s="59" t="s">
        <v>22</v>
      </c>
      <c r="F193" s="59" t="s">
        <v>23</v>
      </c>
      <c r="G193" s="58" t="s">
        <v>46</v>
      </c>
      <c r="H193" s="60"/>
      <c r="I193" s="61" t="s">
        <v>46</v>
      </c>
      <c r="J193" s="59" t="s">
        <v>25</v>
      </c>
      <c r="K193" s="59" t="s">
        <v>26</v>
      </c>
      <c r="L193" s="62"/>
      <c r="M193" s="63"/>
      <c r="N193" s="64">
        <v>16</v>
      </c>
      <c r="O193" s="65" t="s">
        <v>539</v>
      </c>
      <c r="P193" s="64"/>
      <c r="Q193" s="64"/>
    </row>
    <row r="194" spans="1:17" ht="15.75">
      <c r="A194" s="55" t="s">
        <v>716</v>
      </c>
      <c r="B194" s="56" t="s">
        <v>717</v>
      </c>
      <c r="C194" s="57" t="s">
        <v>718</v>
      </c>
      <c r="D194" s="58" t="s">
        <v>31</v>
      </c>
      <c r="E194" s="59" t="s">
        <v>22</v>
      </c>
      <c r="F194" s="59" t="s">
        <v>23</v>
      </c>
      <c r="G194" s="58" t="s">
        <v>46</v>
      </c>
      <c r="H194" s="60"/>
      <c r="I194" s="61" t="s">
        <v>46</v>
      </c>
      <c r="J194" s="59" t="s">
        <v>25</v>
      </c>
      <c r="K194" s="59" t="s">
        <v>26</v>
      </c>
      <c r="L194" s="62"/>
      <c r="M194" s="63"/>
      <c r="N194" s="64">
        <v>10</v>
      </c>
      <c r="O194" s="65" t="s">
        <v>719</v>
      </c>
      <c r="P194" s="64"/>
      <c r="Q194" s="64"/>
    </row>
    <row r="195" spans="1:17" ht="15.75">
      <c r="A195" s="55" t="s">
        <v>720</v>
      </c>
      <c r="B195" s="56" t="s">
        <v>721</v>
      </c>
      <c r="C195" s="57" t="s">
        <v>722</v>
      </c>
      <c r="D195" s="58" t="s">
        <v>31</v>
      </c>
      <c r="E195" s="59" t="s">
        <v>22</v>
      </c>
      <c r="F195" s="59" t="s">
        <v>23</v>
      </c>
      <c r="G195" s="58" t="s">
        <v>46</v>
      </c>
      <c r="H195" s="60"/>
      <c r="I195" s="61" t="s">
        <v>46</v>
      </c>
      <c r="J195" s="59" t="s">
        <v>25</v>
      </c>
      <c r="K195" s="59" t="s">
        <v>26</v>
      </c>
      <c r="L195" s="62"/>
      <c r="M195" s="63"/>
      <c r="N195" s="64">
        <v>3.17</v>
      </c>
      <c r="O195" s="65" t="s">
        <v>719</v>
      </c>
      <c r="P195" s="64"/>
      <c r="Q195" s="64"/>
    </row>
    <row r="196" spans="1:17" ht="15.75">
      <c r="A196" s="55"/>
      <c r="B196" s="56"/>
      <c r="C196" s="57"/>
      <c r="D196" s="58"/>
      <c r="E196" s="59" t="s">
        <v>22</v>
      </c>
      <c r="F196" s="59" t="s">
        <v>23</v>
      </c>
      <c r="G196" s="58"/>
      <c r="H196" s="60"/>
      <c r="I196" s="61"/>
      <c r="J196" s="59"/>
      <c r="K196" s="59"/>
      <c r="L196" s="62"/>
      <c r="M196" s="63"/>
      <c r="N196" s="65"/>
      <c r="O196" s="65"/>
      <c r="P196" s="64"/>
      <c r="Q196" s="64"/>
    </row>
    <row r="197" spans="1:17" ht="15.75">
      <c r="A197" s="55"/>
      <c r="B197" s="56"/>
      <c r="C197" s="57"/>
      <c r="D197" s="58"/>
      <c r="E197" s="59" t="s">
        <v>22</v>
      </c>
      <c r="F197" s="59" t="s">
        <v>23</v>
      </c>
      <c r="G197" s="58"/>
      <c r="H197" s="60"/>
      <c r="I197" s="61"/>
      <c r="J197" s="59"/>
      <c r="K197" s="59"/>
      <c r="L197" s="62"/>
      <c r="M197" s="63"/>
      <c r="N197" s="65"/>
      <c r="O197" s="65"/>
      <c r="P197" s="64"/>
      <c r="Q197" s="64"/>
    </row>
    <row r="198" spans="1:17" ht="15.75">
      <c r="A198" s="55"/>
      <c r="B198" s="56"/>
      <c r="C198" s="57"/>
      <c r="D198" s="58"/>
      <c r="E198" s="59" t="s">
        <v>22</v>
      </c>
      <c r="F198" s="59" t="s">
        <v>23</v>
      </c>
      <c r="G198" s="58"/>
      <c r="H198" s="60"/>
      <c r="I198" s="61"/>
      <c r="J198" s="59"/>
      <c r="K198" s="59"/>
      <c r="L198" s="62"/>
      <c r="M198" s="63"/>
      <c r="N198" s="65"/>
      <c r="O198" s="65"/>
      <c r="P198" s="64"/>
      <c r="Q198" s="64"/>
    </row>
    <row r="199" spans="1:17" ht="15.75">
      <c r="A199" s="55"/>
      <c r="B199" s="56"/>
      <c r="C199" s="57"/>
      <c r="D199" s="58"/>
      <c r="E199" s="59" t="s">
        <v>22</v>
      </c>
      <c r="F199" s="59" t="s">
        <v>23</v>
      </c>
      <c r="G199" s="58"/>
      <c r="H199" s="60"/>
      <c r="I199" s="61"/>
      <c r="J199" s="59"/>
      <c r="K199" s="59"/>
      <c r="L199" s="62"/>
      <c r="M199" s="63"/>
      <c r="N199" s="65"/>
      <c r="O199" s="65"/>
      <c r="P199" s="64"/>
      <c r="Q199" s="64"/>
    </row>
    <row r="200" spans="1:17" ht="15.75">
      <c r="A200" s="55"/>
      <c r="B200" s="56"/>
      <c r="C200" s="57"/>
      <c r="D200" s="58"/>
      <c r="E200" s="59" t="s">
        <v>22</v>
      </c>
      <c r="F200" s="59" t="s">
        <v>23</v>
      </c>
      <c r="G200" s="58"/>
      <c r="H200" s="60"/>
      <c r="I200" s="61"/>
      <c r="J200" s="59"/>
      <c r="K200" s="59"/>
      <c r="L200" s="62"/>
      <c r="M200" s="63"/>
      <c r="N200" s="65"/>
      <c r="O200" s="65"/>
      <c r="P200" s="64"/>
      <c r="Q200" s="64"/>
    </row>
    <row r="201" spans="1:17" ht="15.75">
      <c r="A201" s="55"/>
      <c r="B201" s="56"/>
      <c r="C201" s="57"/>
      <c r="D201" s="58"/>
      <c r="E201" s="59" t="s">
        <v>22</v>
      </c>
      <c r="F201" s="59" t="s">
        <v>23</v>
      </c>
      <c r="G201" s="58"/>
      <c r="H201" s="60"/>
      <c r="I201" s="61"/>
      <c r="J201" s="59"/>
      <c r="K201" s="59"/>
      <c r="L201" s="62"/>
      <c r="M201" s="63"/>
      <c r="N201" s="65"/>
      <c r="O201" s="65"/>
      <c r="P201" s="64"/>
      <c r="Q201" s="64"/>
    </row>
    <row r="202" spans="1:17" ht="15.75">
      <c r="A202" s="55"/>
      <c r="B202" s="56"/>
      <c r="C202" s="57"/>
      <c r="D202" s="58"/>
      <c r="E202" s="59" t="s">
        <v>22</v>
      </c>
      <c r="F202" s="59" t="s">
        <v>23</v>
      </c>
      <c r="G202" s="58"/>
      <c r="H202" s="60"/>
      <c r="I202" s="61"/>
      <c r="J202" s="59"/>
      <c r="K202" s="59"/>
      <c r="L202" s="62"/>
      <c r="M202" s="63"/>
      <c r="N202" s="65"/>
      <c r="O202" s="65"/>
      <c r="P202" s="64"/>
      <c r="Q202" s="64"/>
    </row>
    <row r="203" spans="1:17" ht="15.75">
      <c r="A203" s="55"/>
      <c r="B203" s="56"/>
      <c r="C203" s="57"/>
      <c r="D203" s="58"/>
      <c r="E203" s="59" t="s">
        <v>22</v>
      </c>
      <c r="F203" s="59" t="s">
        <v>23</v>
      </c>
      <c r="G203" s="58"/>
      <c r="H203" s="60"/>
      <c r="I203" s="61"/>
      <c r="J203" s="59"/>
      <c r="K203" s="59"/>
      <c r="L203" s="62"/>
      <c r="M203" s="63"/>
      <c r="N203" s="65"/>
      <c r="O203" s="65"/>
      <c r="P203" s="64"/>
      <c r="Q203" s="64"/>
    </row>
    <row r="204" spans="1:17" ht="15.75">
      <c r="A204" s="55"/>
      <c r="B204" s="56"/>
      <c r="C204" s="57"/>
      <c r="D204" s="58"/>
      <c r="E204" s="59" t="s">
        <v>22</v>
      </c>
      <c r="F204" s="59" t="s">
        <v>23</v>
      </c>
      <c r="G204" s="58"/>
      <c r="H204" s="60"/>
      <c r="I204" s="61"/>
      <c r="J204" s="59"/>
      <c r="K204" s="59"/>
      <c r="L204" s="62"/>
      <c r="M204" s="63"/>
      <c r="N204" s="65"/>
      <c r="O204" s="65"/>
      <c r="P204" s="64"/>
      <c r="Q204" s="64"/>
    </row>
    <row r="205" spans="1:17" ht="15.75">
      <c r="A205" s="55"/>
      <c r="B205" s="56"/>
      <c r="C205" s="57"/>
      <c r="D205" s="58"/>
      <c r="E205" s="59" t="s">
        <v>22</v>
      </c>
      <c r="F205" s="59" t="s">
        <v>23</v>
      </c>
      <c r="G205" s="58"/>
      <c r="H205" s="60"/>
      <c r="I205" s="61"/>
      <c r="J205" s="59"/>
      <c r="K205" s="59"/>
      <c r="L205" s="62"/>
      <c r="M205" s="63"/>
      <c r="N205" s="65"/>
      <c r="O205" s="65"/>
      <c r="P205" s="64"/>
      <c r="Q205" s="64"/>
    </row>
    <row r="206" spans="1:17" ht="15.75">
      <c r="A206" s="55"/>
      <c r="B206" s="56"/>
      <c r="C206" s="57"/>
      <c r="D206" s="58"/>
      <c r="E206" s="59" t="s">
        <v>22</v>
      </c>
      <c r="F206" s="59" t="s">
        <v>23</v>
      </c>
      <c r="G206" s="58"/>
      <c r="H206" s="60"/>
      <c r="I206" s="61"/>
      <c r="J206" s="59"/>
      <c r="K206" s="59"/>
      <c r="L206" s="62"/>
      <c r="M206" s="63"/>
      <c r="N206" s="65"/>
      <c r="O206" s="65"/>
      <c r="P206" s="64"/>
      <c r="Q206" s="64"/>
    </row>
    <row r="207" spans="1:17" ht="15.75">
      <c r="A207" s="55"/>
      <c r="B207" s="56"/>
      <c r="C207" s="57"/>
      <c r="D207" s="58"/>
      <c r="E207" s="59" t="s">
        <v>22</v>
      </c>
      <c r="F207" s="59" t="s">
        <v>23</v>
      </c>
      <c r="G207" s="58"/>
      <c r="H207" s="60"/>
      <c r="I207" s="61"/>
      <c r="J207" s="59"/>
      <c r="K207" s="59"/>
      <c r="L207" s="62"/>
      <c r="M207" s="63"/>
      <c r="N207" s="65"/>
      <c r="O207" s="65"/>
      <c r="P207" s="64"/>
      <c r="Q207" s="64"/>
    </row>
    <row r="208" spans="1:17" ht="15.75">
      <c r="A208" s="55"/>
      <c r="B208" s="56"/>
      <c r="C208" s="57"/>
      <c r="D208" s="58"/>
      <c r="E208" s="59" t="s">
        <v>22</v>
      </c>
      <c r="F208" s="59" t="s">
        <v>23</v>
      </c>
      <c r="G208" s="58"/>
      <c r="H208" s="60"/>
      <c r="I208" s="61"/>
      <c r="J208" s="59"/>
      <c r="K208" s="59"/>
      <c r="L208" s="62"/>
      <c r="M208" s="63"/>
      <c r="N208" s="65"/>
      <c r="O208" s="65"/>
      <c r="P208" s="64"/>
      <c r="Q208" s="64"/>
    </row>
    <row r="209" spans="1:17" ht="15.75">
      <c r="A209" s="55"/>
      <c r="B209" s="56"/>
      <c r="C209" s="57"/>
      <c r="D209" s="58"/>
      <c r="E209" s="59" t="s">
        <v>22</v>
      </c>
      <c r="F209" s="59" t="s">
        <v>23</v>
      </c>
      <c r="G209" s="58"/>
      <c r="H209" s="60"/>
      <c r="I209" s="61"/>
      <c r="J209" s="59"/>
      <c r="K209" s="59"/>
      <c r="L209" s="62"/>
      <c r="M209" s="63"/>
      <c r="N209" s="65"/>
      <c r="O209" s="65"/>
      <c r="P209" s="64"/>
      <c r="Q209" s="64"/>
    </row>
    <row r="210" spans="1:17" ht="15.75">
      <c r="A210" s="55"/>
      <c r="B210" s="56"/>
      <c r="C210" s="57"/>
      <c r="D210" s="58"/>
      <c r="E210" s="59" t="s">
        <v>22</v>
      </c>
      <c r="F210" s="59" t="s">
        <v>23</v>
      </c>
      <c r="G210" s="58"/>
      <c r="H210" s="60"/>
      <c r="I210" s="61"/>
      <c r="J210" s="59"/>
      <c r="K210" s="59"/>
      <c r="L210" s="62"/>
      <c r="M210" s="63"/>
      <c r="N210" s="65"/>
      <c r="O210" s="65"/>
      <c r="P210" s="64"/>
      <c r="Q210" s="64"/>
    </row>
    <row r="211" spans="1:17" ht="15.75">
      <c r="A211" s="55"/>
      <c r="B211" s="56"/>
      <c r="C211" s="57"/>
      <c r="D211" s="58"/>
      <c r="E211" s="59" t="s">
        <v>22</v>
      </c>
      <c r="F211" s="59" t="s">
        <v>23</v>
      </c>
      <c r="G211" s="58"/>
      <c r="H211" s="60"/>
      <c r="I211" s="61"/>
      <c r="J211" s="59"/>
      <c r="K211" s="59"/>
      <c r="L211" s="62"/>
      <c r="M211" s="63"/>
      <c r="N211" s="65"/>
      <c r="O211" s="65"/>
      <c r="P211" s="64"/>
      <c r="Q211" s="64"/>
    </row>
    <row r="212" spans="1:17" ht="15.75">
      <c r="A212" s="55"/>
      <c r="B212" s="56"/>
      <c r="C212" s="57"/>
      <c r="D212" s="58"/>
      <c r="E212" s="59" t="s">
        <v>22</v>
      </c>
      <c r="F212" s="59" t="s">
        <v>23</v>
      </c>
      <c r="G212" s="58"/>
      <c r="H212" s="60"/>
      <c r="I212" s="61"/>
      <c r="J212" s="59"/>
      <c r="K212" s="59"/>
      <c r="L212" s="62"/>
      <c r="M212" s="63"/>
      <c r="N212" s="65"/>
      <c r="O212" s="65"/>
      <c r="P212" s="64"/>
      <c r="Q212" s="64"/>
    </row>
    <row r="213" spans="1:17" ht="15.75">
      <c r="A213" s="55"/>
      <c r="B213" s="56"/>
      <c r="C213" s="57"/>
      <c r="D213" s="58"/>
      <c r="E213" s="59" t="s">
        <v>22</v>
      </c>
      <c r="F213" s="59" t="s">
        <v>23</v>
      </c>
      <c r="G213" s="58"/>
      <c r="H213" s="60"/>
      <c r="I213" s="61"/>
      <c r="J213" s="59"/>
      <c r="K213" s="59"/>
      <c r="L213" s="62"/>
      <c r="M213" s="63"/>
      <c r="N213" s="65"/>
      <c r="O213" s="65"/>
      <c r="P213" s="64"/>
      <c r="Q213" s="64"/>
    </row>
    <row r="214" spans="1:17" ht="15.75">
      <c r="A214" s="55"/>
      <c r="B214" s="56"/>
      <c r="C214" s="57"/>
      <c r="D214" s="58"/>
      <c r="E214" s="59" t="s">
        <v>22</v>
      </c>
      <c r="F214" s="59" t="s">
        <v>23</v>
      </c>
      <c r="G214" s="58"/>
      <c r="H214" s="60"/>
      <c r="I214" s="61"/>
      <c r="J214" s="59"/>
      <c r="K214" s="59"/>
      <c r="L214" s="62"/>
      <c r="M214" s="63"/>
      <c r="N214" s="65"/>
      <c r="O214" s="65"/>
      <c r="P214" s="64"/>
      <c r="Q214" s="64"/>
    </row>
    <row r="215" spans="1:17" ht="15.75">
      <c r="A215" s="55"/>
      <c r="B215" s="56"/>
      <c r="C215" s="57"/>
      <c r="D215" s="58"/>
      <c r="E215" s="59" t="s">
        <v>22</v>
      </c>
      <c r="F215" s="59" t="s">
        <v>23</v>
      </c>
      <c r="G215" s="58"/>
      <c r="H215" s="60"/>
      <c r="I215" s="61"/>
      <c r="J215" s="59"/>
      <c r="K215" s="59"/>
      <c r="L215" s="62"/>
      <c r="M215" s="63"/>
      <c r="N215" s="65"/>
      <c r="O215" s="65"/>
      <c r="P215" s="64"/>
      <c r="Q215" s="64"/>
    </row>
    <row r="216" spans="1:17" ht="15.75">
      <c r="A216" s="55"/>
      <c r="B216" s="56"/>
      <c r="C216" s="57"/>
      <c r="D216" s="58"/>
      <c r="E216" s="59" t="s">
        <v>22</v>
      </c>
      <c r="F216" s="59" t="s">
        <v>23</v>
      </c>
      <c r="G216" s="58"/>
      <c r="H216" s="60"/>
      <c r="I216" s="61"/>
      <c r="J216" s="59"/>
      <c r="K216" s="59"/>
      <c r="L216" s="62"/>
      <c r="M216" s="63"/>
      <c r="N216" s="65"/>
      <c r="O216" s="65"/>
      <c r="P216" s="64"/>
      <c r="Q216" s="64"/>
    </row>
    <row r="217" spans="1:17" ht="15.75">
      <c r="A217" s="55"/>
      <c r="B217" s="56"/>
      <c r="C217" s="57"/>
      <c r="D217" s="58"/>
      <c r="E217" s="59" t="s">
        <v>22</v>
      </c>
      <c r="F217" s="59" t="s">
        <v>23</v>
      </c>
      <c r="G217" s="58"/>
      <c r="H217" s="60"/>
      <c r="I217" s="61"/>
      <c r="J217" s="59"/>
      <c r="K217" s="59"/>
      <c r="L217" s="62"/>
      <c r="M217" s="63"/>
      <c r="N217" s="65"/>
      <c r="O217" s="65"/>
      <c r="P217" s="64"/>
      <c r="Q217" s="64"/>
    </row>
    <row r="218" spans="1:17" ht="15.75">
      <c r="A218" s="55"/>
      <c r="B218" s="56"/>
      <c r="C218" s="57"/>
      <c r="D218" s="58"/>
      <c r="E218" s="59" t="s">
        <v>22</v>
      </c>
      <c r="F218" s="59" t="s">
        <v>23</v>
      </c>
      <c r="G218" s="58"/>
      <c r="H218" s="60"/>
      <c r="I218" s="61"/>
      <c r="J218" s="59"/>
      <c r="K218" s="59"/>
      <c r="L218" s="62"/>
      <c r="M218" s="63"/>
      <c r="N218" s="65"/>
      <c r="O218" s="65"/>
      <c r="P218" s="64"/>
      <c r="Q218" s="64"/>
    </row>
    <row r="219" spans="1:17" ht="15.75">
      <c r="A219" s="55"/>
      <c r="B219" s="56"/>
      <c r="C219" s="57"/>
      <c r="D219" s="58"/>
      <c r="E219" s="59" t="s">
        <v>22</v>
      </c>
      <c r="F219" s="59" t="s">
        <v>23</v>
      </c>
      <c r="G219" s="58"/>
      <c r="H219" s="60"/>
      <c r="I219" s="61"/>
      <c r="J219" s="59"/>
      <c r="K219" s="59"/>
      <c r="L219" s="62"/>
      <c r="M219" s="63"/>
      <c r="N219" s="65"/>
      <c r="O219" s="65"/>
      <c r="P219" s="64"/>
      <c r="Q219" s="64"/>
    </row>
    <row r="220" spans="1:17" ht="15.75">
      <c r="A220" s="55"/>
      <c r="B220" s="56"/>
      <c r="C220" s="57"/>
      <c r="D220" s="58"/>
      <c r="E220" s="59" t="s">
        <v>22</v>
      </c>
      <c r="F220" s="59" t="s">
        <v>23</v>
      </c>
      <c r="G220" s="58"/>
      <c r="H220" s="60"/>
      <c r="I220" s="61"/>
      <c r="J220" s="59"/>
      <c r="K220" s="59"/>
      <c r="L220" s="62"/>
      <c r="M220" s="63"/>
      <c r="N220" s="65"/>
      <c r="O220" s="65"/>
      <c r="P220" s="64"/>
      <c r="Q220" s="64"/>
    </row>
    <row r="221" spans="1:17" ht="15.75">
      <c r="A221" s="55"/>
      <c r="B221" s="56"/>
      <c r="C221" s="57"/>
      <c r="D221" s="58"/>
      <c r="E221" s="59" t="s">
        <v>22</v>
      </c>
      <c r="F221" s="59" t="s">
        <v>23</v>
      </c>
      <c r="G221" s="58"/>
      <c r="H221" s="60"/>
      <c r="I221" s="61"/>
      <c r="J221" s="59"/>
      <c r="K221" s="59"/>
      <c r="L221" s="62"/>
      <c r="M221" s="63"/>
      <c r="N221" s="65"/>
      <c r="O221" s="65"/>
      <c r="P221" s="64"/>
      <c r="Q221" s="64"/>
    </row>
    <row r="222" spans="1:17" ht="15.75">
      <c r="A222" s="55"/>
      <c r="B222" s="56"/>
      <c r="C222" s="57"/>
      <c r="D222" s="58"/>
      <c r="E222" s="59" t="s">
        <v>22</v>
      </c>
      <c r="F222" s="59" t="s">
        <v>23</v>
      </c>
      <c r="G222" s="58"/>
      <c r="H222" s="60"/>
      <c r="I222" s="61"/>
      <c r="J222" s="59"/>
      <c r="K222" s="59"/>
      <c r="L222" s="62"/>
      <c r="M222" s="63"/>
      <c r="N222" s="65"/>
      <c r="O222" s="65"/>
      <c r="P222" s="64"/>
      <c r="Q222" s="64"/>
    </row>
    <row r="223" spans="1:17" ht="15.75">
      <c r="A223" s="55"/>
      <c r="B223" s="56"/>
      <c r="C223" s="57"/>
      <c r="D223" s="58"/>
      <c r="E223" s="59" t="s">
        <v>22</v>
      </c>
      <c r="F223" s="59" t="s">
        <v>23</v>
      </c>
      <c r="G223" s="58"/>
      <c r="H223" s="60"/>
      <c r="I223" s="61"/>
      <c r="J223" s="59"/>
      <c r="K223" s="59"/>
      <c r="L223" s="62"/>
      <c r="M223" s="63"/>
      <c r="N223" s="65"/>
      <c r="O223" s="65"/>
      <c r="P223" s="64"/>
      <c r="Q223" s="64"/>
    </row>
    <row r="224" spans="1:17" ht="15.75">
      <c r="A224" s="55"/>
      <c r="B224" s="56"/>
      <c r="C224" s="57"/>
      <c r="D224" s="58"/>
      <c r="E224" s="59" t="s">
        <v>22</v>
      </c>
      <c r="F224" s="59" t="s">
        <v>23</v>
      </c>
      <c r="G224" s="58"/>
      <c r="H224" s="60"/>
      <c r="I224" s="61"/>
      <c r="J224" s="59"/>
      <c r="K224" s="59"/>
      <c r="L224" s="62"/>
      <c r="M224" s="63"/>
      <c r="N224" s="65"/>
      <c r="O224" s="65"/>
      <c r="P224" s="64"/>
      <c r="Q224" s="64"/>
    </row>
    <row r="225" spans="1:17" ht="15.75">
      <c r="A225" s="55"/>
      <c r="B225" s="56"/>
      <c r="C225" s="57"/>
      <c r="D225" s="58"/>
      <c r="E225" s="59" t="s">
        <v>22</v>
      </c>
      <c r="F225" s="59" t="s">
        <v>23</v>
      </c>
      <c r="G225" s="58"/>
      <c r="H225" s="60"/>
      <c r="I225" s="61"/>
      <c r="J225" s="59"/>
      <c r="K225" s="59"/>
      <c r="L225" s="62"/>
      <c r="M225" s="63"/>
      <c r="N225" s="65"/>
      <c r="O225" s="65"/>
      <c r="P225" s="64"/>
      <c r="Q225" s="64"/>
    </row>
    <row r="226" spans="1:17" ht="15.75">
      <c r="A226" s="55"/>
      <c r="B226" s="56"/>
      <c r="C226" s="57"/>
      <c r="D226" s="58"/>
      <c r="E226" s="59" t="s">
        <v>22</v>
      </c>
      <c r="F226" s="59" t="s">
        <v>23</v>
      </c>
      <c r="G226" s="58"/>
      <c r="H226" s="60"/>
      <c r="I226" s="61"/>
      <c r="J226" s="59"/>
      <c r="K226" s="59"/>
      <c r="L226" s="62"/>
      <c r="M226" s="63"/>
      <c r="N226" s="65"/>
      <c r="O226" s="65"/>
      <c r="P226" s="64"/>
      <c r="Q226" s="64"/>
    </row>
    <row r="227" spans="1:17" ht="15.75">
      <c r="A227" s="55"/>
      <c r="B227" s="56"/>
      <c r="C227" s="57"/>
      <c r="D227" s="58"/>
      <c r="E227" s="59" t="s">
        <v>22</v>
      </c>
      <c r="F227" s="59" t="s">
        <v>23</v>
      </c>
      <c r="G227" s="58"/>
      <c r="H227" s="60"/>
      <c r="I227" s="61"/>
      <c r="J227" s="59"/>
      <c r="K227" s="59"/>
      <c r="L227" s="62"/>
      <c r="M227" s="63"/>
      <c r="N227" s="65"/>
      <c r="O227" s="65"/>
      <c r="P227" s="64"/>
      <c r="Q227" s="64"/>
    </row>
    <row r="228" spans="1:17" ht="15.75">
      <c r="A228" s="55"/>
      <c r="B228" s="56"/>
      <c r="C228" s="57"/>
      <c r="D228" s="58"/>
      <c r="E228" s="59" t="s">
        <v>22</v>
      </c>
      <c r="F228" s="59" t="s">
        <v>23</v>
      </c>
      <c r="G228" s="58"/>
      <c r="H228" s="60"/>
      <c r="I228" s="61"/>
      <c r="J228" s="59"/>
      <c r="K228" s="59"/>
      <c r="L228" s="62"/>
      <c r="M228" s="63"/>
      <c r="N228" s="65"/>
      <c r="O228" s="65"/>
      <c r="P228" s="64"/>
      <c r="Q228" s="64"/>
    </row>
    <row r="229" spans="1:17" ht="15.75">
      <c r="A229" s="55"/>
      <c r="B229" s="56"/>
      <c r="C229" s="57"/>
      <c r="D229" s="58"/>
      <c r="E229" s="59" t="s">
        <v>22</v>
      </c>
      <c r="F229" s="59" t="s">
        <v>23</v>
      </c>
      <c r="G229" s="58"/>
      <c r="H229" s="60"/>
      <c r="I229" s="61"/>
      <c r="J229" s="59"/>
      <c r="K229" s="59"/>
      <c r="L229" s="62"/>
      <c r="M229" s="63"/>
      <c r="N229" s="65"/>
      <c r="O229" s="65"/>
      <c r="P229" s="64"/>
      <c r="Q229" s="64"/>
    </row>
    <row r="230" spans="1:17" ht="15.75">
      <c r="A230" s="55"/>
      <c r="B230" s="56"/>
      <c r="C230" s="57"/>
      <c r="D230" s="58"/>
      <c r="E230" s="59" t="s">
        <v>22</v>
      </c>
      <c r="F230" s="59" t="s">
        <v>23</v>
      </c>
      <c r="G230" s="58"/>
      <c r="H230" s="60"/>
      <c r="I230" s="61"/>
      <c r="J230" s="59"/>
      <c r="K230" s="59"/>
      <c r="L230" s="62"/>
      <c r="M230" s="63"/>
      <c r="N230" s="65"/>
      <c r="O230" s="65"/>
      <c r="P230" s="64"/>
      <c r="Q230" s="64"/>
    </row>
    <row r="231" spans="1:17" ht="15.75">
      <c r="A231" s="55"/>
      <c r="B231" s="56"/>
      <c r="C231" s="57"/>
      <c r="D231" s="58"/>
      <c r="E231" s="59" t="s">
        <v>22</v>
      </c>
      <c r="F231" s="59" t="s">
        <v>23</v>
      </c>
      <c r="G231" s="58"/>
      <c r="H231" s="60"/>
      <c r="I231" s="61"/>
      <c r="J231" s="59"/>
      <c r="K231" s="59"/>
      <c r="L231" s="62"/>
      <c r="M231" s="63"/>
      <c r="N231" s="65"/>
      <c r="O231" s="65"/>
      <c r="P231" s="64"/>
      <c r="Q231" s="64"/>
    </row>
    <row r="232" spans="1:17" ht="15.75">
      <c r="A232" s="55"/>
      <c r="B232" s="56"/>
      <c r="C232" s="57"/>
      <c r="D232" s="58"/>
      <c r="E232" s="59" t="s">
        <v>22</v>
      </c>
      <c r="F232" s="59" t="s">
        <v>23</v>
      </c>
      <c r="G232" s="58"/>
      <c r="H232" s="60"/>
      <c r="I232" s="61"/>
      <c r="J232" s="59"/>
      <c r="K232" s="59"/>
      <c r="L232" s="62"/>
      <c r="M232" s="63"/>
      <c r="N232" s="65"/>
      <c r="O232" s="65"/>
      <c r="P232" s="64"/>
      <c r="Q232" s="64"/>
    </row>
    <row r="233" spans="1:17" ht="15.75">
      <c r="A233" s="55"/>
      <c r="B233" s="56"/>
      <c r="C233" s="57"/>
      <c r="D233" s="58"/>
      <c r="E233" s="59" t="s">
        <v>22</v>
      </c>
      <c r="F233" s="59" t="s">
        <v>23</v>
      </c>
      <c r="G233" s="58"/>
      <c r="H233" s="60"/>
      <c r="I233" s="61"/>
      <c r="J233" s="59"/>
      <c r="K233" s="59"/>
      <c r="L233" s="62"/>
      <c r="M233" s="63"/>
      <c r="N233" s="65"/>
      <c r="O233" s="65"/>
      <c r="P233" s="64"/>
      <c r="Q233" s="64"/>
    </row>
    <row r="234" spans="1:17" ht="15.75">
      <c r="A234" s="55"/>
      <c r="B234" s="56"/>
      <c r="C234" s="57"/>
      <c r="D234" s="58"/>
      <c r="E234" s="59" t="s">
        <v>22</v>
      </c>
      <c r="F234" s="59" t="s">
        <v>23</v>
      </c>
      <c r="G234" s="58"/>
      <c r="H234" s="60"/>
      <c r="I234" s="61"/>
      <c r="J234" s="59"/>
      <c r="K234" s="59"/>
      <c r="L234" s="62"/>
      <c r="M234" s="63"/>
      <c r="N234" s="65"/>
      <c r="O234" s="65"/>
      <c r="P234" s="64"/>
      <c r="Q234" s="64"/>
    </row>
    <row r="235" spans="1:17" ht="15.75">
      <c r="A235" s="55"/>
      <c r="B235" s="56"/>
      <c r="C235" s="57"/>
      <c r="D235" s="58"/>
      <c r="E235" s="59" t="s">
        <v>22</v>
      </c>
      <c r="F235" s="59" t="s">
        <v>23</v>
      </c>
      <c r="G235" s="58"/>
      <c r="H235" s="60"/>
      <c r="I235" s="61"/>
      <c r="J235" s="59"/>
      <c r="K235" s="59"/>
      <c r="L235" s="62"/>
      <c r="M235" s="63"/>
      <c r="N235" s="65"/>
      <c r="O235" s="65"/>
      <c r="P235" s="64"/>
      <c r="Q235" s="64"/>
    </row>
    <row r="236" spans="1:17" ht="15.75">
      <c r="A236" s="55"/>
      <c r="B236" s="56"/>
      <c r="C236" s="57"/>
      <c r="D236" s="58"/>
      <c r="E236" s="59" t="s">
        <v>22</v>
      </c>
      <c r="F236" s="59" t="s">
        <v>23</v>
      </c>
      <c r="G236" s="58"/>
      <c r="H236" s="60"/>
      <c r="I236" s="61"/>
      <c r="J236" s="59"/>
      <c r="K236" s="59"/>
      <c r="L236" s="62"/>
      <c r="M236" s="63"/>
      <c r="N236" s="65"/>
      <c r="O236" s="65"/>
      <c r="P236" s="64"/>
      <c r="Q236" s="64"/>
    </row>
    <row r="237" spans="1:17" ht="15.75">
      <c r="A237" s="55"/>
      <c r="B237" s="56"/>
      <c r="C237" s="57"/>
      <c r="D237" s="58"/>
      <c r="E237" s="59" t="s">
        <v>22</v>
      </c>
      <c r="F237" s="59" t="s">
        <v>23</v>
      </c>
      <c r="G237" s="58"/>
      <c r="H237" s="60"/>
      <c r="I237" s="61"/>
      <c r="J237" s="59"/>
      <c r="K237" s="59"/>
      <c r="L237" s="62"/>
      <c r="M237" s="63"/>
      <c r="N237" s="65"/>
      <c r="O237" s="65"/>
      <c r="P237" s="64"/>
      <c r="Q237" s="64"/>
    </row>
    <row r="238" spans="1:17" ht="15.75">
      <c r="A238" s="55"/>
      <c r="B238" s="56"/>
      <c r="C238" s="57"/>
      <c r="D238" s="58"/>
      <c r="E238" s="59" t="s">
        <v>22</v>
      </c>
      <c r="F238" s="59" t="s">
        <v>23</v>
      </c>
      <c r="G238" s="58"/>
      <c r="H238" s="60"/>
      <c r="I238" s="61"/>
      <c r="J238" s="59"/>
      <c r="K238" s="59"/>
      <c r="L238" s="62"/>
      <c r="M238" s="63"/>
      <c r="N238" s="65"/>
      <c r="O238" s="65"/>
      <c r="P238" s="64"/>
      <c r="Q238" s="64"/>
    </row>
    <row r="239" spans="1:17" ht="15.75">
      <c r="A239" s="55"/>
      <c r="B239" s="56"/>
      <c r="C239" s="57"/>
      <c r="D239" s="58"/>
      <c r="E239" s="59" t="s">
        <v>22</v>
      </c>
      <c r="F239" s="59" t="s">
        <v>23</v>
      </c>
      <c r="G239" s="58"/>
      <c r="H239" s="60"/>
      <c r="I239" s="61"/>
      <c r="J239" s="59"/>
      <c r="K239" s="59"/>
      <c r="L239" s="62"/>
      <c r="M239" s="63"/>
      <c r="N239" s="65"/>
      <c r="O239" s="65"/>
      <c r="P239" s="64"/>
      <c r="Q239" s="64"/>
    </row>
    <row r="240" spans="1:17" ht="15.75">
      <c r="A240" s="55"/>
      <c r="B240" s="56"/>
      <c r="C240" s="57"/>
      <c r="D240" s="58"/>
      <c r="E240" s="59" t="s">
        <v>22</v>
      </c>
      <c r="F240" s="59" t="s">
        <v>23</v>
      </c>
      <c r="G240" s="58"/>
      <c r="H240" s="60"/>
      <c r="I240" s="61"/>
      <c r="J240" s="59"/>
      <c r="K240" s="59"/>
      <c r="L240" s="62"/>
      <c r="M240" s="63"/>
      <c r="N240" s="65"/>
      <c r="O240" s="65"/>
      <c r="P240" s="64"/>
      <c r="Q240" s="64"/>
    </row>
    <row r="241" spans="1:17" ht="15.75">
      <c r="A241" s="55"/>
      <c r="B241" s="56"/>
      <c r="C241" s="57"/>
      <c r="D241" s="58"/>
      <c r="E241" s="59" t="s">
        <v>22</v>
      </c>
      <c r="F241" s="59" t="s">
        <v>23</v>
      </c>
      <c r="G241" s="58"/>
      <c r="H241" s="60"/>
      <c r="I241" s="61"/>
      <c r="J241" s="59"/>
      <c r="K241" s="59"/>
      <c r="L241" s="62"/>
      <c r="M241" s="63"/>
      <c r="N241" s="65"/>
      <c r="O241" s="65"/>
      <c r="P241" s="64"/>
      <c r="Q241" s="64"/>
    </row>
    <row r="242" spans="1:17" ht="15.75">
      <c r="A242" s="55"/>
      <c r="B242" s="56"/>
      <c r="C242" s="57"/>
      <c r="D242" s="58"/>
      <c r="E242" s="59" t="s">
        <v>22</v>
      </c>
      <c r="F242" s="59" t="s">
        <v>23</v>
      </c>
      <c r="G242" s="58"/>
      <c r="H242" s="60"/>
      <c r="I242" s="61"/>
      <c r="J242" s="59"/>
      <c r="K242" s="59"/>
      <c r="L242" s="62"/>
      <c r="M242" s="63"/>
      <c r="N242" s="65"/>
      <c r="O242" s="65"/>
      <c r="P242" s="64"/>
      <c r="Q242" s="64"/>
    </row>
    <row r="243" spans="1:17" ht="15.75">
      <c r="A243" s="55"/>
      <c r="B243" s="56"/>
      <c r="C243" s="57"/>
      <c r="D243" s="58"/>
      <c r="E243" s="59" t="s">
        <v>22</v>
      </c>
      <c r="F243" s="59" t="s">
        <v>23</v>
      </c>
      <c r="G243" s="58"/>
      <c r="H243" s="60"/>
      <c r="I243" s="61"/>
      <c r="J243" s="59"/>
      <c r="K243" s="59"/>
      <c r="L243" s="62"/>
      <c r="M243" s="63"/>
      <c r="N243" s="65"/>
      <c r="O243" s="65"/>
      <c r="P243" s="64"/>
      <c r="Q243" s="64"/>
    </row>
    <row r="244" spans="1:17" ht="15.75">
      <c r="A244" s="55"/>
      <c r="B244" s="56"/>
      <c r="C244" s="57"/>
      <c r="D244" s="58"/>
      <c r="E244" s="59" t="s">
        <v>22</v>
      </c>
      <c r="F244" s="59" t="s">
        <v>23</v>
      </c>
      <c r="G244" s="58"/>
      <c r="H244" s="60"/>
      <c r="I244" s="61"/>
      <c r="J244" s="59"/>
      <c r="K244" s="59"/>
      <c r="L244" s="62"/>
      <c r="M244" s="63"/>
      <c r="N244" s="65"/>
      <c r="O244" s="65"/>
      <c r="P244" s="64"/>
      <c r="Q244" s="64"/>
    </row>
    <row r="245" spans="1:17" ht="15.75">
      <c r="A245" s="55"/>
      <c r="B245" s="56"/>
      <c r="C245" s="57"/>
      <c r="D245" s="58"/>
      <c r="E245" s="59" t="s">
        <v>22</v>
      </c>
      <c r="F245" s="59" t="s">
        <v>23</v>
      </c>
      <c r="G245" s="58"/>
      <c r="H245" s="60"/>
      <c r="I245" s="61"/>
      <c r="J245" s="59"/>
      <c r="K245" s="59"/>
      <c r="L245" s="62"/>
      <c r="M245" s="63"/>
      <c r="N245" s="65"/>
      <c r="O245" s="65"/>
      <c r="P245" s="64"/>
      <c r="Q245" s="64"/>
    </row>
    <row r="246" spans="1:17" ht="15.75">
      <c r="A246" s="55"/>
      <c r="B246" s="56"/>
      <c r="C246" s="57"/>
      <c r="D246" s="58"/>
      <c r="E246" s="59" t="s">
        <v>22</v>
      </c>
      <c r="F246" s="59" t="s">
        <v>23</v>
      </c>
      <c r="G246" s="58"/>
      <c r="H246" s="60"/>
      <c r="I246" s="61"/>
      <c r="J246" s="59"/>
      <c r="K246" s="59"/>
      <c r="L246" s="62"/>
      <c r="M246" s="63"/>
      <c r="N246" s="65"/>
      <c r="O246" s="65"/>
      <c r="P246" s="64"/>
      <c r="Q246" s="64"/>
    </row>
    <row r="247" spans="1:17" ht="15.75">
      <c r="A247" s="55"/>
      <c r="B247" s="56"/>
      <c r="C247" s="57"/>
      <c r="D247" s="58"/>
      <c r="E247" s="59" t="s">
        <v>22</v>
      </c>
      <c r="F247" s="59" t="s">
        <v>23</v>
      </c>
      <c r="G247" s="58"/>
      <c r="H247" s="60"/>
      <c r="I247" s="61"/>
      <c r="J247" s="59"/>
      <c r="K247" s="59"/>
      <c r="L247" s="62"/>
      <c r="M247" s="63"/>
      <c r="N247" s="65"/>
      <c r="O247" s="65"/>
      <c r="P247" s="64"/>
      <c r="Q247" s="64"/>
    </row>
    <row r="248" spans="1:17" ht="15.75">
      <c r="A248" s="55"/>
      <c r="B248" s="56"/>
      <c r="C248" s="57"/>
      <c r="D248" s="58"/>
      <c r="E248" s="59" t="s">
        <v>22</v>
      </c>
      <c r="F248" s="59" t="s">
        <v>23</v>
      </c>
      <c r="G248" s="58"/>
      <c r="H248" s="60"/>
      <c r="I248" s="61"/>
      <c r="J248" s="59"/>
      <c r="K248" s="59"/>
      <c r="L248" s="62"/>
      <c r="M248" s="63"/>
      <c r="N248" s="65"/>
      <c r="O248" s="65"/>
      <c r="P248" s="64"/>
      <c r="Q248" s="64"/>
    </row>
    <row r="249" spans="1:17" ht="15.75">
      <c r="A249" s="55"/>
      <c r="B249" s="56"/>
      <c r="C249" s="57"/>
      <c r="D249" s="58"/>
      <c r="E249" s="59" t="s">
        <v>22</v>
      </c>
      <c r="F249" s="59" t="s">
        <v>23</v>
      </c>
      <c r="G249" s="58"/>
      <c r="H249" s="60"/>
      <c r="I249" s="61"/>
      <c r="J249" s="59"/>
      <c r="K249" s="59"/>
      <c r="L249" s="62"/>
      <c r="M249" s="63"/>
      <c r="N249" s="65"/>
      <c r="O249" s="65"/>
      <c r="P249" s="64"/>
      <c r="Q249" s="64"/>
    </row>
    <row r="250" spans="1:17" ht="15.75">
      <c r="A250" s="55"/>
      <c r="B250" s="56"/>
      <c r="C250" s="57"/>
      <c r="D250" s="58"/>
      <c r="E250" s="59" t="s">
        <v>22</v>
      </c>
      <c r="F250" s="59" t="s">
        <v>23</v>
      </c>
      <c r="G250" s="58"/>
      <c r="H250" s="60"/>
      <c r="I250" s="61"/>
      <c r="J250" s="59"/>
      <c r="K250" s="59"/>
      <c r="L250" s="62"/>
      <c r="M250" s="63"/>
      <c r="N250" s="65"/>
      <c r="O250" s="65"/>
      <c r="P250" s="64"/>
      <c r="Q250" s="64"/>
    </row>
    <row r="251" spans="1:17" ht="15.75">
      <c r="A251" s="55"/>
      <c r="B251" s="56"/>
      <c r="C251" s="57"/>
      <c r="D251" s="58"/>
      <c r="E251" s="59" t="s">
        <v>22</v>
      </c>
      <c r="F251" s="59" t="s">
        <v>23</v>
      </c>
      <c r="G251" s="58"/>
      <c r="H251" s="60"/>
      <c r="I251" s="61"/>
      <c r="J251" s="59"/>
      <c r="K251" s="59"/>
      <c r="L251" s="62"/>
      <c r="M251" s="63"/>
      <c r="N251" s="65"/>
      <c r="O251" s="65"/>
      <c r="P251" s="64"/>
      <c r="Q251" s="64"/>
    </row>
    <row r="252" spans="1:17" ht="15.75">
      <c r="A252" s="55"/>
      <c r="B252" s="56"/>
      <c r="C252" s="57"/>
      <c r="D252" s="58"/>
      <c r="E252" s="59" t="s">
        <v>22</v>
      </c>
      <c r="F252" s="59" t="s">
        <v>23</v>
      </c>
      <c r="G252" s="58"/>
      <c r="H252" s="60"/>
      <c r="I252" s="61"/>
      <c r="J252" s="59"/>
      <c r="K252" s="59"/>
      <c r="L252" s="62"/>
      <c r="M252" s="63"/>
      <c r="N252" s="65"/>
      <c r="O252" s="65"/>
      <c r="P252" s="64"/>
      <c r="Q252" s="64"/>
    </row>
    <row r="253" spans="1:17" ht="15.75">
      <c r="A253" s="55"/>
      <c r="B253" s="56"/>
      <c r="C253" s="57"/>
      <c r="D253" s="58"/>
      <c r="E253" s="59" t="s">
        <v>22</v>
      </c>
      <c r="F253" s="59" t="s">
        <v>23</v>
      </c>
      <c r="G253" s="58"/>
      <c r="H253" s="60"/>
      <c r="I253" s="61"/>
      <c r="J253" s="59"/>
      <c r="K253" s="59"/>
      <c r="L253" s="62"/>
      <c r="M253" s="63"/>
      <c r="N253" s="65"/>
      <c r="O253" s="65"/>
      <c r="P253" s="64"/>
      <c r="Q253" s="64"/>
    </row>
    <row r="254" spans="1:17" ht="15.75">
      <c r="A254" s="55"/>
      <c r="B254" s="56"/>
      <c r="C254" s="57"/>
      <c r="D254" s="58"/>
      <c r="E254" s="59" t="s">
        <v>22</v>
      </c>
      <c r="F254" s="59" t="s">
        <v>23</v>
      </c>
      <c r="G254" s="58"/>
      <c r="H254" s="60"/>
      <c r="I254" s="61"/>
      <c r="J254" s="59"/>
      <c r="K254" s="59"/>
      <c r="L254" s="62"/>
      <c r="M254" s="63"/>
      <c r="N254" s="65"/>
      <c r="O254" s="65"/>
      <c r="P254" s="64"/>
      <c r="Q254" s="64"/>
    </row>
    <row r="255" spans="1:17" ht="15.75">
      <c r="A255" s="55"/>
      <c r="B255" s="56"/>
      <c r="C255" s="57"/>
      <c r="D255" s="58"/>
      <c r="E255" s="59" t="s">
        <v>22</v>
      </c>
      <c r="F255" s="59" t="s">
        <v>23</v>
      </c>
      <c r="G255" s="58"/>
      <c r="H255" s="60"/>
      <c r="I255" s="61"/>
      <c r="J255" s="59"/>
      <c r="K255" s="59"/>
      <c r="L255" s="62"/>
      <c r="M255" s="63"/>
      <c r="N255" s="65"/>
      <c r="O255" s="65"/>
      <c r="P255" s="64"/>
      <c r="Q255" s="64"/>
    </row>
    <row r="256" spans="1:17" ht="15.75">
      <c r="A256" s="55"/>
      <c r="B256" s="56"/>
      <c r="C256" s="57"/>
      <c r="D256" s="58"/>
      <c r="E256" s="59" t="s">
        <v>22</v>
      </c>
      <c r="F256" s="59" t="s">
        <v>23</v>
      </c>
      <c r="G256" s="58"/>
      <c r="H256" s="60"/>
      <c r="I256" s="61"/>
      <c r="J256" s="59"/>
      <c r="K256" s="59"/>
      <c r="L256" s="62"/>
      <c r="M256" s="63"/>
      <c r="N256" s="65"/>
      <c r="O256" s="65"/>
      <c r="P256" s="64"/>
      <c r="Q256" s="64"/>
    </row>
    <row r="257" spans="1:17" ht="15.75">
      <c r="A257" s="55"/>
      <c r="B257" s="56"/>
      <c r="C257" s="57"/>
      <c r="D257" s="58"/>
      <c r="E257" s="59" t="s">
        <v>22</v>
      </c>
      <c r="F257" s="59" t="s">
        <v>23</v>
      </c>
      <c r="G257" s="58"/>
      <c r="H257" s="60"/>
      <c r="I257" s="61"/>
      <c r="J257" s="59"/>
      <c r="K257" s="59"/>
      <c r="L257" s="62"/>
      <c r="M257" s="63"/>
      <c r="N257" s="65"/>
      <c r="O257" s="65"/>
      <c r="P257" s="64"/>
      <c r="Q257" s="64"/>
    </row>
    <row r="258" spans="1:17" ht="15.75">
      <c r="A258" s="55"/>
      <c r="B258" s="56"/>
      <c r="C258" s="57"/>
      <c r="D258" s="58"/>
      <c r="E258" s="59" t="s">
        <v>22</v>
      </c>
      <c r="F258" s="59" t="s">
        <v>23</v>
      </c>
      <c r="G258" s="58"/>
      <c r="H258" s="60"/>
      <c r="I258" s="61"/>
      <c r="J258" s="59"/>
      <c r="K258" s="59"/>
      <c r="L258" s="62"/>
      <c r="M258" s="63"/>
      <c r="N258" s="65"/>
      <c r="O258" s="65"/>
      <c r="P258" s="64"/>
      <c r="Q258" s="64"/>
    </row>
    <row r="259" spans="1:17" ht="15.75">
      <c r="A259" s="55"/>
      <c r="B259" s="56"/>
      <c r="C259" s="57"/>
      <c r="D259" s="58"/>
      <c r="E259" s="59" t="s">
        <v>22</v>
      </c>
      <c r="F259" s="59" t="s">
        <v>23</v>
      </c>
      <c r="G259" s="58"/>
      <c r="H259" s="60"/>
      <c r="I259" s="61"/>
      <c r="J259" s="59"/>
      <c r="K259" s="59"/>
      <c r="L259" s="62"/>
      <c r="M259" s="63"/>
      <c r="N259" s="65"/>
      <c r="O259" s="65"/>
      <c r="P259" s="64"/>
      <c r="Q259" s="64"/>
    </row>
    <row r="260" spans="1:17" ht="15.75">
      <c r="A260" s="55"/>
      <c r="B260" s="56"/>
      <c r="C260" s="57"/>
      <c r="D260" s="58"/>
      <c r="E260" s="59" t="s">
        <v>22</v>
      </c>
      <c r="F260" s="59" t="s">
        <v>23</v>
      </c>
      <c r="G260" s="58"/>
      <c r="H260" s="60"/>
      <c r="I260" s="61"/>
      <c r="J260" s="59"/>
      <c r="K260" s="59"/>
      <c r="L260" s="62"/>
      <c r="M260" s="63"/>
      <c r="N260" s="65"/>
      <c r="O260" s="65"/>
      <c r="P260" s="64"/>
      <c r="Q260" s="64"/>
    </row>
    <row r="261" spans="1:17" ht="15.75">
      <c r="A261" s="55"/>
      <c r="B261" s="56"/>
      <c r="C261" s="57"/>
      <c r="D261" s="58"/>
      <c r="E261" s="59" t="s">
        <v>22</v>
      </c>
      <c r="F261" s="59" t="s">
        <v>23</v>
      </c>
      <c r="G261" s="58"/>
      <c r="H261" s="60"/>
      <c r="I261" s="61"/>
      <c r="J261" s="59"/>
      <c r="K261" s="59"/>
      <c r="L261" s="62"/>
      <c r="M261" s="63"/>
      <c r="N261" s="65"/>
      <c r="O261" s="65"/>
      <c r="P261" s="64"/>
      <c r="Q261" s="64"/>
    </row>
    <row r="262" spans="1:17" ht="15.75">
      <c r="A262" s="55"/>
      <c r="B262" s="56"/>
      <c r="C262" s="57"/>
      <c r="D262" s="58"/>
      <c r="E262" s="59" t="s">
        <v>22</v>
      </c>
      <c r="F262" s="59" t="s">
        <v>23</v>
      </c>
      <c r="G262" s="58"/>
      <c r="H262" s="60"/>
      <c r="I262" s="61"/>
      <c r="J262" s="59"/>
      <c r="K262" s="59"/>
      <c r="L262" s="62"/>
      <c r="M262" s="63"/>
      <c r="N262" s="65"/>
      <c r="O262" s="65"/>
      <c r="P262" s="64"/>
      <c r="Q262" s="64"/>
    </row>
    <row r="263" spans="1:17" ht="15.75">
      <c r="A263" s="55"/>
      <c r="B263" s="56"/>
      <c r="C263" s="57"/>
      <c r="D263" s="58"/>
      <c r="E263" s="59" t="s">
        <v>22</v>
      </c>
      <c r="F263" s="59" t="s">
        <v>23</v>
      </c>
      <c r="G263" s="58"/>
      <c r="H263" s="60"/>
      <c r="I263" s="61"/>
      <c r="J263" s="59"/>
      <c r="K263" s="59"/>
      <c r="L263" s="62"/>
      <c r="M263" s="63"/>
      <c r="N263" s="65"/>
      <c r="O263" s="65"/>
      <c r="P263" s="64"/>
      <c r="Q263" s="64"/>
    </row>
    <row r="264" spans="1:17" ht="15.75">
      <c r="A264" s="55"/>
      <c r="B264" s="56"/>
      <c r="C264" s="57"/>
      <c r="D264" s="58"/>
      <c r="E264" s="59" t="s">
        <v>22</v>
      </c>
      <c r="F264" s="59" t="s">
        <v>23</v>
      </c>
      <c r="G264" s="58"/>
      <c r="H264" s="60"/>
      <c r="I264" s="61"/>
      <c r="J264" s="59"/>
      <c r="K264" s="59"/>
      <c r="L264" s="62"/>
      <c r="M264" s="63"/>
      <c r="N264" s="65"/>
      <c r="O264" s="65"/>
      <c r="P264" s="64"/>
      <c r="Q264" s="64"/>
    </row>
    <row r="265" spans="1:17" ht="15.75">
      <c r="A265" s="55"/>
      <c r="B265" s="56"/>
      <c r="C265" s="57"/>
      <c r="D265" s="58"/>
      <c r="E265" s="59" t="s">
        <v>22</v>
      </c>
      <c r="F265" s="59" t="s">
        <v>23</v>
      </c>
      <c r="G265" s="58"/>
      <c r="H265" s="60"/>
      <c r="I265" s="61"/>
      <c r="J265" s="59"/>
      <c r="K265" s="59"/>
      <c r="L265" s="62"/>
      <c r="M265" s="63"/>
      <c r="N265" s="65"/>
      <c r="O265" s="65"/>
      <c r="P265" s="64"/>
      <c r="Q265" s="64"/>
    </row>
    <row r="266" spans="1:17" ht="15.75">
      <c r="A266" s="55"/>
      <c r="B266" s="56"/>
      <c r="C266" s="57"/>
      <c r="D266" s="58"/>
      <c r="E266" s="59" t="s">
        <v>22</v>
      </c>
      <c r="F266" s="59" t="s">
        <v>23</v>
      </c>
      <c r="G266" s="58"/>
      <c r="H266" s="60"/>
      <c r="I266" s="61"/>
      <c r="J266" s="59"/>
      <c r="K266" s="59"/>
      <c r="L266" s="62"/>
      <c r="M266" s="63"/>
      <c r="N266" s="65"/>
      <c r="O266" s="65"/>
      <c r="P266" s="64"/>
      <c r="Q266" s="64"/>
    </row>
    <row r="267" spans="1:17" ht="15.75">
      <c r="A267" s="55"/>
      <c r="B267" s="56"/>
      <c r="C267" s="57"/>
      <c r="D267" s="58"/>
      <c r="E267" s="59" t="s">
        <v>22</v>
      </c>
      <c r="F267" s="59" t="s">
        <v>23</v>
      </c>
      <c r="G267" s="58"/>
      <c r="H267" s="60"/>
      <c r="I267" s="61"/>
      <c r="J267" s="59"/>
      <c r="K267" s="59"/>
      <c r="L267" s="62"/>
      <c r="M267" s="63"/>
      <c r="N267" s="65"/>
      <c r="O267" s="65"/>
      <c r="P267" s="64"/>
      <c r="Q267" s="64"/>
    </row>
    <row r="268" spans="1:17" ht="15.75">
      <c r="A268" s="55"/>
      <c r="B268" s="56"/>
      <c r="C268" s="57"/>
      <c r="D268" s="58"/>
      <c r="E268" s="59" t="s">
        <v>22</v>
      </c>
      <c r="F268" s="59" t="s">
        <v>23</v>
      </c>
      <c r="G268" s="58"/>
      <c r="H268" s="60"/>
      <c r="I268" s="61"/>
      <c r="J268" s="59"/>
      <c r="K268" s="59"/>
      <c r="L268" s="62"/>
      <c r="M268" s="63"/>
      <c r="N268" s="65"/>
      <c r="O268" s="65"/>
      <c r="P268" s="64"/>
      <c r="Q268" s="64"/>
    </row>
    <row r="269" spans="1:17" ht="15.75">
      <c r="A269" s="55"/>
      <c r="B269" s="56"/>
      <c r="C269" s="57"/>
      <c r="D269" s="58"/>
      <c r="E269" s="59" t="s">
        <v>22</v>
      </c>
      <c r="F269" s="59" t="s">
        <v>23</v>
      </c>
      <c r="G269" s="58"/>
      <c r="H269" s="60"/>
      <c r="I269" s="61"/>
      <c r="J269" s="59"/>
      <c r="K269" s="59"/>
      <c r="L269" s="62"/>
      <c r="M269" s="63"/>
      <c r="N269" s="65"/>
      <c r="O269" s="65"/>
      <c r="P269" s="64"/>
      <c r="Q269" s="64"/>
    </row>
    <row r="270" spans="1:17" ht="15.75">
      <c r="A270" s="55"/>
      <c r="B270" s="56"/>
      <c r="C270" s="57"/>
      <c r="D270" s="58"/>
      <c r="E270" s="59" t="s">
        <v>22</v>
      </c>
      <c r="F270" s="59" t="s">
        <v>23</v>
      </c>
      <c r="G270" s="58"/>
      <c r="H270" s="60"/>
      <c r="I270" s="61"/>
      <c r="J270" s="59"/>
      <c r="K270" s="59"/>
      <c r="L270" s="62"/>
      <c r="M270" s="63"/>
      <c r="N270" s="65"/>
      <c r="O270" s="65"/>
      <c r="P270" s="64"/>
      <c r="Q270" s="64"/>
    </row>
    <row r="271" spans="1:17" ht="15.75">
      <c r="A271" s="55"/>
      <c r="B271" s="56"/>
      <c r="C271" s="57"/>
      <c r="D271" s="58"/>
      <c r="E271" s="59" t="s">
        <v>22</v>
      </c>
      <c r="F271" s="59" t="s">
        <v>23</v>
      </c>
      <c r="G271" s="58"/>
      <c r="H271" s="60"/>
      <c r="I271" s="61"/>
      <c r="J271" s="59"/>
      <c r="K271" s="59"/>
      <c r="L271" s="62"/>
      <c r="M271" s="63"/>
      <c r="N271" s="65"/>
      <c r="O271" s="65"/>
      <c r="P271" s="64"/>
      <c r="Q271" s="64"/>
    </row>
    <row r="272" spans="1:17" ht="15.75">
      <c r="A272" s="55"/>
      <c r="B272" s="56"/>
      <c r="C272" s="57"/>
      <c r="D272" s="58"/>
      <c r="E272" s="59" t="s">
        <v>22</v>
      </c>
      <c r="F272" s="59" t="s">
        <v>23</v>
      </c>
      <c r="G272" s="58"/>
      <c r="H272" s="60"/>
      <c r="I272" s="61"/>
      <c r="J272" s="59"/>
      <c r="K272" s="59"/>
      <c r="L272" s="62"/>
      <c r="M272" s="63"/>
      <c r="N272" s="65"/>
      <c r="O272" s="65"/>
      <c r="P272" s="64"/>
      <c r="Q272" s="64"/>
    </row>
    <row r="273" spans="1:17" ht="15.75">
      <c r="A273" s="55"/>
      <c r="B273" s="56"/>
      <c r="C273" s="57"/>
      <c r="D273" s="58"/>
      <c r="E273" s="59" t="s">
        <v>22</v>
      </c>
      <c r="F273" s="59" t="s">
        <v>23</v>
      </c>
      <c r="G273" s="58"/>
      <c r="H273" s="60"/>
      <c r="I273" s="61"/>
      <c r="J273" s="59"/>
      <c r="K273" s="59"/>
      <c r="L273" s="62"/>
      <c r="M273" s="63"/>
      <c r="N273" s="65"/>
      <c r="O273" s="65"/>
      <c r="P273" s="64"/>
      <c r="Q273" s="64"/>
    </row>
    <row r="274" spans="1:17" ht="15.75">
      <c r="A274" s="55"/>
      <c r="B274" s="56"/>
      <c r="C274" s="57"/>
      <c r="D274" s="58"/>
      <c r="E274" s="59" t="s">
        <v>22</v>
      </c>
      <c r="F274" s="59" t="s">
        <v>23</v>
      </c>
      <c r="G274" s="58"/>
      <c r="H274" s="60"/>
      <c r="I274" s="61"/>
      <c r="J274" s="59"/>
      <c r="K274" s="59"/>
      <c r="L274" s="62"/>
      <c r="M274" s="63"/>
      <c r="N274" s="65"/>
      <c r="O274" s="65"/>
      <c r="P274" s="64"/>
      <c r="Q274" s="64"/>
    </row>
    <row r="275" spans="1:17" ht="15.75">
      <c r="A275" s="55"/>
      <c r="B275" s="56"/>
      <c r="C275" s="57"/>
      <c r="D275" s="58"/>
      <c r="E275" s="59" t="s">
        <v>22</v>
      </c>
      <c r="F275" s="59" t="s">
        <v>23</v>
      </c>
      <c r="G275" s="58"/>
      <c r="H275" s="60"/>
      <c r="I275" s="61"/>
      <c r="J275" s="59"/>
      <c r="K275" s="59"/>
      <c r="L275" s="62"/>
      <c r="M275" s="63"/>
      <c r="N275" s="65"/>
      <c r="O275" s="65"/>
      <c r="P275" s="64"/>
      <c r="Q275" s="64"/>
    </row>
    <row r="276" spans="1:17" ht="15.75">
      <c r="A276" s="55"/>
      <c r="B276" s="56"/>
      <c r="C276" s="57"/>
      <c r="D276" s="58"/>
      <c r="E276" s="59" t="s">
        <v>22</v>
      </c>
      <c r="F276" s="59" t="s">
        <v>23</v>
      </c>
      <c r="G276" s="58"/>
      <c r="H276" s="60"/>
      <c r="I276" s="61"/>
      <c r="J276" s="59"/>
      <c r="K276" s="59"/>
      <c r="L276" s="62"/>
      <c r="M276" s="63"/>
      <c r="N276" s="65"/>
      <c r="O276" s="65"/>
      <c r="P276" s="64"/>
      <c r="Q276" s="64"/>
    </row>
    <row r="277" spans="1:17" ht="15.75">
      <c r="A277" s="55"/>
      <c r="B277" s="56"/>
      <c r="C277" s="57"/>
      <c r="D277" s="58"/>
      <c r="E277" s="59" t="s">
        <v>22</v>
      </c>
      <c r="F277" s="59" t="s">
        <v>23</v>
      </c>
      <c r="G277" s="58"/>
      <c r="H277" s="60"/>
      <c r="I277" s="61"/>
      <c r="J277" s="59"/>
      <c r="K277" s="59"/>
      <c r="L277" s="62"/>
      <c r="M277" s="63"/>
      <c r="N277" s="65"/>
      <c r="O277" s="65"/>
      <c r="P277" s="64"/>
      <c r="Q277" s="64"/>
    </row>
    <row r="278" spans="1:17" ht="15.75">
      <c r="A278" s="55"/>
      <c r="B278" s="56"/>
      <c r="C278" s="57"/>
      <c r="D278" s="58"/>
      <c r="E278" s="59" t="s">
        <v>22</v>
      </c>
      <c r="F278" s="59" t="s">
        <v>23</v>
      </c>
      <c r="G278" s="58"/>
      <c r="H278" s="60"/>
      <c r="I278" s="61"/>
      <c r="J278" s="59"/>
      <c r="K278" s="59"/>
      <c r="L278" s="62"/>
      <c r="M278" s="63"/>
      <c r="N278" s="65"/>
      <c r="O278" s="65"/>
      <c r="P278" s="64"/>
      <c r="Q278" s="64"/>
    </row>
    <row r="279" spans="1:17" ht="15.75">
      <c r="A279" s="55"/>
      <c r="B279" s="56"/>
      <c r="C279" s="57"/>
      <c r="D279" s="58"/>
      <c r="E279" s="59" t="s">
        <v>22</v>
      </c>
      <c r="F279" s="59" t="s">
        <v>23</v>
      </c>
      <c r="G279" s="58"/>
      <c r="H279" s="60"/>
      <c r="I279" s="61"/>
      <c r="J279" s="59"/>
      <c r="K279" s="59"/>
      <c r="L279" s="62"/>
      <c r="M279" s="63"/>
      <c r="N279" s="65"/>
      <c r="O279" s="65"/>
      <c r="P279" s="64"/>
      <c r="Q279" s="64"/>
    </row>
    <row r="280" spans="1:17" ht="15.75">
      <c r="A280" s="55"/>
      <c r="B280" s="56"/>
      <c r="C280" s="57"/>
      <c r="D280" s="58"/>
      <c r="E280" s="59" t="s">
        <v>22</v>
      </c>
      <c r="F280" s="59" t="s">
        <v>23</v>
      </c>
      <c r="G280" s="58"/>
      <c r="H280" s="60"/>
      <c r="I280" s="61"/>
      <c r="J280" s="59"/>
      <c r="K280" s="59"/>
      <c r="L280" s="62"/>
      <c r="M280" s="63"/>
      <c r="N280" s="65"/>
      <c r="O280" s="65"/>
      <c r="P280" s="64"/>
      <c r="Q280" s="64"/>
    </row>
    <row r="281" spans="1:17" ht="15.75">
      <c r="A281" s="55"/>
      <c r="B281" s="56"/>
      <c r="C281" s="57"/>
      <c r="D281" s="58"/>
      <c r="E281" s="59" t="s">
        <v>22</v>
      </c>
      <c r="F281" s="59" t="s">
        <v>23</v>
      </c>
      <c r="G281" s="58"/>
      <c r="H281" s="60"/>
      <c r="I281" s="61"/>
      <c r="J281" s="59"/>
      <c r="K281" s="59"/>
      <c r="L281" s="62"/>
      <c r="M281" s="63"/>
      <c r="N281" s="65"/>
      <c r="O281" s="65"/>
      <c r="P281" s="64"/>
      <c r="Q281" s="64"/>
    </row>
    <row r="282" spans="1:17" ht="15.75">
      <c r="A282" s="55"/>
      <c r="B282" s="56"/>
      <c r="C282" s="57"/>
      <c r="D282" s="58"/>
      <c r="E282" s="59" t="s">
        <v>22</v>
      </c>
      <c r="F282" s="59" t="s">
        <v>23</v>
      </c>
      <c r="G282" s="58"/>
      <c r="H282" s="60"/>
      <c r="I282" s="61"/>
      <c r="J282" s="59"/>
      <c r="K282" s="59"/>
      <c r="L282" s="62"/>
      <c r="M282" s="63"/>
      <c r="N282" s="65"/>
      <c r="O282" s="65"/>
      <c r="P282" s="64"/>
      <c r="Q282" s="64"/>
    </row>
    <row r="283" spans="1:17" ht="15.75">
      <c r="A283" s="55"/>
      <c r="B283" s="56"/>
      <c r="C283" s="57"/>
      <c r="D283" s="58"/>
      <c r="E283" s="59" t="s">
        <v>22</v>
      </c>
      <c r="F283" s="59" t="s">
        <v>23</v>
      </c>
      <c r="G283" s="58"/>
      <c r="H283" s="60"/>
      <c r="I283" s="61"/>
      <c r="J283" s="59"/>
      <c r="K283" s="59"/>
      <c r="L283" s="62"/>
      <c r="M283" s="63"/>
      <c r="N283" s="65"/>
      <c r="O283" s="65"/>
      <c r="P283" s="64"/>
      <c r="Q283" s="64"/>
    </row>
    <row r="284" spans="1:17" ht="15.75">
      <c r="A284" s="55"/>
      <c r="B284" s="56"/>
      <c r="C284" s="57"/>
      <c r="D284" s="58"/>
      <c r="E284" s="59" t="s">
        <v>22</v>
      </c>
      <c r="F284" s="59" t="s">
        <v>23</v>
      </c>
      <c r="G284" s="58"/>
      <c r="H284" s="60"/>
      <c r="I284" s="61"/>
      <c r="J284" s="59"/>
      <c r="K284" s="59"/>
      <c r="L284" s="62"/>
      <c r="M284" s="63"/>
      <c r="N284" s="65"/>
      <c r="O284" s="65"/>
      <c r="P284" s="64"/>
      <c r="Q284" s="64"/>
    </row>
    <row r="285" spans="1:17" ht="15.75">
      <c r="A285" s="55"/>
      <c r="B285" s="56"/>
      <c r="C285" s="57"/>
      <c r="D285" s="58"/>
      <c r="E285" s="59" t="s">
        <v>22</v>
      </c>
      <c r="F285" s="59" t="s">
        <v>23</v>
      </c>
      <c r="G285" s="58"/>
      <c r="H285" s="60"/>
      <c r="I285" s="61"/>
      <c r="J285" s="59"/>
      <c r="K285" s="59"/>
      <c r="L285" s="62"/>
      <c r="M285" s="63"/>
      <c r="N285" s="65"/>
      <c r="O285" s="65"/>
      <c r="P285" s="64"/>
      <c r="Q285" s="64"/>
    </row>
    <row r="286" spans="1:17" ht="15.75">
      <c r="A286" s="55"/>
      <c r="B286" s="56"/>
      <c r="C286" s="57"/>
      <c r="D286" s="58"/>
      <c r="E286" s="59" t="s">
        <v>22</v>
      </c>
      <c r="F286" s="59" t="s">
        <v>23</v>
      </c>
      <c r="G286" s="58"/>
      <c r="H286" s="60"/>
      <c r="I286" s="61"/>
      <c r="J286" s="59"/>
      <c r="K286" s="59"/>
      <c r="L286" s="62"/>
      <c r="M286" s="63"/>
      <c r="N286" s="65"/>
      <c r="O286" s="65"/>
      <c r="P286" s="64"/>
      <c r="Q286" s="64"/>
    </row>
    <row r="287" spans="1:17" ht="15.75">
      <c r="A287" s="55"/>
      <c r="B287" s="56"/>
      <c r="C287" s="57"/>
      <c r="D287" s="58"/>
      <c r="E287" s="59" t="s">
        <v>22</v>
      </c>
      <c r="F287" s="59" t="s">
        <v>23</v>
      </c>
      <c r="G287" s="58"/>
      <c r="H287" s="60"/>
      <c r="I287" s="61"/>
      <c r="J287" s="59"/>
      <c r="K287" s="59"/>
      <c r="L287" s="62"/>
      <c r="M287" s="63"/>
      <c r="N287" s="65"/>
      <c r="O287" s="65"/>
      <c r="P287" s="64"/>
      <c r="Q287" s="64"/>
    </row>
    <row r="288" spans="1:17" ht="15.75">
      <c r="A288" s="55"/>
      <c r="B288" s="56"/>
      <c r="C288" s="57"/>
      <c r="D288" s="58"/>
      <c r="E288" s="59" t="s">
        <v>22</v>
      </c>
      <c r="F288" s="59" t="s">
        <v>23</v>
      </c>
      <c r="G288" s="58"/>
      <c r="H288" s="60"/>
      <c r="I288" s="61"/>
      <c r="J288" s="59"/>
      <c r="K288" s="59"/>
      <c r="L288" s="62"/>
      <c r="M288" s="63"/>
      <c r="N288" s="65"/>
      <c r="O288" s="65"/>
      <c r="P288" s="64"/>
      <c r="Q288" s="64"/>
    </row>
    <row r="289" spans="1:17" ht="15.75">
      <c r="A289" s="55"/>
      <c r="B289" s="56"/>
      <c r="C289" s="57"/>
      <c r="D289" s="58"/>
      <c r="E289" s="59" t="s">
        <v>22</v>
      </c>
      <c r="F289" s="59" t="s">
        <v>23</v>
      </c>
      <c r="G289" s="58"/>
      <c r="H289" s="60"/>
      <c r="I289" s="61"/>
      <c r="J289" s="59"/>
      <c r="K289" s="59"/>
      <c r="L289" s="62"/>
      <c r="M289" s="63"/>
      <c r="N289" s="65"/>
      <c r="O289" s="65"/>
      <c r="P289" s="64"/>
      <c r="Q289" s="64"/>
    </row>
    <row r="290" spans="1:17" ht="15.75">
      <c r="A290" s="55"/>
      <c r="B290" s="56"/>
      <c r="C290" s="57"/>
      <c r="D290" s="58"/>
      <c r="E290" s="59" t="s">
        <v>22</v>
      </c>
      <c r="F290" s="59" t="s">
        <v>23</v>
      </c>
      <c r="G290" s="58"/>
      <c r="H290" s="60"/>
      <c r="I290" s="61"/>
      <c r="J290" s="59"/>
      <c r="K290" s="59"/>
      <c r="L290" s="62"/>
      <c r="M290" s="63"/>
      <c r="N290" s="65"/>
      <c r="O290" s="65"/>
      <c r="P290" s="64"/>
      <c r="Q290" s="64"/>
    </row>
    <row r="291" spans="1:17" ht="15.75">
      <c r="A291" s="55"/>
      <c r="B291" s="56"/>
      <c r="C291" s="57"/>
      <c r="D291" s="58"/>
      <c r="E291" s="59" t="s">
        <v>22</v>
      </c>
      <c r="F291" s="59" t="s">
        <v>23</v>
      </c>
      <c r="G291" s="58"/>
      <c r="H291" s="60"/>
      <c r="I291" s="61"/>
      <c r="J291" s="59"/>
      <c r="K291" s="59"/>
      <c r="L291" s="62"/>
      <c r="M291" s="63"/>
      <c r="N291" s="65"/>
      <c r="O291" s="65"/>
      <c r="P291" s="64"/>
      <c r="Q291" s="64"/>
    </row>
    <row r="292" spans="1:17" ht="15.75">
      <c r="A292" s="55"/>
      <c r="B292" s="56"/>
      <c r="C292" s="57"/>
      <c r="D292" s="58"/>
      <c r="E292" s="59" t="s">
        <v>22</v>
      </c>
      <c r="F292" s="59" t="s">
        <v>23</v>
      </c>
      <c r="G292" s="58"/>
      <c r="H292" s="60"/>
      <c r="I292" s="61"/>
      <c r="J292" s="59"/>
      <c r="K292" s="59"/>
      <c r="L292" s="62"/>
      <c r="M292" s="63"/>
      <c r="N292" s="65"/>
      <c r="O292" s="65"/>
      <c r="P292" s="64"/>
      <c r="Q292" s="64"/>
    </row>
    <row r="293" spans="1:17" ht="15.75">
      <c r="A293" s="55"/>
      <c r="B293" s="56"/>
      <c r="C293" s="57"/>
      <c r="D293" s="58"/>
      <c r="E293" s="59" t="s">
        <v>22</v>
      </c>
      <c r="F293" s="59" t="s">
        <v>23</v>
      </c>
      <c r="G293" s="58"/>
      <c r="H293" s="60"/>
      <c r="I293" s="61"/>
      <c r="J293" s="59"/>
      <c r="K293" s="59"/>
      <c r="L293" s="62"/>
      <c r="M293" s="63"/>
      <c r="N293" s="65"/>
      <c r="O293" s="65"/>
      <c r="P293" s="64"/>
      <c r="Q293" s="64"/>
    </row>
    <row r="294" spans="1:17" ht="15.75">
      <c r="A294" s="55"/>
      <c r="B294" s="56"/>
      <c r="C294" s="57"/>
      <c r="D294" s="58"/>
      <c r="E294" s="59" t="s">
        <v>22</v>
      </c>
      <c r="F294" s="59" t="s">
        <v>23</v>
      </c>
      <c r="G294" s="58"/>
      <c r="H294" s="60"/>
      <c r="I294" s="61"/>
      <c r="J294" s="59"/>
      <c r="K294" s="59"/>
      <c r="L294" s="62"/>
      <c r="M294" s="63"/>
      <c r="N294" s="65"/>
      <c r="O294" s="65"/>
      <c r="P294" s="64"/>
      <c r="Q294" s="64"/>
    </row>
    <row r="295" spans="1:17" ht="15.75">
      <c r="A295" s="55"/>
      <c r="B295" s="56"/>
      <c r="C295" s="57"/>
      <c r="D295" s="58"/>
      <c r="E295" s="59" t="s">
        <v>22</v>
      </c>
      <c r="F295" s="59" t="s">
        <v>23</v>
      </c>
      <c r="G295" s="58"/>
      <c r="H295" s="60"/>
      <c r="I295" s="61"/>
      <c r="J295" s="59"/>
      <c r="K295" s="59"/>
      <c r="L295" s="62"/>
      <c r="M295" s="63"/>
      <c r="N295" s="65"/>
      <c r="O295" s="65"/>
      <c r="P295" s="64"/>
      <c r="Q295" s="64"/>
    </row>
    <row r="296" spans="1:17" ht="15.75">
      <c r="A296" s="55"/>
      <c r="B296" s="56"/>
      <c r="C296" s="57"/>
      <c r="D296" s="58"/>
      <c r="E296" s="59" t="s">
        <v>22</v>
      </c>
      <c r="F296" s="59" t="s">
        <v>23</v>
      </c>
      <c r="G296" s="58"/>
      <c r="H296" s="60"/>
      <c r="I296" s="61"/>
      <c r="J296" s="59"/>
      <c r="K296" s="59"/>
      <c r="L296" s="62"/>
      <c r="M296" s="63"/>
      <c r="N296" s="65"/>
      <c r="O296" s="65"/>
      <c r="P296" s="64"/>
      <c r="Q296" s="64"/>
    </row>
    <row r="297" spans="1:17" ht="15.75">
      <c r="A297" s="55"/>
      <c r="B297" s="56"/>
      <c r="C297" s="57"/>
      <c r="D297" s="58"/>
      <c r="E297" s="59" t="s">
        <v>22</v>
      </c>
      <c r="F297" s="59" t="s">
        <v>23</v>
      </c>
      <c r="G297" s="58"/>
      <c r="H297" s="60"/>
      <c r="I297" s="61"/>
      <c r="J297" s="59"/>
      <c r="K297" s="59"/>
      <c r="L297" s="62"/>
      <c r="M297" s="63"/>
      <c r="N297" s="65"/>
      <c r="O297" s="65"/>
      <c r="P297" s="64"/>
      <c r="Q297" s="64"/>
    </row>
    <row r="298" spans="1:17" ht="15.75">
      <c r="A298" s="55"/>
      <c r="B298" s="56"/>
      <c r="C298" s="57"/>
      <c r="D298" s="58"/>
      <c r="E298" s="59" t="s">
        <v>22</v>
      </c>
      <c r="F298" s="59" t="s">
        <v>23</v>
      </c>
      <c r="G298" s="58"/>
      <c r="H298" s="60"/>
      <c r="I298" s="61"/>
      <c r="J298" s="59"/>
      <c r="K298" s="59"/>
      <c r="L298" s="62"/>
      <c r="M298" s="63"/>
      <c r="N298" s="65"/>
      <c r="O298" s="65"/>
      <c r="P298" s="64"/>
      <c r="Q298" s="64"/>
    </row>
    <row r="299" spans="1:17" ht="15.75">
      <c r="A299" s="55"/>
      <c r="B299" s="56"/>
      <c r="C299" s="57"/>
      <c r="D299" s="58"/>
      <c r="E299" s="59" t="s">
        <v>22</v>
      </c>
      <c r="F299" s="59" t="s">
        <v>23</v>
      </c>
      <c r="G299" s="58"/>
      <c r="H299" s="60"/>
      <c r="I299" s="61"/>
      <c r="J299" s="59"/>
      <c r="K299" s="59"/>
      <c r="L299" s="62"/>
      <c r="M299" s="63"/>
      <c r="N299" s="65"/>
      <c r="O299" s="65"/>
      <c r="P299" s="64"/>
      <c r="Q299" s="64"/>
    </row>
    <row r="300" spans="1:17" ht="15.75">
      <c r="A300" s="55"/>
      <c r="B300" s="56"/>
      <c r="C300" s="57"/>
      <c r="D300" s="58"/>
      <c r="E300" s="59" t="s">
        <v>22</v>
      </c>
      <c r="F300" s="59" t="s">
        <v>23</v>
      </c>
      <c r="G300" s="58"/>
      <c r="H300" s="60"/>
      <c r="I300" s="61"/>
      <c r="J300" s="59"/>
      <c r="K300" s="59"/>
      <c r="L300" s="62"/>
      <c r="M300" s="63"/>
      <c r="N300" s="65"/>
      <c r="O300" s="65"/>
      <c r="P300" s="64"/>
      <c r="Q300" s="64"/>
    </row>
    <row r="301" spans="1:17" ht="15.75">
      <c r="A301" s="55"/>
      <c r="B301" s="56"/>
      <c r="C301" s="57"/>
      <c r="D301" s="58"/>
      <c r="E301" s="59" t="s">
        <v>22</v>
      </c>
      <c r="F301" s="59" t="s">
        <v>23</v>
      </c>
      <c r="G301" s="58"/>
      <c r="H301" s="60"/>
      <c r="I301" s="61"/>
      <c r="J301" s="59"/>
      <c r="K301" s="59"/>
      <c r="L301" s="62"/>
      <c r="M301" s="63"/>
      <c r="N301" s="65"/>
      <c r="O301" s="65"/>
      <c r="P301" s="64"/>
      <c r="Q301" s="64"/>
    </row>
    <row r="302" spans="1:17" ht="15.75">
      <c r="A302" s="55"/>
      <c r="B302" s="56"/>
      <c r="C302" s="57"/>
      <c r="D302" s="58"/>
      <c r="E302" s="59" t="s">
        <v>22</v>
      </c>
      <c r="F302" s="59" t="s">
        <v>23</v>
      </c>
      <c r="G302" s="58"/>
      <c r="H302" s="60"/>
      <c r="I302" s="61"/>
      <c r="J302" s="59"/>
      <c r="K302" s="59"/>
      <c r="L302" s="62"/>
      <c r="M302" s="63"/>
      <c r="N302" s="65"/>
      <c r="O302" s="65"/>
      <c r="P302" s="64"/>
      <c r="Q302" s="64"/>
    </row>
    <row r="303" spans="1:17" ht="15.75">
      <c r="A303" s="55"/>
      <c r="B303" s="56"/>
      <c r="C303" s="57"/>
      <c r="D303" s="58"/>
      <c r="E303" s="59" t="s">
        <v>22</v>
      </c>
      <c r="F303" s="59" t="s">
        <v>23</v>
      </c>
      <c r="G303" s="58"/>
      <c r="H303" s="60"/>
      <c r="I303" s="61"/>
      <c r="J303" s="59"/>
      <c r="K303" s="59"/>
      <c r="L303" s="62"/>
      <c r="M303" s="63"/>
      <c r="N303" s="65"/>
      <c r="O303" s="65"/>
      <c r="P303" s="64"/>
      <c r="Q303" s="64"/>
    </row>
    <row r="304" spans="1:17" ht="15.75">
      <c r="A304" s="55"/>
      <c r="B304" s="56"/>
      <c r="C304" s="57"/>
      <c r="D304" s="58"/>
      <c r="E304" s="59" t="s">
        <v>22</v>
      </c>
      <c r="F304" s="59" t="s">
        <v>23</v>
      </c>
      <c r="G304" s="58"/>
      <c r="H304" s="60"/>
      <c r="I304" s="61"/>
      <c r="J304" s="59"/>
      <c r="K304" s="59"/>
      <c r="L304" s="62"/>
      <c r="M304" s="63"/>
      <c r="N304" s="65"/>
      <c r="O304" s="65"/>
      <c r="P304" s="64"/>
      <c r="Q304" s="64"/>
    </row>
    <row r="305" spans="1:17" ht="15.75">
      <c r="A305" s="55"/>
      <c r="B305" s="56"/>
      <c r="C305" s="57"/>
      <c r="D305" s="58"/>
      <c r="E305" s="59" t="s">
        <v>22</v>
      </c>
      <c r="F305" s="59" t="s">
        <v>23</v>
      </c>
      <c r="G305" s="58"/>
      <c r="H305" s="60"/>
      <c r="I305" s="61"/>
      <c r="J305" s="59"/>
      <c r="K305" s="59"/>
      <c r="L305" s="62"/>
      <c r="M305" s="63"/>
      <c r="N305" s="65"/>
      <c r="O305" s="65"/>
      <c r="P305" s="64"/>
      <c r="Q305" s="64"/>
    </row>
    <row r="306" spans="1:17" ht="15.75">
      <c r="A306" s="55"/>
      <c r="B306" s="56"/>
      <c r="C306" s="57"/>
      <c r="D306" s="58"/>
      <c r="E306" s="59" t="s">
        <v>22</v>
      </c>
      <c r="F306" s="59" t="s">
        <v>23</v>
      </c>
      <c r="G306" s="58"/>
      <c r="H306" s="60"/>
      <c r="I306" s="61"/>
      <c r="J306" s="59"/>
      <c r="K306" s="59"/>
      <c r="L306" s="62"/>
      <c r="M306" s="63"/>
      <c r="N306" s="65"/>
      <c r="O306" s="65"/>
      <c r="P306" s="64"/>
      <c r="Q306" s="64"/>
    </row>
    <row r="307" spans="1:17" ht="15.75">
      <c r="A307" s="55"/>
      <c r="B307" s="56"/>
      <c r="C307" s="57"/>
      <c r="D307" s="58"/>
      <c r="E307" s="59" t="s">
        <v>22</v>
      </c>
      <c r="F307" s="59" t="s">
        <v>23</v>
      </c>
      <c r="G307" s="58"/>
      <c r="H307" s="60"/>
      <c r="I307" s="61"/>
      <c r="J307" s="59"/>
      <c r="K307" s="59"/>
      <c r="L307" s="62"/>
      <c r="M307" s="63"/>
      <c r="N307" s="65"/>
      <c r="O307" s="65"/>
      <c r="P307" s="64"/>
      <c r="Q307" s="64"/>
    </row>
    <row r="308" spans="1:17" ht="15.75">
      <c r="A308" s="55"/>
      <c r="B308" s="56"/>
      <c r="C308" s="57"/>
      <c r="D308" s="58"/>
      <c r="E308" s="59" t="s">
        <v>22</v>
      </c>
      <c r="F308" s="59" t="s">
        <v>23</v>
      </c>
      <c r="G308" s="58"/>
      <c r="H308" s="60"/>
      <c r="I308" s="61"/>
      <c r="J308" s="59"/>
      <c r="K308" s="59"/>
      <c r="L308" s="62"/>
      <c r="M308" s="63"/>
      <c r="N308" s="65"/>
      <c r="O308" s="65"/>
      <c r="P308" s="64"/>
      <c r="Q308" s="64"/>
    </row>
    <row r="309" spans="1:17" ht="15.75">
      <c r="A309" s="55"/>
      <c r="B309" s="56"/>
      <c r="C309" s="57"/>
      <c r="D309" s="58"/>
      <c r="E309" s="59" t="s">
        <v>22</v>
      </c>
      <c r="F309" s="59" t="s">
        <v>23</v>
      </c>
      <c r="G309" s="58"/>
      <c r="H309" s="60"/>
      <c r="I309" s="61"/>
      <c r="J309" s="59"/>
      <c r="K309" s="59"/>
      <c r="L309" s="62"/>
      <c r="M309" s="63"/>
      <c r="N309" s="65"/>
      <c r="O309" s="65"/>
      <c r="P309" s="64"/>
      <c r="Q309" s="64"/>
    </row>
    <row r="310" spans="1:17" ht="15.75">
      <c r="A310" s="55"/>
      <c r="B310" s="56"/>
      <c r="C310" s="57"/>
      <c r="D310" s="58"/>
      <c r="E310" s="59" t="s">
        <v>22</v>
      </c>
      <c r="F310" s="59" t="s">
        <v>23</v>
      </c>
      <c r="G310" s="58"/>
      <c r="H310" s="60"/>
      <c r="I310" s="61"/>
      <c r="J310" s="59"/>
      <c r="K310" s="59"/>
      <c r="L310" s="62"/>
      <c r="M310" s="63"/>
      <c r="N310" s="65"/>
      <c r="O310" s="65"/>
      <c r="P310" s="64"/>
      <c r="Q310" s="64"/>
    </row>
    <row r="311" spans="1:17" ht="15.75">
      <c r="A311" s="55"/>
      <c r="B311" s="56"/>
      <c r="C311" s="57"/>
      <c r="D311" s="58"/>
      <c r="E311" s="59" t="s">
        <v>22</v>
      </c>
      <c r="F311" s="59" t="s">
        <v>23</v>
      </c>
      <c r="G311" s="58"/>
      <c r="H311" s="60"/>
      <c r="I311" s="61"/>
      <c r="J311" s="59"/>
      <c r="K311" s="59"/>
      <c r="L311" s="62"/>
      <c r="M311" s="63"/>
      <c r="N311" s="65"/>
      <c r="O311" s="65"/>
      <c r="P311" s="64"/>
      <c r="Q311" s="64"/>
    </row>
    <row r="312" spans="1:17" ht="15.75">
      <c r="A312" s="55"/>
      <c r="B312" s="56"/>
      <c r="C312" s="57"/>
      <c r="D312" s="58"/>
      <c r="E312" s="59" t="s">
        <v>22</v>
      </c>
      <c r="F312" s="59" t="s">
        <v>23</v>
      </c>
      <c r="G312" s="58"/>
      <c r="H312" s="60"/>
      <c r="I312" s="61"/>
      <c r="J312" s="59"/>
      <c r="K312" s="59"/>
      <c r="L312" s="62"/>
      <c r="M312" s="63"/>
      <c r="N312" s="65"/>
      <c r="O312" s="65"/>
      <c r="P312" s="64"/>
      <c r="Q312" s="64"/>
    </row>
    <row r="313" spans="1:17" ht="15.75">
      <c r="A313" s="55"/>
      <c r="B313" s="56"/>
      <c r="C313" s="57"/>
      <c r="D313" s="58"/>
      <c r="E313" s="59" t="s">
        <v>22</v>
      </c>
      <c r="F313" s="59" t="s">
        <v>23</v>
      </c>
      <c r="G313" s="58"/>
      <c r="H313" s="60"/>
      <c r="I313" s="61"/>
      <c r="J313" s="59"/>
      <c r="K313" s="59"/>
      <c r="L313" s="62"/>
      <c r="M313" s="63"/>
      <c r="N313" s="65"/>
      <c r="O313" s="65"/>
      <c r="P313" s="64"/>
      <c r="Q313" s="64"/>
    </row>
    <row r="314" spans="1:17" ht="15.75">
      <c r="A314" s="55"/>
      <c r="B314" s="56"/>
      <c r="C314" s="57"/>
      <c r="D314" s="58"/>
      <c r="E314" s="59" t="s">
        <v>22</v>
      </c>
      <c r="F314" s="59" t="s">
        <v>23</v>
      </c>
      <c r="G314" s="58"/>
      <c r="H314" s="60"/>
      <c r="I314" s="61"/>
      <c r="J314" s="59"/>
      <c r="K314" s="59"/>
      <c r="L314" s="62"/>
      <c r="M314" s="63"/>
      <c r="N314" s="65"/>
      <c r="O314" s="65"/>
      <c r="P314" s="64"/>
      <c r="Q314" s="64"/>
    </row>
    <row r="315" spans="1:17" ht="15.75">
      <c r="A315" s="55"/>
      <c r="B315" s="56"/>
      <c r="C315" s="57"/>
      <c r="D315" s="58"/>
      <c r="E315" s="59" t="s">
        <v>22</v>
      </c>
      <c r="F315" s="59" t="s">
        <v>23</v>
      </c>
      <c r="G315" s="58"/>
      <c r="H315" s="60"/>
      <c r="I315" s="61"/>
      <c r="J315" s="59"/>
      <c r="K315" s="59"/>
      <c r="L315" s="62"/>
      <c r="M315" s="63"/>
      <c r="N315" s="65"/>
      <c r="O315" s="65"/>
      <c r="P315" s="64"/>
      <c r="Q315" s="64"/>
    </row>
    <row r="316" spans="1:17" ht="15.75">
      <c r="A316" s="55"/>
      <c r="B316" s="56"/>
      <c r="C316" s="57"/>
      <c r="D316" s="58"/>
      <c r="E316" s="59" t="s">
        <v>22</v>
      </c>
      <c r="F316" s="59" t="s">
        <v>23</v>
      </c>
      <c r="G316" s="58"/>
      <c r="H316" s="60"/>
      <c r="I316" s="61"/>
      <c r="J316" s="59"/>
      <c r="K316" s="59"/>
      <c r="L316" s="62"/>
      <c r="M316" s="63"/>
      <c r="N316" s="65"/>
      <c r="O316" s="65"/>
      <c r="P316" s="64"/>
      <c r="Q316" s="64"/>
    </row>
    <row r="317" spans="1:17" ht="15.75">
      <c r="A317" s="55"/>
      <c r="B317" s="56"/>
      <c r="C317" s="57"/>
      <c r="D317" s="58"/>
      <c r="E317" s="59" t="s">
        <v>22</v>
      </c>
      <c r="F317" s="59" t="s">
        <v>23</v>
      </c>
      <c r="G317" s="58"/>
      <c r="H317" s="60"/>
      <c r="I317" s="61"/>
      <c r="J317" s="59"/>
      <c r="K317" s="59"/>
      <c r="L317" s="62"/>
      <c r="M317" s="63"/>
      <c r="N317" s="65"/>
      <c r="O317" s="65"/>
      <c r="P317" s="64"/>
      <c r="Q317" s="64"/>
    </row>
    <row r="318" spans="1:17" ht="15.75">
      <c r="A318" s="55"/>
      <c r="B318" s="56"/>
      <c r="C318" s="57"/>
      <c r="D318" s="58"/>
      <c r="E318" s="59" t="s">
        <v>22</v>
      </c>
      <c r="F318" s="59" t="s">
        <v>23</v>
      </c>
      <c r="G318" s="58"/>
      <c r="H318" s="60"/>
      <c r="I318" s="61"/>
      <c r="J318" s="59"/>
      <c r="K318" s="59"/>
      <c r="L318" s="62"/>
      <c r="M318" s="63"/>
      <c r="N318" s="65"/>
      <c r="O318" s="65"/>
      <c r="P318" s="64"/>
      <c r="Q318" s="64"/>
    </row>
    <row r="319" spans="1:17" ht="15.75">
      <c r="A319" s="55"/>
      <c r="B319" s="56"/>
      <c r="C319" s="57"/>
      <c r="D319" s="58"/>
      <c r="E319" s="59" t="s">
        <v>22</v>
      </c>
      <c r="F319" s="59" t="s">
        <v>23</v>
      </c>
      <c r="G319" s="58"/>
      <c r="H319" s="60"/>
      <c r="I319" s="61"/>
      <c r="J319" s="59"/>
      <c r="K319" s="59"/>
      <c r="L319" s="62"/>
      <c r="M319" s="63"/>
      <c r="N319" s="65"/>
      <c r="O319" s="65"/>
      <c r="P319" s="64"/>
      <c r="Q319" s="64"/>
    </row>
    <row r="320" spans="1:17" ht="15.75">
      <c r="A320" s="55"/>
      <c r="B320" s="56"/>
      <c r="C320" s="57"/>
      <c r="D320" s="58"/>
      <c r="E320" s="59" t="s">
        <v>22</v>
      </c>
      <c r="F320" s="59" t="s">
        <v>23</v>
      </c>
      <c r="G320" s="58"/>
      <c r="H320" s="60"/>
      <c r="I320" s="61"/>
      <c r="J320" s="59"/>
      <c r="K320" s="59"/>
      <c r="L320" s="62"/>
      <c r="M320" s="63"/>
      <c r="N320" s="65"/>
      <c r="O320" s="65"/>
      <c r="P320" s="64"/>
      <c r="Q320" s="64"/>
    </row>
    <row r="321" spans="1:17" ht="15.75">
      <c r="A321" s="55"/>
      <c r="B321" s="56"/>
      <c r="C321" s="57"/>
      <c r="D321" s="58"/>
      <c r="E321" s="59" t="s">
        <v>22</v>
      </c>
      <c r="F321" s="59" t="s">
        <v>23</v>
      </c>
      <c r="G321" s="58"/>
      <c r="H321" s="60"/>
      <c r="I321" s="61"/>
      <c r="J321" s="59"/>
      <c r="K321" s="59"/>
      <c r="L321" s="62"/>
      <c r="M321" s="63"/>
      <c r="N321" s="65"/>
      <c r="O321" s="65"/>
      <c r="P321" s="64"/>
      <c r="Q321" s="64"/>
    </row>
    <row r="322" spans="1:17" ht="15.75">
      <c r="A322" s="55"/>
      <c r="B322" s="56"/>
      <c r="C322" s="57"/>
      <c r="D322" s="58"/>
      <c r="E322" s="59" t="s">
        <v>22</v>
      </c>
      <c r="F322" s="59" t="s">
        <v>23</v>
      </c>
      <c r="G322" s="58"/>
      <c r="H322" s="60"/>
      <c r="I322" s="61"/>
      <c r="J322" s="59"/>
      <c r="K322" s="59"/>
      <c r="L322" s="62"/>
      <c r="M322" s="63"/>
      <c r="N322" s="65"/>
      <c r="O322" s="65"/>
      <c r="P322" s="64"/>
      <c r="Q322" s="64"/>
    </row>
    <row r="323" spans="1:17" ht="15.75">
      <c r="A323" s="55"/>
      <c r="B323" s="56"/>
      <c r="C323" s="57"/>
      <c r="D323" s="58"/>
      <c r="E323" s="59" t="s">
        <v>22</v>
      </c>
      <c r="F323" s="59" t="s">
        <v>23</v>
      </c>
      <c r="G323" s="58"/>
      <c r="H323" s="60"/>
      <c r="I323" s="61"/>
      <c r="J323" s="59"/>
      <c r="K323" s="59"/>
      <c r="L323" s="62"/>
      <c r="M323" s="63"/>
      <c r="N323" s="65"/>
      <c r="O323" s="65"/>
      <c r="P323" s="64"/>
      <c r="Q323" s="64"/>
    </row>
    <row r="324" spans="1:17" ht="15.75">
      <c r="A324" s="55"/>
      <c r="B324" s="56"/>
      <c r="C324" s="57"/>
      <c r="D324" s="58"/>
      <c r="E324" s="59" t="s">
        <v>22</v>
      </c>
      <c r="F324" s="59" t="s">
        <v>23</v>
      </c>
      <c r="G324" s="58"/>
      <c r="H324" s="60"/>
      <c r="I324" s="61"/>
      <c r="J324" s="59"/>
      <c r="K324" s="59"/>
      <c r="L324" s="62"/>
      <c r="M324" s="63"/>
      <c r="N324" s="65"/>
      <c r="O324" s="65"/>
      <c r="P324" s="64"/>
      <c r="Q324" s="64"/>
    </row>
    <row r="325" spans="1:17" ht="15.75">
      <c r="A325" s="55"/>
      <c r="B325" s="56"/>
      <c r="C325" s="57"/>
      <c r="D325" s="58"/>
      <c r="E325" s="59" t="s">
        <v>22</v>
      </c>
      <c r="F325" s="59" t="s">
        <v>23</v>
      </c>
      <c r="G325" s="58"/>
      <c r="H325" s="60"/>
      <c r="I325" s="61"/>
      <c r="J325" s="59"/>
      <c r="K325" s="59"/>
      <c r="L325" s="62"/>
      <c r="M325" s="63"/>
      <c r="N325" s="65"/>
      <c r="O325" s="65"/>
      <c r="P325" s="64"/>
      <c r="Q325" s="64"/>
    </row>
    <row r="326" spans="1:17" ht="15.75">
      <c r="A326" s="55"/>
      <c r="B326" s="56"/>
      <c r="C326" s="57"/>
      <c r="D326" s="58"/>
      <c r="E326" s="59" t="s">
        <v>22</v>
      </c>
      <c r="F326" s="59" t="s">
        <v>23</v>
      </c>
      <c r="G326" s="58"/>
      <c r="H326" s="60"/>
      <c r="I326" s="61"/>
      <c r="J326" s="59"/>
      <c r="K326" s="59"/>
      <c r="L326" s="62"/>
      <c r="M326" s="63"/>
      <c r="N326" s="65"/>
      <c r="O326" s="65"/>
      <c r="P326" s="64"/>
      <c r="Q326" s="64"/>
    </row>
    <row r="327" spans="1:17" ht="15.75">
      <c r="A327" s="55"/>
      <c r="B327" s="56"/>
      <c r="C327" s="57"/>
      <c r="D327" s="58"/>
      <c r="E327" s="59" t="s">
        <v>22</v>
      </c>
      <c r="F327" s="59" t="s">
        <v>23</v>
      </c>
      <c r="G327" s="58"/>
      <c r="H327" s="60"/>
      <c r="I327" s="61"/>
      <c r="J327" s="59"/>
      <c r="K327" s="59"/>
      <c r="L327" s="62"/>
      <c r="M327" s="63"/>
      <c r="N327" s="65"/>
      <c r="O327" s="65"/>
      <c r="P327" s="64"/>
      <c r="Q327" s="64"/>
    </row>
    <row r="328" spans="1:17" ht="15.75">
      <c r="A328" s="55"/>
      <c r="B328" s="56"/>
      <c r="C328" s="57"/>
      <c r="D328" s="58"/>
      <c r="E328" s="59" t="s">
        <v>22</v>
      </c>
      <c r="F328" s="59" t="s">
        <v>23</v>
      </c>
      <c r="G328" s="58"/>
      <c r="H328" s="60"/>
      <c r="I328" s="61"/>
      <c r="J328" s="59"/>
      <c r="K328" s="59"/>
      <c r="L328" s="62"/>
      <c r="M328" s="63"/>
      <c r="N328" s="65"/>
      <c r="O328" s="65"/>
      <c r="P328" s="64"/>
      <c r="Q328" s="64"/>
    </row>
    <row r="329" spans="1:17" ht="15.75">
      <c r="A329" s="55"/>
      <c r="B329" s="56"/>
      <c r="C329" s="57"/>
      <c r="D329" s="58"/>
      <c r="E329" s="59" t="s">
        <v>22</v>
      </c>
      <c r="F329" s="59" t="s">
        <v>23</v>
      </c>
      <c r="G329" s="58"/>
      <c r="H329" s="60"/>
      <c r="I329" s="61"/>
      <c r="J329" s="59"/>
      <c r="K329" s="59"/>
      <c r="L329" s="62"/>
      <c r="M329" s="63"/>
      <c r="N329" s="65"/>
      <c r="O329" s="65"/>
      <c r="P329" s="64"/>
      <c r="Q329" s="64"/>
    </row>
    <row r="330" spans="1:17" ht="15.75">
      <c r="A330" s="55"/>
      <c r="B330" s="56"/>
      <c r="C330" s="57"/>
      <c r="D330" s="58"/>
      <c r="E330" s="59" t="s">
        <v>22</v>
      </c>
      <c r="F330" s="59" t="s">
        <v>23</v>
      </c>
      <c r="G330" s="58"/>
      <c r="H330" s="60"/>
      <c r="I330" s="61"/>
      <c r="J330" s="59"/>
      <c r="K330" s="59"/>
      <c r="L330" s="62"/>
      <c r="M330" s="63"/>
      <c r="N330" s="65"/>
      <c r="O330" s="65"/>
      <c r="P330" s="64"/>
      <c r="Q330" s="64"/>
    </row>
    <row r="331" spans="1:17" ht="15.75">
      <c r="A331" s="55"/>
      <c r="B331" s="56"/>
      <c r="C331" s="57"/>
      <c r="D331" s="58"/>
      <c r="E331" s="59" t="s">
        <v>22</v>
      </c>
      <c r="F331" s="59" t="s">
        <v>23</v>
      </c>
      <c r="G331" s="58"/>
      <c r="H331" s="60"/>
      <c r="I331" s="61"/>
      <c r="J331" s="59"/>
      <c r="K331" s="59"/>
      <c r="L331" s="62"/>
      <c r="M331" s="63"/>
      <c r="N331" s="65"/>
      <c r="O331" s="65"/>
      <c r="P331" s="64"/>
      <c r="Q331" s="64"/>
    </row>
    <row r="332" spans="1:17" ht="15.75">
      <c r="A332" s="55"/>
      <c r="B332" s="56"/>
      <c r="C332" s="57"/>
      <c r="D332" s="58"/>
      <c r="E332" s="59" t="s">
        <v>22</v>
      </c>
      <c r="F332" s="59" t="s">
        <v>23</v>
      </c>
      <c r="G332" s="58"/>
      <c r="H332" s="60"/>
      <c r="I332" s="61"/>
      <c r="J332" s="59"/>
      <c r="K332" s="59"/>
      <c r="L332" s="62"/>
      <c r="M332" s="63"/>
      <c r="N332" s="65"/>
      <c r="O332" s="65"/>
      <c r="P332" s="64"/>
      <c r="Q332" s="64"/>
    </row>
    <row r="333" spans="1:17" ht="15.75">
      <c r="A333" s="55"/>
      <c r="B333" s="56"/>
      <c r="C333" s="57"/>
      <c r="D333" s="58"/>
      <c r="E333" s="59" t="s">
        <v>22</v>
      </c>
      <c r="F333" s="59" t="s">
        <v>23</v>
      </c>
      <c r="G333" s="58"/>
      <c r="H333" s="60"/>
      <c r="I333" s="61"/>
      <c r="J333" s="59"/>
      <c r="K333" s="59"/>
      <c r="L333" s="62"/>
      <c r="M333" s="63"/>
      <c r="N333" s="65"/>
      <c r="O333" s="65"/>
      <c r="P333" s="64"/>
      <c r="Q333" s="64"/>
    </row>
    <row r="334" spans="1:17" ht="15.75">
      <c r="A334" s="55"/>
      <c r="B334" s="56"/>
      <c r="C334" s="57"/>
      <c r="D334" s="58"/>
      <c r="E334" s="59" t="s">
        <v>22</v>
      </c>
      <c r="F334" s="59" t="s">
        <v>23</v>
      </c>
      <c r="G334" s="58"/>
      <c r="H334" s="60"/>
      <c r="I334" s="61"/>
      <c r="J334" s="59"/>
      <c r="K334" s="59"/>
      <c r="L334" s="62"/>
      <c r="M334" s="63"/>
      <c r="N334" s="65"/>
      <c r="O334" s="65"/>
      <c r="P334" s="64"/>
      <c r="Q334" s="64"/>
    </row>
    <row r="335" spans="1:17" ht="15.75">
      <c r="A335" s="55"/>
      <c r="B335" s="56"/>
      <c r="C335" s="57"/>
      <c r="D335" s="58"/>
      <c r="E335" s="59" t="s">
        <v>22</v>
      </c>
      <c r="F335" s="59" t="s">
        <v>23</v>
      </c>
      <c r="G335" s="58"/>
      <c r="H335" s="60"/>
      <c r="I335" s="61"/>
      <c r="J335" s="59"/>
      <c r="K335" s="59"/>
      <c r="L335" s="62"/>
      <c r="M335" s="63"/>
      <c r="N335" s="65"/>
      <c r="O335" s="65"/>
      <c r="P335" s="64"/>
      <c r="Q335" s="64"/>
    </row>
    <row r="336" spans="1:17" ht="15.75">
      <c r="A336" s="55"/>
      <c r="B336" s="56"/>
      <c r="C336" s="57"/>
      <c r="D336" s="58"/>
      <c r="E336" s="59" t="s">
        <v>22</v>
      </c>
      <c r="F336" s="59" t="s">
        <v>23</v>
      </c>
      <c r="G336" s="58"/>
      <c r="H336" s="60"/>
      <c r="I336" s="61"/>
      <c r="J336" s="59"/>
      <c r="K336" s="59"/>
      <c r="L336" s="62"/>
      <c r="M336" s="63"/>
      <c r="N336" s="65"/>
      <c r="O336" s="65"/>
      <c r="P336" s="64"/>
      <c r="Q336" s="64"/>
    </row>
    <row r="337" spans="1:17" ht="15.75">
      <c r="A337" s="55"/>
      <c r="B337" s="56"/>
      <c r="C337" s="57"/>
      <c r="D337" s="58"/>
      <c r="E337" s="59" t="s">
        <v>22</v>
      </c>
      <c r="F337" s="59" t="s">
        <v>23</v>
      </c>
      <c r="G337" s="58"/>
      <c r="H337" s="60"/>
      <c r="I337" s="61"/>
      <c r="J337" s="59"/>
      <c r="K337" s="59"/>
      <c r="L337" s="62"/>
      <c r="M337" s="63"/>
      <c r="N337" s="65"/>
      <c r="O337" s="65"/>
      <c r="P337" s="64"/>
      <c r="Q337" s="64"/>
    </row>
    <row r="338" spans="1:17" ht="15.75">
      <c r="A338" s="55"/>
      <c r="B338" s="56"/>
      <c r="C338" s="57"/>
      <c r="D338" s="58"/>
      <c r="E338" s="59" t="s">
        <v>22</v>
      </c>
      <c r="F338" s="59" t="s">
        <v>23</v>
      </c>
      <c r="G338" s="58"/>
      <c r="H338" s="60"/>
      <c r="I338" s="61"/>
      <c r="J338" s="59"/>
      <c r="K338" s="59"/>
      <c r="L338" s="62"/>
      <c r="M338" s="63"/>
      <c r="N338" s="65"/>
      <c r="O338" s="65"/>
      <c r="P338" s="64"/>
      <c r="Q338" s="64"/>
    </row>
    <row r="339" spans="1:17" ht="15.75">
      <c r="A339" s="55"/>
      <c r="B339" s="56"/>
      <c r="C339" s="57"/>
      <c r="D339" s="58"/>
      <c r="E339" s="59" t="s">
        <v>22</v>
      </c>
      <c r="F339" s="59" t="s">
        <v>23</v>
      </c>
      <c r="G339" s="58"/>
      <c r="H339" s="60"/>
      <c r="I339" s="61"/>
      <c r="J339" s="59"/>
      <c r="K339" s="59"/>
      <c r="L339" s="62"/>
      <c r="M339" s="63"/>
      <c r="N339" s="65"/>
      <c r="O339" s="65"/>
      <c r="P339" s="64"/>
      <c r="Q339" s="64"/>
    </row>
    <row r="340" spans="1:17" ht="15.75">
      <c r="A340" s="55"/>
      <c r="B340" s="56"/>
      <c r="C340" s="57"/>
      <c r="D340" s="58"/>
      <c r="E340" s="59" t="s">
        <v>22</v>
      </c>
      <c r="F340" s="59" t="s">
        <v>23</v>
      </c>
      <c r="G340" s="58"/>
      <c r="H340" s="60"/>
      <c r="I340" s="61"/>
      <c r="J340" s="59"/>
      <c r="K340" s="59"/>
      <c r="L340" s="62"/>
      <c r="M340" s="63"/>
      <c r="N340" s="65"/>
      <c r="O340" s="65"/>
      <c r="P340" s="64"/>
      <c r="Q340" s="64"/>
    </row>
    <row r="341" spans="1:17" ht="15.75">
      <c r="A341" s="55"/>
      <c r="B341" s="56"/>
      <c r="C341" s="57"/>
      <c r="D341" s="58"/>
      <c r="E341" s="59" t="s">
        <v>22</v>
      </c>
      <c r="F341" s="59" t="s">
        <v>23</v>
      </c>
      <c r="G341" s="58"/>
      <c r="H341" s="60"/>
      <c r="I341" s="61"/>
      <c r="J341" s="59"/>
      <c r="K341" s="59"/>
      <c r="L341" s="62"/>
      <c r="M341" s="63"/>
      <c r="N341" s="65"/>
      <c r="O341" s="65"/>
      <c r="P341" s="64"/>
      <c r="Q341" s="64"/>
    </row>
    <row r="342" spans="1:17" ht="15.75">
      <c r="A342" s="55"/>
      <c r="B342" s="56"/>
      <c r="C342" s="57"/>
      <c r="D342" s="58"/>
      <c r="E342" s="59" t="s">
        <v>22</v>
      </c>
      <c r="F342" s="59" t="s">
        <v>23</v>
      </c>
      <c r="G342" s="58"/>
      <c r="H342" s="60"/>
      <c r="I342" s="61"/>
      <c r="J342" s="59"/>
      <c r="K342" s="59"/>
      <c r="L342" s="62"/>
      <c r="M342" s="63"/>
      <c r="N342" s="65"/>
      <c r="O342" s="65"/>
      <c r="P342" s="64"/>
      <c r="Q342" s="64"/>
    </row>
    <row r="343" spans="1:17" ht="15.75">
      <c r="A343" s="55"/>
      <c r="B343" s="56"/>
      <c r="C343" s="57"/>
      <c r="D343" s="58"/>
      <c r="E343" s="59" t="s">
        <v>22</v>
      </c>
      <c r="F343" s="59" t="s">
        <v>23</v>
      </c>
      <c r="G343" s="58"/>
      <c r="H343" s="60"/>
      <c r="I343" s="61"/>
      <c r="J343" s="59"/>
      <c r="K343" s="59"/>
      <c r="L343" s="62"/>
      <c r="M343" s="63"/>
      <c r="N343" s="65"/>
      <c r="O343" s="65"/>
      <c r="P343" s="64"/>
      <c r="Q343" s="64"/>
    </row>
    <row r="344" spans="1:17" ht="15.75">
      <c r="A344" s="55"/>
      <c r="B344" s="56"/>
      <c r="C344" s="57"/>
      <c r="D344" s="58"/>
      <c r="E344" s="59" t="s">
        <v>22</v>
      </c>
      <c r="F344" s="59" t="s">
        <v>23</v>
      </c>
      <c r="G344" s="58"/>
      <c r="H344" s="60"/>
      <c r="I344" s="61"/>
      <c r="J344" s="59"/>
      <c r="K344" s="59"/>
      <c r="L344" s="62"/>
      <c r="M344" s="63"/>
      <c r="N344" s="65"/>
      <c r="O344" s="65"/>
      <c r="P344" s="64"/>
      <c r="Q344" s="64"/>
    </row>
    <row r="345" spans="1:17" ht="15.75">
      <c r="A345" s="55"/>
      <c r="B345" s="56"/>
      <c r="C345" s="57"/>
      <c r="D345" s="58"/>
      <c r="E345" s="59" t="s">
        <v>22</v>
      </c>
      <c r="F345" s="59" t="s">
        <v>23</v>
      </c>
      <c r="G345" s="58"/>
      <c r="H345" s="60"/>
      <c r="I345" s="61"/>
      <c r="J345" s="59"/>
      <c r="K345" s="59"/>
      <c r="L345" s="62"/>
      <c r="M345" s="63"/>
      <c r="N345" s="65"/>
      <c r="O345" s="65"/>
      <c r="P345" s="64"/>
      <c r="Q345" s="64"/>
    </row>
    <row r="346" spans="1:17" ht="15.75">
      <c r="A346" s="55"/>
      <c r="B346" s="56"/>
      <c r="C346" s="57"/>
      <c r="D346" s="58"/>
      <c r="E346" s="59" t="s">
        <v>22</v>
      </c>
      <c r="F346" s="59" t="s">
        <v>23</v>
      </c>
      <c r="G346" s="58"/>
      <c r="H346" s="60"/>
      <c r="I346" s="61"/>
      <c r="J346" s="59"/>
      <c r="K346" s="59"/>
      <c r="L346" s="62"/>
      <c r="M346" s="63"/>
      <c r="N346" s="65"/>
      <c r="O346" s="65"/>
      <c r="P346" s="64"/>
      <c r="Q346" s="64"/>
    </row>
    <row r="347" spans="1:17" ht="15.75">
      <c r="A347" s="55"/>
      <c r="B347" s="56"/>
      <c r="C347" s="57"/>
      <c r="D347" s="58"/>
      <c r="E347" s="59" t="s">
        <v>22</v>
      </c>
      <c r="F347" s="59" t="s">
        <v>23</v>
      </c>
      <c r="G347" s="58"/>
      <c r="H347" s="60"/>
      <c r="I347" s="61"/>
      <c r="J347" s="59"/>
      <c r="K347" s="59"/>
      <c r="L347" s="62"/>
      <c r="M347" s="63"/>
      <c r="N347" s="65"/>
      <c r="O347" s="65"/>
      <c r="P347" s="64"/>
      <c r="Q347" s="64"/>
    </row>
    <row r="348" spans="1:17" ht="15.75">
      <c r="A348" s="55"/>
      <c r="B348" s="56"/>
      <c r="C348" s="57"/>
      <c r="D348" s="58"/>
      <c r="E348" s="59" t="s">
        <v>22</v>
      </c>
      <c r="F348" s="59" t="s">
        <v>23</v>
      </c>
      <c r="G348" s="58"/>
      <c r="H348" s="60"/>
      <c r="I348" s="61"/>
      <c r="J348" s="59"/>
      <c r="K348" s="59"/>
      <c r="L348" s="62"/>
      <c r="M348" s="63"/>
      <c r="N348" s="65"/>
      <c r="O348" s="65"/>
      <c r="P348" s="64"/>
      <c r="Q348" s="64"/>
    </row>
    <row r="349" spans="1:17" ht="15.75">
      <c r="A349" s="55"/>
      <c r="B349" s="56"/>
      <c r="C349" s="57"/>
      <c r="D349" s="58"/>
      <c r="E349" s="59" t="s">
        <v>22</v>
      </c>
      <c r="F349" s="59" t="s">
        <v>23</v>
      </c>
      <c r="G349" s="58"/>
      <c r="H349" s="60"/>
      <c r="I349" s="61"/>
      <c r="J349" s="59"/>
      <c r="K349" s="59"/>
      <c r="L349" s="62"/>
      <c r="M349" s="63"/>
      <c r="N349" s="65"/>
      <c r="O349" s="65"/>
      <c r="P349" s="64"/>
      <c r="Q349" s="64"/>
    </row>
    <row r="350" spans="1:17" ht="15.75">
      <c r="A350" s="55"/>
      <c r="B350" s="56"/>
      <c r="C350" s="57"/>
      <c r="D350" s="58"/>
      <c r="E350" s="59" t="s">
        <v>22</v>
      </c>
      <c r="F350" s="59" t="s">
        <v>23</v>
      </c>
      <c r="G350" s="58"/>
      <c r="H350" s="60"/>
      <c r="I350" s="61"/>
      <c r="J350" s="59"/>
      <c r="K350" s="59"/>
      <c r="L350" s="62"/>
      <c r="M350" s="63"/>
      <c r="N350" s="65"/>
      <c r="O350" s="65"/>
      <c r="P350" s="64"/>
      <c r="Q350" s="64"/>
    </row>
    <row r="351" spans="1:17" ht="15.75">
      <c r="A351" s="55"/>
      <c r="B351" s="56"/>
      <c r="C351" s="57"/>
      <c r="D351" s="58"/>
      <c r="E351" s="59" t="s">
        <v>22</v>
      </c>
      <c r="F351" s="59" t="s">
        <v>23</v>
      </c>
      <c r="G351" s="58"/>
      <c r="H351" s="60"/>
      <c r="I351" s="61"/>
      <c r="J351" s="59"/>
      <c r="K351" s="59"/>
      <c r="L351" s="62"/>
      <c r="M351" s="63"/>
      <c r="N351" s="65"/>
      <c r="O351" s="65"/>
      <c r="P351" s="64"/>
      <c r="Q351" s="64"/>
    </row>
    <row r="352" spans="1:17" ht="15.75">
      <c r="A352" s="55"/>
      <c r="B352" s="56"/>
      <c r="C352" s="57"/>
      <c r="D352" s="58"/>
      <c r="E352" s="59" t="s">
        <v>22</v>
      </c>
      <c r="F352" s="59" t="s">
        <v>23</v>
      </c>
      <c r="G352" s="58"/>
      <c r="H352" s="60"/>
      <c r="I352" s="61"/>
      <c r="J352" s="59"/>
      <c r="K352" s="59"/>
      <c r="L352" s="62"/>
      <c r="M352" s="63"/>
      <c r="N352" s="65"/>
      <c r="O352" s="65"/>
      <c r="P352" s="64"/>
      <c r="Q352" s="64"/>
    </row>
    <row r="353" spans="1:17" ht="15.75">
      <c r="A353" s="55"/>
      <c r="B353" s="56"/>
      <c r="C353" s="57"/>
      <c r="D353" s="58"/>
      <c r="E353" s="59" t="s">
        <v>22</v>
      </c>
      <c r="F353" s="59" t="s">
        <v>23</v>
      </c>
      <c r="G353" s="58"/>
      <c r="H353" s="60"/>
      <c r="I353" s="61"/>
      <c r="J353" s="59"/>
      <c r="K353" s="59"/>
      <c r="L353" s="62"/>
      <c r="M353" s="63"/>
      <c r="N353" s="65"/>
      <c r="O353" s="65"/>
      <c r="P353" s="64"/>
      <c r="Q353" s="64"/>
    </row>
    <row r="354" spans="1:17" ht="15.75">
      <c r="A354" s="55"/>
      <c r="B354" s="56"/>
      <c r="C354" s="57"/>
      <c r="D354" s="58"/>
      <c r="E354" s="59" t="s">
        <v>22</v>
      </c>
      <c r="F354" s="59" t="s">
        <v>23</v>
      </c>
      <c r="G354" s="58"/>
      <c r="H354" s="60"/>
      <c r="I354" s="61"/>
      <c r="J354" s="59"/>
      <c r="K354" s="59"/>
      <c r="L354" s="62"/>
      <c r="M354" s="63"/>
      <c r="N354" s="65"/>
      <c r="O354" s="65"/>
      <c r="P354" s="64"/>
      <c r="Q354" s="64"/>
    </row>
    <row r="355" spans="1:17" ht="15.75">
      <c r="A355" s="55"/>
      <c r="B355" s="56"/>
      <c r="C355" s="57"/>
      <c r="D355" s="58"/>
      <c r="E355" s="59" t="s">
        <v>22</v>
      </c>
      <c r="F355" s="59" t="s">
        <v>23</v>
      </c>
      <c r="G355" s="58"/>
      <c r="H355" s="60"/>
      <c r="I355" s="61"/>
      <c r="J355" s="59"/>
      <c r="K355" s="59"/>
      <c r="L355" s="62"/>
      <c r="M355" s="63"/>
      <c r="N355" s="65"/>
      <c r="O355" s="65"/>
      <c r="P355" s="64"/>
      <c r="Q355" s="64"/>
    </row>
    <row r="356" spans="1:17" ht="15.75">
      <c r="A356" s="55"/>
      <c r="B356" s="56"/>
      <c r="C356" s="57"/>
      <c r="D356" s="58"/>
      <c r="E356" s="59" t="s">
        <v>22</v>
      </c>
      <c r="F356" s="59" t="s">
        <v>23</v>
      </c>
      <c r="G356" s="58"/>
      <c r="H356" s="60"/>
      <c r="I356" s="61"/>
      <c r="J356" s="59"/>
      <c r="K356" s="59"/>
      <c r="L356" s="62"/>
      <c r="M356" s="63"/>
      <c r="N356" s="65"/>
      <c r="O356" s="65"/>
      <c r="P356" s="64"/>
      <c r="Q356" s="64"/>
    </row>
    <row r="357" spans="1:17" ht="15.75">
      <c r="A357" s="55"/>
      <c r="B357" s="56"/>
      <c r="C357" s="57"/>
      <c r="D357" s="58"/>
      <c r="E357" s="59" t="s">
        <v>22</v>
      </c>
      <c r="F357" s="59" t="s">
        <v>23</v>
      </c>
      <c r="G357" s="58"/>
      <c r="H357" s="60"/>
      <c r="I357" s="61"/>
      <c r="J357" s="59"/>
      <c r="K357" s="59"/>
      <c r="L357" s="62"/>
      <c r="M357" s="63"/>
      <c r="N357" s="65"/>
      <c r="O357" s="65"/>
      <c r="P357" s="64"/>
      <c r="Q357" s="64"/>
    </row>
    <row r="358" spans="1:17" ht="15.75">
      <c r="A358" s="55"/>
      <c r="B358" s="56"/>
      <c r="C358" s="57"/>
      <c r="D358" s="58"/>
      <c r="E358" s="59" t="s">
        <v>22</v>
      </c>
      <c r="F358" s="59" t="s">
        <v>23</v>
      </c>
      <c r="G358" s="58"/>
      <c r="H358" s="60"/>
      <c r="I358" s="61"/>
      <c r="J358" s="59"/>
      <c r="K358" s="59"/>
      <c r="L358" s="62"/>
      <c r="M358" s="63"/>
      <c r="N358" s="65"/>
      <c r="O358" s="65"/>
      <c r="P358" s="64"/>
      <c r="Q358" s="64"/>
    </row>
    <row r="359" spans="1:17" ht="15.75">
      <c r="A359" s="55"/>
      <c r="B359" s="56"/>
      <c r="C359" s="57"/>
      <c r="D359" s="58"/>
      <c r="E359" s="59" t="s">
        <v>22</v>
      </c>
      <c r="F359" s="59" t="s">
        <v>23</v>
      </c>
      <c r="G359" s="58"/>
      <c r="H359" s="60"/>
      <c r="I359" s="61"/>
      <c r="J359" s="59"/>
      <c r="K359" s="59"/>
      <c r="L359" s="62"/>
      <c r="M359" s="63"/>
      <c r="N359" s="65"/>
      <c r="O359" s="65"/>
      <c r="P359" s="64"/>
      <c r="Q359" s="64"/>
    </row>
    <row r="360" spans="1:17" ht="15.75">
      <c r="A360" s="55"/>
      <c r="B360" s="56"/>
      <c r="C360" s="57"/>
      <c r="D360" s="58"/>
      <c r="E360" s="59" t="s">
        <v>22</v>
      </c>
      <c r="F360" s="59" t="s">
        <v>23</v>
      </c>
      <c r="G360" s="58"/>
      <c r="H360" s="60"/>
      <c r="I360" s="61"/>
      <c r="J360" s="59"/>
      <c r="K360" s="59"/>
      <c r="L360" s="62"/>
      <c r="M360" s="63"/>
      <c r="N360" s="65"/>
      <c r="O360" s="65"/>
      <c r="P360" s="64"/>
      <c r="Q360" s="64"/>
    </row>
    <row r="361" spans="1:17" ht="15.75">
      <c r="A361" s="55"/>
      <c r="B361" s="56"/>
      <c r="C361" s="57"/>
      <c r="D361" s="58"/>
      <c r="E361" s="59" t="s">
        <v>22</v>
      </c>
      <c r="F361" s="59" t="s">
        <v>23</v>
      </c>
      <c r="G361" s="58"/>
      <c r="H361" s="60"/>
      <c r="I361" s="61"/>
      <c r="J361" s="59"/>
      <c r="K361" s="59"/>
      <c r="L361" s="62"/>
      <c r="M361" s="63"/>
      <c r="N361" s="65"/>
      <c r="O361" s="65"/>
      <c r="P361" s="64"/>
      <c r="Q361" s="64"/>
    </row>
    <row r="362" spans="1:17" ht="15.75">
      <c r="A362" s="55"/>
      <c r="B362" s="56"/>
      <c r="C362" s="57"/>
      <c r="D362" s="58"/>
      <c r="E362" s="59" t="s">
        <v>22</v>
      </c>
      <c r="F362" s="59" t="s">
        <v>23</v>
      </c>
      <c r="G362" s="58"/>
      <c r="H362" s="60"/>
      <c r="I362" s="61"/>
      <c r="J362" s="59"/>
      <c r="K362" s="59"/>
      <c r="L362" s="62"/>
      <c r="M362" s="63"/>
      <c r="N362" s="65"/>
      <c r="O362" s="65"/>
      <c r="P362" s="64"/>
      <c r="Q362" s="64"/>
    </row>
    <row r="363" spans="1:17" ht="15.75">
      <c r="A363" s="55"/>
      <c r="B363" s="56"/>
      <c r="C363" s="57"/>
      <c r="D363" s="58"/>
      <c r="E363" s="59" t="s">
        <v>22</v>
      </c>
      <c r="F363" s="59" t="s">
        <v>23</v>
      </c>
      <c r="G363" s="58"/>
      <c r="H363" s="60"/>
      <c r="I363" s="61"/>
      <c r="J363" s="59"/>
      <c r="K363" s="59"/>
      <c r="L363" s="62"/>
      <c r="M363" s="63"/>
      <c r="N363" s="65"/>
      <c r="O363" s="65"/>
      <c r="P363" s="64"/>
      <c r="Q363" s="64"/>
    </row>
    <row r="364" spans="1:17" ht="15.75">
      <c r="A364" s="55"/>
      <c r="B364" s="56"/>
      <c r="C364" s="57"/>
      <c r="D364" s="58"/>
      <c r="E364" s="59" t="s">
        <v>22</v>
      </c>
      <c r="F364" s="59" t="s">
        <v>23</v>
      </c>
      <c r="G364" s="58"/>
      <c r="H364" s="60"/>
      <c r="I364" s="61"/>
      <c r="J364" s="59"/>
      <c r="K364" s="59"/>
      <c r="L364" s="62"/>
      <c r="M364" s="63"/>
      <c r="N364" s="65"/>
      <c r="O364" s="65"/>
      <c r="P364" s="64"/>
      <c r="Q364" s="64"/>
    </row>
    <row r="365" spans="1:17" ht="15.75">
      <c r="A365" s="55"/>
      <c r="B365" s="56"/>
      <c r="C365" s="57"/>
      <c r="D365" s="58"/>
      <c r="E365" s="59" t="s">
        <v>22</v>
      </c>
      <c r="F365" s="59" t="s">
        <v>23</v>
      </c>
      <c r="G365" s="58"/>
      <c r="H365" s="60"/>
      <c r="I365" s="61"/>
      <c r="J365" s="59"/>
      <c r="K365" s="59"/>
      <c r="L365" s="62"/>
      <c r="M365" s="63"/>
      <c r="N365" s="65"/>
      <c r="O365" s="65"/>
      <c r="P365" s="64"/>
      <c r="Q365" s="64"/>
    </row>
    <row r="366" spans="1:17" ht="15.75">
      <c r="A366" s="55"/>
      <c r="B366" s="56"/>
      <c r="C366" s="57"/>
      <c r="D366" s="58"/>
      <c r="E366" s="59" t="s">
        <v>22</v>
      </c>
      <c r="F366" s="59" t="s">
        <v>23</v>
      </c>
      <c r="G366" s="58"/>
      <c r="H366" s="60"/>
      <c r="I366" s="61"/>
      <c r="J366" s="59"/>
      <c r="K366" s="59"/>
      <c r="L366" s="62"/>
      <c r="M366" s="63"/>
      <c r="N366" s="65"/>
      <c r="O366" s="65"/>
      <c r="P366" s="64"/>
      <c r="Q366" s="64"/>
    </row>
    <row r="367" spans="1:17" ht="15.75">
      <c r="A367" s="55"/>
      <c r="B367" s="56"/>
      <c r="C367" s="57"/>
      <c r="D367" s="58"/>
      <c r="E367" s="59" t="s">
        <v>22</v>
      </c>
      <c r="F367" s="59" t="s">
        <v>23</v>
      </c>
      <c r="G367" s="58"/>
      <c r="H367" s="60"/>
      <c r="I367" s="61"/>
      <c r="J367" s="59"/>
      <c r="K367" s="59"/>
      <c r="L367" s="62"/>
      <c r="M367" s="63"/>
      <c r="N367" s="65"/>
      <c r="O367" s="65"/>
      <c r="P367" s="64"/>
      <c r="Q367" s="64"/>
    </row>
    <row r="368" spans="1:17" ht="15.75">
      <c r="A368" s="55"/>
      <c r="B368" s="56"/>
      <c r="C368" s="57"/>
      <c r="D368" s="58"/>
      <c r="E368" s="59" t="s">
        <v>22</v>
      </c>
      <c r="F368" s="59" t="s">
        <v>23</v>
      </c>
      <c r="G368" s="58"/>
      <c r="H368" s="60"/>
      <c r="I368" s="61"/>
      <c r="J368" s="59"/>
      <c r="K368" s="59"/>
      <c r="L368" s="62"/>
      <c r="M368" s="63"/>
      <c r="N368" s="65"/>
      <c r="O368" s="65"/>
      <c r="P368" s="64"/>
      <c r="Q368" s="64"/>
    </row>
    <row r="369" spans="1:17" ht="15.75">
      <c r="A369" s="55"/>
      <c r="B369" s="56"/>
      <c r="C369" s="57"/>
      <c r="D369" s="58"/>
      <c r="E369" s="59" t="s">
        <v>22</v>
      </c>
      <c r="F369" s="59" t="s">
        <v>23</v>
      </c>
      <c r="G369" s="58"/>
      <c r="H369" s="60"/>
      <c r="I369" s="61"/>
      <c r="J369" s="59"/>
      <c r="K369" s="59"/>
      <c r="L369" s="62"/>
      <c r="M369" s="63"/>
      <c r="N369" s="65"/>
      <c r="O369" s="65"/>
      <c r="P369" s="64"/>
      <c r="Q369" s="64"/>
    </row>
    <row r="370" spans="1:17" ht="15.75">
      <c r="A370" s="55"/>
      <c r="B370" s="56"/>
      <c r="C370" s="57"/>
      <c r="D370" s="58"/>
      <c r="E370" s="59" t="s">
        <v>22</v>
      </c>
      <c r="F370" s="59" t="s">
        <v>23</v>
      </c>
      <c r="G370" s="58"/>
      <c r="H370" s="60"/>
      <c r="I370" s="61"/>
      <c r="J370" s="59"/>
      <c r="K370" s="59"/>
      <c r="L370" s="62"/>
      <c r="M370" s="63"/>
      <c r="N370" s="65"/>
      <c r="O370" s="65"/>
      <c r="P370" s="64"/>
      <c r="Q370" s="64"/>
    </row>
    <row r="371" spans="1:17" ht="15.75">
      <c r="A371" s="55"/>
      <c r="B371" s="56"/>
      <c r="C371" s="57"/>
      <c r="D371" s="58"/>
      <c r="E371" s="59" t="s">
        <v>22</v>
      </c>
      <c r="F371" s="59" t="s">
        <v>23</v>
      </c>
      <c r="G371" s="58"/>
      <c r="H371" s="60"/>
      <c r="I371" s="61"/>
      <c r="J371" s="59"/>
      <c r="K371" s="59"/>
      <c r="L371" s="62"/>
      <c r="M371" s="63"/>
      <c r="N371" s="65"/>
      <c r="O371" s="65"/>
      <c r="P371" s="64"/>
      <c r="Q371" s="64"/>
    </row>
    <row r="372" spans="1:17" ht="15.75">
      <c r="A372" s="55"/>
      <c r="B372" s="56"/>
      <c r="C372" s="57"/>
      <c r="D372" s="58"/>
      <c r="E372" s="59" t="s">
        <v>22</v>
      </c>
      <c r="F372" s="59" t="s">
        <v>23</v>
      </c>
      <c r="G372" s="58"/>
      <c r="H372" s="60"/>
      <c r="I372" s="61"/>
      <c r="J372" s="59"/>
      <c r="K372" s="59"/>
      <c r="L372" s="62"/>
      <c r="M372" s="63"/>
      <c r="N372" s="65"/>
      <c r="O372" s="65"/>
      <c r="P372" s="64"/>
      <c r="Q372" s="64"/>
    </row>
    <row r="373" spans="1:17" ht="15.75">
      <c r="A373" s="55"/>
      <c r="B373" s="56"/>
      <c r="C373" s="57"/>
      <c r="D373" s="58"/>
      <c r="E373" s="59" t="s">
        <v>22</v>
      </c>
      <c r="F373" s="59" t="s">
        <v>23</v>
      </c>
      <c r="G373" s="58"/>
      <c r="H373" s="60"/>
      <c r="I373" s="61"/>
      <c r="J373" s="59"/>
      <c r="K373" s="59"/>
      <c r="L373" s="62"/>
      <c r="M373" s="63"/>
      <c r="N373" s="65"/>
      <c r="O373" s="65"/>
      <c r="P373" s="64"/>
      <c r="Q373" s="64"/>
    </row>
    <row r="374" spans="1:17" ht="15.75">
      <c r="A374" s="55"/>
      <c r="B374" s="56"/>
      <c r="C374" s="57"/>
      <c r="D374" s="58"/>
      <c r="E374" s="59" t="s">
        <v>22</v>
      </c>
      <c r="F374" s="59" t="s">
        <v>23</v>
      </c>
      <c r="G374" s="58"/>
      <c r="H374" s="60"/>
      <c r="I374" s="61"/>
      <c r="J374" s="59"/>
      <c r="K374" s="59"/>
      <c r="L374" s="62"/>
      <c r="M374" s="63"/>
      <c r="N374" s="65"/>
      <c r="O374" s="65"/>
      <c r="P374" s="64"/>
      <c r="Q374" s="64"/>
    </row>
    <row r="375" spans="1:17" ht="15.75">
      <c r="A375" s="55"/>
      <c r="B375" s="56"/>
      <c r="C375" s="57"/>
      <c r="D375" s="58"/>
      <c r="E375" s="59" t="s">
        <v>22</v>
      </c>
      <c r="F375" s="59" t="s">
        <v>23</v>
      </c>
      <c r="G375" s="58"/>
      <c r="H375" s="60"/>
      <c r="I375" s="61"/>
      <c r="J375" s="59"/>
      <c r="K375" s="59"/>
      <c r="L375" s="62"/>
      <c r="M375" s="63"/>
      <c r="N375" s="65"/>
      <c r="O375" s="65"/>
      <c r="P375" s="64"/>
      <c r="Q375" s="64"/>
    </row>
    <row r="376" spans="1:17" ht="15.75">
      <c r="A376" s="55"/>
      <c r="B376" s="56"/>
      <c r="C376" s="57"/>
      <c r="D376" s="58"/>
      <c r="E376" s="59" t="s">
        <v>22</v>
      </c>
      <c r="F376" s="59" t="s">
        <v>23</v>
      </c>
      <c r="G376" s="58"/>
      <c r="H376" s="60"/>
      <c r="I376" s="61"/>
      <c r="J376" s="59"/>
      <c r="K376" s="59"/>
      <c r="L376" s="62"/>
      <c r="M376" s="63"/>
      <c r="N376" s="65"/>
      <c r="O376" s="65"/>
      <c r="P376" s="64"/>
      <c r="Q376" s="64"/>
    </row>
    <row r="377" spans="1:17" ht="15.75">
      <c r="A377" s="55"/>
      <c r="B377" s="56"/>
      <c r="C377" s="57"/>
      <c r="D377" s="58"/>
      <c r="E377" s="59" t="s">
        <v>22</v>
      </c>
      <c r="F377" s="59" t="s">
        <v>23</v>
      </c>
      <c r="G377" s="58"/>
      <c r="H377" s="60"/>
      <c r="I377" s="61"/>
      <c r="J377" s="59"/>
      <c r="K377" s="59"/>
      <c r="L377" s="62"/>
      <c r="M377" s="63"/>
      <c r="N377" s="65"/>
      <c r="O377" s="65"/>
      <c r="P377" s="64"/>
      <c r="Q377" s="64"/>
    </row>
    <row r="378" spans="1:17" ht="15.75">
      <c r="A378" s="55"/>
      <c r="B378" s="56"/>
      <c r="C378" s="57"/>
      <c r="D378" s="58"/>
      <c r="E378" s="59" t="s">
        <v>22</v>
      </c>
      <c r="F378" s="59" t="s">
        <v>23</v>
      </c>
      <c r="G378" s="58"/>
      <c r="H378" s="60"/>
      <c r="I378" s="61"/>
      <c r="J378" s="59"/>
      <c r="K378" s="59"/>
      <c r="L378" s="62"/>
      <c r="M378" s="63"/>
      <c r="N378" s="65"/>
      <c r="O378" s="65"/>
      <c r="P378" s="64"/>
      <c r="Q378" s="64"/>
    </row>
    <row r="379" spans="1:17" ht="15.75">
      <c r="A379" s="55"/>
      <c r="B379" s="56"/>
      <c r="C379" s="57"/>
      <c r="D379" s="58"/>
      <c r="E379" s="59" t="s">
        <v>22</v>
      </c>
      <c r="F379" s="59" t="s">
        <v>23</v>
      </c>
      <c r="G379" s="58"/>
      <c r="H379" s="60"/>
      <c r="I379" s="61"/>
      <c r="J379" s="59"/>
      <c r="K379" s="59"/>
      <c r="L379" s="62"/>
      <c r="M379" s="63"/>
      <c r="N379" s="65"/>
      <c r="O379" s="65"/>
      <c r="P379" s="64"/>
      <c r="Q379" s="64"/>
    </row>
    <row r="380" spans="1:17" ht="15.75">
      <c r="A380" s="55"/>
      <c r="B380" s="56"/>
      <c r="C380" s="57"/>
      <c r="D380" s="58"/>
      <c r="E380" s="59" t="s">
        <v>22</v>
      </c>
      <c r="F380" s="59" t="s">
        <v>23</v>
      </c>
      <c r="G380" s="58"/>
      <c r="H380" s="60"/>
      <c r="I380" s="61"/>
      <c r="J380" s="59"/>
      <c r="K380" s="59"/>
      <c r="L380" s="62"/>
      <c r="M380" s="63"/>
      <c r="N380" s="65"/>
      <c r="O380" s="65"/>
      <c r="P380" s="64"/>
      <c r="Q380" s="64"/>
    </row>
    <row r="381" spans="1:17" ht="15.75">
      <c r="A381" s="55"/>
      <c r="B381" s="56"/>
      <c r="C381" s="57"/>
      <c r="D381" s="58"/>
      <c r="E381" s="59" t="s">
        <v>22</v>
      </c>
      <c r="F381" s="59" t="s">
        <v>23</v>
      </c>
      <c r="G381" s="58"/>
      <c r="H381" s="60"/>
      <c r="I381" s="61"/>
      <c r="J381" s="59"/>
      <c r="K381" s="59"/>
      <c r="L381" s="62"/>
      <c r="M381" s="63"/>
      <c r="N381" s="65"/>
      <c r="O381" s="65"/>
      <c r="P381" s="64"/>
      <c r="Q381" s="64"/>
    </row>
    <row r="382" spans="1:17" ht="15.75">
      <c r="A382" s="55"/>
      <c r="B382" s="56"/>
      <c r="C382" s="57"/>
      <c r="D382" s="58"/>
      <c r="E382" s="59" t="s">
        <v>22</v>
      </c>
      <c r="F382" s="59" t="s">
        <v>23</v>
      </c>
      <c r="G382" s="58"/>
      <c r="H382" s="60"/>
      <c r="I382" s="61"/>
      <c r="J382" s="59"/>
      <c r="K382" s="59"/>
      <c r="L382" s="62"/>
      <c r="M382" s="63"/>
      <c r="N382" s="65"/>
      <c r="O382" s="65"/>
      <c r="P382" s="64"/>
      <c r="Q382" s="64"/>
    </row>
    <row r="383" spans="1:17" ht="15.75">
      <c r="A383" s="55"/>
      <c r="B383" s="56"/>
      <c r="C383" s="57"/>
      <c r="D383" s="58"/>
      <c r="E383" s="59" t="s">
        <v>22</v>
      </c>
      <c r="F383" s="59" t="s">
        <v>23</v>
      </c>
      <c r="G383" s="58"/>
      <c r="H383" s="60"/>
      <c r="I383" s="61"/>
      <c r="J383" s="59"/>
      <c r="K383" s="59"/>
      <c r="L383" s="62"/>
      <c r="M383" s="63"/>
      <c r="N383" s="65"/>
      <c r="O383" s="65"/>
      <c r="P383" s="64"/>
      <c r="Q383" s="64"/>
    </row>
    <row r="384" spans="1:17" ht="15.75">
      <c r="A384" s="55"/>
      <c r="B384" s="56"/>
      <c r="C384" s="57"/>
      <c r="D384" s="58"/>
      <c r="E384" s="59" t="s">
        <v>22</v>
      </c>
      <c r="F384" s="59" t="s">
        <v>23</v>
      </c>
      <c r="G384" s="58"/>
      <c r="H384" s="60"/>
      <c r="I384" s="61"/>
      <c r="J384" s="59"/>
      <c r="K384" s="59"/>
      <c r="L384" s="62"/>
      <c r="M384" s="63"/>
      <c r="N384" s="65"/>
      <c r="O384" s="65"/>
      <c r="P384" s="64"/>
      <c r="Q384" s="64"/>
    </row>
    <row r="385" spans="1:17" ht="15.75">
      <c r="A385" s="55"/>
      <c r="B385" s="56"/>
      <c r="C385" s="57"/>
      <c r="D385" s="58"/>
      <c r="E385" s="59" t="s">
        <v>22</v>
      </c>
      <c r="F385" s="59" t="s">
        <v>23</v>
      </c>
      <c r="G385" s="58"/>
      <c r="H385" s="60"/>
      <c r="I385" s="61"/>
      <c r="J385" s="59"/>
      <c r="K385" s="59"/>
      <c r="L385" s="62"/>
      <c r="M385" s="63"/>
      <c r="N385" s="65"/>
      <c r="O385" s="65"/>
      <c r="P385" s="64"/>
      <c r="Q385" s="64"/>
    </row>
    <row r="386" spans="1:17" ht="15.75">
      <c r="A386" s="55"/>
      <c r="B386" s="56"/>
      <c r="C386" s="57"/>
      <c r="D386" s="58"/>
      <c r="E386" s="59" t="s">
        <v>22</v>
      </c>
      <c r="F386" s="59" t="s">
        <v>23</v>
      </c>
      <c r="G386" s="58"/>
      <c r="H386" s="60"/>
      <c r="I386" s="61"/>
      <c r="J386" s="59"/>
      <c r="K386" s="59"/>
      <c r="L386" s="62"/>
      <c r="M386" s="63"/>
      <c r="N386" s="65"/>
      <c r="O386" s="65"/>
      <c r="P386" s="64"/>
      <c r="Q386" s="64"/>
    </row>
    <row r="387" spans="1:17" ht="15.75">
      <c r="A387" s="55"/>
      <c r="B387" s="56"/>
      <c r="C387" s="57"/>
      <c r="D387" s="58"/>
      <c r="E387" s="59" t="s">
        <v>22</v>
      </c>
      <c r="F387" s="59" t="s">
        <v>23</v>
      </c>
      <c r="G387" s="58"/>
      <c r="H387" s="60"/>
      <c r="I387" s="61"/>
      <c r="J387" s="59"/>
      <c r="K387" s="59"/>
      <c r="L387" s="62"/>
      <c r="M387" s="63"/>
      <c r="N387" s="65"/>
      <c r="O387" s="65"/>
      <c r="P387" s="64"/>
      <c r="Q387" s="64"/>
    </row>
    <row r="388" spans="1:17" ht="15.75">
      <c r="A388" s="55"/>
      <c r="B388" s="56"/>
      <c r="C388" s="57"/>
      <c r="D388" s="58"/>
      <c r="E388" s="59" t="s">
        <v>22</v>
      </c>
      <c r="F388" s="59" t="s">
        <v>23</v>
      </c>
      <c r="G388" s="58"/>
      <c r="H388" s="60"/>
      <c r="I388" s="61"/>
      <c r="J388" s="59"/>
      <c r="K388" s="59"/>
      <c r="L388" s="62"/>
      <c r="M388" s="63"/>
      <c r="N388" s="65"/>
      <c r="O388" s="65"/>
      <c r="P388" s="64"/>
      <c r="Q388" s="64"/>
    </row>
    <row r="389" spans="1:17" ht="15.75">
      <c r="A389" s="55"/>
      <c r="B389" s="56"/>
      <c r="C389" s="57"/>
      <c r="D389" s="58"/>
      <c r="E389" s="59" t="s">
        <v>22</v>
      </c>
      <c r="F389" s="59" t="s">
        <v>23</v>
      </c>
      <c r="G389" s="58"/>
      <c r="H389" s="60"/>
      <c r="I389" s="61"/>
      <c r="J389" s="59"/>
      <c r="K389" s="59"/>
      <c r="L389" s="62"/>
      <c r="M389" s="63"/>
      <c r="N389" s="65"/>
      <c r="O389" s="65"/>
      <c r="P389" s="64"/>
      <c r="Q389" s="64"/>
    </row>
    <row r="390" spans="1:17" ht="15.75">
      <c r="A390" s="55"/>
      <c r="B390" s="56"/>
      <c r="C390" s="57"/>
      <c r="D390" s="58"/>
      <c r="E390" s="59" t="s">
        <v>22</v>
      </c>
      <c r="F390" s="59" t="s">
        <v>23</v>
      </c>
      <c r="G390" s="58"/>
      <c r="H390" s="60"/>
      <c r="I390" s="61"/>
      <c r="J390" s="59"/>
      <c r="K390" s="59"/>
      <c r="L390" s="62"/>
      <c r="M390" s="63"/>
      <c r="N390" s="65"/>
      <c r="O390" s="65"/>
      <c r="P390" s="64"/>
      <c r="Q390" s="64"/>
    </row>
    <row r="391" spans="1:17" ht="15.75">
      <c r="A391" s="55"/>
      <c r="B391" s="56"/>
      <c r="C391" s="57"/>
      <c r="D391" s="58"/>
      <c r="E391" s="59" t="s">
        <v>22</v>
      </c>
      <c r="F391" s="59" t="s">
        <v>23</v>
      </c>
      <c r="G391" s="58"/>
      <c r="H391" s="60"/>
      <c r="I391" s="61"/>
      <c r="J391" s="59"/>
      <c r="K391" s="59"/>
      <c r="L391" s="62"/>
      <c r="M391" s="63"/>
      <c r="N391" s="65"/>
      <c r="O391" s="65"/>
      <c r="P391" s="64"/>
      <c r="Q391" s="64"/>
    </row>
    <row r="392" spans="1:17" ht="15.75">
      <c r="A392" s="55"/>
      <c r="B392" s="56"/>
      <c r="C392" s="57"/>
      <c r="D392" s="58"/>
      <c r="E392" s="59" t="s">
        <v>22</v>
      </c>
      <c r="F392" s="59" t="s">
        <v>23</v>
      </c>
      <c r="G392" s="58"/>
      <c r="H392" s="60"/>
      <c r="I392" s="61"/>
      <c r="J392" s="59"/>
      <c r="K392" s="59"/>
      <c r="L392" s="62"/>
      <c r="M392" s="63"/>
      <c r="N392" s="65"/>
      <c r="O392" s="65"/>
      <c r="P392" s="64"/>
      <c r="Q392" s="64"/>
    </row>
    <row r="393" spans="1:17" ht="15.75">
      <c r="A393" s="55"/>
      <c r="B393" s="56"/>
      <c r="C393" s="57"/>
      <c r="D393" s="58"/>
      <c r="E393" s="59" t="s">
        <v>22</v>
      </c>
      <c r="F393" s="59" t="s">
        <v>23</v>
      </c>
      <c r="G393" s="58"/>
      <c r="H393" s="60"/>
      <c r="I393" s="61"/>
      <c r="J393" s="59"/>
      <c r="K393" s="59"/>
      <c r="L393" s="62"/>
      <c r="M393" s="63"/>
      <c r="N393" s="65"/>
      <c r="O393" s="65"/>
      <c r="P393" s="64"/>
      <c r="Q393" s="64"/>
    </row>
    <row r="394" spans="1:17" ht="15.75">
      <c r="A394" s="55"/>
      <c r="B394" s="56"/>
      <c r="C394" s="57"/>
      <c r="D394" s="58"/>
      <c r="E394" s="59" t="s">
        <v>22</v>
      </c>
      <c r="F394" s="59" t="s">
        <v>23</v>
      </c>
      <c r="G394" s="58"/>
      <c r="H394" s="60"/>
      <c r="I394" s="61"/>
      <c r="J394" s="59"/>
      <c r="K394" s="59"/>
      <c r="L394" s="62"/>
      <c r="M394" s="63"/>
      <c r="N394" s="65"/>
      <c r="O394" s="65"/>
      <c r="P394" s="64"/>
      <c r="Q394" s="64"/>
    </row>
    <row r="395" spans="1:17" ht="15.75">
      <c r="A395" s="55"/>
      <c r="B395" s="56"/>
      <c r="C395" s="57"/>
      <c r="D395" s="58"/>
      <c r="E395" s="59" t="s">
        <v>22</v>
      </c>
      <c r="F395" s="59" t="s">
        <v>23</v>
      </c>
      <c r="G395" s="58"/>
      <c r="H395" s="60"/>
      <c r="I395" s="61"/>
      <c r="J395" s="59"/>
      <c r="K395" s="59"/>
      <c r="L395" s="62"/>
      <c r="M395" s="63"/>
      <c r="N395" s="65"/>
      <c r="O395" s="65"/>
      <c r="P395" s="64"/>
      <c r="Q395" s="64"/>
    </row>
    <row r="396" spans="1:17" ht="15.75">
      <c r="A396" s="55"/>
      <c r="B396" s="56"/>
      <c r="C396" s="57"/>
      <c r="D396" s="58"/>
      <c r="E396" s="59" t="s">
        <v>22</v>
      </c>
      <c r="F396" s="59" t="s">
        <v>23</v>
      </c>
      <c r="G396" s="58"/>
      <c r="H396" s="60"/>
      <c r="I396" s="61"/>
      <c r="J396" s="59"/>
      <c r="K396" s="59"/>
      <c r="L396" s="62"/>
      <c r="M396" s="63"/>
      <c r="N396" s="65"/>
      <c r="O396" s="65"/>
      <c r="P396" s="64"/>
      <c r="Q396" s="64"/>
    </row>
    <row r="397" spans="1:17" ht="15.75">
      <c r="A397" s="55"/>
      <c r="B397" s="56"/>
      <c r="C397" s="57"/>
      <c r="D397" s="58"/>
      <c r="E397" s="59" t="s">
        <v>22</v>
      </c>
      <c r="F397" s="59" t="s">
        <v>23</v>
      </c>
      <c r="G397" s="58"/>
      <c r="H397" s="60"/>
      <c r="I397" s="61"/>
      <c r="J397" s="59"/>
      <c r="K397" s="59"/>
      <c r="L397" s="62"/>
      <c r="M397" s="63"/>
      <c r="N397" s="65"/>
      <c r="O397" s="65"/>
      <c r="P397" s="64"/>
      <c r="Q397" s="64"/>
    </row>
    <row r="398" spans="1:17" ht="15.75">
      <c r="A398" s="55"/>
      <c r="B398" s="56"/>
      <c r="C398" s="57"/>
      <c r="D398" s="58"/>
      <c r="E398" s="59" t="s">
        <v>22</v>
      </c>
      <c r="F398" s="59" t="s">
        <v>23</v>
      </c>
      <c r="G398" s="58"/>
      <c r="H398" s="60"/>
      <c r="I398" s="61"/>
      <c r="J398" s="59"/>
      <c r="K398" s="59"/>
      <c r="L398" s="62"/>
      <c r="M398" s="63"/>
      <c r="N398" s="65"/>
      <c r="O398" s="65"/>
      <c r="P398" s="64"/>
      <c r="Q398" s="64"/>
    </row>
    <row r="399" spans="1:17" ht="15.75">
      <c r="A399" s="55"/>
      <c r="B399" s="56"/>
      <c r="C399" s="57"/>
      <c r="D399" s="58"/>
      <c r="E399" s="59" t="s">
        <v>22</v>
      </c>
      <c r="F399" s="59" t="s">
        <v>23</v>
      </c>
      <c r="G399" s="58"/>
      <c r="H399" s="60"/>
      <c r="I399" s="61"/>
      <c r="J399" s="59"/>
      <c r="K399" s="59"/>
      <c r="L399" s="62"/>
      <c r="M399" s="63"/>
      <c r="N399" s="65"/>
      <c r="O399" s="65"/>
      <c r="P399" s="64"/>
      <c r="Q399" s="64"/>
    </row>
    <row r="400" spans="1:17" ht="15.75">
      <c r="A400" s="55"/>
      <c r="B400" s="56"/>
      <c r="C400" s="57"/>
      <c r="D400" s="58"/>
      <c r="E400" s="59" t="s">
        <v>22</v>
      </c>
      <c r="F400" s="59" t="s">
        <v>23</v>
      </c>
      <c r="G400" s="58"/>
      <c r="H400" s="60"/>
      <c r="I400" s="61"/>
      <c r="J400" s="59"/>
      <c r="K400" s="59"/>
      <c r="L400" s="62"/>
      <c r="M400" s="63"/>
      <c r="N400" s="65"/>
      <c r="O400" s="65"/>
      <c r="P400" s="64"/>
      <c r="Q400" s="64"/>
    </row>
    <row r="401" spans="1:17" ht="15.75">
      <c r="A401" s="55"/>
      <c r="B401" s="56"/>
      <c r="C401" s="57"/>
      <c r="D401" s="58"/>
      <c r="E401" s="59" t="s">
        <v>22</v>
      </c>
      <c r="F401" s="59" t="s">
        <v>23</v>
      </c>
      <c r="G401" s="58"/>
      <c r="H401" s="60"/>
      <c r="I401" s="61"/>
      <c r="J401" s="59"/>
      <c r="K401" s="59"/>
      <c r="L401" s="62"/>
      <c r="M401" s="63"/>
      <c r="N401" s="65"/>
      <c r="O401" s="65"/>
      <c r="P401" s="64"/>
      <c r="Q401" s="64"/>
    </row>
    <row r="402" spans="1:17" ht="15.75">
      <c r="A402" s="55"/>
      <c r="B402" s="56"/>
      <c r="C402" s="57"/>
      <c r="D402" s="58"/>
      <c r="E402" s="59" t="s">
        <v>22</v>
      </c>
      <c r="F402" s="59" t="s">
        <v>23</v>
      </c>
      <c r="G402" s="58"/>
      <c r="H402" s="60"/>
      <c r="I402" s="61"/>
      <c r="J402" s="59"/>
      <c r="K402" s="59"/>
      <c r="L402" s="62"/>
      <c r="M402" s="63"/>
      <c r="N402" s="65"/>
      <c r="O402" s="65"/>
      <c r="P402" s="64"/>
      <c r="Q402" s="64"/>
    </row>
    <row r="403" spans="1:17" ht="15.75">
      <c r="A403" s="55"/>
      <c r="B403" s="56"/>
      <c r="C403" s="57"/>
      <c r="D403" s="58"/>
      <c r="E403" s="59" t="s">
        <v>22</v>
      </c>
      <c r="F403" s="59" t="s">
        <v>23</v>
      </c>
      <c r="G403" s="58"/>
      <c r="H403" s="60"/>
      <c r="I403" s="61"/>
      <c r="J403" s="59"/>
      <c r="K403" s="59"/>
      <c r="L403" s="62"/>
      <c r="M403" s="63"/>
      <c r="N403" s="65"/>
      <c r="O403" s="65"/>
      <c r="P403" s="64"/>
      <c r="Q403" s="64"/>
    </row>
    <row r="404" spans="1:17" ht="15.75">
      <c r="A404" s="55"/>
      <c r="B404" s="56"/>
      <c r="C404" s="57"/>
      <c r="D404" s="58"/>
      <c r="E404" s="59" t="s">
        <v>22</v>
      </c>
      <c r="F404" s="59" t="s">
        <v>23</v>
      </c>
      <c r="G404" s="58"/>
      <c r="H404" s="60"/>
      <c r="I404" s="61"/>
      <c r="J404" s="59"/>
      <c r="K404" s="59"/>
      <c r="L404" s="62"/>
      <c r="M404" s="63"/>
      <c r="N404" s="65"/>
      <c r="O404" s="65"/>
      <c r="P404" s="64"/>
      <c r="Q404" s="64"/>
    </row>
    <row r="405" spans="1:17" ht="15.75">
      <c r="A405" s="55"/>
      <c r="B405" s="56"/>
      <c r="C405" s="57"/>
      <c r="D405" s="58"/>
      <c r="E405" s="59" t="s">
        <v>22</v>
      </c>
      <c r="F405" s="59" t="s">
        <v>23</v>
      </c>
      <c r="G405" s="58"/>
      <c r="H405" s="60"/>
      <c r="I405" s="61"/>
      <c r="J405" s="59"/>
      <c r="K405" s="59"/>
      <c r="L405" s="62"/>
      <c r="M405" s="63"/>
      <c r="N405" s="65"/>
      <c r="O405" s="65"/>
      <c r="P405" s="64"/>
      <c r="Q405" s="64"/>
    </row>
    <row r="406" spans="1:17" ht="15.75">
      <c r="A406" s="55"/>
      <c r="B406" s="56"/>
      <c r="C406" s="57"/>
      <c r="D406" s="58"/>
      <c r="E406" s="59" t="s">
        <v>22</v>
      </c>
      <c r="F406" s="59" t="s">
        <v>23</v>
      </c>
      <c r="G406" s="58"/>
      <c r="H406" s="60"/>
      <c r="I406" s="61"/>
      <c r="J406" s="59"/>
      <c r="K406" s="59"/>
      <c r="L406" s="62"/>
      <c r="M406" s="63"/>
      <c r="N406" s="65"/>
      <c r="O406" s="65"/>
      <c r="P406" s="64"/>
      <c r="Q406" s="64"/>
    </row>
    <row r="407" spans="1:17" ht="15.75">
      <c r="A407" s="55"/>
      <c r="B407" s="56"/>
      <c r="C407" s="57"/>
      <c r="D407" s="58"/>
      <c r="E407" s="59" t="s">
        <v>22</v>
      </c>
      <c r="F407" s="59" t="s">
        <v>23</v>
      </c>
      <c r="G407" s="58"/>
      <c r="H407" s="60"/>
      <c r="I407" s="61"/>
      <c r="J407" s="59"/>
      <c r="K407" s="59"/>
      <c r="L407" s="62"/>
      <c r="M407" s="63"/>
      <c r="N407" s="65"/>
      <c r="O407" s="65"/>
      <c r="P407" s="64"/>
      <c r="Q407" s="64"/>
    </row>
    <row r="408" spans="1:17" ht="15.75">
      <c r="A408" s="55"/>
      <c r="B408" s="56"/>
      <c r="C408" s="57"/>
      <c r="D408" s="58"/>
      <c r="E408" s="59" t="s">
        <v>22</v>
      </c>
      <c r="F408" s="59" t="s">
        <v>23</v>
      </c>
      <c r="G408" s="58"/>
      <c r="H408" s="60"/>
      <c r="I408" s="61"/>
      <c r="J408" s="59"/>
      <c r="K408" s="59"/>
      <c r="L408" s="62"/>
      <c r="M408" s="63"/>
      <c r="N408" s="65"/>
      <c r="O408" s="65"/>
      <c r="P408" s="64"/>
      <c r="Q408" s="64"/>
    </row>
    <row r="409" spans="1:17" ht="15.75">
      <c r="A409" s="55"/>
      <c r="B409" s="56"/>
      <c r="C409" s="57"/>
      <c r="D409" s="58"/>
      <c r="E409" s="59" t="s">
        <v>22</v>
      </c>
      <c r="F409" s="59" t="s">
        <v>23</v>
      </c>
      <c r="G409" s="58"/>
      <c r="H409" s="60"/>
      <c r="I409" s="61"/>
      <c r="J409" s="59"/>
      <c r="K409" s="59"/>
      <c r="L409" s="62"/>
      <c r="M409" s="63"/>
      <c r="N409" s="65"/>
      <c r="O409" s="65"/>
      <c r="P409" s="64"/>
      <c r="Q409" s="64"/>
    </row>
    <row r="410" spans="1:17" ht="15.75">
      <c r="A410" s="66"/>
      <c r="B410" s="56"/>
      <c r="C410" s="67"/>
      <c r="D410" s="58"/>
      <c r="E410" s="59" t="s">
        <v>22</v>
      </c>
      <c r="F410" s="59" t="s">
        <v>23</v>
      </c>
      <c r="G410" s="58"/>
      <c r="H410" s="60"/>
      <c r="I410" s="61"/>
      <c r="J410" s="59"/>
      <c r="K410" s="59"/>
      <c r="L410" s="62"/>
      <c r="M410" s="63"/>
      <c r="N410" s="65"/>
      <c r="O410" s="65"/>
      <c r="P410" s="64"/>
      <c r="Q410" s="64"/>
    </row>
    <row r="411" spans="1:17" ht="15.75">
      <c r="A411" s="66"/>
      <c r="B411" s="56"/>
      <c r="C411" s="67"/>
      <c r="D411" s="58"/>
      <c r="E411" s="59" t="s">
        <v>22</v>
      </c>
      <c r="F411" s="59" t="s">
        <v>23</v>
      </c>
      <c r="G411" s="58"/>
      <c r="H411" s="60"/>
      <c r="I411" s="61"/>
      <c r="J411" s="59"/>
      <c r="K411" s="59"/>
      <c r="L411" s="62"/>
      <c r="M411" s="63"/>
      <c r="N411" s="65"/>
      <c r="O411" s="65"/>
      <c r="P411" s="64"/>
      <c r="Q411" s="64"/>
    </row>
    <row r="412" spans="1:17" ht="15.75">
      <c r="A412" s="66"/>
      <c r="B412" s="56"/>
      <c r="C412" s="67"/>
      <c r="D412" s="58"/>
      <c r="E412" s="59" t="s">
        <v>22</v>
      </c>
      <c r="F412" s="59" t="s">
        <v>23</v>
      </c>
      <c r="G412" s="58"/>
      <c r="H412" s="60"/>
      <c r="I412" s="61"/>
      <c r="J412" s="59"/>
      <c r="K412" s="59"/>
      <c r="L412" s="62"/>
      <c r="M412" s="63"/>
      <c r="N412" s="65"/>
      <c r="O412" s="65"/>
      <c r="P412" s="64"/>
      <c r="Q412" s="64"/>
    </row>
    <row r="413" spans="1:17" ht="15.75">
      <c r="A413" s="66"/>
      <c r="B413" s="56"/>
      <c r="C413" s="67"/>
      <c r="D413" s="58"/>
      <c r="E413" s="59" t="s">
        <v>22</v>
      </c>
      <c r="F413" s="59" t="s">
        <v>23</v>
      </c>
      <c r="G413" s="58"/>
      <c r="H413" s="60"/>
      <c r="I413" s="61"/>
      <c r="J413" s="59"/>
      <c r="K413" s="59"/>
      <c r="L413" s="62"/>
      <c r="M413" s="63"/>
      <c r="N413" s="65"/>
      <c r="O413" s="65"/>
      <c r="P413" s="64"/>
      <c r="Q413" s="64"/>
    </row>
    <row r="414" spans="1:17" ht="15.75">
      <c r="A414" s="66"/>
      <c r="B414" s="56"/>
      <c r="C414" s="67"/>
      <c r="D414" s="58"/>
      <c r="E414" s="59" t="s">
        <v>22</v>
      </c>
      <c r="F414" s="59" t="s">
        <v>23</v>
      </c>
      <c r="G414" s="58"/>
      <c r="H414" s="60"/>
      <c r="I414" s="61"/>
      <c r="J414" s="59"/>
      <c r="K414" s="59"/>
      <c r="L414" s="62"/>
      <c r="M414" s="63"/>
      <c r="N414" s="65"/>
      <c r="O414" s="65"/>
      <c r="P414" s="64"/>
      <c r="Q414" s="64"/>
    </row>
    <row r="415" spans="1:17" ht="15.75">
      <c r="A415" s="66"/>
      <c r="B415" s="56"/>
      <c r="C415" s="67"/>
      <c r="D415" s="58"/>
      <c r="E415" s="59" t="s">
        <v>22</v>
      </c>
      <c r="F415" s="59" t="s">
        <v>23</v>
      </c>
      <c r="G415" s="58"/>
      <c r="H415" s="60"/>
      <c r="I415" s="61"/>
      <c r="J415" s="59"/>
      <c r="K415" s="59"/>
      <c r="L415" s="62"/>
      <c r="M415" s="63"/>
      <c r="N415" s="65"/>
      <c r="O415" s="65"/>
      <c r="P415" s="64"/>
      <c r="Q415" s="64"/>
    </row>
    <row r="416" spans="1:17" ht="15.75">
      <c r="A416" s="66"/>
      <c r="B416" s="56"/>
      <c r="C416" s="67"/>
      <c r="D416" s="58"/>
      <c r="E416" s="59" t="s">
        <v>22</v>
      </c>
      <c r="F416" s="59" t="s">
        <v>23</v>
      </c>
      <c r="G416" s="58"/>
      <c r="H416" s="60"/>
      <c r="I416" s="61"/>
      <c r="J416" s="59"/>
      <c r="K416" s="59"/>
      <c r="L416" s="62"/>
      <c r="M416" s="63"/>
      <c r="N416" s="65"/>
      <c r="O416" s="65"/>
      <c r="P416" s="64"/>
      <c r="Q416" s="64"/>
    </row>
    <row r="417" spans="1:17" ht="15.75">
      <c r="A417" s="66"/>
      <c r="B417" s="56"/>
      <c r="C417" s="67"/>
      <c r="D417" s="58"/>
      <c r="E417" s="59" t="s">
        <v>22</v>
      </c>
      <c r="F417" s="59" t="s">
        <v>23</v>
      </c>
      <c r="G417" s="58"/>
      <c r="H417" s="60"/>
      <c r="I417" s="61"/>
      <c r="J417" s="59"/>
      <c r="K417" s="59"/>
      <c r="L417" s="62"/>
      <c r="M417" s="63"/>
      <c r="N417" s="65"/>
      <c r="O417" s="65"/>
      <c r="P417" s="64"/>
      <c r="Q417" s="64"/>
    </row>
    <row r="418" spans="1:17" ht="15.75">
      <c r="A418" s="66"/>
      <c r="B418" s="56"/>
      <c r="C418" s="67"/>
      <c r="D418" s="58"/>
      <c r="E418" s="59" t="s">
        <v>22</v>
      </c>
      <c r="F418" s="59" t="s">
        <v>23</v>
      </c>
      <c r="G418" s="58"/>
      <c r="H418" s="60"/>
      <c r="I418" s="61"/>
      <c r="J418" s="59"/>
      <c r="K418" s="59"/>
      <c r="L418" s="62"/>
      <c r="M418" s="63"/>
      <c r="N418" s="65"/>
      <c r="O418" s="65"/>
      <c r="P418" s="64"/>
      <c r="Q418" s="64"/>
    </row>
    <row r="419" spans="1:17" ht="15.75">
      <c r="A419" s="66"/>
      <c r="B419" s="56"/>
      <c r="C419" s="67"/>
      <c r="D419" s="58"/>
      <c r="E419" s="59" t="s">
        <v>22</v>
      </c>
      <c r="F419" s="59" t="s">
        <v>23</v>
      </c>
      <c r="G419" s="58"/>
      <c r="H419" s="60"/>
      <c r="I419" s="61"/>
      <c r="J419" s="59"/>
      <c r="K419" s="59"/>
      <c r="L419" s="62"/>
      <c r="M419" s="63"/>
      <c r="N419" s="65"/>
      <c r="O419" s="65"/>
      <c r="P419" s="64"/>
      <c r="Q419" s="64"/>
    </row>
    <row r="420" spans="1:17" ht="15.75">
      <c r="A420" s="66"/>
      <c r="B420" s="56"/>
      <c r="C420" s="67"/>
      <c r="D420" s="58"/>
      <c r="E420" s="59" t="s">
        <v>22</v>
      </c>
      <c r="F420" s="59" t="s">
        <v>23</v>
      </c>
      <c r="G420" s="58"/>
      <c r="H420" s="60"/>
      <c r="I420" s="61"/>
      <c r="J420" s="59"/>
      <c r="K420" s="59"/>
      <c r="L420" s="62"/>
      <c r="M420" s="63"/>
      <c r="N420" s="65"/>
      <c r="O420" s="65"/>
      <c r="P420" s="64"/>
      <c r="Q420" s="64"/>
    </row>
    <row r="421" spans="1:17" ht="15.75">
      <c r="A421" s="66"/>
      <c r="B421" s="56"/>
      <c r="C421" s="67"/>
      <c r="D421" s="58"/>
      <c r="E421" s="59" t="s">
        <v>22</v>
      </c>
      <c r="F421" s="59" t="s">
        <v>23</v>
      </c>
      <c r="G421" s="58"/>
      <c r="H421" s="60"/>
      <c r="I421" s="61"/>
      <c r="J421" s="59"/>
      <c r="K421" s="59"/>
      <c r="L421" s="62"/>
      <c r="M421" s="63"/>
      <c r="N421" s="65"/>
      <c r="O421" s="65"/>
      <c r="P421" s="64"/>
      <c r="Q421" s="64"/>
    </row>
    <row r="422" spans="1:17" ht="15.75">
      <c r="A422" s="66"/>
      <c r="B422" s="56"/>
      <c r="C422" s="67"/>
      <c r="D422" s="58"/>
      <c r="E422" s="59" t="s">
        <v>22</v>
      </c>
      <c r="F422" s="59" t="s">
        <v>23</v>
      </c>
      <c r="G422" s="58"/>
      <c r="H422" s="60"/>
      <c r="I422" s="61"/>
      <c r="J422" s="59"/>
      <c r="K422" s="59"/>
      <c r="L422" s="62"/>
      <c r="M422" s="63"/>
      <c r="N422" s="65"/>
      <c r="O422" s="65"/>
      <c r="P422" s="64"/>
      <c r="Q422" s="64"/>
    </row>
    <row r="423" spans="1:17" ht="15.75">
      <c r="A423" s="66"/>
      <c r="B423" s="56"/>
      <c r="C423" s="67"/>
      <c r="D423" s="58"/>
      <c r="E423" s="59" t="s">
        <v>22</v>
      </c>
      <c r="F423" s="59" t="s">
        <v>23</v>
      </c>
      <c r="G423" s="58"/>
      <c r="H423" s="60"/>
      <c r="I423" s="61"/>
      <c r="J423" s="59"/>
      <c r="K423" s="59"/>
      <c r="L423" s="62"/>
      <c r="M423" s="63"/>
      <c r="N423" s="65"/>
      <c r="O423" s="65"/>
      <c r="P423" s="64"/>
      <c r="Q423" s="64"/>
    </row>
    <row r="424" spans="1:17" ht="15.75">
      <c r="A424" s="66"/>
      <c r="B424" s="56"/>
      <c r="C424" s="67"/>
      <c r="D424" s="58"/>
      <c r="E424" s="59" t="s">
        <v>22</v>
      </c>
      <c r="F424" s="59" t="s">
        <v>23</v>
      </c>
      <c r="G424" s="58"/>
      <c r="H424" s="60"/>
      <c r="I424" s="61"/>
      <c r="J424" s="59"/>
      <c r="K424" s="59"/>
      <c r="L424" s="62"/>
      <c r="M424" s="63"/>
      <c r="N424" s="65"/>
      <c r="O424" s="65"/>
      <c r="P424" s="64"/>
      <c r="Q424" s="64"/>
    </row>
    <row r="425" spans="1:17" ht="15.75">
      <c r="A425" s="66"/>
      <c r="B425" s="56"/>
      <c r="C425" s="67"/>
      <c r="D425" s="58"/>
      <c r="E425" s="59" t="s">
        <v>22</v>
      </c>
      <c r="F425" s="59" t="s">
        <v>23</v>
      </c>
      <c r="G425" s="58"/>
      <c r="H425" s="60"/>
      <c r="I425" s="61"/>
      <c r="J425" s="59"/>
      <c r="K425" s="59"/>
      <c r="L425" s="62"/>
      <c r="M425" s="63"/>
      <c r="N425" s="65"/>
      <c r="O425" s="65"/>
      <c r="P425" s="64"/>
      <c r="Q425" s="64"/>
    </row>
    <row r="426" spans="1:17" ht="15.75">
      <c r="A426" s="66"/>
      <c r="B426" s="56"/>
      <c r="C426" s="67"/>
      <c r="D426" s="58"/>
      <c r="E426" s="59" t="s">
        <v>22</v>
      </c>
      <c r="F426" s="59" t="s">
        <v>23</v>
      </c>
      <c r="G426" s="58"/>
      <c r="H426" s="60"/>
      <c r="I426" s="61"/>
      <c r="J426" s="59"/>
      <c r="K426" s="59"/>
      <c r="L426" s="62"/>
      <c r="M426" s="63"/>
      <c r="N426" s="65"/>
      <c r="O426" s="65"/>
      <c r="P426" s="64"/>
      <c r="Q426" s="64"/>
    </row>
    <row r="427" spans="1:17" ht="15.75">
      <c r="A427" s="66"/>
      <c r="B427" s="56"/>
      <c r="C427" s="67"/>
      <c r="D427" s="58"/>
      <c r="E427" s="59" t="s">
        <v>22</v>
      </c>
      <c r="F427" s="59" t="s">
        <v>23</v>
      </c>
      <c r="G427" s="58"/>
      <c r="H427" s="60"/>
      <c r="I427" s="61"/>
      <c r="J427" s="59"/>
      <c r="K427" s="59"/>
      <c r="L427" s="62"/>
      <c r="M427" s="63"/>
      <c r="N427" s="65"/>
      <c r="O427" s="65"/>
      <c r="P427" s="64"/>
      <c r="Q427" s="64"/>
    </row>
    <row r="428" spans="1:17" ht="15.75">
      <c r="A428" s="66"/>
      <c r="B428" s="56"/>
      <c r="C428" s="67"/>
      <c r="D428" s="58"/>
      <c r="E428" s="59" t="s">
        <v>22</v>
      </c>
      <c r="F428" s="59" t="s">
        <v>23</v>
      </c>
      <c r="G428" s="58"/>
      <c r="H428" s="60"/>
      <c r="I428" s="61"/>
      <c r="J428" s="59"/>
      <c r="K428" s="59"/>
      <c r="L428" s="62"/>
      <c r="M428" s="63"/>
      <c r="N428" s="65"/>
      <c r="O428" s="65"/>
      <c r="P428" s="64"/>
      <c r="Q428" s="64"/>
    </row>
    <row r="429" spans="1:17" ht="15.75">
      <c r="A429" s="66"/>
      <c r="B429" s="56"/>
      <c r="C429" s="67"/>
      <c r="D429" s="58"/>
      <c r="E429" s="59" t="s">
        <v>22</v>
      </c>
      <c r="F429" s="59" t="s">
        <v>23</v>
      </c>
      <c r="G429" s="58"/>
      <c r="H429" s="60"/>
      <c r="I429" s="61"/>
      <c r="J429" s="59"/>
      <c r="K429" s="59"/>
      <c r="L429" s="62"/>
      <c r="M429" s="63"/>
      <c r="N429" s="65"/>
      <c r="O429" s="65"/>
      <c r="P429" s="64"/>
      <c r="Q429" s="64"/>
    </row>
    <row r="430" spans="1:17" ht="15.75">
      <c r="A430" s="66"/>
      <c r="B430" s="56"/>
      <c r="C430" s="67"/>
      <c r="D430" s="58"/>
      <c r="E430" s="59" t="s">
        <v>22</v>
      </c>
      <c r="F430" s="59" t="s">
        <v>23</v>
      </c>
      <c r="G430" s="58"/>
      <c r="H430" s="60"/>
      <c r="I430" s="61"/>
      <c r="J430" s="59"/>
      <c r="K430" s="59"/>
      <c r="L430" s="62"/>
      <c r="M430" s="63"/>
      <c r="N430" s="65"/>
      <c r="O430" s="65"/>
      <c r="P430" s="64"/>
      <c r="Q430" s="64"/>
    </row>
    <row r="431" spans="1:17" ht="15.75">
      <c r="A431" s="66"/>
      <c r="B431" s="56"/>
      <c r="C431" s="67"/>
      <c r="D431" s="58"/>
      <c r="E431" s="59" t="s">
        <v>22</v>
      </c>
      <c r="F431" s="59" t="s">
        <v>23</v>
      </c>
      <c r="G431" s="58"/>
      <c r="H431" s="60"/>
      <c r="I431" s="61"/>
      <c r="J431" s="59"/>
      <c r="K431" s="59"/>
      <c r="L431" s="62"/>
      <c r="M431" s="63"/>
      <c r="N431" s="65"/>
      <c r="O431" s="65"/>
      <c r="P431" s="64"/>
      <c r="Q431" s="64"/>
    </row>
    <row r="432" spans="1:17" ht="15.75">
      <c r="A432" s="66"/>
      <c r="B432" s="56"/>
      <c r="C432" s="67"/>
      <c r="D432" s="58"/>
      <c r="E432" s="59" t="s">
        <v>22</v>
      </c>
      <c r="F432" s="59" t="s">
        <v>23</v>
      </c>
      <c r="G432" s="58"/>
      <c r="H432" s="60"/>
      <c r="I432" s="61"/>
      <c r="J432" s="59"/>
      <c r="K432" s="59"/>
      <c r="L432" s="62"/>
      <c r="M432" s="63"/>
      <c r="N432" s="65"/>
      <c r="O432" s="65"/>
      <c r="P432" s="64"/>
      <c r="Q432" s="64"/>
    </row>
    <row r="433" spans="1:17" ht="15.75">
      <c r="A433" s="66"/>
      <c r="B433" s="56"/>
      <c r="C433" s="67"/>
      <c r="D433" s="58"/>
      <c r="E433" s="59" t="s">
        <v>22</v>
      </c>
      <c r="F433" s="59" t="s">
        <v>23</v>
      </c>
      <c r="G433" s="58"/>
      <c r="H433" s="60"/>
      <c r="I433" s="61"/>
      <c r="J433" s="59"/>
      <c r="K433" s="59"/>
      <c r="L433" s="62"/>
      <c r="M433" s="63"/>
      <c r="N433" s="65"/>
      <c r="O433" s="65"/>
      <c r="P433" s="64"/>
      <c r="Q433" s="64"/>
    </row>
    <row r="434" spans="1:17" ht="15.75">
      <c r="A434" s="66"/>
      <c r="B434" s="56"/>
      <c r="C434" s="67"/>
      <c r="D434" s="58"/>
      <c r="E434" s="59" t="s">
        <v>22</v>
      </c>
      <c r="F434" s="59" t="s">
        <v>23</v>
      </c>
      <c r="G434" s="58"/>
      <c r="H434" s="60"/>
      <c r="I434" s="61"/>
      <c r="J434" s="59"/>
      <c r="K434" s="59"/>
      <c r="L434" s="62"/>
      <c r="M434" s="63"/>
      <c r="N434" s="65"/>
      <c r="O434" s="65"/>
      <c r="P434" s="64"/>
      <c r="Q434" s="64"/>
    </row>
    <row r="435" spans="1:17" ht="15.75">
      <c r="A435" s="66"/>
      <c r="B435" s="56"/>
      <c r="C435" s="67"/>
      <c r="D435" s="58"/>
      <c r="E435" s="59" t="s">
        <v>22</v>
      </c>
      <c r="F435" s="59" t="s">
        <v>23</v>
      </c>
      <c r="G435" s="58"/>
      <c r="H435" s="60"/>
      <c r="I435" s="61"/>
      <c r="J435" s="59"/>
      <c r="K435" s="59"/>
      <c r="L435" s="62"/>
      <c r="M435" s="63"/>
      <c r="N435" s="65"/>
      <c r="O435" s="65"/>
      <c r="P435" s="64"/>
      <c r="Q435" s="64"/>
    </row>
    <row r="436" spans="1:17" ht="15.75">
      <c r="A436" s="66"/>
      <c r="B436" s="56"/>
      <c r="C436" s="67"/>
      <c r="D436" s="58"/>
      <c r="E436" s="59" t="s">
        <v>22</v>
      </c>
      <c r="F436" s="59" t="s">
        <v>23</v>
      </c>
      <c r="G436" s="58"/>
      <c r="H436" s="60"/>
      <c r="I436" s="61"/>
      <c r="J436" s="59"/>
      <c r="K436" s="59"/>
      <c r="L436" s="62"/>
      <c r="M436" s="63"/>
      <c r="N436" s="65"/>
      <c r="O436" s="65"/>
      <c r="P436" s="64"/>
      <c r="Q436" s="64"/>
    </row>
    <row r="437" spans="1:17" ht="15.75">
      <c r="A437" s="66"/>
      <c r="B437" s="56"/>
      <c r="C437" s="67"/>
      <c r="D437" s="58"/>
      <c r="E437" s="59" t="s">
        <v>22</v>
      </c>
      <c r="F437" s="59" t="s">
        <v>23</v>
      </c>
      <c r="G437" s="58"/>
      <c r="H437" s="60"/>
      <c r="I437" s="61"/>
      <c r="J437" s="59"/>
      <c r="K437" s="59"/>
      <c r="L437" s="62"/>
      <c r="M437" s="63"/>
      <c r="N437" s="65"/>
      <c r="O437" s="65"/>
      <c r="P437" s="64"/>
      <c r="Q437" s="64"/>
    </row>
    <row r="438" spans="1:17" ht="15.75">
      <c r="A438" s="66"/>
      <c r="B438" s="56"/>
      <c r="C438" s="67"/>
      <c r="D438" s="58"/>
      <c r="E438" s="59" t="s">
        <v>22</v>
      </c>
      <c r="F438" s="59" t="s">
        <v>23</v>
      </c>
      <c r="G438" s="58"/>
      <c r="H438" s="60"/>
      <c r="I438" s="61"/>
      <c r="J438" s="59"/>
      <c r="K438" s="59"/>
      <c r="L438" s="62"/>
      <c r="M438" s="63"/>
      <c r="N438" s="65"/>
      <c r="O438" s="65"/>
      <c r="P438" s="64"/>
      <c r="Q438" s="64"/>
    </row>
    <row r="439" spans="1:17" ht="15.75">
      <c r="A439" s="66"/>
      <c r="B439" s="56"/>
      <c r="C439" s="67"/>
      <c r="D439" s="58"/>
      <c r="E439" s="59" t="s">
        <v>22</v>
      </c>
      <c r="F439" s="59" t="s">
        <v>23</v>
      </c>
      <c r="G439" s="58"/>
      <c r="H439" s="60"/>
      <c r="I439" s="61"/>
      <c r="J439" s="59"/>
      <c r="K439" s="59"/>
      <c r="L439" s="62"/>
      <c r="M439" s="63"/>
      <c r="N439" s="65"/>
      <c r="O439" s="65"/>
      <c r="P439" s="64"/>
      <c r="Q439" s="64"/>
    </row>
    <row r="440" spans="1:17" ht="15.75">
      <c r="A440" s="66"/>
      <c r="B440" s="56"/>
      <c r="C440" s="67"/>
      <c r="D440" s="58"/>
      <c r="E440" s="59" t="s">
        <v>22</v>
      </c>
      <c r="F440" s="59" t="s">
        <v>23</v>
      </c>
      <c r="G440" s="58"/>
      <c r="H440" s="60"/>
      <c r="I440" s="61"/>
      <c r="J440" s="59"/>
      <c r="K440" s="59"/>
      <c r="L440" s="62"/>
      <c r="M440" s="63"/>
      <c r="N440" s="65"/>
      <c r="O440" s="65"/>
      <c r="P440" s="64"/>
      <c r="Q440" s="64"/>
    </row>
    <row r="441" spans="1:17" ht="15.75">
      <c r="A441" s="66"/>
      <c r="B441" s="56"/>
      <c r="C441" s="67"/>
      <c r="D441" s="58"/>
      <c r="E441" s="59" t="s">
        <v>22</v>
      </c>
      <c r="F441" s="59" t="s">
        <v>23</v>
      </c>
      <c r="G441" s="58"/>
      <c r="H441" s="60"/>
      <c r="I441" s="61"/>
      <c r="J441" s="59"/>
      <c r="K441" s="59"/>
      <c r="L441" s="62"/>
      <c r="M441" s="63"/>
      <c r="N441" s="65"/>
      <c r="O441" s="65"/>
      <c r="P441" s="64"/>
      <c r="Q441" s="64"/>
    </row>
    <row r="442" spans="1:17" ht="15.75">
      <c r="A442" s="66"/>
      <c r="B442" s="56"/>
      <c r="C442" s="67"/>
      <c r="D442" s="58"/>
      <c r="E442" s="59" t="s">
        <v>22</v>
      </c>
      <c r="F442" s="59" t="s">
        <v>23</v>
      </c>
      <c r="G442" s="58"/>
      <c r="H442" s="60"/>
      <c r="I442" s="61"/>
      <c r="J442" s="59"/>
      <c r="K442" s="59"/>
      <c r="L442" s="62"/>
      <c r="M442" s="63"/>
      <c r="N442" s="65"/>
      <c r="O442" s="65"/>
      <c r="P442" s="64"/>
      <c r="Q442" s="64"/>
    </row>
    <row r="443" spans="1:17" ht="15.75">
      <c r="A443" s="66"/>
      <c r="B443" s="56"/>
      <c r="C443" s="67"/>
      <c r="D443" s="58"/>
      <c r="E443" s="59" t="s">
        <v>22</v>
      </c>
      <c r="F443" s="59" t="s">
        <v>23</v>
      </c>
      <c r="G443" s="58"/>
      <c r="H443" s="60"/>
      <c r="I443" s="61"/>
      <c r="J443" s="59"/>
      <c r="K443" s="59"/>
      <c r="L443" s="62"/>
      <c r="M443" s="63"/>
      <c r="N443" s="65"/>
      <c r="O443" s="65"/>
      <c r="P443" s="64"/>
      <c r="Q443" s="64"/>
    </row>
    <row r="444" spans="1:17" ht="15.75">
      <c r="A444" s="66"/>
      <c r="B444" s="56"/>
      <c r="C444" s="67"/>
      <c r="D444" s="58"/>
      <c r="E444" s="59" t="s">
        <v>22</v>
      </c>
      <c r="F444" s="59" t="s">
        <v>23</v>
      </c>
      <c r="G444" s="58"/>
      <c r="H444" s="60"/>
      <c r="I444" s="61"/>
      <c r="J444" s="59"/>
      <c r="K444" s="59"/>
      <c r="L444" s="62"/>
      <c r="M444" s="63"/>
      <c r="N444" s="65"/>
      <c r="O444" s="65"/>
      <c r="P444" s="64"/>
      <c r="Q444" s="64"/>
    </row>
    <row r="445" spans="1:17" ht="15.75">
      <c r="A445" s="66"/>
      <c r="B445" s="56"/>
      <c r="C445" s="67"/>
      <c r="D445" s="58"/>
      <c r="E445" s="59" t="s">
        <v>22</v>
      </c>
      <c r="F445" s="59" t="s">
        <v>23</v>
      </c>
      <c r="G445" s="58"/>
      <c r="H445" s="60"/>
      <c r="I445" s="61"/>
      <c r="J445" s="59"/>
      <c r="K445" s="59"/>
      <c r="L445" s="62"/>
      <c r="M445" s="63"/>
      <c r="N445" s="65"/>
      <c r="O445" s="65"/>
      <c r="P445" s="64"/>
      <c r="Q445" s="64"/>
    </row>
    <row r="446" spans="1:17" ht="15.75">
      <c r="A446" s="66"/>
      <c r="B446" s="56"/>
      <c r="C446" s="67"/>
      <c r="D446" s="58"/>
      <c r="E446" s="59" t="s">
        <v>22</v>
      </c>
      <c r="F446" s="59" t="s">
        <v>23</v>
      </c>
      <c r="G446" s="58"/>
      <c r="H446" s="60"/>
      <c r="I446" s="61"/>
      <c r="J446" s="59"/>
      <c r="K446" s="59"/>
      <c r="L446" s="62"/>
      <c r="M446" s="63"/>
      <c r="N446" s="65"/>
      <c r="O446" s="65"/>
      <c r="P446" s="64"/>
      <c r="Q446" s="64"/>
    </row>
    <row r="447" spans="1:17" ht="15.75">
      <c r="A447" s="66"/>
      <c r="B447" s="56"/>
      <c r="C447" s="67"/>
      <c r="D447" s="58"/>
      <c r="E447" s="59" t="s">
        <v>22</v>
      </c>
      <c r="F447" s="59" t="s">
        <v>23</v>
      </c>
      <c r="G447" s="58"/>
      <c r="H447" s="60"/>
      <c r="I447" s="61"/>
      <c r="J447" s="59"/>
      <c r="K447" s="59"/>
      <c r="L447" s="62"/>
      <c r="M447" s="63"/>
      <c r="N447" s="65"/>
      <c r="O447" s="65"/>
      <c r="P447" s="64"/>
      <c r="Q447" s="64"/>
    </row>
    <row r="448" spans="1:17" ht="15.75">
      <c r="A448" s="66"/>
      <c r="B448" s="56"/>
      <c r="C448" s="67"/>
      <c r="D448" s="58"/>
      <c r="E448" s="59" t="s">
        <v>22</v>
      </c>
      <c r="F448" s="59" t="s">
        <v>23</v>
      </c>
      <c r="G448" s="58"/>
      <c r="H448" s="60"/>
      <c r="I448" s="61"/>
      <c r="J448" s="59"/>
      <c r="K448" s="59"/>
      <c r="L448" s="62"/>
      <c r="M448" s="63"/>
      <c r="N448" s="65"/>
      <c r="O448" s="65"/>
      <c r="P448" s="64"/>
      <c r="Q448" s="64"/>
    </row>
    <row r="449" spans="1:17" ht="15.75">
      <c r="A449" s="66"/>
      <c r="B449" s="56"/>
      <c r="C449" s="67"/>
      <c r="D449" s="58"/>
      <c r="E449" s="59" t="s">
        <v>22</v>
      </c>
      <c r="F449" s="59" t="s">
        <v>23</v>
      </c>
      <c r="G449" s="58"/>
      <c r="H449" s="60"/>
      <c r="I449" s="61"/>
      <c r="J449" s="59"/>
      <c r="K449" s="59"/>
      <c r="L449" s="62"/>
      <c r="M449" s="63"/>
      <c r="N449" s="65"/>
      <c r="O449" s="65"/>
      <c r="P449" s="64"/>
      <c r="Q449" s="64"/>
    </row>
    <row r="450" spans="1:17" ht="15.75">
      <c r="A450" s="66"/>
      <c r="B450" s="56"/>
      <c r="C450" s="67"/>
      <c r="D450" s="58"/>
      <c r="E450" s="59" t="s">
        <v>22</v>
      </c>
      <c r="F450" s="59" t="s">
        <v>23</v>
      </c>
      <c r="G450" s="58"/>
      <c r="H450" s="60"/>
      <c r="I450" s="61"/>
      <c r="J450" s="59"/>
      <c r="K450" s="59"/>
      <c r="L450" s="62"/>
      <c r="M450" s="63"/>
      <c r="N450" s="65"/>
      <c r="O450" s="65"/>
      <c r="P450" s="64"/>
      <c r="Q450" s="64"/>
    </row>
    <row r="451" spans="1:17" ht="15.75">
      <c r="A451" s="66"/>
      <c r="B451" s="56"/>
      <c r="C451" s="67"/>
      <c r="D451" s="58"/>
      <c r="E451" s="59" t="s">
        <v>22</v>
      </c>
      <c r="F451" s="59" t="s">
        <v>23</v>
      </c>
      <c r="G451" s="58"/>
      <c r="H451" s="60"/>
      <c r="I451" s="61"/>
      <c r="J451" s="59"/>
      <c r="K451" s="59"/>
      <c r="L451" s="62"/>
      <c r="M451" s="63"/>
      <c r="N451" s="65"/>
      <c r="O451" s="65"/>
      <c r="P451" s="64"/>
      <c r="Q451" s="64"/>
    </row>
    <row r="452" spans="1:17" ht="15.75">
      <c r="A452" s="66"/>
      <c r="B452" s="56"/>
      <c r="C452" s="67"/>
      <c r="D452" s="58"/>
      <c r="E452" s="59" t="s">
        <v>22</v>
      </c>
      <c r="F452" s="59" t="s">
        <v>23</v>
      </c>
      <c r="G452" s="58"/>
      <c r="H452" s="60"/>
      <c r="I452" s="61"/>
      <c r="J452" s="59"/>
      <c r="K452" s="59"/>
      <c r="L452" s="62"/>
      <c r="M452" s="63"/>
      <c r="N452" s="65"/>
      <c r="O452" s="65"/>
      <c r="P452" s="64"/>
      <c r="Q452" s="64"/>
    </row>
    <row r="453" spans="1:17" ht="15.75">
      <c r="A453" s="66"/>
      <c r="B453" s="56"/>
      <c r="C453" s="67"/>
      <c r="D453" s="58"/>
      <c r="E453" s="59" t="s">
        <v>22</v>
      </c>
      <c r="F453" s="59" t="s">
        <v>23</v>
      </c>
      <c r="G453" s="58"/>
      <c r="H453" s="60"/>
      <c r="I453" s="61"/>
      <c r="J453" s="59"/>
      <c r="K453" s="59"/>
      <c r="L453" s="62"/>
      <c r="M453" s="63"/>
      <c r="N453" s="65"/>
      <c r="O453" s="65"/>
      <c r="P453" s="64"/>
      <c r="Q453" s="64"/>
    </row>
    <row r="454" spans="1:17" ht="15.75">
      <c r="A454" s="66"/>
      <c r="B454" s="56"/>
      <c r="C454" s="67"/>
      <c r="D454" s="58"/>
      <c r="E454" s="59" t="s">
        <v>22</v>
      </c>
      <c r="F454" s="59" t="s">
        <v>23</v>
      </c>
      <c r="G454" s="58"/>
      <c r="H454" s="60"/>
      <c r="I454" s="61"/>
      <c r="J454" s="59"/>
      <c r="K454" s="59"/>
      <c r="L454" s="62"/>
      <c r="M454" s="63"/>
      <c r="N454" s="65"/>
      <c r="O454" s="65"/>
      <c r="P454" s="64"/>
      <c r="Q454" s="64"/>
    </row>
    <row r="455" spans="1:17" ht="15.75">
      <c r="A455" s="66"/>
      <c r="B455" s="56"/>
      <c r="C455" s="67"/>
      <c r="D455" s="58"/>
      <c r="E455" s="59" t="s">
        <v>22</v>
      </c>
      <c r="F455" s="59" t="s">
        <v>23</v>
      </c>
      <c r="G455" s="58"/>
      <c r="H455" s="60"/>
      <c r="I455" s="61"/>
      <c r="J455" s="59"/>
      <c r="K455" s="59"/>
      <c r="L455" s="62"/>
      <c r="M455" s="63"/>
      <c r="N455" s="65"/>
      <c r="O455" s="65"/>
      <c r="P455" s="64"/>
      <c r="Q455" s="64"/>
    </row>
    <row r="456" spans="1:17" ht="15.75">
      <c r="A456" s="66"/>
      <c r="B456" s="56"/>
      <c r="C456" s="67"/>
      <c r="D456" s="58"/>
      <c r="E456" s="59" t="s">
        <v>22</v>
      </c>
      <c r="F456" s="59" t="s">
        <v>23</v>
      </c>
      <c r="G456" s="58"/>
      <c r="H456" s="60"/>
      <c r="I456" s="61"/>
      <c r="J456" s="59"/>
      <c r="K456" s="59"/>
      <c r="L456" s="62"/>
      <c r="M456" s="63"/>
      <c r="N456" s="65"/>
      <c r="O456" s="65"/>
      <c r="P456" s="64"/>
      <c r="Q456" s="64"/>
    </row>
    <row r="457" spans="1:17" ht="15.75">
      <c r="A457" s="66"/>
      <c r="B457" s="56"/>
      <c r="C457" s="67"/>
      <c r="D457" s="58"/>
      <c r="E457" s="59" t="s">
        <v>22</v>
      </c>
      <c r="F457" s="59" t="s">
        <v>23</v>
      </c>
      <c r="G457" s="58"/>
      <c r="H457" s="60"/>
      <c r="I457" s="61"/>
      <c r="J457" s="59"/>
      <c r="K457" s="59"/>
      <c r="L457" s="62"/>
      <c r="M457" s="63"/>
      <c r="N457" s="65"/>
      <c r="O457" s="65"/>
      <c r="P457" s="64"/>
      <c r="Q457" s="64"/>
    </row>
    <row r="458" spans="1:17" ht="15.75">
      <c r="A458" s="66"/>
      <c r="B458" s="56"/>
      <c r="C458" s="67"/>
      <c r="D458" s="58"/>
      <c r="E458" s="59" t="s">
        <v>22</v>
      </c>
      <c r="F458" s="59" t="s">
        <v>23</v>
      </c>
      <c r="G458" s="58"/>
      <c r="H458" s="60"/>
      <c r="I458" s="61"/>
      <c r="J458" s="59"/>
      <c r="K458" s="59"/>
      <c r="L458" s="62"/>
      <c r="M458" s="63"/>
      <c r="N458" s="65"/>
      <c r="O458" s="65"/>
      <c r="P458" s="64"/>
      <c r="Q458" s="64"/>
    </row>
    <row r="459" spans="1:17" ht="15.75">
      <c r="A459" s="66"/>
      <c r="B459" s="56"/>
      <c r="C459" s="67"/>
      <c r="D459" s="58"/>
      <c r="E459" s="59" t="s">
        <v>22</v>
      </c>
      <c r="F459" s="59" t="s">
        <v>23</v>
      </c>
      <c r="G459" s="58"/>
      <c r="H459" s="60"/>
      <c r="I459" s="61"/>
      <c r="J459" s="59"/>
      <c r="K459" s="59"/>
      <c r="L459" s="62"/>
      <c r="M459" s="63"/>
      <c r="N459" s="65"/>
      <c r="O459" s="65"/>
      <c r="P459" s="64"/>
      <c r="Q459" s="64"/>
    </row>
    <row r="460" spans="1:17" ht="15.75">
      <c r="A460" s="66"/>
      <c r="B460" s="56"/>
      <c r="C460" s="67"/>
      <c r="D460" s="58"/>
      <c r="E460" s="59" t="s">
        <v>22</v>
      </c>
      <c r="F460" s="59" t="s">
        <v>23</v>
      </c>
      <c r="G460" s="58"/>
      <c r="H460" s="60"/>
      <c r="I460" s="61"/>
      <c r="J460" s="59"/>
      <c r="K460" s="59"/>
      <c r="L460" s="62"/>
      <c r="M460" s="63"/>
      <c r="N460" s="65"/>
      <c r="O460" s="65"/>
      <c r="P460" s="64"/>
      <c r="Q460" s="64"/>
    </row>
    <row r="461" spans="1:17" ht="15.75">
      <c r="A461" s="55"/>
      <c r="B461" s="56"/>
      <c r="C461" s="67"/>
      <c r="D461" s="58"/>
      <c r="E461" s="59" t="s">
        <v>22</v>
      </c>
      <c r="F461" s="59" t="s">
        <v>23</v>
      </c>
      <c r="G461" s="58"/>
      <c r="H461" s="60"/>
      <c r="I461" s="61"/>
      <c r="J461" s="59"/>
      <c r="K461" s="59"/>
      <c r="L461" s="62"/>
      <c r="M461" s="63"/>
      <c r="N461" s="65"/>
      <c r="O461" s="65"/>
      <c r="P461" s="64"/>
      <c r="Q461" s="64"/>
    </row>
    <row r="462" spans="1:17" ht="15.75">
      <c r="A462" s="66"/>
      <c r="B462" s="56"/>
      <c r="C462" s="67"/>
      <c r="D462" s="58"/>
      <c r="E462" s="59" t="s">
        <v>22</v>
      </c>
      <c r="F462" s="59" t="s">
        <v>23</v>
      </c>
      <c r="G462" s="58"/>
      <c r="H462" s="60"/>
      <c r="I462" s="61"/>
      <c r="J462" s="59"/>
      <c r="K462" s="59"/>
      <c r="L462" s="62"/>
      <c r="M462" s="63"/>
      <c r="N462" s="65"/>
      <c r="O462" s="65"/>
      <c r="P462" s="64"/>
      <c r="Q462" s="64"/>
    </row>
    <row r="463" spans="1:17" ht="15.75">
      <c r="A463" s="66"/>
      <c r="B463" s="56"/>
      <c r="C463" s="67"/>
      <c r="D463" s="58"/>
      <c r="E463" s="59" t="s">
        <v>22</v>
      </c>
      <c r="F463" s="59" t="s">
        <v>23</v>
      </c>
      <c r="G463" s="58"/>
      <c r="H463" s="60"/>
      <c r="I463" s="61"/>
      <c r="J463" s="59"/>
      <c r="K463" s="59"/>
      <c r="L463" s="62"/>
      <c r="M463" s="63"/>
      <c r="N463" s="65"/>
      <c r="O463" s="65"/>
      <c r="P463" s="64"/>
      <c r="Q463" s="64"/>
    </row>
    <row r="464" spans="1:17" ht="15.75">
      <c r="A464" s="66"/>
      <c r="B464" s="56"/>
      <c r="C464" s="67"/>
      <c r="D464" s="58"/>
      <c r="E464" s="59" t="s">
        <v>22</v>
      </c>
      <c r="F464" s="59" t="s">
        <v>23</v>
      </c>
      <c r="G464" s="58"/>
      <c r="H464" s="60"/>
      <c r="I464" s="61"/>
      <c r="J464" s="59"/>
      <c r="K464" s="59"/>
      <c r="L464" s="62"/>
      <c r="M464" s="63"/>
      <c r="N464" s="65"/>
      <c r="O464" s="65"/>
      <c r="P464" s="64"/>
      <c r="Q464" s="64"/>
    </row>
    <row r="465" spans="1:17" ht="15.75">
      <c r="A465" s="66"/>
      <c r="B465" s="56"/>
      <c r="C465" s="67"/>
      <c r="D465" s="58"/>
      <c r="E465" s="59" t="s">
        <v>22</v>
      </c>
      <c r="F465" s="59" t="s">
        <v>23</v>
      </c>
      <c r="G465" s="58"/>
      <c r="H465" s="60"/>
      <c r="I465" s="61"/>
      <c r="J465" s="59"/>
      <c r="K465" s="59"/>
      <c r="L465" s="62"/>
      <c r="M465" s="63"/>
      <c r="N465" s="65"/>
      <c r="O465" s="65"/>
      <c r="P465" s="64"/>
      <c r="Q465" s="64"/>
    </row>
    <row r="466" spans="1:17" ht="15.75">
      <c r="A466" s="66"/>
      <c r="B466" s="56"/>
      <c r="C466" s="67"/>
      <c r="D466" s="58"/>
      <c r="E466" s="59" t="s">
        <v>22</v>
      </c>
      <c r="F466" s="59" t="s">
        <v>23</v>
      </c>
      <c r="G466" s="58"/>
      <c r="H466" s="60"/>
      <c r="I466" s="61"/>
      <c r="J466" s="59"/>
      <c r="K466" s="59"/>
      <c r="L466" s="62"/>
      <c r="M466" s="63"/>
      <c r="N466" s="65"/>
      <c r="O466" s="65"/>
      <c r="P466" s="64"/>
      <c r="Q466" s="64"/>
    </row>
    <row r="467" spans="1:17" ht="15.75">
      <c r="A467" s="66"/>
      <c r="B467" s="56"/>
      <c r="C467" s="67"/>
      <c r="D467" s="58"/>
      <c r="E467" s="59" t="s">
        <v>22</v>
      </c>
      <c r="F467" s="59" t="s">
        <v>23</v>
      </c>
      <c r="G467" s="58"/>
      <c r="H467" s="60"/>
      <c r="I467" s="61"/>
      <c r="J467" s="59"/>
      <c r="K467" s="59"/>
      <c r="L467" s="62"/>
      <c r="M467" s="63"/>
      <c r="N467" s="65"/>
      <c r="O467" s="65"/>
      <c r="P467" s="64"/>
      <c r="Q467" s="64"/>
    </row>
    <row r="468" spans="1:17" ht="15.75">
      <c r="A468" s="66"/>
      <c r="B468" s="56"/>
      <c r="C468" s="67"/>
      <c r="D468" s="58"/>
      <c r="E468" s="59" t="s">
        <v>22</v>
      </c>
      <c r="F468" s="59" t="s">
        <v>23</v>
      </c>
      <c r="G468" s="58"/>
      <c r="H468" s="60"/>
      <c r="I468" s="61"/>
      <c r="J468" s="59"/>
      <c r="K468" s="59"/>
      <c r="L468" s="62"/>
      <c r="M468" s="63"/>
      <c r="N468" s="65"/>
      <c r="O468" s="65"/>
      <c r="P468" s="64"/>
      <c r="Q468" s="64"/>
    </row>
    <row r="469" spans="1:17" ht="15.75">
      <c r="A469" s="66"/>
      <c r="B469" s="56"/>
      <c r="C469" s="67"/>
      <c r="D469" s="58"/>
      <c r="E469" s="59" t="s">
        <v>22</v>
      </c>
      <c r="F469" s="59" t="s">
        <v>23</v>
      </c>
      <c r="G469" s="58"/>
      <c r="H469" s="60"/>
      <c r="I469" s="61"/>
      <c r="J469" s="59"/>
      <c r="K469" s="59"/>
      <c r="L469" s="62"/>
      <c r="M469" s="63"/>
      <c r="N469" s="65"/>
      <c r="O469" s="65"/>
      <c r="P469" s="64"/>
      <c r="Q469" s="64"/>
    </row>
    <row r="470" spans="1:17" ht="15.75">
      <c r="A470" s="66"/>
      <c r="B470" s="56"/>
      <c r="C470" s="67"/>
      <c r="D470" s="58"/>
      <c r="E470" s="59" t="s">
        <v>22</v>
      </c>
      <c r="F470" s="59" t="s">
        <v>23</v>
      </c>
      <c r="G470" s="58"/>
      <c r="H470" s="60"/>
      <c r="I470" s="61"/>
      <c r="J470" s="59"/>
      <c r="K470" s="59"/>
      <c r="L470" s="62"/>
      <c r="M470" s="63"/>
      <c r="N470" s="65"/>
      <c r="O470" s="65"/>
      <c r="P470" s="64"/>
      <c r="Q470" s="64"/>
    </row>
    <row r="471" spans="1:17" ht="15.75">
      <c r="A471" s="66"/>
      <c r="B471" s="56"/>
      <c r="C471" s="67"/>
      <c r="D471" s="58"/>
      <c r="E471" s="59" t="s">
        <v>22</v>
      </c>
      <c r="F471" s="59" t="s">
        <v>23</v>
      </c>
      <c r="G471" s="58"/>
      <c r="H471" s="60"/>
      <c r="I471" s="61"/>
      <c r="J471" s="59"/>
      <c r="K471" s="59"/>
      <c r="L471" s="62"/>
      <c r="M471" s="63"/>
      <c r="N471" s="65"/>
      <c r="O471" s="65"/>
      <c r="P471" s="64"/>
      <c r="Q471" s="64"/>
    </row>
    <row r="472" spans="1:17" ht="15.75">
      <c r="A472" s="66"/>
      <c r="B472" s="56"/>
      <c r="C472" s="67"/>
      <c r="D472" s="58"/>
      <c r="E472" s="59" t="s">
        <v>22</v>
      </c>
      <c r="F472" s="59" t="s">
        <v>23</v>
      </c>
      <c r="G472" s="58"/>
      <c r="H472" s="60"/>
      <c r="I472" s="61"/>
      <c r="J472" s="59"/>
      <c r="K472" s="59"/>
      <c r="L472" s="62"/>
      <c r="M472" s="63"/>
      <c r="N472" s="65"/>
      <c r="O472" s="65"/>
      <c r="P472" s="64"/>
      <c r="Q472" s="64"/>
    </row>
    <row r="473" spans="1:17" ht="15.75">
      <c r="A473" s="66"/>
      <c r="B473" s="56"/>
      <c r="C473" s="67"/>
      <c r="D473" s="58"/>
      <c r="E473" s="59" t="s">
        <v>22</v>
      </c>
      <c r="F473" s="59" t="s">
        <v>23</v>
      </c>
      <c r="G473" s="58"/>
      <c r="H473" s="60"/>
      <c r="I473" s="61"/>
      <c r="J473" s="59"/>
      <c r="K473" s="59"/>
      <c r="L473" s="62"/>
      <c r="M473" s="63"/>
      <c r="N473" s="65"/>
      <c r="O473" s="65"/>
      <c r="P473" s="64"/>
      <c r="Q473" s="64"/>
    </row>
    <row r="474" spans="1:17" ht="15.75">
      <c r="A474" s="66"/>
      <c r="B474" s="56"/>
      <c r="C474" s="67"/>
      <c r="D474" s="58"/>
      <c r="E474" s="59" t="s">
        <v>22</v>
      </c>
      <c r="F474" s="59" t="s">
        <v>23</v>
      </c>
      <c r="G474" s="58"/>
      <c r="H474" s="60"/>
      <c r="I474" s="61"/>
      <c r="J474" s="59"/>
      <c r="K474" s="59"/>
      <c r="L474" s="62"/>
      <c r="M474" s="63"/>
      <c r="N474" s="65"/>
      <c r="O474" s="65"/>
      <c r="P474" s="64"/>
      <c r="Q474" s="64"/>
    </row>
    <row r="475" spans="1:17" ht="15.75">
      <c r="A475" s="66"/>
      <c r="B475" s="56"/>
      <c r="C475" s="67"/>
      <c r="D475" s="58"/>
      <c r="E475" s="59" t="s">
        <v>22</v>
      </c>
      <c r="F475" s="59" t="s">
        <v>23</v>
      </c>
      <c r="G475" s="58"/>
      <c r="H475" s="60"/>
      <c r="I475" s="61"/>
      <c r="J475" s="59"/>
      <c r="K475" s="59"/>
      <c r="L475" s="62"/>
      <c r="M475" s="63"/>
      <c r="N475" s="65"/>
      <c r="O475" s="65"/>
      <c r="P475" s="64"/>
      <c r="Q475" s="64"/>
    </row>
    <row r="476" spans="1:17" ht="15.75">
      <c r="A476" s="66"/>
      <c r="B476" s="56"/>
      <c r="C476" s="67"/>
      <c r="D476" s="58"/>
      <c r="E476" s="59" t="s">
        <v>22</v>
      </c>
      <c r="F476" s="59" t="s">
        <v>23</v>
      </c>
      <c r="G476" s="58"/>
      <c r="H476" s="60"/>
      <c r="I476" s="61"/>
      <c r="J476" s="59"/>
      <c r="K476" s="59"/>
      <c r="L476" s="62"/>
      <c r="M476" s="63"/>
      <c r="N476" s="65"/>
      <c r="O476" s="65"/>
      <c r="P476" s="64"/>
      <c r="Q476" s="64"/>
    </row>
    <row r="477" spans="1:17" ht="15.75">
      <c r="A477" s="66"/>
      <c r="B477" s="56"/>
      <c r="C477" s="67"/>
      <c r="D477" s="58"/>
      <c r="E477" s="59" t="s">
        <v>22</v>
      </c>
      <c r="F477" s="59" t="s">
        <v>23</v>
      </c>
      <c r="G477" s="58"/>
      <c r="H477" s="60"/>
      <c r="I477" s="61"/>
      <c r="J477" s="59"/>
      <c r="K477" s="59"/>
      <c r="L477" s="62"/>
      <c r="M477" s="63"/>
      <c r="N477" s="65"/>
      <c r="O477" s="65"/>
      <c r="P477" s="64"/>
      <c r="Q477" s="64"/>
    </row>
    <row r="478" spans="1:17" ht="15.75">
      <c r="A478" s="66"/>
      <c r="B478" s="56"/>
      <c r="C478" s="67"/>
      <c r="D478" s="58"/>
      <c r="E478" s="59" t="s">
        <v>22</v>
      </c>
      <c r="F478" s="59" t="s">
        <v>23</v>
      </c>
      <c r="G478" s="58"/>
      <c r="H478" s="60"/>
      <c r="I478" s="61"/>
      <c r="J478" s="59"/>
      <c r="K478" s="59"/>
      <c r="L478" s="62"/>
      <c r="M478" s="63"/>
      <c r="N478" s="65"/>
      <c r="O478" s="65"/>
      <c r="P478" s="64"/>
      <c r="Q478" s="64"/>
    </row>
    <row r="479" spans="1:17" ht="15.75">
      <c r="A479" s="66"/>
      <c r="B479" s="56"/>
      <c r="C479" s="67"/>
      <c r="D479" s="58"/>
      <c r="E479" s="59" t="s">
        <v>22</v>
      </c>
      <c r="F479" s="59" t="s">
        <v>23</v>
      </c>
      <c r="G479" s="58"/>
      <c r="H479" s="60"/>
      <c r="I479" s="61"/>
      <c r="J479" s="59"/>
      <c r="K479" s="59"/>
      <c r="L479" s="62"/>
      <c r="M479" s="63"/>
      <c r="N479" s="65"/>
      <c r="O479" s="65"/>
      <c r="P479" s="64"/>
      <c r="Q479" s="64"/>
    </row>
    <row r="480" spans="1:17" ht="15.75">
      <c r="A480" s="66"/>
      <c r="B480" s="56"/>
      <c r="C480" s="67"/>
      <c r="D480" s="58"/>
      <c r="E480" s="59" t="s">
        <v>22</v>
      </c>
      <c r="F480" s="59" t="s">
        <v>23</v>
      </c>
      <c r="G480" s="58"/>
      <c r="H480" s="60"/>
      <c r="I480" s="61"/>
      <c r="J480" s="59"/>
      <c r="K480" s="59"/>
      <c r="L480" s="62"/>
      <c r="M480" s="63"/>
      <c r="N480" s="65"/>
      <c r="O480" s="65"/>
      <c r="P480" s="64"/>
      <c r="Q480" s="64"/>
    </row>
    <row r="481" spans="1:17" ht="15.75">
      <c r="A481" s="66"/>
      <c r="B481" s="56"/>
      <c r="C481" s="67"/>
      <c r="D481" s="58"/>
      <c r="E481" s="59" t="s">
        <v>22</v>
      </c>
      <c r="F481" s="59" t="s">
        <v>23</v>
      </c>
      <c r="G481" s="58"/>
      <c r="H481" s="60"/>
      <c r="I481" s="61"/>
      <c r="J481" s="59"/>
      <c r="K481" s="59"/>
      <c r="L481" s="62"/>
      <c r="M481" s="63"/>
      <c r="N481" s="65"/>
      <c r="O481" s="65"/>
      <c r="P481" s="64"/>
      <c r="Q481" s="64"/>
    </row>
    <row r="482" spans="1:17" ht="15.75">
      <c r="A482" s="66"/>
      <c r="B482" s="56"/>
      <c r="C482" s="67"/>
      <c r="D482" s="58"/>
      <c r="E482" s="59" t="s">
        <v>22</v>
      </c>
      <c r="F482" s="59" t="s">
        <v>23</v>
      </c>
      <c r="G482" s="58"/>
      <c r="H482" s="60"/>
      <c r="I482" s="61"/>
      <c r="J482" s="59"/>
      <c r="K482" s="59"/>
      <c r="L482" s="62"/>
      <c r="M482" s="63"/>
      <c r="N482" s="65"/>
      <c r="O482" s="65"/>
      <c r="P482" s="64"/>
      <c r="Q482" s="64"/>
    </row>
    <row r="483" spans="1:17" ht="15.75">
      <c r="A483" s="66"/>
      <c r="B483" s="56"/>
      <c r="C483" s="67"/>
      <c r="D483" s="58"/>
      <c r="E483" s="59" t="s">
        <v>22</v>
      </c>
      <c r="F483" s="59" t="s">
        <v>23</v>
      </c>
      <c r="G483" s="58"/>
      <c r="H483" s="60"/>
      <c r="I483" s="61"/>
      <c r="J483" s="59"/>
      <c r="K483" s="59"/>
      <c r="L483" s="62"/>
      <c r="M483" s="63"/>
      <c r="N483" s="65"/>
      <c r="O483" s="65"/>
      <c r="P483" s="64"/>
      <c r="Q483" s="64"/>
    </row>
    <row r="484" spans="1:17" ht="15.75">
      <c r="A484" s="66"/>
      <c r="B484" s="56"/>
      <c r="C484" s="67"/>
      <c r="D484" s="58"/>
      <c r="E484" s="59" t="s">
        <v>22</v>
      </c>
      <c r="F484" s="59" t="s">
        <v>23</v>
      </c>
      <c r="G484" s="58"/>
      <c r="H484" s="60"/>
      <c r="I484" s="61"/>
      <c r="J484" s="59"/>
      <c r="K484" s="59"/>
      <c r="L484" s="62"/>
      <c r="M484" s="63"/>
      <c r="N484" s="65"/>
      <c r="O484" s="65"/>
      <c r="P484" s="64"/>
      <c r="Q484" s="64"/>
    </row>
    <row r="485" spans="1:17" ht="15.75">
      <c r="A485" s="66"/>
      <c r="B485" s="56"/>
      <c r="C485" s="67"/>
      <c r="D485" s="58"/>
      <c r="E485" s="59" t="s">
        <v>22</v>
      </c>
      <c r="F485" s="59" t="s">
        <v>23</v>
      </c>
      <c r="G485" s="58"/>
      <c r="H485" s="60"/>
      <c r="I485" s="61"/>
      <c r="J485" s="59"/>
      <c r="K485" s="59"/>
      <c r="L485" s="62"/>
      <c r="M485" s="63"/>
      <c r="N485" s="65"/>
      <c r="O485" s="65"/>
      <c r="P485" s="64"/>
      <c r="Q485" s="64"/>
    </row>
    <row r="486" spans="1:17" ht="15.75">
      <c r="A486" s="66"/>
      <c r="B486" s="56"/>
      <c r="C486" s="67"/>
      <c r="D486" s="58"/>
      <c r="E486" s="59" t="s">
        <v>22</v>
      </c>
      <c r="F486" s="59" t="s">
        <v>23</v>
      </c>
      <c r="G486" s="58"/>
      <c r="H486" s="60"/>
      <c r="I486" s="61"/>
      <c r="J486" s="59"/>
      <c r="K486" s="59"/>
      <c r="L486" s="62"/>
      <c r="M486" s="63"/>
      <c r="N486" s="65"/>
      <c r="O486" s="65"/>
      <c r="P486" s="64"/>
      <c r="Q486" s="64"/>
    </row>
    <row r="487" spans="1:17" ht="15.75">
      <c r="A487" s="66"/>
      <c r="B487" s="56"/>
      <c r="C487" s="67"/>
      <c r="D487" s="58"/>
      <c r="E487" s="59" t="s">
        <v>22</v>
      </c>
      <c r="F487" s="59" t="s">
        <v>23</v>
      </c>
      <c r="G487" s="58"/>
      <c r="H487" s="60"/>
      <c r="I487" s="61"/>
      <c r="J487" s="59"/>
      <c r="K487" s="59"/>
      <c r="L487" s="62"/>
      <c r="M487" s="63"/>
      <c r="N487" s="65"/>
      <c r="O487" s="65"/>
      <c r="P487" s="64"/>
      <c r="Q487" s="64"/>
    </row>
    <row r="488" spans="1:17" ht="15.75">
      <c r="A488" s="66"/>
      <c r="B488" s="56"/>
      <c r="C488" s="67"/>
      <c r="D488" s="58"/>
      <c r="E488" s="59" t="s">
        <v>22</v>
      </c>
      <c r="F488" s="59" t="s">
        <v>23</v>
      </c>
      <c r="G488" s="58"/>
      <c r="H488" s="60"/>
      <c r="I488" s="61"/>
      <c r="J488" s="59"/>
      <c r="K488" s="59"/>
      <c r="L488" s="62"/>
      <c r="M488" s="63"/>
      <c r="N488" s="65"/>
      <c r="O488" s="65"/>
      <c r="P488" s="64"/>
      <c r="Q488" s="64"/>
    </row>
    <row r="489" spans="1:17" ht="15.75">
      <c r="A489" s="66"/>
      <c r="B489" s="56"/>
      <c r="C489" s="67"/>
      <c r="D489" s="58"/>
      <c r="E489" s="59" t="s">
        <v>22</v>
      </c>
      <c r="F489" s="59" t="s">
        <v>23</v>
      </c>
      <c r="G489" s="58"/>
      <c r="H489" s="60"/>
      <c r="I489" s="61"/>
      <c r="J489" s="59"/>
      <c r="K489" s="59"/>
      <c r="L489" s="62"/>
      <c r="M489" s="63"/>
      <c r="N489" s="65"/>
      <c r="O489" s="65"/>
      <c r="P489" s="64"/>
      <c r="Q489" s="64"/>
    </row>
    <row r="490" spans="1:17" ht="15.75">
      <c r="A490" s="66"/>
      <c r="B490" s="56"/>
      <c r="C490" s="67"/>
      <c r="D490" s="58"/>
      <c r="E490" s="59" t="s">
        <v>22</v>
      </c>
      <c r="F490" s="59" t="s">
        <v>23</v>
      </c>
      <c r="G490" s="58"/>
      <c r="H490" s="60"/>
      <c r="I490" s="61"/>
      <c r="J490" s="59"/>
      <c r="K490" s="59"/>
      <c r="L490" s="62"/>
      <c r="M490" s="63"/>
      <c r="N490" s="65"/>
      <c r="O490" s="65"/>
      <c r="P490" s="64"/>
      <c r="Q490" s="64"/>
    </row>
    <row r="491" spans="1:17" ht="15.75">
      <c r="A491" s="66"/>
      <c r="B491" s="56"/>
      <c r="C491" s="67"/>
      <c r="D491" s="58"/>
      <c r="E491" s="59" t="s">
        <v>22</v>
      </c>
      <c r="F491" s="59" t="s">
        <v>23</v>
      </c>
      <c r="G491" s="58"/>
      <c r="H491" s="60"/>
      <c r="I491" s="61"/>
      <c r="J491" s="59"/>
      <c r="K491" s="59"/>
      <c r="L491" s="62"/>
      <c r="M491" s="63"/>
      <c r="N491" s="65"/>
      <c r="O491" s="65"/>
      <c r="P491" s="64"/>
      <c r="Q491" s="64"/>
    </row>
    <row r="492" spans="1:17" ht="15.75">
      <c r="A492" s="66"/>
      <c r="B492" s="56"/>
      <c r="C492" s="67"/>
      <c r="D492" s="58"/>
      <c r="E492" s="59" t="s">
        <v>22</v>
      </c>
      <c r="F492" s="59" t="s">
        <v>23</v>
      </c>
      <c r="G492" s="58"/>
      <c r="H492" s="60"/>
      <c r="I492" s="61"/>
      <c r="J492" s="59"/>
      <c r="K492" s="59"/>
      <c r="L492" s="62"/>
      <c r="M492" s="63"/>
      <c r="N492" s="65"/>
      <c r="O492" s="65"/>
      <c r="P492" s="64"/>
      <c r="Q492" s="64"/>
    </row>
    <row r="493" spans="1:17" ht="15.75">
      <c r="A493" s="66"/>
      <c r="B493" s="56"/>
      <c r="C493" s="67"/>
      <c r="D493" s="58"/>
      <c r="E493" s="59" t="s">
        <v>22</v>
      </c>
      <c r="F493" s="59" t="s">
        <v>23</v>
      </c>
      <c r="G493" s="58"/>
      <c r="H493" s="60"/>
      <c r="I493" s="61"/>
      <c r="J493" s="59"/>
      <c r="K493" s="59"/>
      <c r="L493" s="62"/>
      <c r="M493" s="63"/>
      <c r="N493" s="65"/>
      <c r="O493" s="65"/>
      <c r="P493" s="64"/>
      <c r="Q493" s="64"/>
    </row>
    <row r="494" spans="1:17" ht="15.75">
      <c r="A494" s="66"/>
      <c r="B494" s="56"/>
      <c r="C494" s="67"/>
      <c r="D494" s="58"/>
      <c r="E494" s="59" t="s">
        <v>22</v>
      </c>
      <c r="F494" s="59" t="s">
        <v>23</v>
      </c>
      <c r="G494" s="58"/>
      <c r="H494" s="60"/>
      <c r="I494" s="61"/>
      <c r="J494" s="59"/>
      <c r="K494" s="59"/>
      <c r="L494" s="62"/>
      <c r="M494" s="63"/>
      <c r="N494" s="65"/>
      <c r="O494" s="65"/>
      <c r="P494" s="64"/>
      <c r="Q494" s="64"/>
    </row>
    <row r="495" spans="1:17" ht="15.75">
      <c r="A495" s="66"/>
      <c r="B495" s="56"/>
      <c r="C495" s="67"/>
      <c r="D495" s="58"/>
      <c r="E495" s="59" t="s">
        <v>22</v>
      </c>
      <c r="F495" s="59" t="s">
        <v>23</v>
      </c>
      <c r="G495" s="58"/>
      <c r="H495" s="60"/>
      <c r="I495" s="61"/>
      <c r="J495" s="59"/>
      <c r="K495" s="59"/>
      <c r="L495" s="62"/>
      <c r="M495" s="63"/>
      <c r="N495" s="65"/>
      <c r="O495" s="65"/>
      <c r="P495" s="64"/>
      <c r="Q495" s="64"/>
    </row>
    <row r="496" spans="1:17" ht="15.75">
      <c r="A496" s="66"/>
      <c r="B496" s="56"/>
      <c r="C496" s="67"/>
      <c r="D496" s="58"/>
      <c r="E496" s="59" t="s">
        <v>22</v>
      </c>
      <c r="F496" s="59" t="s">
        <v>23</v>
      </c>
      <c r="G496" s="58"/>
      <c r="H496" s="60"/>
      <c r="I496" s="61"/>
      <c r="J496" s="59"/>
      <c r="K496" s="59"/>
      <c r="L496" s="62"/>
      <c r="M496" s="63"/>
      <c r="N496" s="65"/>
      <c r="O496" s="65"/>
      <c r="P496" s="64"/>
      <c r="Q496" s="64"/>
    </row>
    <row r="497" spans="1:17" ht="15.75">
      <c r="A497" s="66"/>
      <c r="B497" s="56"/>
      <c r="C497" s="67"/>
      <c r="D497" s="58"/>
      <c r="E497" s="59" t="s">
        <v>22</v>
      </c>
      <c r="F497" s="59" t="s">
        <v>23</v>
      </c>
      <c r="G497" s="58"/>
      <c r="H497" s="60"/>
      <c r="I497" s="61"/>
      <c r="J497" s="59"/>
      <c r="K497" s="59"/>
      <c r="L497" s="62"/>
      <c r="M497" s="63"/>
      <c r="N497" s="65"/>
      <c r="O497" s="65"/>
      <c r="P497" s="64"/>
      <c r="Q497" s="64"/>
    </row>
    <row r="498" spans="1:17" ht="15.75">
      <c r="A498" s="66"/>
      <c r="B498" s="56"/>
      <c r="C498" s="67"/>
      <c r="D498" s="58"/>
      <c r="E498" s="59" t="s">
        <v>22</v>
      </c>
      <c r="F498" s="59" t="s">
        <v>23</v>
      </c>
      <c r="G498" s="58"/>
      <c r="H498" s="60"/>
      <c r="I498" s="61"/>
      <c r="J498" s="59"/>
      <c r="K498" s="59"/>
      <c r="L498" s="62"/>
      <c r="M498" s="63"/>
      <c r="N498" s="65"/>
      <c r="O498" s="65"/>
      <c r="P498" s="64"/>
      <c r="Q498" s="64"/>
    </row>
    <row r="499" spans="1:17" ht="15.75">
      <c r="A499" s="66"/>
      <c r="B499" s="56"/>
      <c r="C499" s="67"/>
      <c r="D499" s="58"/>
      <c r="E499" s="59" t="s">
        <v>22</v>
      </c>
      <c r="F499" s="59" t="s">
        <v>23</v>
      </c>
      <c r="G499" s="58"/>
      <c r="H499" s="60"/>
      <c r="I499" s="61"/>
      <c r="J499" s="59"/>
      <c r="K499" s="59"/>
      <c r="L499" s="62"/>
      <c r="M499" s="63"/>
      <c r="N499" s="65"/>
      <c r="O499" s="65"/>
      <c r="P499" s="64"/>
      <c r="Q499" s="64"/>
    </row>
    <row r="500" spans="1:17" ht="15.75">
      <c r="A500" s="66"/>
      <c r="B500" s="56"/>
      <c r="C500" s="67"/>
      <c r="D500" s="58"/>
      <c r="E500" s="59" t="s">
        <v>22</v>
      </c>
      <c r="F500" s="59" t="s">
        <v>23</v>
      </c>
      <c r="G500" s="58"/>
      <c r="H500" s="60"/>
      <c r="I500" s="61"/>
      <c r="J500" s="59"/>
      <c r="K500" s="59"/>
      <c r="L500" s="62"/>
      <c r="M500" s="63"/>
      <c r="N500" s="65"/>
      <c r="O500" s="65"/>
      <c r="P500" s="64"/>
      <c r="Q500" s="64"/>
    </row>
    <row r="501" spans="1:17" ht="15.75">
      <c r="A501" s="66"/>
      <c r="B501" s="56"/>
      <c r="C501" s="67"/>
      <c r="D501" s="58"/>
      <c r="E501" s="59" t="s">
        <v>22</v>
      </c>
      <c r="F501" s="59" t="s">
        <v>23</v>
      </c>
      <c r="G501" s="58"/>
      <c r="H501" s="60"/>
      <c r="I501" s="61"/>
      <c r="J501" s="59"/>
      <c r="K501" s="59"/>
      <c r="L501" s="62"/>
      <c r="M501" s="63"/>
      <c r="N501" s="65"/>
      <c r="O501" s="65"/>
      <c r="P501" s="64"/>
      <c r="Q501" s="64"/>
    </row>
    <row r="502" spans="1:17" ht="15.75">
      <c r="A502" s="66"/>
      <c r="B502" s="56"/>
      <c r="C502" s="67"/>
      <c r="D502" s="58"/>
      <c r="E502" s="59" t="s">
        <v>22</v>
      </c>
      <c r="F502" s="59" t="s">
        <v>23</v>
      </c>
      <c r="G502" s="58"/>
      <c r="H502" s="60"/>
      <c r="I502" s="61"/>
      <c r="J502" s="59"/>
      <c r="K502" s="59"/>
      <c r="L502" s="62"/>
      <c r="M502" s="63"/>
      <c r="N502" s="65"/>
      <c r="O502" s="65"/>
      <c r="P502" s="64"/>
      <c r="Q502" s="64"/>
    </row>
    <row r="503" spans="1:17" ht="15.75">
      <c r="A503" s="66"/>
      <c r="B503" s="56"/>
      <c r="C503" s="67"/>
      <c r="D503" s="58"/>
      <c r="E503" s="59" t="s">
        <v>22</v>
      </c>
      <c r="F503" s="59" t="s">
        <v>23</v>
      </c>
      <c r="G503" s="58"/>
      <c r="H503" s="60"/>
      <c r="I503" s="61"/>
      <c r="J503" s="59"/>
      <c r="K503" s="59"/>
      <c r="L503" s="62"/>
      <c r="M503" s="63"/>
      <c r="N503" s="65"/>
      <c r="O503" s="65"/>
      <c r="P503" s="64"/>
      <c r="Q503" s="64"/>
    </row>
    <row r="504" spans="1:17" ht="15.75">
      <c r="A504" s="66"/>
      <c r="B504" s="56"/>
      <c r="C504" s="67"/>
      <c r="D504" s="58"/>
      <c r="E504" s="59" t="s">
        <v>22</v>
      </c>
      <c r="F504" s="59" t="s">
        <v>23</v>
      </c>
      <c r="G504" s="58"/>
      <c r="H504" s="60"/>
      <c r="I504" s="61"/>
      <c r="J504" s="59"/>
      <c r="K504" s="59"/>
      <c r="L504" s="62"/>
      <c r="M504" s="63"/>
      <c r="N504" s="65"/>
      <c r="O504" s="65"/>
      <c r="P504" s="64"/>
      <c r="Q504" s="64"/>
    </row>
    <row r="505" spans="1:17" ht="15.75">
      <c r="A505" s="66"/>
      <c r="B505" s="56"/>
      <c r="C505" s="67"/>
      <c r="D505" s="58"/>
      <c r="E505" s="59"/>
      <c r="F505" s="59"/>
      <c r="G505" s="58"/>
      <c r="H505" s="60"/>
      <c r="I505" s="61"/>
      <c r="J505" s="59"/>
      <c r="K505" s="59"/>
      <c r="L505" s="62"/>
      <c r="M505" s="63"/>
      <c r="N505" s="65"/>
      <c r="O505" s="65"/>
      <c r="P505" s="64"/>
      <c r="Q505" s="64"/>
    </row>
    <row r="506" spans="1:17" ht="15.75">
      <c r="A506" s="66"/>
      <c r="B506" s="56"/>
      <c r="C506" s="67"/>
      <c r="D506" s="58"/>
      <c r="E506" s="59"/>
      <c r="F506" s="59"/>
      <c r="G506" s="58"/>
      <c r="H506" s="60"/>
      <c r="I506" s="61"/>
      <c r="J506" s="59"/>
      <c r="K506" s="59"/>
      <c r="L506" s="62"/>
      <c r="M506" s="63"/>
      <c r="N506" s="65"/>
      <c r="O506" s="65"/>
      <c r="P506" s="64"/>
      <c r="Q506" s="64"/>
    </row>
    <row r="507" spans="1:17" ht="15.75">
      <c r="A507" s="66"/>
      <c r="B507" s="56"/>
      <c r="C507" s="67"/>
      <c r="D507" s="58"/>
      <c r="E507" s="59"/>
      <c r="F507" s="59"/>
      <c r="G507" s="58"/>
      <c r="H507" s="60"/>
      <c r="I507" s="61"/>
      <c r="J507" s="59"/>
      <c r="K507" s="59"/>
      <c r="L507" s="62"/>
      <c r="M507" s="63"/>
      <c r="N507" s="65"/>
      <c r="O507" s="65"/>
      <c r="P507" s="64"/>
      <c r="Q507" s="64"/>
    </row>
    <row r="508" spans="1:17" ht="15.75">
      <c r="A508" s="66"/>
      <c r="B508" s="56"/>
      <c r="C508" s="67"/>
      <c r="D508" s="58"/>
      <c r="E508" s="59"/>
      <c r="F508" s="59"/>
      <c r="G508" s="58"/>
      <c r="H508" s="60"/>
      <c r="I508" s="61"/>
      <c r="J508" s="59"/>
      <c r="K508" s="59"/>
      <c r="L508" s="62"/>
      <c r="M508" s="63"/>
      <c r="N508" s="65"/>
      <c r="O508" s="65"/>
      <c r="P508" s="64"/>
      <c r="Q508" s="64"/>
    </row>
    <row r="509" spans="1:17" ht="15.75">
      <c r="A509" s="66"/>
      <c r="B509" s="56"/>
      <c r="C509" s="67"/>
      <c r="D509" s="58"/>
      <c r="E509" s="59"/>
      <c r="F509" s="59"/>
      <c r="G509" s="58"/>
      <c r="H509" s="60"/>
      <c r="I509" s="61"/>
      <c r="J509" s="59"/>
      <c r="K509" s="59"/>
      <c r="L509" s="62"/>
      <c r="M509" s="63"/>
      <c r="N509" s="65"/>
      <c r="O509" s="65"/>
      <c r="P509" s="64"/>
      <c r="Q509" s="64"/>
    </row>
    <row r="510" spans="1:17" ht="15.75">
      <c r="A510" s="66"/>
      <c r="B510" s="56"/>
      <c r="C510" s="67"/>
      <c r="D510" s="58"/>
      <c r="E510" s="59"/>
      <c r="F510" s="59"/>
      <c r="G510" s="58"/>
      <c r="H510" s="60"/>
      <c r="I510" s="61"/>
      <c r="J510" s="59"/>
      <c r="K510" s="59"/>
      <c r="L510" s="62"/>
      <c r="M510" s="63"/>
      <c r="N510" s="65"/>
      <c r="O510" s="65"/>
      <c r="P510" s="64"/>
      <c r="Q510" s="64"/>
    </row>
    <row r="511" spans="1:17" ht="15.75">
      <c r="A511" s="66"/>
      <c r="B511" s="56"/>
      <c r="C511" s="67"/>
      <c r="D511" s="58"/>
      <c r="E511" s="59"/>
      <c r="F511" s="59"/>
      <c r="G511" s="58"/>
      <c r="H511" s="60"/>
      <c r="I511" s="61"/>
      <c r="J511" s="59"/>
      <c r="K511" s="59"/>
      <c r="L511" s="62"/>
      <c r="M511" s="63"/>
      <c r="N511" s="65"/>
      <c r="O511" s="65"/>
      <c r="P511" s="64"/>
      <c r="Q511" s="64"/>
    </row>
    <row r="512" spans="1:17" ht="15.75">
      <c r="A512" s="66"/>
      <c r="B512" s="56"/>
      <c r="C512" s="67"/>
      <c r="D512" s="58"/>
      <c r="E512" s="59"/>
      <c r="F512" s="59"/>
      <c r="G512" s="58"/>
      <c r="H512" s="60"/>
      <c r="I512" s="61"/>
      <c r="J512" s="59"/>
      <c r="K512" s="59"/>
      <c r="L512" s="62"/>
      <c r="M512" s="63"/>
      <c r="N512" s="65"/>
      <c r="O512" s="65"/>
      <c r="P512" s="64"/>
      <c r="Q512" s="64"/>
    </row>
    <row r="513" spans="1:17" ht="15.75">
      <c r="A513" s="66"/>
      <c r="B513" s="56"/>
      <c r="C513" s="67"/>
      <c r="D513" s="58"/>
      <c r="E513" s="59"/>
      <c r="F513" s="59"/>
      <c r="G513" s="58"/>
      <c r="H513" s="60"/>
      <c r="I513" s="61"/>
      <c r="J513" s="59"/>
      <c r="K513" s="59"/>
      <c r="L513" s="62"/>
      <c r="M513" s="63"/>
      <c r="N513" s="65"/>
      <c r="O513" s="65"/>
      <c r="P513" s="64"/>
      <c r="Q513" s="64"/>
    </row>
    <row r="514" spans="1:17" ht="15.75">
      <c r="A514" s="66"/>
      <c r="B514" s="56"/>
      <c r="C514" s="67"/>
      <c r="D514" s="58"/>
      <c r="E514" s="59"/>
      <c r="F514" s="59"/>
      <c r="G514" s="58"/>
      <c r="H514" s="60"/>
      <c r="I514" s="61"/>
      <c r="J514" s="59"/>
      <c r="K514" s="59"/>
      <c r="L514" s="62"/>
      <c r="M514" s="63"/>
      <c r="N514" s="65"/>
      <c r="O514" s="65"/>
      <c r="P514" s="64"/>
      <c r="Q514" s="64"/>
    </row>
    <row r="515" spans="1:17" ht="15.75">
      <c r="A515" s="66"/>
      <c r="B515" s="56"/>
      <c r="C515" s="67"/>
      <c r="D515" s="58"/>
      <c r="E515" s="59"/>
      <c r="F515" s="59"/>
      <c r="G515" s="58"/>
      <c r="H515" s="60"/>
      <c r="I515" s="61"/>
      <c r="J515" s="59"/>
      <c r="K515" s="59"/>
      <c r="L515" s="62"/>
      <c r="M515" s="63"/>
      <c r="N515" s="65"/>
      <c r="O515" s="65"/>
      <c r="P515" s="64"/>
      <c r="Q515" s="64"/>
    </row>
    <row r="516" spans="1:17" ht="15.75">
      <c r="A516" s="66"/>
      <c r="B516" s="56"/>
      <c r="C516" s="67"/>
      <c r="D516" s="58"/>
      <c r="E516" s="59"/>
      <c r="F516" s="59"/>
      <c r="G516" s="58"/>
      <c r="H516" s="60"/>
      <c r="I516" s="61"/>
      <c r="J516" s="59"/>
      <c r="K516" s="59"/>
      <c r="L516" s="62"/>
      <c r="M516" s="63"/>
      <c r="N516" s="65"/>
      <c r="O516" s="65"/>
      <c r="P516" s="64"/>
      <c r="Q516" s="64"/>
    </row>
    <row r="517" spans="1:17" ht="15.75">
      <c r="A517" s="66"/>
      <c r="B517" s="56"/>
      <c r="C517" s="67"/>
      <c r="D517" s="58"/>
      <c r="E517" s="59"/>
      <c r="F517" s="59"/>
      <c r="G517" s="58"/>
      <c r="H517" s="60"/>
      <c r="I517" s="61"/>
      <c r="J517" s="59"/>
      <c r="K517" s="59"/>
      <c r="L517" s="62"/>
      <c r="M517" s="63"/>
      <c r="N517" s="65"/>
      <c r="O517" s="65"/>
      <c r="P517" s="64"/>
      <c r="Q517" s="64"/>
    </row>
    <row r="518" spans="1:17" ht="15.75">
      <c r="A518" s="66"/>
      <c r="B518" s="56"/>
      <c r="C518" s="67"/>
      <c r="D518" s="58"/>
      <c r="E518" s="59"/>
      <c r="F518" s="59"/>
      <c r="G518" s="58"/>
      <c r="H518" s="60"/>
      <c r="I518" s="61"/>
      <c r="J518" s="59"/>
      <c r="K518" s="59"/>
      <c r="L518" s="62"/>
      <c r="M518" s="63"/>
      <c r="N518" s="65"/>
      <c r="O518" s="65"/>
      <c r="P518" s="64"/>
      <c r="Q518" s="64"/>
    </row>
    <row r="519" spans="1:17" ht="15.75">
      <c r="A519" s="66"/>
      <c r="B519" s="56"/>
      <c r="C519" s="67"/>
      <c r="D519" s="58"/>
      <c r="E519" s="59"/>
      <c r="F519" s="59"/>
      <c r="G519" s="58"/>
      <c r="H519" s="60"/>
      <c r="I519" s="61"/>
      <c r="J519" s="59"/>
      <c r="K519" s="59"/>
      <c r="L519" s="62"/>
      <c r="M519" s="63"/>
      <c r="N519" s="65"/>
      <c r="O519" s="65"/>
      <c r="P519" s="64"/>
      <c r="Q519" s="64"/>
    </row>
    <row r="520" spans="1:17" ht="15.75">
      <c r="A520" s="66"/>
      <c r="B520" s="56"/>
      <c r="C520" s="67"/>
      <c r="D520" s="58"/>
      <c r="E520" s="59"/>
      <c r="F520" s="59"/>
      <c r="G520" s="58"/>
      <c r="H520" s="60"/>
      <c r="I520" s="61"/>
      <c r="J520" s="59"/>
      <c r="K520" s="59"/>
      <c r="L520" s="62"/>
      <c r="M520" s="63"/>
      <c r="N520" s="65"/>
      <c r="O520" s="65"/>
      <c r="P520" s="64"/>
      <c r="Q520" s="64"/>
    </row>
    <row r="521" spans="1:17" ht="15.75">
      <c r="A521" s="66"/>
      <c r="B521" s="56"/>
      <c r="C521" s="67"/>
      <c r="D521" s="58"/>
      <c r="E521" s="59"/>
      <c r="F521" s="59"/>
      <c r="G521" s="58"/>
      <c r="H521" s="60"/>
      <c r="I521" s="61"/>
      <c r="J521" s="59"/>
      <c r="K521" s="59"/>
      <c r="L521" s="62"/>
      <c r="M521" s="63"/>
      <c r="N521" s="65"/>
      <c r="O521" s="65"/>
      <c r="P521" s="64"/>
      <c r="Q521" s="64"/>
    </row>
    <row r="522" spans="1:17" ht="15.75">
      <c r="A522" s="66"/>
      <c r="B522" s="56"/>
      <c r="C522" s="67"/>
      <c r="D522" s="58"/>
      <c r="E522" s="59"/>
      <c r="F522" s="59"/>
      <c r="G522" s="58"/>
      <c r="H522" s="60"/>
      <c r="I522" s="61"/>
      <c r="J522" s="59"/>
      <c r="K522" s="59"/>
      <c r="L522" s="62"/>
      <c r="M522" s="63"/>
      <c r="N522" s="65"/>
      <c r="O522" s="65"/>
      <c r="P522" s="64"/>
      <c r="Q522" s="64"/>
    </row>
    <row r="523" spans="1:17" ht="15.75">
      <c r="A523" s="66"/>
      <c r="B523" s="56"/>
      <c r="C523" s="67"/>
      <c r="D523" s="58"/>
      <c r="E523" s="59"/>
      <c r="F523" s="59"/>
      <c r="G523" s="58"/>
      <c r="H523" s="60"/>
      <c r="I523" s="61"/>
      <c r="J523" s="59"/>
      <c r="K523" s="59"/>
      <c r="L523" s="62"/>
      <c r="M523" s="63"/>
      <c r="N523" s="65"/>
      <c r="O523" s="65"/>
      <c r="P523" s="64"/>
      <c r="Q523" s="64"/>
    </row>
    <row r="524" spans="1:17" ht="15.75">
      <c r="A524" s="66"/>
      <c r="B524" s="56"/>
      <c r="C524" s="67"/>
      <c r="D524" s="58"/>
      <c r="E524" s="59"/>
      <c r="F524" s="59"/>
      <c r="G524" s="58"/>
      <c r="H524" s="60"/>
      <c r="I524" s="61"/>
      <c r="J524" s="59"/>
      <c r="K524" s="59"/>
      <c r="L524" s="62"/>
      <c r="M524" s="63"/>
      <c r="N524" s="65"/>
      <c r="O524" s="65"/>
      <c r="P524" s="64"/>
      <c r="Q524" s="64"/>
    </row>
    <row r="525" spans="1:17" ht="15.75">
      <c r="A525" s="66"/>
      <c r="B525" s="56"/>
      <c r="C525" s="67"/>
      <c r="D525" s="58"/>
      <c r="E525" s="59"/>
      <c r="F525" s="59"/>
      <c r="G525" s="58"/>
      <c r="H525" s="60"/>
      <c r="I525" s="61"/>
      <c r="J525" s="59"/>
      <c r="K525" s="59"/>
      <c r="L525" s="62"/>
      <c r="M525" s="63"/>
      <c r="N525" s="65"/>
      <c r="O525" s="65"/>
      <c r="P525" s="64"/>
      <c r="Q525" s="64"/>
    </row>
    <row r="526" spans="1:17" ht="15.75">
      <c r="A526" s="66"/>
      <c r="B526" s="56"/>
      <c r="C526" s="67"/>
      <c r="D526" s="58"/>
      <c r="E526" s="59"/>
      <c r="F526" s="59"/>
      <c r="G526" s="58"/>
      <c r="H526" s="60"/>
      <c r="I526" s="61"/>
      <c r="J526" s="59"/>
      <c r="K526" s="59"/>
      <c r="L526" s="62"/>
      <c r="M526" s="63"/>
      <c r="N526" s="65"/>
      <c r="O526" s="65"/>
      <c r="P526" s="64"/>
      <c r="Q526" s="64"/>
    </row>
    <row r="527" spans="1:17" ht="15.75">
      <c r="A527" s="66"/>
      <c r="B527" s="56"/>
      <c r="C527" s="67"/>
      <c r="D527" s="58"/>
      <c r="E527" s="59"/>
      <c r="F527" s="59"/>
      <c r="G527" s="58"/>
      <c r="H527" s="60"/>
      <c r="I527" s="61"/>
      <c r="J527" s="59"/>
      <c r="K527" s="59"/>
      <c r="L527" s="62"/>
      <c r="M527" s="63"/>
      <c r="N527" s="65"/>
      <c r="O527" s="65"/>
      <c r="P527" s="64"/>
      <c r="Q527" s="64"/>
    </row>
    <row r="528" spans="1:17" ht="15.75">
      <c r="A528" s="66"/>
      <c r="B528" s="56"/>
      <c r="C528" s="67"/>
      <c r="D528" s="58"/>
      <c r="E528" s="59"/>
      <c r="F528" s="59"/>
      <c r="G528" s="58"/>
      <c r="H528" s="60"/>
      <c r="I528" s="61"/>
      <c r="J528" s="59"/>
      <c r="K528" s="59"/>
      <c r="L528" s="62"/>
      <c r="M528" s="63"/>
      <c r="N528" s="65"/>
      <c r="O528" s="65"/>
      <c r="P528" s="64"/>
      <c r="Q528" s="64"/>
    </row>
    <row r="529" spans="1:17" ht="15.75">
      <c r="A529" s="66"/>
      <c r="B529" s="56"/>
      <c r="C529" s="67"/>
      <c r="D529" s="58"/>
      <c r="E529" s="59"/>
      <c r="F529" s="59"/>
      <c r="G529" s="58"/>
      <c r="H529" s="60"/>
      <c r="I529" s="61"/>
      <c r="J529" s="59"/>
      <c r="K529" s="59"/>
      <c r="L529" s="62"/>
      <c r="M529" s="63"/>
      <c r="N529" s="65"/>
      <c r="O529" s="65"/>
      <c r="P529" s="64"/>
      <c r="Q529" s="64"/>
    </row>
    <row r="530" spans="1:17" ht="15.75">
      <c r="A530" s="66"/>
      <c r="B530" s="56"/>
      <c r="C530" s="67"/>
      <c r="D530" s="58"/>
      <c r="E530" s="59"/>
      <c r="F530" s="59"/>
      <c r="G530" s="58"/>
      <c r="H530" s="60"/>
      <c r="I530" s="61"/>
      <c r="J530" s="59"/>
      <c r="K530" s="59"/>
      <c r="L530" s="62"/>
      <c r="M530" s="63"/>
      <c r="N530" s="65"/>
      <c r="O530" s="65"/>
      <c r="P530" s="64"/>
      <c r="Q530" s="64"/>
    </row>
    <row r="531" spans="1:17" ht="15.75">
      <c r="A531" s="66"/>
      <c r="B531" s="56"/>
      <c r="C531" s="67"/>
      <c r="D531" s="58"/>
      <c r="E531" s="59"/>
      <c r="F531" s="59"/>
      <c r="G531" s="58"/>
      <c r="H531" s="60"/>
      <c r="I531" s="61"/>
      <c r="J531" s="59"/>
      <c r="K531" s="59"/>
      <c r="L531" s="62"/>
      <c r="M531" s="63"/>
      <c r="N531" s="65"/>
      <c r="O531" s="65"/>
      <c r="P531" s="64"/>
      <c r="Q531" s="64"/>
    </row>
    <row r="532" spans="1:17" ht="15.75">
      <c r="A532" s="66"/>
      <c r="B532" s="56"/>
      <c r="C532" s="67"/>
      <c r="D532" s="58"/>
      <c r="E532" s="59"/>
      <c r="F532" s="59"/>
      <c r="G532" s="58"/>
      <c r="H532" s="60"/>
      <c r="I532" s="61"/>
      <c r="J532" s="59"/>
      <c r="K532" s="59"/>
      <c r="L532" s="62"/>
      <c r="M532" s="63"/>
      <c r="N532" s="65"/>
      <c r="O532" s="65"/>
      <c r="P532" s="64"/>
      <c r="Q532" s="64"/>
    </row>
    <row r="533" spans="1:17" ht="15.75">
      <c r="A533" s="66"/>
      <c r="B533" s="56"/>
      <c r="C533" s="67"/>
      <c r="D533" s="58"/>
      <c r="E533" s="59"/>
      <c r="F533" s="59"/>
      <c r="G533" s="58"/>
      <c r="H533" s="60"/>
      <c r="I533" s="61"/>
      <c r="J533" s="59"/>
      <c r="K533" s="59"/>
      <c r="L533" s="62"/>
      <c r="M533" s="63"/>
      <c r="N533" s="65"/>
      <c r="O533" s="65"/>
      <c r="P533" s="64"/>
      <c r="Q533" s="64"/>
    </row>
    <row r="534" spans="1:17" ht="15.75">
      <c r="A534" s="66"/>
      <c r="B534" s="56"/>
      <c r="C534" s="67"/>
      <c r="D534" s="58"/>
      <c r="E534" s="59"/>
      <c r="F534" s="59"/>
      <c r="G534" s="58"/>
      <c r="H534" s="60"/>
      <c r="I534" s="61"/>
      <c r="J534" s="59"/>
      <c r="K534" s="59"/>
      <c r="L534" s="62"/>
      <c r="M534" s="63"/>
      <c r="N534" s="65"/>
      <c r="O534" s="65"/>
      <c r="P534" s="64"/>
      <c r="Q534" s="64"/>
    </row>
    <row r="535" spans="1:17" ht="15.75">
      <c r="A535" s="66"/>
      <c r="B535" s="56"/>
      <c r="C535" s="67"/>
      <c r="D535" s="58"/>
      <c r="E535" s="59"/>
      <c r="F535" s="59"/>
      <c r="G535" s="58"/>
      <c r="H535" s="60"/>
      <c r="I535" s="61"/>
      <c r="J535" s="59"/>
      <c r="K535" s="59"/>
      <c r="L535" s="62"/>
      <c r="M535" s="63"/>
      <c r="N535" s="65"/>
      <c r="O535" s="65"/>
      <c r="P535" s="64"/>
      <c r="Q535" s="64"/>
    </row>
    <row r="536" spans="1:17" ht="15.75">
      <c r="A536" s="66"/>
      <c r="B536" s="56"/>
      <c r="C536" s="67"/>
      <c r="D536" s="58"/>
      <c r="E536" s="59"/>
      <c r="F536" s="59"/>
      <c r="G536" s="58"/>
      <c r="H536" s="60"/>
      <c r="I536" s="61"/>
      <c r="J536" s="59"/>
      <c r="K536" s="59"/>
      <c r="L536" s="62"/>
      <c r="M536" s="63"/>
      <c r="N536" s="65"/>
      <c r="O536" s="65"/>
      <c r="P536" s="64"/>
      <c r="Q536" s="64"/>
    </row>
    <row r="537" spans="1:17" ht="15.75">
      <c r="A537" s="66"/>
      <c r="B537" s="56"/>
      <c r="C537" s="67"/>
      <c r="D537" s="58"/>
      <c r="E537" s="59"/>
      <c r="F537" s="59"/>
      <c r="G537" s="58"/>
      <c r="H537" s="60"/>
      <c r="I537" s="61"/>
      <c r="J537" s="59"/>
      <c r="K537" s="59"/>
      <c r="L537" s="62"/>
      <c r="M537" s="63"/>
      <c r="N537" s="65"/>
      <c r="O537" s="65"/>
      <c r="P537" s="64"/>
      <c r="Q537" s="64"/>
    </row>
    <row r="538" spans="1:17" ht="15.75">
      <c r="A538" s="66"/>
      <c r="B538" s="56"/>
      <c r="C538" s="67"/>
      <c r="D538" s="58"/>
      <c r="E538" s="59"/>
      <c r="F538" s="59"/>
      <c r="G538" s="58"/>
      <c r="H538" s="60"/>
      <c r="I538" s="61"/>
      <c r="J538" s="59"/>
      <c r="K538" s="59"/>
      <c r="L538" s="62"/>
      <c r="M538" s="63"/>
      <c r="N538" s="65"/>
      <c r="O538" s="65"/>
      <c r="P538" s="64"/>
      <c r="Q538" s="64"/>
    </row>
    <row r="539" spans="1:17" ht="15.75">
      <c r="A539" s="66"/>
      <c r="B539" s="56"/>
      <c r="C539" s="67"/>
      <c r="D539" s="58"/>
      <c r="E539" s="59"/>
      <c r="F539" s="59"/>
      <c r="G539" s="58"/>
      <c r="H539" s="60"/>
      <c r="I539" s="61"/>
      <c r="J539" s="59"/>
      <c r="K539" s="59"/>
      <c r="L539" s="62"/>
      <c r="M539" s="63"/>
      <c r="N539" s="65"/>
      <c r="O539" s="65"/>
      <c r="P539" s="64"/>
      <c r="Q539" s="64"/>
    </row>
    <row r="540" spans="1:17" ht="15.75">
      <c r="A540" s="66"/>
      <c r="B540" s="56"/>
      <c r="C540" s="67"/>
      <c r="D540" s="58"/>
      <c r="E540" s="59"/>
      <c r="F540" s="59"/>
      <c r="G540" s="58"/>
      <c r="H540" s="60"/>
      <c r="I540" s="61"/>
      <c r="J540" s="59"/>
      <c r="K540" s="59"/>
      <c r="L540" s="62"/>
      <c r="M540" s="63"/>
      <c r="N540" s="65"/>
      <c r="O540" s="65"/>
      <c r="P540" s="64"/>
      <c r="Q540" s="64"/>
    </row>
    <row r="541" spans="1:17" ht="15.75">
      <c r="A541" s="66"/>
      <c r="B541" s="56"/>
      <c r="C541" s="67"/>
      <c r="D541" s="58"/>
      <c r="E541" s="59"/>
      <c r="F541" s="59"/>
      <c r="G541" s="58"/>
      <c r="H541" s="60"/>
      <c r="I541" s="61"/>
      <c r="J541" s="59"/>
      <c r="K541" s="59"/>
      <c r="L541" s="62"/>
      <c r="M541" s="63"/>
      <c r="N541" s="65"/>
      <c r="O541" s="65"/>
      <c r="P541" s="64"/>
      <c r="Q541" s="64"/>
    </row>
    <row r="542" spans="1:17" ht="15.75">
      <c r="A542" s="66"/>
      <c r="B542" s="56"/>
      <c r="C542" s="67"/>
      <c r="D542" s="58"/>
      <c r="E542" s="59"/>
      <c r="F542" s="59"/>
      <c r="G542" s="58"/>
      <c r="H542" s="60"/>
      <c r="I542" s="61"/>
      <c r="J542" s="59"/>
      <c r="K542" s="59"/>
      <c r="L542" s="62"/>
      <c r="M542" s="63"/>
      <c r="N542" s="65"/>
      <c r="O542" s="65"/>
      <c r="P542" s="64"/>
      <c r="Q542" s="64"/>
    </row>
    <row r="543" spans="1:17" ht="15.75">
      <c r="A543" s="66"/>
      <c r="B543" s="56"/>
      <c r="C543" s="67"/>
      <c r="D543" s="58"/>
      <c r="E543" s="59"/>
      <c r="F543" s="59"/>
      <c r="G543" s="58"/>
      <c r="H543" s="60"/>
      <c r="I543" s="61"/>
      <c r="J543" s="59"/>
      <c r="K543" s="59"/>
      <c r="L543" s="62"/>
      <c r="M543" s="63"/>
      <c r="N543" s="65"/>
      <c r="O543" s="65"/>
      <c r="P543" s="64"/>
      <c r="Q543" s="64"/>
    </row>
    <row r="544" spans="1:17" ht="15.75">
      <c r="A544" s="66"/>
      <c r="B544" s="56"/>
      <c r="C544" s="67"/>
      <c r="D544" s="58"/>
      <c r="E544" s="59"/>
      <c r="F544" s="59"/>
      <c r="G544" s="58"/>
      <c r="H544" s="60"/>
      <c r="I544" s="61"/>
      <c r="J544" s="59"/>
      <c r="K544" s="59"/>
      <c r="L544" s="62"/>
      <c r="M544" s="63"/>
      <c r="N544" s="65"/>
      <c r="O544" s="65"/>
      <c r="P544" s="64"/>
      <c r="Q544" s="64"/>
    </row>
    <row r="545" spans="1:17" ht="15.75">
      <c r="A545" s="66"/>
      <c r="B545" s="56"/>
      <c r="C545" s="67"/>
      <c r="D545" s="58"/>
      <c r="E545" s="59"/>
      <c r="F545" s="59"/>
      <c r="G545" s="58"/>
      <c r="H545" s="60"/>
      <c r="I545" s="61"/>
      <c r="J545" s="59"/>
      <c r="K545" s="59"/>
      <c r="L545" s="62"/>
      <c r="M545" s="63"/>
      <c r="N545" s="65"/>
      <c r="O545" s="65"/>
      <c r="P545" s="64"/>
      <c r="Q545" s="64"/>
    </row>
    <row r="546" spans="1:17" ht="15.75">
      <c r="A546" s="66"/>
      <c r="B546" s="56"/>
      <c r="C546" s="67"/>
      <c r="D546" s="58"/>
      <c r="E546" s="59"/>
      <c r="F546" s="59"/>
      <c r="G546" s="58"/>
      <c r="H546" s="60"/>
      <c r="I546" s="61"/>
      <c r="J546" s="59"/>
      <c r="K546" s="59"/>
      <c r="L546" s="62"/>
      <c r="M546" s="63"/>
      <c r="N546" s="65"/>
      <c r="O546" s="65"/>
      <c r="P546" s="64"/>
      <c r="Q546" s="64"/>
    </row>
    <row r="547" spans="1:17" ht="15.75">
      <c r="A547" s="66"/>
      <c r="B547" s="56"/>
      <c r="C547" s="67"/>
      <c r="D547" s="58"/>
      <c r="E547" s="59"/>
      <c r="F547" s="59"/>
      <c r="G547" s="58"/>
      <c r="H547" s="60"/>
      <c r="I547" s="61"/>
      <c r="J547" s="59"/>
      <c r="K547" s="59"/>
      <c r="L547" s="62"/>
      <c r="M547" s="63"/>
      <c r="N547" s="65"/>
      <c r="O547" s="65"/>
      <c r="P547" s="64"/>
      <c r="Q547" s="64"/>
    </row>
    <row r="548" spans="1:17" ht="15.75">
      <c r="A548" s="66"/>
      <c r="B548" s="56"/>
      <c r="C548" s="67"/>
      <c r="D548" s="58"/>
      <c r="E548" s="59"/>
      <c r="F548" s="59"/>
      <c r="G548" s="58"/>
      <c r="H548" s="60"/>
      <c r="I548" s="61"/>
      <c r="J548" s="59"/>
      <c r="K548" s="59"/>
      <c r="L548" s="62"/>
      <c r="M548" s="63"/>
      <c r="N548" s="65"/>
      <c r="O548" s="65"/>
      <c r="P548" s="64"/>
      <c r="Q548" s="64"/>
    </row>
    <row r="549" spans="1:17" ht="15.75">
      <c r="A549" s="66"/>
      <c r="B549" s="56"/>
      <c r="C549" s="67"/>
      <c r="D549" s="58"/>
      <c r="E549" s="59"/>
      <c r="F549" s="59"/>
      <c r="G549" s="58"/>
      <c r="H549" s="60"/>
      <c r="I549" s="61"/>
      <c r="J549" s="59"/>
      <c r="K549" s="59"/>
      <c r="L549" s="62"/>
      <c r="M549" s="63"/>
      <c r="N549" s="65"/>
      <c r="O549" s="65"/>
      <c r="P549" s="64"/>
      <c r="Q549" s="64"/>
    </row>
    <row r="550" spans="1:17" ht="15.75">
      <c r="A550" s="66"/>
      <c r="B550" s="56"/>
      <c r="C550" s="67"/>
      <c r="D550" s="58"/>
      <c r="E550" s="59"/>
      <c r="F550" s="59"/>
      <c r="G550" s="58"/>
      <c r="H550" s="60"/>
      <c r="I550" s="61"/>
      <c r="J550" s="59"/>
      <c r="K550" s="59"/>
      <c r="L550" s="62"/>
      <c r="M550" s="63"/>
      <c r="N550" s="65"/>
      <c r="O550" s="65"/>
      <c r="P550" s="64"/>
      <c r="Q550" s="64"/>
    </row>
    <row r="551" spans="1:17" ht="15.75">
      <c r="A551" s="66"/>
      <c r="B551" s="56"/>
      <c r="C551" s="67"/>
      <c r="D551" s="58"/>
      <c r="E551" s="59"/>
      <c r="F551" s="59"/>
      <c r="G551" s="58"/>
      <c r="H551" s="60"/>
      <c r="I551" s="61"/>
      <c r="J551" s="59"/>
      <c r="K551" s="59"/>
      <c r="L551" s="62"/>
      <c r="M551" s="63"/>
      <c r="N551" s="65"/>
      <c r="O551" s="65"/>
      <c r="P551" s="64"/>
      <c r="Q551" s="64"/>
    </row>
    <row r="552" spans="1:17" ht="15.75">
      <c r="A552" s="66"/>
      <c r="B552" s="56"/>
      <c r="C552" s="67"/>
      <c r="D552" s="58"/>
      <c r="E552" s="59"/>
      <c r="F552" s="59"/>
      <c r="G552" s="58"/>
      <c r="H552" s="60"/>
      <c r="I552" s="61"/>
      <c r="J552" s="59"/>
      <c r="K552" s="59"/>
      <c r="L552" s="62"/>
      <c r="M552" s="63"/>
      <c r="N552" s="65"/>
      <c r="O552" s="65"/>
      <c r="P552" s="64"/>
      <c r="Q552" s="64"/>
    </row>
    <row r="553" spans="1:17" ht="15.75">
      <c r="A553" s="66"/>
      <c r="B553" s="56"/>
      <c r="C553" s="67"/>
      <c r="D553" s="58"/>
      <c r="E553" s="59"/>
      <c r="F553" s="59"/>
      <c r="G553" s="58"/>
      <c r="H553" s="60"/>
      <c r="I553" s="61"/>
      <c r="J553" s="59"/>
      <c r="K553" s="59"/>
      <c r="L553" s="62"/>
      <c r="M553" s="63"/>
      <c r="N553" s="65"/>
      <c r="O553" s="65"/>
      <c r="P553" s="64"/>
      <c r="Q553" s="64"/>
    </row>
    <row r="554" spans="1:17" ht="15.75">
      <c r="A554" s="66"/>
      <c r="B554" s="56"/>
      <c r="C554" s="67"/>
      <c r="D554" s="58"/>
      <c r="E554" s="59"/>
      <c r="F554" s="59"/>
      <c r="G554" s="58"/>
      <c r="H554" s="60"/>
      <c r="I554" s="61"/>
      <c r="J554" s="59"/>
      <c r="K554" s="59"/>
      <c r="L554" s="62"/>
      <c r="M554" s="63"/>
      <c r="N554" s="65"/>
      <c r="O554" s="65"/>
      <c r="P554" s="64"/>
      <c r="Q554" s="64"/>
    </row>
    <row r="555" spans="1:17" ht="15.75">
      <c r="A555" s="66"/>
      <c r="B555" s="56"/>
      <c r="C555" s="67"/>
      <c r="D555" s="58"/>
      <c r="E555" s="59"/>
      <c r="F555" s="59"/>
      <c r="G555" s="58"/>
      <c r="H555" s="60"/>
      <c r="I555" s="61"/>
      <c r="J555" s="59"/>
      <c r="K555" s="59"/>
      <c r="L555" s="62"/>
      <c r="M555" s="63"/>
      <c r="N555" s="65"/>
      <c r="O555" s="65"/>
      <c r="P555" s="64"/>
      <c r="Q555" s="64"/>
    </row>
    <row r="556" spans="1:17" ht="15.75">
      <c r="A556" s="66"/>
      <c r="B556" s="56"/>
      <c r="C556" s="67"/>
      <c r="D556" s="58"/>
      <c r="E556" s="59"/>
      <c r="F556" s="59"/>
      <c r="G556" s="58"/>
      <c r="H556" s="60"/>
      <c r="I556" s="61"/>
      <c r="J556" s="59"/>
      <c r="K556" s="59"/>
      <c r="L556" s="62"/>
      <c r="M556" s="63"/>
      <c r="N556" s="65"/>
      <c r="O556" s="65"/>
      <c r="P556" s="64"/>
      <c r="Q556" s="64"/>
    </row>
    <row r="557" spans="1:17" ht="15.75">
      <c r="A557" s="66"/>
      <c r="B557" s="56"/>
      <c r="C557" s="67"/>
      <c r="D557" s="58"/>
      <c r="E557" s="59"/>
      <c r="F557" s="59"/>
      <c r="G557" s="58"/>
      <c r="H557" s="60"/>
      <c r="I557" s="61"/>
      <c r="J557" s="59"/>
      <c r="K557" s="59"/>
      <c r="L557" s="62"/>
      <c r="M557" s="63"/>
      <c r="N557" s="65"/>
      <c r="O557" s="65"/>
      <c r="P557" s="64"/>
      <c r="Q557" s="64"/>
    </row>
    <row r="558" spans="1:17" ht="15.75">
      <c r="A558" s="66"/>
      <c r="B558" s="56"/>
      <c r="C558" s="67"/>
      <c r="D558" s="58"/>
      <c r="E558" s="59"/>
      <c r="F558" s="59"/>
      <c r="G558" s="58"/>
      <c r="H558" s="60"/>
      <c r="I558" s="61"/>
      <c r="J558" s="59"/>
      <c r="K558" s="59"/>
      <c r="L558" s="62"/>
      <c r="M558" s="63"/>
      <c r="N558" s="65"/>
      <c r="O558" s="65"/>
      <c r="P558" s="64"/>
      <c r="Q558" s="64"/>
    </row>
    <row r="559" spans="1:17" ht="15.75">
      <c r="A559" s="66"/>
      <c r="B559" s="56"/>
      <c r="C559" s="67"/>
      <c r="D559" s="58"/>
      <c r="E559" s="59"/>
      <c r="F559" s="59"/>
      <c r="G559" s="58"/>
      <c r="H559" s="60"/>
      <c r="I559" s="61"/>
      <c r="J559" s="59"/>
      <c r="K559" s="59"/>
      <c r="L559" s="62"/>
      <c r="M559" s="63"/>
      <c r="N559" s="65"/>
      <c r="O559" s="65"/>
      <c r="P559" s="64"/>
      <c r="Q559" s="64"/>
    </row>
    <row r="560" spans="1:17" ht="15.75">
      <c r="A560" s="66"/>
      <c r="B560" s="56"/>
      <c r="C560" s="67"/>
      <c r="D560" s="58"/>
      <c r="E560" s="59"/>
      <c r="F560" s="59"/>
      <c r="G560" s="58"/>
      <c r="H560" s="60"/>
      <c r="I560" s="61"/>
      <c r="J560" s="59"/>
      <c r="K560" s="59"/>
      <c r="L560" s="62"/>
      <c r="M560" s="63"/>
      <c r="N560" s="65"/>
      <c r="O560" s="65"/>
      <c r="P560" s="64"/>
      <c r="Q560" s="64"/>
    </row>
    <row r="561" spans="1:17" ht="15.75">
      <c r="A561" s="66"/>
      <c r="B561" s="56"/>
      <c r="C561" s="67"/>
      <c r="D561" s="58"/>
      <c r="E561" s="59"/>
      <c r="F561" s="59"/>
      <c r="G561" s="58"/>
      <c r="H561" s="60"/>
      <c r="I561" s="61"/>
      <c r="J561" s="59"/>
      <c r="K561" s="59"/>
      <c r="L561" s="62"/>
      <c r="M561" s="63"/>
      <c r="N561" s="65"/>
      <c r="O561" s="65"/>
      <c r="P561" s="64"/>
      <c r="Q561" s="64"/>
    </row>
    <row r="562" spans="1:17" ht="15.75">
      <c r="A562" s="66"/>
      <c r="B562" s="56"/>
      <c r="C562" s="67"/>
      <c r="D562" s="58"/>
      <c r="E562" s="59"/>
      <c r="F562" s="59"/>
      <c r="G562" s="58"/>
      <c r="H562" s="60"/>
      <c r="I562" s="61"/>
      <c r="J562" s="59"/>
      <c r="K562" s="59"/>
      <c r="L562" s="62"/>
      <c r="M562" s="63"/>
      <c r="N562" s="65"/>
      <c r="O562" s="65"/>
      <c r="P562" s="64"/>
      <c r="Q562" s="64"/>
    </row>
    <row r="563" spans="1:17" ht="15.75">
      <c r="A563" s="66"/>
      <c r="B563" s="56"/>
      <c r="C563" s="67"/>
      <c r="D563" s="58"/>
      <c r="E563" s="59"/>
      <c r="F563" s="59"/>
      <c r="G563" s="58"/>
      <c r="H563" s="60"/>
      <c r="I563" s="61"/>
      <c r="J563" s="59"/>
      <c r="K563" s="59"/>
      <c r="L563" s="62"/>
      <c r="M563" s="63"/>
      <c r="N563" s="65"/>
      <c r="O563" s="65"/>
      <c r="P563" s="64"/>
      <c r="Q563" s="64"/>
    </row>
    <row r="564" spans="1:17" ht="15.75">
      <c r="A564" s="66"/>
      <c r="B564" s="56"/>
      <c r="C564" s="67"/>
      <c r="D564" s="58"/>
      <c r="E564" s="59"/>
      <c r="F564" s="59"/>
      <c r="G564" s="58"/>
      <c r="H564" s="60"/>
      <c r="I564" s="61"/>
      <c r="J564" s="59"/>
      <c r="K564" s="59"/>
      <c r="L564" s="62"/>
      <c r="M564" s="63"/>
      <c r="N564" s="65"/>
      <c r="O564" s="65"/>
      <c r="P564" s="64"/>
      <c r="Q564" s="64"/>
    </row>
    <row r="565" spans="1:17" ht="15.75">
      <c r="A565" s="66"/>
      <c r="B565" s="56"/>
      <c r="C565" s="67"/>
      <c r="D565" s="58"/>
      <c r="E565" s="59"/>
      <c r="F565" s="59"/>
      <c r="G565" s="58"/>
      <c r="H565" s="60"/>
      <c r="I565" s="61"/>
      <c r="J565" s="59"/>
      <c r="K565" s="59"/>
      <c r="L565" s="62"/>
      <c r="M565" s="63"/>
      <c r="N565" s="65"/>
      <c r="O565" s="65"/>
      <c r="P565" s="64"/>
      <c r="Q565" s="64"/>
    </row>
    <row r="566" spans="1:17" ht="15.75">
      <c r="A566" s="55"/>
      <c r="B566" s="56"/>
      <c r="C566" s="67"/>
      <c r="D566" s="58"/>
      <c r="E566" s="59"/>
      <c r="F566" s="59"/>
      <c r="G566" s="58"/>
      <c r="H566" s="60"/>
      <c r="I566" s="61"/>
      <c r="J566" s="59"/>
      <c r="K566" s="59"/>
      <c r="L566" s="62"/>
      <c r="M566" s="63"/>
      <c r="N566" s="65"/>
      <c r="O566" s="65"/>
      <c r="P566" s="64"/>
      <c r="Q566" s="64"/>
    </row>
    <row r="567" spans="1:17" ht="15.75">
      <c r="A567" s="66"/>
      <c r="B567" s="56"/>
      <c r="C567" s="67"/>
      <c r="D567" s="58"/>
      <c r="E567" s="59"/>
      <c r="F567" s="59"/>
      <c r="G567" s="58"/>
      <c r="H567" s="60"/>
      <c r="I567" s="61"/>
      <c r="J567" s="59"/>
      <c r="K567" s="59"/>
      <c r="L567" s="62"/>
      <c r="M567" s="63"/>
      <c r="N567" s="65"/>
      <c r="O567" s="65"/>
      <c r="P567" s="64"/>
      <c r="Q567" s="64"/>
    </row>
    <row r="568" spans="1:17" ht="15.75">
      <c r="A568" s="66"/>
      <c r="B568" s="56"/>
      <c r="C568" s="67"/>
      <c r="D568" s="58"/>
      <c r="E568" s="59"/>
      <c r="F568" s="59"/>
      <c r="G568" s="58"/>
      <c r="H568" s="60"/>
      <c r="I568" s="61"/>
      <c r="J568" s="59"/>
      <c r="K568" s="59"/>
      <c r="L568" s="62"/>
      <c r="M568" s="63"/>
      <c r="N568" s="65"/>
      <c r="O568" s="65"/>
      <c r="P568" s="64"/>
      <c r="Q568" s="64"/>
    </row>
    <row r="569" spans="1:17" ht="15.75">
      <c r="A569" s="66"/>
      <c r="B569" s="56"/>
      <c r="C569" s="67"/>
      <c r="D569" s="58"/>
      <c r="E569" s="59"/>
      <c r="F569" s="59"/>
      <c r="G569" s="58"/>
      <c r="H569" s="60"/>
      <c r="I569" s="61"/>
      <c r="J569" s="59"/>
      <c r="K569" s="59"/>
      <c r="L569" s="62"/>
      <c r="M569" s="63"/>
      <c r="N569" s="65"/>
      <c r="O569" s="65"/>
      <c r="P569" s="64"/>
      <c r="Q569" s="64"/>
    </row>
    <row r="570" spans="1:17" ht="15.75">
      <c r="A570" s="66"/>
      <c r="B570" s="56"/>
      <c r="C570" s="67"/>
      <c r="D570" s="58"/>
      <c r="E570" s="59"/>
      <c r="F570" s="59"/>
      <c r="G570" s="58"/>
      <c r="H570" s="60"/>
      <c r="I570" s="61"/>
      <c r="J570" s="59"/>
      <c r="K570" s="59"/>
      <c r="L570" s="62"/>
      <c r="M570" s="63"/>
      <c r="N570" s="65"/>
      <c r="O570" s="65"/>
      <c r="P570" s="64"/>
      <c r="Q570" s="64"/>
    </row>
    <row r="571" spans="1:17" ht="15.75">
      <c r="A571" s="66"/>
      <c r="B571" s="56"/>
      <c r="C571" s="67"/>
      <c r="D571" s="58"/>
      <c r="E571" s="59"/>
      <c r="F571" s="59"/>
      <c r="G571" s="58"/>
      <c r="H571" s="60"/>
      <c r="I571" s="61"/>
      <c r="J571" s="59"/>
      <c r="K571" s="59"/>
      <c r="L571" s="62"/>
      <c r="M571" s="63"/>
      <c r="N571" s="65"/>
      <c r="O571" s="65"/>
      <c r="P571" s="64"/>
      <c r="Q571" s="64"/>
    </row>
    <row r="572" spans="1:17" ht="15.75">
      <c r="A572" s="66"/>
      <c r="B572" s="56"/>
      <c r="C572" s="67"/>
      <c r="D572" s="58"/>
      <c r="E572" s="59"/>
      <c r="F572" s="59"/>
      <c r="G572" s="58"/>
      <c r="H572" s="60"/>
      <c r="I572" s="61"/>
      <c r="J572" s="59"/>
      <c r="K572" s="59"/>
      <c r="L572" s="62"/>
      <c r="M572" s="63"/>
      <c r="N572" s="65"/>
      <c r="O572" s="65"/>
      <c r="P572" s="64"/>
      <c r="Q572" s="64"/>
    </row>
    <row r="573" spans="1:17" ht="15.75">
      <c r="A573" s="66"/>
      <c r="B573" s="56"/>
      <c r="C573" s="67"/>
      <c r="D573" s="58"/>
      <c r="E573" s="59"/>
      <c r="F573" s="59"/>
      <c r="G573" s="58"/>
      <c r="H573" s="60"/>
      <c r="I573" s="61"/>
      <c r="J573" s="59"/>
      <c r="K573" s="59"/>
      <c r="L573" s="62"/>
      <c r="M573" s="63"/>
      <c r="N573" s="65"/>
      <c r="O573" s="65"/>
      <c r="P573" s="64"/>
      <c r="Q573" s="64"/>
    </row>
    <row r="574" spans="1:17" ht="15.75">
      <c r="A574" s="66"/>
      <c r="B574" s="56"/>
      <c r="C574" s="67"/>
      <c r="D574" s="58"/>
      <c r="E574" s="59"/>
      <c r="F574" s="59"/>
      <c r="G574" s="58"/>
      <c r="H574" s="60"/>
      <c r="I574" s="61"/>
      <c r="J574" s="59"/>
      <c r="K574" s="59"/>
      <c r="L574" s="62"/>
      <c r="M574" s="63"/>
      <c r="N574" s="65"/>
      <c r="O574" s="65"/>
      <c r="P574" s="64"/>
      <c r="Q574" s="64"/>
    </row>
    <row r="575" spans="1:17" ht="15.75">
      <c r="A575" s="66"/>
      <c r="B575" s="56"/>
      <c r="C575" s="67"/>
      <c r="D575" s="58"/>
      <c r="E575" s="59"/>
      <c r="F575" s="59"/>
      <c r="G575" s="58"/>
      <c r="H575" s="60"/>
      <c r="I575" s="61"/>
      <c r="J575" s="59"/>
      <c r="K575" s="59"/>
      <c r="L575" s="62"/>
      <c r="M575" s="63"/>
      <c r="N575" s="65"/>
      <c r="O575" s="65"/>
      <c r="P575" s="64"/>
      <c r="Q575" s="64"/>
    </row>
    <row r="576" spans="1:17" ht="15.75">
      <c r="A576" s="66"/>
      <c r="B576" s="56"/>
      <c r="C576" s="67"/>
      <c r="D576" s="58"/>
      <c r="E576" s="59"/>
      <c r="F576" s="59"/>
      <c r="G576" s="58"/>
      <c r="H576" s="60"/>
      <c r="I576" s="61"/>
      <c r="J576" s="59"/>
      <c r="K576" s="59"/>
      <c r="L576" s="62"/>
      <c r="M576" s="63"/>
      <c r="N576" s="65"/>
      <c r="O576" s="65"/>
      <c r="P576" s="64"/>
      <c r="Q576" s="64"/>
    </row>
    <row r="577" spans="1:17" ht="15.75">
      <c r="A577" s="66"/>
      <c r="B577" s="56"/>
      <c r="C577" s="67"/>
      <c r="D577" s="58"/>
      <c r="E577" s="59"/>
      <c r="F577" s="59"/>
      <c r="G577" s="58"/>
      <c r="H577" s="60"/>
      <c r="I577" s="61"/>
      <c r="J577" s="59"/>
      <c r="K577" s="59"/>
      <c r="L577" s="62"/>
      <c r="M577" s="63"/>
      <c r="N577" s="65"/>
      <c r="O577" s="65"/>
      <c r="P577" s="64"/>
      <c r="Q577" s="64"/>
    </row>
    <row r="578" spans="1:17" ht="15.75">
      <c r="A578" s="66"/>
      <c r="B578" s="56"/>
      <c r="C578" s="67"/>
      <c r="D578" s="58"/>
      <c r="E578" s="59"/>
      <c r="F578" s="59"/>
      <c r="G578" s="58"/>
      <c r="H578" s="60"/>
      <c r="I578" s="61"/>
      <c r="J578" s="59"/>
      <c r="K578" s="59"/>
      <c r="L578" s="62"/>
      <c r="M578" s="63"/>
      <c r="N578" s="65"/>
      <c r="O578" s="65"/>
      <c r="P578" s="64"/>
      <c r="Q578" s="64"/>
    </row>
    <row r="579" spans="1:17" ht="15.75">
      <c r="A579" s="66"/>
      <c r="B579" s="56"/>
      <c r="C579" s="67"/>
      <c r="D579" s="58"/>
      <c r="E579" s="59"/>
      <c r="F579" s="59"/>
      <c r="G579" s="58"/>
      <c r="H579" s="60"/>
      <c r="I579" s="61"/>
      <c r="J579" s="59"/>
      <c r="K579" s="59"/>
      <c r="L579" s="62"/>
      <c r="M579" s="63"/>
      <c r="N579" s="65"/>
      <c r="O579" s="65"/>
      <c r="P579" s="64"/>
      <c r="Q579" s="64"/>
    </row>
    <row r="580" spans="1:17" ht="15.75">
      <c r="A580" s="66"/>
      <c r="B580" s="56"/>
      <c r="C580" s="67"/>
      <c r="D580" s="58"/>
      <c r="E580" s="59"/>
      <c r="F580" s="59"/>
      <c r="G580" s="58"/>
      <c r="H580" s="60"/>
      <c r="I580" s="61"/>
      <c r="J580" s="59"/>
      <c r="K580" s="59"/>
      <c r="L580" s="62"/>
      <c r="M580" s="63"/>
      <c r="N580" s="65"/>
      <c r="O580" s="65"/>
      <c r="P580" s="64"/>
      <c r="Q580" s="64"/>
    </row>
    <row r="581" spans="1:17" ht="15.75">
      <c r="A581" s="66"/>
      <c r="B581" s="56"/>
      <c r="C581" s="67"/>
      <c r="D581" s="58"/>
      <c r="E581" s="59"/>
      <c r="F581" s="59"/>
      <c r="G581" s="58"/>
      <c r="H581" s="60"/>
      <c r="I581" s="61"/>
      <c r="J581" s="59"/>
      <c r="K581" s="59"/>
      <c r="L581" s="62"/>
      <c r="M581" s="63"/>
      <c r="N581" s="65"/>
      <c r="O581" s="65"/>
      <c r="P581" s="64"/>
      <c r="Q581" s="64"/>
    </row>
    <row r="582" spans="1:17" ht="15.75">
      <c r="A582" s="66"/>
      <c r="B582" s="56"/>
      <c r="C582" s="67"/>
      <c r="D582" s="58"/>
      <c r="E582" s="59"/>
      <c r="F582" s="59"/>
      <c r="G582" s="58"/>
      <c r="H582" s="60"/>
      <c r="I582" s="61"/>
      <c r="J582" s="59"/>
      <c r="K582" s="59"/>
      <c r="L582" s="62"/>
      <c r="M582" s="63"/>
      <c r="N582" s="65"/>
      <c r="O582" s="65"/>
      <c r="P582" s="64"/>
      <c r="Q582" s="64"/>
    </row>
    <row r="583" spans="1:17" ht="15.75">
      <c r="A583" s="66"/>
      <c r="B583" s="56"/>
      <c r="C583" s="67"/>
      <c r="D583" s="58"/>
      <c r="E583" s="59"/>
      <c r="F583" s="59"/>
      <c r="G583" s="58"/>
      <c r="H583" s="60"/>
      <c r="I583" s="61"/>
      <c r="J583" s="59"/>
      <c r="K583" s="59"/>
      <c r="L583" s="62"/>
      <c r="M583" s="63"/>
      <c r="N583" s="65"/>
      <c r="O583" s="65"/>
      <c r="P583" s="64"/>
      <c r="Q583" s="64"/>
    </row>
    <row r="584" spans="1:17" ht="15.75">
      <c r="A584" s="66"/>
      <c r="B584" s="56"/>
      <c r="C584" s="67"/>
      <c r="D584" s="58"/>
      <c r="E584" s="59"/>
      <c r="F584" s="59"/>
      <c r="G584" s="58"/>
      <c r="H584" s="60"/>
      <c r="I584" s="61"/>
      <c r="J584" s="59"/>
      <c r="K584" s="59"/>
      <c r="L584" s="62"/>
      <c r="M584" s="63"/>
      <c r="N584" s="65"/>
      <c r="O584" s="65"/>
      <c r="P584" s="64"/>
      <c r="Q584" s="64"/>
    </row>
    <row r="585" spans="1:17" ht="15.75">
      <c r="A585" s="66"/>
      <c r="B585" s="56"/>
      <c r="C585" s="67"/>
      <c r="D585" s="58"/>
      <c r="E585" s="59"/>
      <c r="F585" s="59"/>
      <c r="G585" s="58"/>
      <c r="H585" s="60"/>
      <c r="I585" s="61"/>
      <c r="J585" s="59"/>
      <c r="K585" s="59"/>
      <c r="L585" s="62"/>
      <c r="M585" s="63"/>
      <c r="N585" s="65"/>
      <c r="O585" s="65"/>
      <c r="P585" s="64"/>
      <c r="Q585" s="64"/>
    </row>
    <row r="586" spans="1:17" ht="15.75">
      <c r="A586" s="66"/>
      <c r="B586" s="56"/>
      <c r="C586" s="67"/>
      <c r="D586" s="58"/>
      <c r="E586" s="59"/>
      <c r="F586" s="59"/>
      <c r="G586" s="58"/>
      <c r="H586" s="60"/>
      <c r="I586" s="61"/>
      <c r="J586" s="59"/>
      <c r="K586" s="59"/>
      <c r="L586" s="62"/>
      <c r="M586" s="63"/>
      <c r="N586" s="65"/>
      <c r="O586" s="65"/>
      <c r="P586" s="64"/>
      <c r="Q586" s="64"/>
    </row>
    <row r="587" spans="1:17" ht="15.75">
      <c r="A587" s="66"/>
      <c r="B587" s="56"/>
      <c r="C587" s="67"/>
      <c r="D587" s="58"/>
      <c r="E587" s="59"/>
      <c r="F587" s="59"/>
      <c r="G587" s="58"/>
      <c r="H587" s="60"/>
      <c r="I587" s="61"/>
      <c r="J587" s="59"/>
      <c r="K587" s="59"/>
      <c r="L587" s="62"/>
      <c r="M587" s="63"/>
      <c r="N587" s="65"/>
      <c r="O587" s="65"/>
      <c r="P587" s="64"/>
      <c r="Q587" s="64"/>
    </row>
    <row r="588" spans="1:17" ht="15.75">
      <c r="A588" s="66"/>
      <c r="B588" s="56"/>
      <c r="C588" s="67"/>
      <c r="D588" s="58"/>
      <c r="E588" s="59"/>
      <c r="F588" s="59"/>
      <c r="G588" s="58"/>
      <c r="H588" s="60"/>
      <c r="I588" s="61"/>
      <c r="J588" s="59"/>
      <c r="K588" s="59"/>
      <c r="L588" s="62"/>
      <c r="M588" s="63"/>
      <c r="N588" s="65"/>
      <c r="O588" s="65"/>
      <c r="P588" s="64"/>
      <c r="Q588" s="64"/>
    </row>
    <row r="589" spans="1:17" ht="15.75">
      <c r="A589" s="66"/>
      <c r="B589" s="56"/>
      <c r="C589" s="67"/>
      <c r="D589" s="58"/>
      <c r="E589" s="59"/>
      <c r="F589" s="59"/>
      <c r="G589" s="58"/>
      <c r="H589" s="60"/>
      <c r="I589" s="61"/>
      <c r="J589" s="59"/>
      <c r="K589" s="59"/>
      <c r="L589" s="62"/>
      <c r="M589" s="63"/>
      <c r="N589" s="65"/>
      <c r="O589" s="65"/>
      <c r="P589" s="64"/>
      <c r="Q589" s="64"/>
    </row>
    <row r="590" spans="1:17" ht="15.75">
      <c r="A590" s="66"/>
      <c r="B590" s="56"/>
      <c r="C590" s="67"/>
      <c r="D590" s="58"/>
      <c r="E590" s="59"/>
      <c r="F590" s="59"/>
      <c r="G590" s="58"/>
      <c r="H590" s="60"/>
      <c r="I590" s="61"/>
      <c r="J590" s="59"/>
      <c r="K590" s="59"/>
      <c r="L590" s="62"/>
      <c r="M590" s="63"/>
      <c r="N590" s="65"/>
      <c r="O590" s="65"/>
      <c r="P590" s="64"/>
      <c r="Q590" s="64"/>
    </row>
    <row r="591" spans="1:17" ht="15.75">
      <c r="A591" s="66"/>
      <c r="B591" s="56"/>
      <c r="C591" s="67"/>
      <c r="D591" s="58"/>
      <c r="E591" s="59"/>
      <c r="F591" s="59"/>
      <c r="G591" s="58"/>
      <c r="H591" s="60"/>
      <c r="I591" s="61"/>
      <c r="J591" s="59"/>
      <c r="K591" s="59"/>
      <c r="L591" s="62"/>
      <c r="M591" s="63"/>
      <c r="N591" s="65"/>
      <c r="O591" s="65"/>
      <c r="P591" s="64"/>
      <c r="Q591" s="64"/>
    </row>
    <row r="592" spans="1:17" ht="15.75">
      <c r="A592" s="66"/>
      <c r="B592" s="56"/>
      <c r="C592" s="67"/>
      <c r="D592" s="58"/>
      <c r="E592" s="59"/>
      <c r="F592" s="59"/>
      <c r="G592" s="58"/>
      <c r="H592" s="60"/>
      <c r="I592" s="61"/>
      <c r="J592" s="59"/>
      <c r="K592" s="59"/>
      <c r="L592" s="62"/>
      <c r="M592" s="63"/>
      <c r="N592" s="65"/>
      <c r="O592" s="65"/>
      <c r="P592" s="64"/>
      <c r="Q592" s="64"/>
    </row>
    <row r="593" spans="1:17" ht="15.75">
      <c r="A593" s="66"/>
      <c r="B593" s="56"/>
      <c r="C593" s="67"/>
      <c r="D593" s="58"/>
      <c r="E593" s="59"/>
      <c r="F593" s="59"/>
      <c r="G593" s="58"/>
      <c r="H593" s="60"/>
      <c r="I593" s="61"/>
      <c r="J593" s="59"/>
      <c r="K593" s="59"/>
      <c r="L593" s="62"/>
      <c r="M593" s="63"/>
      <c r="N593" s="65"/>
      <c r="O593" s="65"/>
      <c r="P593" s="64"/>
      <c r="Q593" s="64"/>
    </row>
    <row r="594" spans="1:17" ht="15.75">
      <c r="A594" s="66"/>
      <c r="B594" s="56"/>
      <c r="C594" s="67"/>
      <c r="D594" s="58"/>
      <c r="E594" s="59"/>
      <c r="F594" s="59"/>
      <c r="G594" s="58"/>
      <c r="H594" s="60"/>
      <c r="I594" s="61"/>
      <c r="J594" s="59"/>
      <c r="K594" s="59"/>
      <c r="L594" s="62"/>
      <c r="M594" s="63"/>
      <c r="N594" s="65"/>
      <c r="O594" s="65"/>
      <c r="P594" s="64"/>
      <c r="Q594" s="64"/>
    </row>
    <row r="595" spans="1:17" ht="15.75">
      <c r="A595" s="66"/>
      <c r="B595" s="56"/>
      <c r="C595" s="67"/>
      <c r="D595" s="58"/>
      <c r="E595" s="59"/>
      <c r="F595" s="59"/>
      <c r="G595" s="58"/>
      <c r="H595" s="60"/>
      <c r="I595" s="61"/>
      <c r="J595" s="59"/>
      <c r="K595" s="59"/>
      <c r="L595" s="62"/>
      <c r="M595" s="63"/>
      <c r="N595" s="65"/>
      <c r="O595" s="65"/>
      <c r="P595" s="64"/>
      <c r="Q595" s="64"/>
    </row>
    <row r="596" spans="1:17" ht="15.75">
      <c r="A596" s="66"/>
      <c r="B596" s="56"/>
      <c r="C596" s="67"/>
      <c r="D596" s="58"/>
      <c r="E596" s="59"/>
      <c r="F596" s="59"/>
      <c r="G596" s="58"/>
      <c r="H596" s="60"/>
      <c r="I596" s="61"/>
      <c r="J596" s="59"/>
      <c r="K596" s="59"/>
      <c r="L596" s="62"/>
      <c r="M596" s="63"/>
      <c r="N596" s="65"/>
      <c r="O596" s="65"/>
      <c r="P596" s="64"/>
      <c r="Q596" s="64"/>
    </row>
    <row r="597" spans="1:17" ht="15.75">
      <c r="A597" s="66"/>
      <c r="B597" s="56"/>
      <c r="C597" s="67"/>
      <c r="D597" s="58"/>
      <c r="E597" s="59"/>
      <c r="F597" s="59"/>
      <c r="G597" s="58"/>
      <c r="H597" s="60"/>
      <c r="I597" s="61"/>
      <c r="J597" s="59"/>
      <c r="K597" s="59"/>
      <c r="L597" s="62"/>
      <c r="M597" s="63"/>
      <c r="N597" s="65"/>
      <c r="O597" s="65"/>
      <c r="P597" s="64"/>
      <c r="Q597" s="64"/>
    </row>
    <row r="598" spans="1:17" ht="15.75">
      <c r="A598" s="66"/>
      <c r="B598" s="56"/>
      <c r="C598" s="67"/>
      <c r="D598" s="58"/>
      <c r="E598" s="59"/>
      <c r="F598" s="59"/>
      <c r="G598" s="58"/>
      <c r="H598" s="60"/>
      <c r="I598" s="61"/>
      <c r="J598" s="59"/>
      <c r="K598" s="59"/>
      <c r="L598" s="62"/>
      <c r="M598" s="63"/>
      <c r="N598" s="65"/>
      <c r="O598" s="65"/>
      <c r="P598" s="64"/>
      <c r="Q598" s="64"/>
    </row>
    <row r="599" spans="1:17" ht="15.75">
      <c r="A599" s="66"/>
      <c r="B599" s="56"/>
      <c r="C599" s="67"/>
      <c r="D599" s="58"/>
      <c r="E599" s="59"/>
      <c r="F599" s="59"/>
      <c r="G599" s="58"/>
      <c r="H599" s="60"/>
      <c r="I599" s="61"/>
      <c r="J599" s="59"/>
      <c r="K599" s="59"/>
      <c r="L599" s="62"/>
      <c r="M599" s="63"/>
      <c r="N599" s="65"/>
      <c r="O599" s="65"/>
      <c r="P599" s="64"/>
      <c r="Q599" s="64"/>
    </row>
    <row r="600" spans="1:17" ht="15.75">
      <c r="A600" s="66"/>
      <c r="B600" s="56"/>
      <c r="C600" s="67"/>
      <c r="D600" s="58"/>
      <c r="E600" s="59"/>
      <c r="F600" s="59"/>
      <c r="G600" s="58"/>
      <c r="H600" s="60"/>
      <c r="I600" s="61"/>
      <c r="J600" s="59"/>
      <c r="K600" s="59"/>
      <c r="L600" s="62"/>
      <c r="M600" s="63"/>
      <c r="N600" s="65"/>
      <c r="O600" s="65"/>
      <c r="P600" s="64"/>
      <c r="Q600" s="64"/>
    </row>
    <row r="601" spans="1:17" ht="15.75">
      <c r="A601" s="66"/>
      <c r="B601" s="56"/>
      <c r="C601" s="67"/>
      <c r="D601" s="58"/>
      <c r="E601" s="59"/>
      <c r="F601" s="59"/>
      <c r="G601" s="58"/>
      <c r="H601" s="60"/>
      <c r="I601" s="61"/>
      <c r="J601" s="59"/>
      <c r="K601" s="59"/>
      <c r="L601" s="62"/>
      <c r="M601" s="63"/>
      <c r="N601" s="65"/>
      <c r="O601" s="65"/>
      <c r="P601" s="64"/>
      <c r="Q601" s="64"/>
    </row>
    <row r="602" spans="1:17" ht="15.75">
      <c r="A602" s="66"/>
      <c r="B602" s="56"/>
      <c r="C602" s="67"/>
      <c r="D602" s="58"/>
      <c r="E602" s="59"/>
      <c r="F602" s="59"/>
      <c r="G602" s="58"/>
      <c r="H602" s="60"/>
      <c r="I602" s="61"/>
      <c r="J602" s="59"/>
      <c r="K602" s="59"/>
      <c r="L602" s="62"/>
      <c r="M602" s="63"/>
      <c r="N602" s="65"/>
      <c r="O602" s="65"/>
      <c r="P602" s="64"/>
      <c r="Q602" s="64"/>
    </row>
    <row r="603" spans="1:17" ht="15.75">
      <c r="A603" s="66"/>
      <c r="B603" s="56"/>
      <c r="C603" s="67"/>
      <c r="D603" s="58"/>
      <c r="E603" s="59"/>
      <c r="F603" s="59"/>
      <c r="G603" s="58"/>
      <c r="H603" s="60"/>
      <c r="I603" s="61"/>
      <c r="J603" s="59"/>
      <c r="K603" s="59"/>
      <c r="L603" s="62"/>
      <c r="M603" s="63"/>
      <c r="N603" s="65"/>
      <c r="O603" s="65"/>
      <c r="P603" s="64"/>
      <c r="Q603" s="64"/>
    </row>
    <row r="604" spans="1:17" ht="15.75">
      <c r="A604" s="66"/>
      <c r="B604" s="56"/>
      <c r="C604" s="67"/>
      <c r="D604" s="58"/>
      <c r="E604" s="59"/>
      <c r="F604" s="59"/>
      <c r="G604" s="58"/>
      <c r="H604" s="60"/>
      <c r="I604" s="61"/>
      <c r="J604" s="59"/>
      <c r="K604" s="59"/>
      <c r="L604" s="62"/>
      <c r="M604" s="63"/>
      <c r="N604" s="65"/>
      <c r="O604" s="65"/>
      <c r="P604" s="64"/>
      <c r="Q604" s="64"/>
    </row>
    <row r="605" spans="1:17" ht="15.75">
      <c r="A605" s="66"/>
      <c r="B605" s="56"/>
      <c r="C605" s="67"/>
      <c r="D605" s="58"/>
      <c r="E605" s="59"/>
      <c r="F605" s="59"/>
      <c r="G605" s="58"/>
      <c r="H605" s="60"/>
      <c r="I605" s="61"/>
      <c r="J605" s="59"/>
      <c r="K605" s="59"/>
      <c r="L605" s="62"/>
      <c r="M605" s="63"/>
      <c r="N605" s="65"/>
      <c r="O605" s="65"/>
      <c r="P605" s="64"/>
      <c r="Q605" s="64"/>
    </row>
    <row r="606" spans="1:17" ht="15.75">
      <c r="A606" s="66"/>
      <c r="B606" s="56"/>
      <c r="C606" s="67"/>
      <c r="D606" s="58"/>
      <c r="E606" s="59"/>
      <c r="F606" s="59"/>
      <c r="G606" s="58"/>
      <c r="H606" s="60"/>
      <c r="I606" s="61"/>
      <c r="J606" s="59"/>
      <c r="K606" s="59"/>
      <c r="L606" s="62"/>
      <c r="M606" s="63"/>
      <c r="N606" s="65"/>
      <c r="O606" s="65"/>
      <c r="P606" s="64"/>
      <c r="Q606" s="64"/>
    </row>
    <row r="607" spans="1:17" ht="15.75">
      <c r="A607" s="66"/>
      <c r="B607" s="56"/>
      <c r="C607" s="67"/>
      <c r="D607" s="58"/>
      <c r="E607" s="59"/>
      <c r="F607" s="59"/>
      <c r="G607" s="58"/>
      <c r="H607" s="60"/>
      <c r="I607" s="61"/>
      <c r="J607" s="59"/>
      <c r="K607" s="59"/>
      <c r="L607" s="62"/>
      <c r="M607" s="63"/>
      <c r="N607" s="65"/>
      <c r="O607" s="65"/>
      <c r="P607" s="64"/>
      <c r="Q607" s="64"/>
    </row>
    <row r="608" spans="1:17" ht="15.75">
      <c r="A608" s="66"/>
      <c r="B608" s="56"/>
      <c r="C608" s="67"/>
      <c r="D608" s="58"/>
      <c r="E608" s="59"/>
      <c r="F608" s="59"/>
      <c r="G608" s="58"/>
      <c r="H608" s="60"/>
      <c r="I608" s="61"/>
      <c r="J608" s="59"/>
      <c r="K608" s="59"/>
      <c r="L608" s="62"/>
      <c r="M608" s="63"/>
      <c r="N608" s="65"/>
      <c r="O608" s="65"/>
      <c r="P608" s="64"/>
      <c r="Q608" s="64"/>
    </row>
    <row r="609" spans="1:17" ht="15.75">
      <c r="A609" s="66"/>
      <c r="B609" s="56"/>
      <c r="C609" s="67"/>
      <c r="D609" s="58"/>
      <c r="E609" s="59"/>
      <c r="F609" s="59"/>
      <c r="G609" s="58"/>
      <c r="H609" s="60"/>
      <c r="I609" s="61"/>
      <c r="J609" s="59"/>
      <c r="K609" s="59"/>
      <c r="L609" s="62"/>
      <c r="M609" s="63"/>
      <c r="N609" s="65"/>
      <c r="O609" s="65"/>
      <c r="P609" s="64"/>
      <c r="Q609" s="64"/>
    </row>
    <row r="610" spans="1:17" ht="15.75">
      <c r="A610" s="66"/>
      <c r="B610" s="56"/>
      <c r="C610" s="67"/>
      <c r="D610" s="58"/>
      <c r="E610" s="59"/>
      <c r="F610" s="59"/>
      <c r="G610" s="58"/>
      <c r="H610" s="60"/>
      <c r="I610" s="61"/>
      <c r="J610" s="59"/>
      <c r="K610" s="59"/>
      <c r="L610" s="62"/>
      <c r="M610" s="63"/>
      <c r="N610" s="65"/>
      <c r="O610" s="65"/>
      <c r="P610" s="64"/>
      <c r="Q610" s="64"/>
    </row>
    <row r="611" spans="1:17" ht="15.75">
      <c r="A611" s="66"/>
      <c r="B611" s="56"/>
      <c r="C611" s="67"/>
      <c r="D611" s="58"/>
      <c r="E611" s="59"/>
      <c r="F611" s="59"/>
      <c r="G611" s="58"/>
      <c r="H611" s="60"/>
      <c r="I611" s="61"/>
      <c r="J611" s="59"/>
      <c r="K611" s="59"/>
      <c r="L611" s="62"/>
      <c r="M611" s="63"/>
      <c r="N611" s="65"/>
      <c r="O611" s="65"/>
      <c r="P611" s="64"/>
      <c r="Q611" s="64"/>
    </row>
    <row r="612" spans="1:17" ht="15.75">
      <c r="A612" s="66"/>
      <c r="B612" s="56"/>
      <c r="C612" s="67"/>
      <c r="D612" s="58"/>
      <c r="E612" s="59"/>
      <c r="F612" s="59"/>
      <c r="G612" s="58"/>
      <c r="H612" s="60"/>
      <c r="I612" s="61"/>
      <c r="J612" s="59"/>
      <c r="K612" s="59"/>
      <c r="L612" s="62"/>
      <c r="M612" s="63"/>
      <c r="N612" s="65"/>
      <c r="O612" s="65"/>
      <c r="P612" s="64"/>
      <c r="Q612" s="64"/>
    </row>
    <row r="613" spans="1:17" ht="15.75">
      <c r="A613" s="66"/>
      <c r="B613" s="56"/>
      <c r="C613" s="67"/>
      <c r="D613" s="58"/>
      <c r="E613" s="59"/>
      <c r="F613" s="59"/>
      <c r="G613" s="58"/>
      <c r="H613" s="60"/>
      <c r="I613" s="61"/>
      <c r="J613" s="59"/>
      <c r="K613" s="59"/>
      <c r="L613" s="62"/>
      <c r="M613" s="63"/>
      <c r="N613" s="65"/>
      <c r="O613" s="65"/>
      <c r="P613" s="64"/>
      <c r="Q613" s="64"/>
    </row>
    <row r="614" spans="1:17" ht="15.75">
      <c r="A614" s="66"/>
      <c r="B614" s="56"/>
      <c r="C614" s="67"/>
      <c r="D614" s="58"/>
      <c r="E614" s="59"/>
      <c r="F614" s="59"/>
      <c r="G614" s="58"/>
      <c r="H614" s="60"/>
      <c r="I614" s="61"/>
      <c r="J614" s="59"/>
      <c r="K614" s="59"/>
      <c r="L614" s="62"/>
      <c r="M614" s="63"/>
      <c r="N614" s="65"/>
      <c r="O614" s="65"/>
      <c r="P614" s="64"/>
      <c r="Q614" s="64"/>
    </row>
    <row r="615" spans="1:17" ht="15.75">
      <c r="A615" s="66"/>
      <c r="B615" s="56"/>
      <c r="C615" s="67"/>
      <c r="D615" s="58"/>
      <c r="E615" s="59"/>
      <c r="F615" s="59"/>
      <c r="G615" s="58"/>
      <c r="H615" s="60"/>
      <c r="I615" s="61"/>
      <c r="J615" s="59"/>
      <c r="K615" s="59"/>
      <c r="L615" s="62"/>
      <c r="M615" s="63"/>
      <c r="N615" s="65"/>
      <c r="O615" s="65"/>
      <c r="P615" s="64"/>
      <c r="Q615" s="64"/>
    </row>
    <row r="616" spans="1:17" ht="15.75">
      <c r="A616" s="66"/>
      <c r="B616" s="56"/>
      <c r="C616" s="67"/>
      <c r="D616" s="58"/>
      <c r="E616" s="59"/>
      <c r="F616" s="59"/>
      <c r="G616" s="58"/>
      <c r="H616" s="60"/>
      <c r="I616" s="61"/>
      <c r="J616" s="59"/>
      <c r="K616" s="59"/>
      <c r="L616" s="62"/>
      <c r="M616" s="63"/>
      <c r="N616" s="65"/>
      <c r="O616" s="65"/>
      <c r="P616" s="64"/>
      <c r="Q616" s="64"/>
    </row>
    <row r="617" spans="1:17" ht="15.75">
      <c r="A617" s="66"/>
      <c r="B617" s="56"/>
      <c r="C617" s="67"/>
      <c r="D617" s="58"/>
      <c r="E617" s="59"/>
      <c r="F617" s="59"/>
      <c r="G617" s="58"/>
      <c r="H617" s="60"/>
      <c r="I617" s="61"/>
      <c r="J617" s="59"/>
      <c r="K617" s="59"/>
      <c r="L617" s="62"/>
      <c r="M617" s="63"/>
      <c r="N617" s="65"/>
      <c r="O617" s="65"/>
      <c r="P617" s="64"/>
      <c r="Q617" s="64"/>
    </row>
    <row r="618" spans="1:17" ht="15.75">
      <c r="A618" s="66"/>
      <c r="B618" s="56"/>
      <c r="C618" s="67"/>
      <c r="D618" s="58"/>
      <c r="E618" s="59"/>
      <c r="F618" s="59"/>
      <c r="G618" s="58"/>
      <c r="H618" s="60"/>
      <c r="I618" s="61"/>
      <c r="J618" s="59"/>
      <c r="K618" s="59"/>
      <c r="L618" s="62"/>
      <c r="M618" s="63"/>
      <c r="N618" s="65"/>
      <c r="O618" s="65"/>
      <c r="P618" s="64"/>
      <c r="Q618" s="64"/>
    </row>
    <row r="619" spans="1:17" ht="15.75">
      <c r="A619" s="66"/>
      <c r="B619" s="56"/>
      <c r="C619" s="67"/>
      <c r="D619" s="58"/>
      <c r="E619" s="59"/>
      <c r="F619" s="59"/>
      <c r="G619" s="58"/>
      <c r="H619" s="60"/>
      <c r="I619" s="61"/>
      <c r="J619" s="59"/>
      <c r="K619" s="59"/>
      <c r="L619" s="62"/>
      <c r="M619" s="63"/>
      <c r="N619" s="65"/>
      <c r="O619" s="65"/>
      <c r="P619" s="64"/>
      <c r="Q619" s="64"/>
    </row>
    <row r="620" spans="1:17" ht="15.75">
      <c r="A620" s="66"/>
      <c r="B620" s="56"/>
      <c r="C620" s="67"/>
      <c r="D620" s="58"/>
      <c r="E620" s="59"/>
      <c r="F620" s="59"/>
      <c r="G620" s="58"/>
      <c r="H620" s="60"/>
      <c r="I620" s="61"/>
      <c r="J620" s="59"/>
      <c r="K620" s="59"/>
      <c r="L620" s="62"/>
      <c r="M620" s="63"/>
      <c r="N620" s="65"/>
      <c r="O620" s="65"/>
      <c r="P620" s="64"/>
      <c r="Q620" s="64"/>
    </row>
    <row r="621" spans="1:17" ht="15.75">
      <c r="A621" s="66"/>
      <c r="B621" s="56"/>
      <c r="C621" s="67"/>
      <c r="D621" s="58"/>
      <c r="E621" s="59"/>
      <c r="F621" s="59"/>
      <c r="G621" s="58"/>
      <c r="H621" s="60"/>
      <c r="I621" s="61"/>
      <c r="J621" s="59"/>
      <c r="K621" s="59"/>
      <c r="L621" s="62"/>
      <c r="M621" s="63"/>
      <c r="N621" s="65"/>
      <c r="O621" s="65"/>
      <c r="P621" s="64"/>
      <c r="Q621" s="64"/>
    </row>
    <row r="622" spans="1:17" ht="15.75">
      <c r="A622" s="66"/>
      <c r="B622" s="56"/>
      <c r="C622" s="67"/>
      <c r="D622" s="58"/>
      <c r="E622" s="59"/>
      <c r="F622" s="59"/>
      <c r="G622" s="58"/>
      <c r="H622" s="60"/>
      <c r="I622" s="61"/>
      <c r="J622" s="59"/>
      <c r="K622" s="59"/>
      <c r="L622" s="62"/>
      <c r="M622" s="63"/>
      <c r="N622" s="65"/>
      <c r="O622" s="65"/>
      <c r="P622" s="64"/>
      <c r="Q622" s="64"/>
    </row>
    <row r="623" spans="1:17" ht="15.75">
      <c r="A623" s="66"/>
      <c r="B623" s="56"/>
      <c r="C623" s="67"/>
      <c r="D623" s="58"/>
      <c r="E623" s="59"/>
      <c r="F623" s="59"/>
      <c r="G623" s="58"/>
      <c r="H623" s="60"/>
      <c r="I623" s="61"/>
      <c r="J623" s="59"/>
      <c r="K623" s="59"/>
      <c r="L623" s="62"/>
      <c r="M623" s="63"/>
      <c r="N623" s="65"/>
      <c r="O623" s="65"/>
      <c r="P623" s="64"/>
      <c r="Q623" s="64"/>
    </row>
    <row r="624" spans="1:17" ht="15.75">
      <c r="A624" s="66"/>
      <c r="B624" s="56"/>
      <c r="C624" s="67"/>
      <c r="D624" s="58"/>
      <c r="E624" s="59"/>
      <c r="F624" s="59"/>
      <c r="G624" s="58"/>
      <c r="H624" s="60"/>
      <c r="I624" s="61"/>
      <c r="J624" s="59"/>
      <c r="K624" s="59"/>
      <c r="L624" s="62"/>
      <c r="M624" s="63"/>
      <c r="N624" s="65"/>
      <c r="O624" s="65"/>
      <c r="P624" s="64"/>
      <c r="Q624" s="64"/>
    </row>
    <row r="625" spans="1:17" ht="15.75">
      <c r="A625" s="66"/>
      <c r="B625" s="56"/>
      <c r="C625" s="67"/>
      <c r="D625" s="58"/>
      <c r="E625" s="59"/>
      <c r="F625" s="59"/>
      <c r="G625" s="58"/>
      <c r="H625" s="60"/>
      <c r="I625" s="61"/>
      <c r="J625" s="59"/>
      <c r="K625" s="59"/>
      <c r="L625" s="62"/>
      <c r="M625" s="63"/>
      <c r="N625" s="65"/>
      <c r="O625" s="65"/>
      <c r="P625" s="64"/>
      <c r="Q625" s="64"/>
    </row>
    <row r="626" spans="1:17" ht="15.75">
      <c r="A626" s="66"/>
      <c r="B626" s="56"/>
      <c r="C626" s="67"/>
      <c r="D626" s="58"/>
      <c r="E626" s="59"/>
      <c r="F626" s="59"/>
      <c r="G626" s="58"/>
      <c r="H626" s="60"/>
      <c r="I626" s="61"/>
      <c r="J626" s="59"/>
      <c r="K626" s="59"/>
      <c r="L626" s="62"/>
      <c r="M626" s="63"/>
      <c r="N626" s="65"/>
      <c r="O626" s="65"/>
      <c r="P626" s="64"/>
      <c r="Q626" s="64"/>
    </row>
    <row r="627" spans="1:17" ht="15.75">
      <c r="A627" s="66"/>
      <c r="B627" s="56"/>
      <c r="C627" s="67"/>
      <c r="D627" s="58"/>
      <c r="E627" s="59"/>
      <c r="F627" s="59"/>
      <c r="G627" s="58"/>
      <c r="H627" s="60"/>
      <c r="I627" s="61"/>
      <c r="J627" s="59"/>
      <c r="K627" s="59"/>
      <c r="L627" s="62"/>
      <c r="M627" s="63"/>
      <c r="N627" s="65"/>
      <c r="O627" s="65"/>
      <c r="P627" s="64"/>
      <c r="Q627" s="64"/>
    </row>
    <row r="628" spans="1:17" ht="15.75">
      <c r="A628" s="66"/>
      <c r="B628" s="56"/>
      <c r="C628" s="67"/>
      <c r="D628" s="58"/>
      <c r="E628" s="59"/>
      <c r="F628" s="59"/>
      <c r="G628" s="58"/>
      <c r="H628" s="60"/>
      <c r="I628" s="61"/>
      <c r="J628" s="59"/>
      <c r="K628" s="59"/>
      <c r="L628" s="62"/>
      <c r="M628" s="63"/>
      <c r="N628" s="65"/>
      <c r="O628" s="65"/>
      <c r="P628" s="64"/>
      <c r="Q628" s="64"/>
    </row>
    <row r="629" spans="1:17" ht="15.75">
      <c r="A629" s="66"/>
      <c r="B629" s="56"/>
      <c r="C629" s="67"/>
      <c r="D629" s="58"/>
      <c r="E629" s="59"/>
      <c r="F629" s="59"/>
      <c r="G629" s="58"/>
      <c r="H629" s="60"/>
      <c r="I629" s="61"/>
      <c r="J629" s="59"/>
      <c r="K629" s="59"/>
      <c r="L629" s="62"/>
      <c r="M629" s="63"/>
      <c r="N629" s="65"/>
      <c r="O629" s="65"/>
      <c r="P629" s="64"/>
      <c r="Q629" s="64"/>
    </row>
    <row r="630" spans="1:17" ht="15.75">
      <c r="A630" s="66"/>
      <c r="B630" s="56"/>
      <c r="C630" s="67"/>
      <c r="D630" s="58"/>
      <c r="E630" s="59"/>
      <c r="F630" s="59"/>
      <c r="G630" s="58"/>
      <c r="H630" s="60"/>
      <c r="I630" s="61"/>
      <c r="J630" s="59"/>
      <c r="K630" s="59"/>
      <c r="L630" s="62"/>
      <c r="M630" s="63"/>
      <c r="N630" s="65"/>
      <c r="O630" s="65"/>
      <c r="P630" s="64"/>
      <c r="Q630" s="64"/>
    </row>
    <row r="631" spans="1:17" ht="15.75">
      <c r="A631" s="66"/>
      <c r="B631" s="56"/>
      <c r="C631" s="67"/>
      <c r="D631" s="58"/>
      <c r="E631" s="59"/>
      <c r="F631" s="59"/>
      <c r="G631" s="58"/>
      <c r="H631" s="60"/>
      <c r="I631" s="61"/>
      <c r="J631" s="59"/>
      <c r="K631" s="59"/>
      <c r="L631" s="62"/>
      <c r="M631" s="63"/>
      <c r="N631" s="65"/>
      <c r="O631" s="65"/>
      <c r="P631" s="64"/>
      <c r="Q631" s="64"/>
    </row>
    <row r="632" spans="1:17" ht="15.75">
      <c r="A632" s="66"/>
      <c r="B632" s="56"/>
      <c r="C632" s="67"/>
      <c r="D632" s="58"/>
      <c r="E632" s="59"/>
      <c r="F632" s="59"/>
      <c r="G632" s="58"/>
      <c r="H632" s="60"/>
      <c r="I632" s="61"/>
      <c r="J632" s="59"/>
      <c r="K632" s="59"/>
      <c r="L632" s="62"/>
      <c r="M632" s="63"/>
      <c r="N632" s="65"/>
      <c r="O632" s="65"/>
      <c r="P632" s="64"/>
      <c r="Q632" s="64"/>
    </row>
    <row r="633" spans="1:17" ht="15.75">
      <c r="A633" s="66"/>
      <c r="B633" s="56"/>
      <c r="C633" s="67"/>
      <c r="D633" s="58"/>
      <c r="E633" s="59"/>
      <c r="F633" s="59"/>
      <c r="G633" s="58"/>
      <c r="H633" s="60"/>
      <c r="I633" s="61"/>
      <c r="J633" s="59"/>
      <c r="K633" s="59"/>
      <c r="L633" s="62"/>
      <c r="M633" s="63"/>
      <c r="N633" s="65"/>
      <c r="O633" s="65"/>
      <c r="P633" s="64"/>
      <c r="Q633" s="64"/>
    </row>
    <row r="634" spans="1:17" ht="15.75">
      <c r="A634" s="66"/>
      <c r="B634" s="56"/>
      <c r="C634" s="67"/>
      <c r="D634" s="58"/>
      <c r="E634" s="59"/>
      <c r="F634" s="59"/>
      <c r="G634" s="58"/>
      <c r="H634" s="60"/>
      <c r="I634" s="61"/>
      <c r="J634" s="59"/>
      <c r="K634" s="59"/>
      <c r="L634" s="62"/>
      <c r="M634" s="63"/>
      <c r="N634" s="65"/>
      <c r="O634" s="65"/>
      <c r="P634" s="64"/>
      <c r="Q634" s="64"/>
    </row>
    <row r="635" spans="1:17" ht="15.75">
      <c r="A635" s="66"/>
      <c r="B635" s="56"/>
      <c r="C635" s="67"/>
      <c r="D635" s="58"/>
      <c r="E635" s="59"/>
      <c r="F635" s="59"/>
      <c r="G635" s="58"/>
      <c r="H635" s="60"/>
      <c r="I635" s="61"/>
      <c r="J635" s="59"/>
      <c r="K635" s="59"/>
      <c r="L635" s="62"/>
      <c r="M635" s="63"/>
      <c r="N635" s="65"/>
      <c r="O635" s="65"/>
      <c r="P635" s="64"/>
      <c r="Q635" s="64"/>
    </row>
    <row r="636" spans="1:17" ht="15.75">
      <c r="A636" s="66"/>
      <c r="B636" s="56"/>
      <c r="C636" s="67"/>
      <c r="D636" s="58"/>
      <c r="E636" s="59"/>
      <c r="F636" s="59"/>
      <c r="G636" s="58"/>
      <c r="H636" s="60"/>
      <c r="I636" s="61"/>
      <c r="J636" s="59"/>
      <c r="K636" s="59"/>
      <c r="L636" s="62"/>
      <c r="M636" s="63"/>
      <c r="N636" s="65"/>
      <c r="O636" s="65"/>
      <c r="P636" s="64"/>
      <c r="Q636" s="64"/>
    </row>
    <row r="637" spans="1:17" ht="15.75">
      <c r="A637" s="66"/>
      <c r="B637" s="56"/>
      <c r="C637" s="67"/>
      <c r="D637" s="58"/>
      <c r="E637" s="59"/>
      <c r="F637" s="59"/>
      <c r="G637" s="58"/>
      <c r="H637" s="60"/>
      <c r="I637" s="61"/>
      <c r="J637" s="59"/>
      <c r="K637" s="59"/>
      <c r="L637" s="62"/>
      <c r="M637" s="63"/>
      <c r="N637" s="65"/>
      <c r="O637" s="65"/>
      <c r="P637" s="64"/>
      <c r="Q637" s="64"/>
    </row>
    <row r="638" spans="1:17" ht="15.75">
      <c r="A638" s="66"/>
      <c r="B638" s="56"/>
      <c r="C638" s="67"/>
      <c r="D638" s="58"/>
      <c r="E638" s="59"/>
      <c r="F638" s="59"/>
      <c r="G638" s="58"/>
      <c r="H638" s="60"/>
      <c r="I638" s="61"/>
      <c r="J638" s="59"/>
      <c r="K638" s="59"/>
      <c r="L638" s="62"/>
      <c r="M638" s="63"/>
      <c r="N638" s="65"/>
      <c r="O638" s="65"/>
      <c r="P638" s="64"/>
      <c r="Q638" s="64"/>
    </row>
    <row r="639" spans="1:17" ht="15.75">
      <c r="A639" s="66"/>
      <c r="B639" s="56"/>
      <c r="C639" s="67"/>
      <c r="D639" s="58"/>
      <c r="E639" s="59"/>
      <c r="F639" s="59"/>
      <c r="G639" s="58"/>
      <c r="H639" s="60"/>
      <c r="I639" s="61"/>
      <c r="J639" s="59"/>
      <c r="K639" s="59"/>
      <c r="L639" s="62"/>
      <c r="M639" s="63"/>
      <c r="N639" s="65"/>
      <c r="O639" s="65"/>
      <c r="P639" s="64"/>
      <c r="Q639" s="64"/>
    </row>
    <row r="640" spans="1:17" ht="15.75">
      <c r="A640" s="66"/>
      <c r="B640" s="56"/>
      <c r="C640" s="67"/>
      <c r="D640" s="58"/>
      <c r="E640" s="59"/>
      <c r="F640" s="59"/>
      <c r="G640" s="58"/>
      <c r="H640" s="60"/>
      <c r="I640" s="61"/>
      <c r="J640" s="59"/>
      <c r="K640" s="59"/>
      <c r="L640" s="62"/>
      <c r="M640" s="63"/>
      <c r="N640" s="65"/>
      <c r="O640" s="65"/>
      <c r="P640" s="64"/>
      <c r="Q640" s="64"/>
    </row>
    <row r="641" spans="1:17" ht="15.75">
      <c r="A641" s="66"/>
      <c r="B641" s="56"/>
      <c r="C641" s="67"/>
      <c r="D641" s="58"/>
      <c r="E641" s="59"/>
      <c r="F641" s="59"/>
      <c r="G641" s="58"/>
      <c r="H641" s="60"/>
      <c r="I641" s="61"/>
      <c r="J641" s="59"/>
      <c r="K641" s="59"/>
      <c r="L641" s="62"/>
      <c r="M641" s="63"/>
      <c r="N641" s="65"/>
      <c r="O641" s="65"/>
      <c r="P641" s="64"/>
      <c r="Q641" s="64"/>
    </row>
    <row r="642" spans="1:17" ht="15.75">
      <c r="A642" s="66"/>
      <c r="B642" s="56"/>
      <c r="C642" s="67"/>
      <c r="D642" s="58"/>
      <c r="E642" s="59"/>
      <c r="F642" s="59"/>
      <c r="G642" s="58"/>
      <c r="H642" s="60"/>
      <c r="I642" s="61"/>
      <c r="J642" s="59"/>
      <c r="K642" s="59"/>
      <c r="L642" s="62"/>
      <c r="M642" s="63"/>
      <c r="N642" s="65"/>
      <c r="O642" s="65"/>
      <c r="P642" s="64"/>
      <c r="Q642" s="64"/>
    </row>
    <row r="643" spans="1:17" ht="15.75">
      <c r="A643" s="66"/>
      <c r="B643" s="56"/>
      <c r="C643" s="67"/>
      <c r="D643" s="58"/>
      <c r="E643" s="59"/>
      <c r="F643" s="59"/>
      <c r="G643" s="58"/>
      <c r="H643" s="60"/>
      <c r="I643" s="61"/>
      <c r="J643" s="59"/>
      <c r="K643" s="59"/>
      <c r="L643" s="62"/>
      <c r="M643" s="63"/>
      <c r="N643" s="65"/>
      <c r="O643" s="65"/>
      <c r="P643" s="64"/>
      <c r="Q643" s="64"/>
    </row>
    <row r="644" spans="1:17" ht="15.75">
      <c r="A644" s="66"/>
      <c r="B644" s="56"/>
      <c r="C644" s="67"/>
      <c r="D644" s="58"/>
      <c r="E644" s="59"/>
      <c r="F644" s="59"/>
      <c r="G644" s="58"/>
      <c r="H644" s="60"/>
      <c r="I644" s="61"/>
      <c r="J644" s="59"/>
      <c r="K644" s="59"/>
      <c r="L644" s="62"/>
      <c r="M644" s="63"/>
      <c r="N644" s="65"/>
      <c r="O644" s="65"/>
      <c r="P644" s="64"/>
      <c r="Q644" s="64"/>
    </row>
    <row r="645" spans="1:17" ht="15.75">
      <c r="A645" s="66"/>
      <c r="B645" s="56"/>
      <c r="C645" s="67"/>
      <c r="D645" s="58"/>
      <c r="E645" s="59"/>
      <c r="F645" s="59"/>
      <c r="G645" s="58"/>
      <c r="H645" s="60"/>
      <c r="I645" s="61"/>
      <c r="J645" s="59"/>
      <c r="K645" s="59"/>
      <c r="L645" s="62"/>
      <c r="M645" s="63"/>
      <c r="N645" s="65"/>
      <c r="O645" s="65"/>
      <c r="P645" s="64"/>
      <c r="Q645" s="64"/>
    </row>
    <row r="646" spans="1:17" ht="15.75">
      <c r="A646" s="66"/>
      <c r="B646" s="56"/>
      <c r="C646" s="67"/>
      <c r="D646" s="58"/>
      <c r="E646" s="59"/>
      <c r="F646" s="59"/>
      <c r="G646" s="58"/>
      <c r="H646" s="60"/>
      <c r="I646" s="61"/>
      <c r="J646" s="59"/>
      <c r="K646" s="59"/>
      <c r="L646" s="62"/>
      <c r="M646" s="63"/>
      <c r="N646" s="65"/>
      <c r="O646" s="65"/>
      <c r="P646" s="64"/>
      <c r="Q646" s="64"/>
    </row>
    <row r="647" spans="1:17" ht="15.75">
      <c r="A647" s="66"/>
      <c r="B647" s="56"/>
      <c r="C647" s="67"/>
      <c r="D647" s="58"/>
      <c r="E647" s="59"/>
      <c r="F647" s="59"/>
      <c r="G647" s="58"/>
      <c r="H647" s="60"/>
      <c r="I647" s="61"/>
      <c r="J647" s="59"/>
      <c r="K647" s="59"/>
      <c r="L647" s="62"/>
      <c r="M647" s="63"/>
      <c r="N647" s="65"/>
      <c r="O647" s="65"/>
      <c r="P647" s="64"/>
      <c r="Q647" s="64"/>
    </row>
    <row r="648" spans="1:17" ht="15.75">
      <c r="A648" s="66"/>
      <c r="B648" s="56"/>
      <c r="C648" s="67"/>
      <c r="D648" s="58"/>
      <c r="E648" s="59"/>
      <c r="F648" s="59"/>
      <c r="G648" s="58"/>
      <c r="H648" s="60"/>
      <c r="I648" s="61"/>
      <c r="J648" s="59"/>
      <c r="K648" s="59"/>
      <c r="L648" s="62"/>
      <c r="M648" s="63"/>
      <c r="N648" s="65"/>
      <c r="O648" s="65"/>
      <c r="P648" s="64"/>
      <c r="Q648" s="64"/>
    </row>
    <row r="649" spans="1:17" ht="15.75">
      <c r="A649" s="66"/>
      <c r="B649" s="56"/>
      <c r="C649" s="67"/>
      <c r="D649" s="58"/>
      <c r="E649" s="59"/>
      <c r="F649" s="59"/>
      <c r="G649" s="58"/>
      <c r="H649" s="60"/>
      <c r="I649" s="61"/>
      <c r="J649" s="59"/>
      <c r="K649" s="59"/>
      <c r="L649" s="62"/>
      <c r="M649" s="63"/>
      <c r="N649" s="65"/>
      <c r="O649" s="65"/>
      <c r="P649" s="64"/>
      <c r="Q649" s="64"/>
    </row>
    <row r="650" spans="1:17" ht="15.75">
      <c r="A650" s="66"/>
      <c r="B650" s="56"/>
      <c r="C650" s="67"/>
      <c r="D650" s="58"/>
      <c r="E650" s="59"/>
      <c r="F650" s="59"/>
      <c r="G650" s="58"/>
      <c r="H650" s="60"/>
      <c r="I650" s="61"/>
      <c r="J650" s="59"/>
      <c r="K650" s="59"/>
      <c r="L650" s="62"/>
      <c r="M650" s="63"/>
      <c r="N650" s="65"/>
      <c r="O650" s="65"/>
      <c r="P650" s="64"/>
      <c r="Q650" s="64"/>
    </row>
    <row r="651" spans="1:17" ht="15.75">
      <c r="A651" s="66"/>
      <c r="B651" s="56"/>
      <c r="C651" s="67"/>
      <c r="D651" s="58"/>
      <c r="E651" s="59"/>
      <c r="F651" s="59"/>
      <c r="G651" s="58"/>
      <c r="H651" s="60"/>
      <c r="I651" s="61"/>
      <c r="J651" s="59"/>
      <c r="K651" s="59"/>
      <c r="L651" s="62"/>
      <c r="M651" s="63"/>
      <c r="N651" s="65"/>
      <c r="O651" s="65"/>
      <c r="P651" s="64"/>
      <c r="Q651" s="64"/>
    </row>
    <row r="652" spans="1:17" ht="15.75">
      <c r="A652" s="66"/>
      <c r="B652" s="56"/>
      <c r="C652" s="67"/>
      <c r="D652" s="58"/>
      <c r="E652" s="59"/>
      <c r="F652" s="59"/>
      <c r="G652" s="58"/>
      <c r="H652" s="60"/>
      <c r="I652" s="61"/>
      <c r="J652" s="59"/>
      <c r="K652" s="59"/>
      <c r="L652" s="62"/>
      <c r="M652" s="63"/>
      <c r="N652" s="65"/>
      <c r="O652" s="65"/>
      <c r="P652" s="64"/>
      <c r="Q652" s="64"/>
    </row>
    <row r="653" spans="1:17" ht="15.75">
      <c r="A653" s="66"/>
      <c r="B653" s="56"/>
      <c r="C653" s="67"/>
      <c r="D653" s="58"/>
      <c r="E653" s="59"/>
      <c r="F653" s="59"/>
      <c r="G653" s="58"/>
      <c r="H653" s="60"/>
      <c r="I653" s="61"/>
      <c r="J653" s="59"/>
      <c r="K653" s="59"/>
      <c r="L653" s="62"/>
      <c r="M653" s="63"/>
      <c r="N653" s="65"/>
      <c r="O653" s="65"/>
      <c r="P653" s="64"/>
      <c r="Q653" s="64"/>
    </row>
    <row r="654" spans="1:17" ht="15.75">
      <c r="A654" s="66"/>
      <c r="B654" s="56"/>
      <c r="C654" s="67"/>
      <c r="D654" s="58"/>
      <c r="E654" s="59"/>
      <c r="F654" s="59"/>
      <c r="G654" s="58"/>
      <c r="H654" s="60"/>
      <c r="I654" s="61"/>
      <c r="J654" s="59"/>
      <c r="K654" s="59"/>
      <c r="L654" s="62"/>
      <c r="M654" s="63"/>
      <c r="N654" s="65"/>
      <c r="O654" s="65"/>
      <c r="P654" s="64"/>
      <c r="Q654" s="64"/>
    </row>
    <row r="655" spans="1:17" ht="15.75">
      <c r="A655" s="66"/>
      <c r="B655" s="56"/>
      <c r="C655" s="67"/>
      <c r="D655" s="58"/>
      <c r="E655" s="59"/>
      <c r="F655" s="59"/>
      <c r="G655" s="58"/>
      <c r="H655" s="60"/>
      <c r="I655" s="61"/>
      <c r="J655" s="59"/>
      <c r="K655" s="59"/>
      <c r="L655" s="62"/>
      <c r="M655" s="63"/>
      <c r="N655" s="65"/>
      <c r="O655" s="65"/>
      <c r="P655" s="64"/>
      <c r="Q655" s="64"/>
    </row>
    <row r="656" spans="1:17" ht="15.75">
      <c r="A656" s="66"/>
      <c r="B656" s="56"/>
      <c r="C656" s="67"/>
      <c r="D656" s="58"/>
      <c r="E656" s="59"/>
      <c r="F656" s="59"/>
      <c r="G656" s="58"/>
      <c r="H656" s="60"/>
      <c r="I656" s="61"/>
      <c r="J656" s="59"/>
      <c r="K656" s="59"/>
      <c r="L656" s="62"/>
      <c r="M656" s="63"/>
      <c r="N656" s="65"/>
      <c r="O656" s="65"/>
      <c r="P656" s="64"/>
      <c r="Q656" s="64"/>
    </row>
    <row r="657" spans="1:17" ht="15.75">
      <c r="A657" s="66"/>
      <c r="B657" s="56"/>
      <c r="C657" s="67"/>
      <c r="D657" s="58"/>
      <c r="E657" s="59"/>
      <c r="F657" s="59"/>
      <c r="G657" s="58"/>
      <c r="H657" s="60"/>
      <c r="I657" s="61"/>
      <c r="J657" s="59"/>
      <c r="K657" s="59"/>
      <c r="L657" s="62"/>
      <c r="M657" s="63"/>
      <c r="N657" s="65"/>
      <c r="O657" s="65"/>
      <c r="P657" s="64"/>
      <c r="Q657" s="64"/>
    </row>
    <row r="658" spans="1:17" ht="15.75">
      <c r="A658" s="66"/>
      <c r="B658" s="56"/>
      <c r="C658" s="67"/>
      <c r="D658" s="58"/>
      <c r="E658" s="59"/>
      <c r="F658" s="59"/>
      <c r="G658" s="58"/>
      <c r="H658" s="60"/>
      <c r="I658" s="61"/>
      <c r="J658" s="59"/>
      <c r="K658" s="59"/>
      <c r="L658" s="62"/>
      <c r="M658" s="63"/>
      <c r="N658" s="65"/>
      <c r="O658" s="65"/>
      <c r="P658" s="64"/>
      <c r="Q658" s="64"/>
    </row>
    <row r="659" spans="1:17" ht="15.75">
      <c r="A659" s="66"/>
      <c r="B659" s="56"/>
      <c r="C659" s="67"/>
      <c r="D659" s="58"/>
      <c r="E659" s="59"/>
      <c r="F659" s="59"/>
      <c r="G659" s="58"/>
      <c r="H659" s="60"/>
      <c r="I659" s="61"/>
      <c r="J659" s="59"/>
      <c r="K659" s="59"/>
      <c r="L659" s="62"/>
      <c r="M659" s="63"/>
      <c r="N659" s="65"/>
      <c r="O659" s="65"/>
      <c r="P659" s="64"/>
      <c r="Q659" s="64"/>
    </row>
    <row r="660" spans="1:17" ht="15.75">
      <c r="A660" s="66"/>
      <c r="B660" s="56"/>
      <c r="C660" s="67"/>
      <c r="D660" s="58"/>
      <c r="E660" s="59"/>
      <c r="F660" s="59"/>
      <c r="G660" s="58"/>
      <c r="H660" s="60"/>
      <c r="I660" s="61"/>
      <c r="J660" s="59"/>
      <c r="K660" s="59"/>
      <c r="L660" s="62"/>
      <c r="M660" s="63"/>
      <c r="N660" s="65"/>
      <c r="O660" s="65"/>
      <c r="P660" s="64"/>
      <c r="Q660" s="64"/>
    </row>
    <row r="661" spans="1:17" ht="15.75">
      <c r="A661" s="66"/>
      <c r="B661" s="56"/>
      <c r="C661" s="67"/>
      <c r="D661" s="58"/>
      <c r="E661" s="59"/>
      <c r="F661" s="59"/>
      <c r="G661" s="58"/>
      <c r="H661" s="60"/>
      <c r="I661" s="61"/>
      <c r="J661" s="59"/>
      <c r="K661" s="59"/>
      <c r="L661" s="62"/>
      <c r="M661" s="63"/>
      <c r="N661" s="65"/>
      <c r="O661" s="65"/>
      <c r="P661" s="64"/>
      <c r="Q661" s="64"/>
    </row>
    <row r="662" spans="1:17" ht="15.75">
      <c r="A662" s="66"/>
      <c r="B662" s="56"/>
      <c r="C662" s="67"/>
      <c r="D662" s="58"/>
      <c r="E662" s="59"/>
      <c r="F662" s="59"/>
      <c r="G662" s="58"/>
      <c r="H662" s="60"/>
      <c r="I662" s="61"/>
      <c r="J662" s="59"/>
      <c r="K662" s="59"/>
      <c r="L662" s="62"/>
      <c r="M662" s="63"/>
      <c r="N662" s="65"/>
      <c r="O662" s="65"/>
      <c r="P662" s="64"/>
      <c r="Q662" s="64"/>
    </row>
    <row r="663" spans="1:17" ht="15.75">
      <c r="A663" s="66"/>
      <c r="B663" s="56"/>
      <c r="C663" s="67"/>
      <c r="D663" s="58"/>
      <c r="E663" s="59"/>
      <c r="F663" s="59"/>
      <c r="G663" s="58"/>
      <c r="H663" s="60"/>
      <c r="I663" s="61"/>
      <c r="J663" s="59"/>
      <c r="K663" s="59"/>
      <c r="L663" s="62"/>
      <c r="M663" s="63"/>
      <c r="N663" s="65"/>
      <c r="O663" s="65"/>
      <c r="P663" s="64"/>
      <c r="Q663" s="64"/>
    </row>
    <row r="664" spans="1:17" ht="15.75">
      <c r="A664" s="66"/>
      <c r="B664" s="56"/>
      <c r="C664" s="67"/>
      <c r="D664" s="58"/>
      <c r="E664" s="59"/>
      <c r="F664" s="59"/>
      <c r="G664" s="58"/>
      <c r="H664" s="60"/>
      <c r="I664" s="61"/>
      <c r="J664" s="59"/>
      <c r="K664" s="59"/>
      <c r="L664" s="62"/>
      <c r="M664" s="63"/>
      <c r="N664" s="65"/>
      <c r="O664" s="65"/>
      <c r="P664" s="64"/>
      <c r="Q664" s="64"/>
    </row>
    <row r="665" spans="1:17" ht="15.75">
      <c r="A665" s="66"/>
      <c r="B665" s="56"/>
      <c r="C665" s="67"/>
      <c r="D665" s="58"/>
      <c r="E665" s="59"/>
      <c r="F665" s="59"/>
      <c r="G665" s="58"/>
      <c r="H665" s="60"/>
      <c r="I665" s="61"/>
      <c r="J665" s="59"/>
      <c r="K665" s="59"/>
      <c r="L665" s="62"/>
      <c r="M665" s="63"/>
      <c r="N665" s="65"/>
      <c r="O665" s="65"/>
      <c r="P665" s="64"/>
      <c r="Q665" s="64"/>
    </row>
    <row r="666" spans="1:17" ht="15.75">
      <c r="A666" s="66"/>
      <c r="B666" s="56"/>
      <c r="C666" s="67"/>
      <c r="D666" s="58"/>
      <c r="E666" s="59"/>
      <c r="F666" s="59"/>
      <c r="G666" s="58"/>
      <c r="H666" s="60"/>
      <c r="I666" s="61"/>
      <c r="J666" s="59"/>
      <c r="K666" s="59"/>
      <c r="L666" s="62"/>
      <c r="M666" s="63"/>
      <c r="N666" s="65"/>
      <c r="O666" s="65"/>
      <c r="P666" s="64"/>
      <c r="Q666" s="64"/>
    </row>
    <row r="667" spans="1:17" ht="15.75">
      <c r="A667" s="55"/>
      <c r="B667" s="56"/>
      <c r="C667" s="57"/>
      <c r="D667" s="58"/>
      <c r="E667" s="59"/>
      <c r="F667" s="59"/>
      <c r="G667" s="58"/>
      <c r="H667" s="68"/>
      <c r="I667" s="61"/>
      <c r="J667" s="59"/>
      <c r="K667" s="59"/>
      <c r="L667" s="62"/>
      <c r="M667" s="63"/>
      <c r="N667" s="65"/>
      <c r="O667" s="65"/>
      <c r="P667" s="64"/>
      <c r="Q667" s="64"/>
    </row>
    <row r="668" spans="1:17" ht="15.75">
      <c r="A668" s="55"/>
      <c r="B668" s="56"/>
      <c r="C668" s="57"/>
      <c r="D668" s="58"/>
      <c r="E668" s="59"/>
      <c r="F668" s="59"/>
      <c r="G668" s="58"/>
      <c r="H668" s="68"/>
      <c r="I668" s="61"/>
      <c r="J668" s="59"/>
      <c r="K668" s="59"/>
      <c r="L668" s="62"/>
      <c r="M668" s="63"/>
      <c r="N668" s="65"/>
      <c r="O668" s="65"/>
      <c r="P668" s="64"/>
      <c r="Q668" s="64"/>
    </row>
    <row r="669" spans="1:17" ht="15.75">
      <c r="A669" s="55"/>
      <c r="B669" s="56"/>
      <c r="C669" s="57"/>
      <c r="D669" s="68"/>
      <c r="E669" s="59"/>
      <c r="F669" s="59"/>
      <c r="G669" s="68"/>
      <c r="H669" s="68"/>
      <c r="I669" s="61"/>
      <c r="J669" s="59"/>
      <c r="K669" s="59"/>
      <c r="L669" s="62"/>
      <c r="M669" s="63"/>
      <c r="N669" s="65"/>
      <c r="O669" s="65"/>
      <c r="P669" s="64"/>
      <c r="Q669" s="64"/>
    </row>
    <row r="670" spans="1:17" ht="15.75">
      <c r="A670" s="55"/>
      <c r="B670" s="56"/>
      <c r="C670" s="57"/>
      <c r="D670" s="68"/>
      <c r="E670" s="59"/>
      <c r="F670" s="59"/>
      <c r="G670" s="68"/>
      <c r="H670" s="68"/>
      <c r="I670" s="61"/>
      <c r="J670" s="59"/>
      <c r="K670" s="59"/>
      <c r="L670" s="62"/>
      <c r="M670" s="63"/>
      <c r="N670" s="65"/>
      <c r="O670" s="65"/>
      <c r="P670" s="64"/>
      <c r="Q670" s="64"/>
    </row>
    <row r="671" spans="1:17" ht="15.75">
      <c r="A671" s="55"/>
      <c r="B671" s="56"/>
      <c r="C671" s="57"/>
      <c r="D671" s="68"/>
      <c r="E671" s="59"/>
      <c r="F671" s="59"/>
      <c r="G671" s="68"/>
      <c r="H671" s="68"/>
      <c r="I671" s="61"/>
      <c r="J671" s="59"/>
      <c r="K671" s="59"/>
      <c r="L671" s="62"/>
      <c r="M671" s="63"/>
      <c r="N671" s="65"/>
      <c r="O671" s="65"/>
      <c r="P671" s="64"/>
      <c r="Q671" s="64"/>
    </row>
    <row r="672" spans="1:17" ht="15.75">
      <c r="A672" s="55"/>
      <c r="B672" s="56"/>
      <c r="C672" s="57"/>
      <c r="D672" s="68"/>
      <c r="E672" s="59"/>
      <c r="F672" s="59"/>
      <c r="G672" s="68"/>
      <c r="H672" s="68"/>
      <c r="I672" s="61"/>
      <c r="J672" s="59"/>
      <c r="K672" s="59"/>
      <c r="L672" s="62"/>
      <c r="M672" s="63"/>
      <c r="N672" s="65"/>
      <c r="O672" s="65"/>
      <c r="P672" s="64"/>
      <c r="Q672" s="64"/>
    </row>
    <row r="673" spans="1:17" ht="15.75">
      <c r="A673" s="55"/>
      <c r="B673" s="56"/>
      <c r="C673" s="57"/>
      <c r="D673" s="68"/>
      <c r="E673" s="59"/>
      <c r="F673" s="59"/>
      <c r="G673" s="68"/>
      <c r="H673" s="68"/>
      <c r="I673" s="61"/>
      <c r="J673" s="59"/>
      <c r="K673" s="59"/>
      <c r="L673" s="62"/>
      <c r="M673" s="63"/>
      <c r="N673" s="65"/>
      <c r="O673" s="65"/>
      <c r="P673" s="64"/>
      <c r="Q673" s="64"/>
    </row>
    <row r="674" spans="1:17" ht="15.75">
      <c r="A674" s="55"/>
      <c r="B674" s="56"/>
      <c r="C674" s="57"/>
      <c r="D674" s="68"/>
      <c r="E674" s="59"/>
      <c r="F674" s="59"/>
      <c r="G674" s="68"/>
      <c r="H674" s="68"/>
      <c r="I674" s="61"/>
      <c r="J674" s="59"/>
      <c r="K674" s="59"/>
      <c r="L674" s="62"/>
      <c r="M674" s="63"/>
      <c r="N674" s="65"/>
      <c r="O674" s="65"/>
      <c r="P674" s="64"/>
      <c r="Q674" s="64"/>
    </row>
    <row r="675" spans="1:17" ht="15.75">
      <c r="A675" s="55"/>
      <c r="B675" s="56"/>
      <c r="C675" s="57"/>
      <c r="D675" s="68"/>
      <c r="E675" s="59"/>
      <c r="F675" s="59"/>
      <c r="G675" s="68"/>
      <c r="H675" s="68"/>
      <c r="I675" s="61"/>
      <c r="J675" s="59"/>
      <c r="K675" s="59"/>
      <c r="L675" s="62"/>
      <c r="M675" s="63"/>
      <c r="N675" s="65"/>
      <c r="O675" s="65"/>
      <c r="P675" s="64"/>
      <c r="Q675" s="64"/>
    </row>
    <row r="676" spans="1:17" ht="15.75">
      <c r="A676" s="55"/>
      <c r="B676" s="56"/>
      <c r="C676" s="57"/>
      <c r="D676" s="68"/>
      <c r="E676" s="59"/>
      <c r="F676" s="68"/>
      <c r="G676" s="68"/>
      <c r="H676" s="68"/>
      <c r="I676" s="61"/>
      <c r="J676" s="59"/>
      <c r="K676" s="59"/>
      <c r="L676" s="62"/>
      <c r="M676" s="63"/>
      <c r="N676" s="65"/>
      <c r="O676" s="65"/>
      <c r="P676" s="64"/>
      <c r="Q676" s="64"/>
    </row>
    <row r="677" spans="1:17" ht="15.75">
      <c r="A677" s="55"/>
      <c r="B677" s="56"/>
      <c r="C677" s="57"/>
      <c r="D677" s="68"/>
      <c r="E677" s="59"/>
      <c r="F677" s="68"/>
      <c r="G677" s="68"/>
      <c r="H677" s="68"/>
      <c r="I677" s="61"/>
      <c r="J677" s="59"/>
      <c r="K677" s="59"/>
      <c r="L677" s="62"/>
      <c r="M677" s="63"/>
      <c r="N677" s="65"/>
      <c r="O677" s="65"/>
      <c r="P677" s="64"/>
      <c r="Q677" s="64"/>
    </row>
    <row r="678" spans="1:17" ht="15.75">
      <c r="A678" s="55"/>
      <c r="B678" s="56"/>
      <c r="C678" s="57"/>
      <c r="D678" s="68"/>
      <c r="E678" s="59"/>
      <c r="F678" s="68"/>
      <c r="G678" s="68"/>
      <c r="H678" s="68"/>
      <c r="I678" s="61"/>
      <c r="J678" s="59"/>
      <c r="K678" s="59"/>
      <c r="L678" s="62"/>
      <c r="M678" s="63"/>
      <c r="N678" s="65"/>
      <c r="O678" s="65"/>
      <c r="P678" s="64"/>
      <c r="Q678" s="64"/>
    </row>
    <row r="679" spans="1:17" ht="15.75">
      <c r="A679" s="55"/>
      <c r="B679" s="56"/>
      <c r="C679" s="57"/>
      <c r="D679" s="68"/>
      <c r="E679" s="59"/>
      <c r="F679" s="68"/>
      <c r="G679" s="68"/>
      <c r="H679" s="68"/>
      <c r="I679" s="61"/>
      <c r="J679" s="59"/>
      <c r="K679" s="59"/>
      <c r="L679" s="62"/>
      <c r="M679" s="63"/>
      <c r="N679" s="65"/>
      <c r="O679" s="65"/>
      <c r="P679" s="64"/>
      <c r="Q679" s="64"/>
    </row>
    <row r="680" spans="1:17" ht="15.75">
      <c r="A680" s="55"/>
      <c r="B680" s="56"/>
      <c r="C680" s="57"/>
      <c r="D680" s="68"/>
      <c r="E680" s="59"/>
      <c r="F680" s="68"/>
      <c r="G680" s="68"/>
      <c r="H680" s="68"/>
      <c r="I680" s="61"/>
      <c r="J680" s="59"/>
      <c r="K680" s="59"/>
      <c r="L680" s="62"/>
      <c r="M680" s="63"/>
      <c r="N680" s="65"/>
      <c r="O680" s="65"/>
      <c r="P680" s="64"/>
      <c r="Q680" s="64"/>
    </row>
    <row r="681" spans="1:17" ht="15.75">
      <c r="A681" s="55"/>
      <c r="B681" s="56"/>
      <c r="C681" s="57"/>
      <c r="D681" s="68"/>
      <c r="E681" s="59"/>
      <c r="F681" s="68"/>
      <c r="G681" s="68"/>
      <c r="H681" s="68"/>
      <c r="I681" s="61"/>
      <c r="J681" s="59"/>
      <c r="K681" s="59"/>
      <c r="L681" s="62"/>
      <c r="M681" s="63"/>
      <c r="N681" s="65"/>
      <c r="O681" s="65"/>
      <c r="P681" s="64"/>
      <c r="Q681" s="64"/>
    </row>
    <row r="682" spans="1:17" ht="15.75">
      <c r="A682" s="55"/>
      <c r="B682" s="56"/>
      <c r="C682" s="57"/>
      <c r="D682" s="68"/>
      <c r="E682" s="59"/>
      <c r="F682" s="68"/>
      <c r="G682" s="68"/>
      <c r="H682" s="68"/>
      <c r="I682" s="61"/>
      <c r="J682" s="59"/>
      <c r="K682" s="59"/>
      <c r="L682" s="62"/>
      <c r="M682" s="63"/>
      <c r="N682" s="65"/>
      <c r="O682" s="65"/>
      <c r="P682" s="64"/>
      <c r="Q682" s="64"/>
    </row>
    <row r="683" spans="1:17" ht="15.75">
      <c r="A683" s="55"/>
      <c r="B683" s="56"/>
      <c r="C683" s="57"/>
      <c r="D683" s="68"/>
      <c r="E683" s="59"/>
      <c r="F683" s="68"/>
      <c r="G683" s="68"/>
      <c r="H683" s="68"/>
      <c r="I683" s="69"/>
      <c r="J683" s="59"/>
      <c r="K683" s="59"/>
      <c r="L683" s="62"/>
      <c r="M683" s="63"/>
      <c r="N683" s="65"/>
      <c r="O683" s="65"/>
      <c r="P683" s="64"/>
      <c r="Q683" s="64"/>
    </row>
    <row r="684" spans="1:17" ht="15.75">
      <c r="A684" s="55"/>
      <c r="B684" s="56"/>
      <c r="C684" s="57"/>
      <c r="D684" s="68"/>
      <c r="E684" s="59"/>
      <c r="F684" s="68"/>
      <c r="G684" s="68"/>
      <c r="H684" s="68"/>
      <c r="I684" s="69"/>
      <c r="J684" s="59"/>
      <c r="K684" s="59"/>
      <c r="L684" s="62"/>
      <c r="M684" s="63"/>
      <c r="N684" s="65"/>
      <c r="O684" s="65"/>
      <c r="P684" s="64"/>
      <c r="Q684" s="64"/>
    </row>
    <row r="685" spans="1:17" ht="15.75">
      <c r="A685" s="55"/>
      <c r="B685" s="56"/>
      <c r="C685" s="57"/>
      <c r="D685" s="68"/>
      <c r="E685" s="59"/>
      <c r="F685" s="68"/>
      <c r="G685" s="68"/>
      <c r="H685" s="68"/>
      <c r="I685" s="69"/>
      <c r="J685" s="59"/>
      <c r="K685" s="59"/>
      <c r="L685" s="62"/>
      <c r="M685" s="63"/>
      <c r="N685" s="65"/>
      <c r="O685" s="65"/>
      <c r="P685" s="64"/>
      <c r="Q685" s="64"/>
    </row>
    <row r="686" spans="1:17" ht="15.75">
      <c r="A686" s="55"/>
      <c r="B686" s="56"/>
      <c r="C686" s="57"/>
      <c r="D686" s="68"/>
      <c r="E686" s="59"/>
      <c r="F686" s="68"/>
      <c r="G686" s="68"/>
      <c r="H686" s="68"/>
      <c r="I686" s="69"/>
      <c r="J686" s="59"/>
      <c r="K686" s="59"/>
      <c r="L686" s="62"/>
      <c r="M686" s="63"/>
      <c r="N686" s="65"/>
      <c r="O686" s="65"/>
      <c r="P686" s="64"/>
      <c r="Q686" s="64"/>
    </row>
    <row r="687" spans="1:17" ht="15.75">
      <c r="A687" s="55"/>
      <c r="B687" s="56"/>
      <c r="C687" s="57"/>
      <c r="D687" s="68"/>
      <c r="E687" s="59"/>
      <c r="F687" s="68"/>
      <c r="G687" s="68"/>
      <c r="H687" s="68"/>
      <c r="I687" s="69"/>
      <c r="J687" s="59"/>
      <c r="K687" s="59"/>
      <c r="L687" s="62"/>
      <c r="M687" s="63"/>
      <c r="N687" s="65"/>
      <c r="O687" s="65"/>
      <c r="P687" s="64"/>
      <c r="Q687" s="64"/>
    </row>
    <row r="688" spans="1:17" ht="15.75">
      <c r="A688" s="55"/>
      <c r="B688" s="56"/>
      <c r="C688" s="57"/>
      <c r="D688" s="68"/>
      <c r="E688" s="59"/>
      <c r="F688" s="68"/>
      <c r="G688" s="68"/>
      <c r="H688" s="68"/>
      <c r="I688" s="69"/>
      <c r="J688" s="59"/>
      <c r="K688" s="59"/>
      <c r="L688" s="62"/>
      <c r="M688" s="63"/>
      <c r="N688" s="65"/>
      <c r="O688" s="65"/>
      <c r="P688" s="64"/>
      <c r="Q688" s="64"/>
    </row>
    <row r="689" spans="1:17" ht="15.75">
      <c r="A689" s="70"/>
      <c r="B689" s="71"/>
      <c r="C689" s="70"/>
      <c r="D689" s="68"/>
      <c r="E689" s="68"/>
      <c r="F689" s="68"/>
      <c r="G689" s="68"/>
      <c r="H689" s="68"/>
      <c r="I689" s="69"/>
      <c r="J689" s="68"/>
      <c r="K689" s="48"/>
      <c r="L689" s="62"/>
      <c r="M689" s="63"/>
      <c r="N689" s="65"/>
      <c r="O689" s="65"/>
      <c r="P689" s="64"/>
      <c r="Q689" s="64"/>
    </row>
    <row r="690" spans="1:17" ht="15.75">
      <c r="A690" s="70"/>
      <c r="B690" s="71"/>
      <c r="C690" s="70"/>
      <c r="D690" s="68"/>
      <c r="E690" s="68"/>
      <c r="F690" s="68"/>
      <c r="G690" s="68"/>
      <c r="H690" s="68"/>
      <c r="I690" s="69"/>
      <c r="J690" s="68"/>
      <c r="K690" s="48"/>
      <c r="L690" s="62"/>
      <c r="M690" s="63"/>
      <c r="N690" s="65"/>
      <c r="O690" s="65"/>
      <c r="P690" s="64"/>
      <c r="Q690" s="64"/>
    </row>
    <row r="691" spans="1:17" ht="15.75">
      <c r="A691" s="70"/>
      <c r="B691" s="71"/>
      <c r="C691" s="70"/>
      <c r="D691" s="68"/>
      <c r="E691" s="68"/>
      <c r="F691" s="68"/>
      <c r="G691" s="68"/>
      <c r="H691" s="68"/>
      <c r="I691" s="69"/>
      <c r="J691" s="68"/>
      <c r="K691" s="48"/>
      <c r="L691" s="62"/>
      <c r="M691" s="63"/>
      <c r="N691" s="65"/>
      <c r="O691" s="65"/>
      <c r="P691" s="64"/>
      <c r="Q691" s="64"/>
    </row>
    <row r="692" spans="1:17" ht="15.75">
      <c r="A692" s="70"/>
      <c r="B692" s="71"/>
      <c r="C692" s="70"/>
      <c r="D692" s="68"/>
      <c r="E692" s="68"/>
      <c r="F692" s="68"/>
      <c r="G692" s="68"/>
      <c r="H692" s="68"/>
      <c r="I692" s="69"/>
      <c r="J692" s="68"/>
      <c r="K692" s="48"/>
      <c r="L692" s="62"/>
      <c r="M692" s="63"/>
      <c r="N692" s="65"/>
      <c r="O692" s="65"/>
      <c r="P692" s="64"/>
      <c r="Q692" s="64"/>
    </row>
    <row r="693" spans="1:17" ht="15.75">
      <c r="A693" s="70"/>
      <c r="B693" s="71"/>
      <c r="C693" s="70"/>
      <c r="D693" s="68"/>
      <c r="E693" s="68"/>
      <c r="F693" s="68"/>
      <c r="G693" s="68"/>
      <c r="H693" s="68"/>
      <c r="I693" s="69"/>
      <c r="J693" s="68"/>
      <c r="K693" s="48"/>
      <c r="L693" s="62"/>
      <c r="M693" s="63"/>
      <c r="N693" s="65"/>
      <c r="O693" s="65"/>
      <c r="P693" s="64"/>
      <c r="Q693" s="64"/>
    </row>
    <row r="694" spans="1:17" ht="15.75">
      <c r="A694" s="70"/>
      <c r="B694" s="71"/>
      <c r="C694" s="70"/>
      <c r="D694" s="68"/>
      <c r="E694" s="68"/>
      <c r="F694" s="68"/>
      <c r="G694" s="68"/>
      <c r="H694" s="68"/>
      <c r="I694" s="69"/>
      <c r="J694" s="68"/>
      <c r="K694" s="48"/>
      <c r="L694" s="62"/>
      <c r="M694" s="63"/>
      <c r="N694" s="65"/>
      <c r="O694" s="65"/>
      <c r="P694" s="64"/>
      <c r="Q694" s="64"/>
    </row>
    <row r="695" spans="1:17" ht="15.75">
      <c r="A695" s="70"/>
      <c r="B695" s="71"/>
      <c r="C695" s="70"/>
      <c r="D695" s="68"/>
      <c r="E695" s="68"/>
      <c r="F695" s="68"/>
      <c r="G695" s="68"/>
      <c r="H695" s="68"/>
      <c r="I695" s="69"/>
      <c r="J695" s="68"/>
      <c r="K695" s="48"/>
      <c r="L695" s="62"/>
      <c r="M695" s="63"/>
      <c r="N695" s="65"/>
      <c r="O695" s="65"/>
      <c r="P695" s="64"/>
      <c r="Q695" s="64"/>
    </row>
    <row r="696" spans="1:17" ht="15.75">
      <c r="A696" s="70"/>
      <c r="B696" s="71"/>
      <c r="C696" s="70"/>
      <c r="D696" s="68"/>
      <c r="E696" s="68"/>
      <c r="F696" s="68"/>
      <c r="G696" s="68"/>
      <c r="H696" s="68"/>
      <c r="I696" s="69"/>
      <c r="J696" s="68"/>
      <c r="K696" s="48"/>
      <c r="L696" s="62"/>
      <c r="M696" s="63"/>
      <c r="N696" s="65"/>
      <c r="O696" s="65"/>
      <c r="P696" s="64"/>
      <c r="Q696" s="64"/>
    </row>
    <row r="697" spans="1:17" ht="15.75">
      <c r="A697" s="70"/>
      <c r="B697" s="71"/>
      <c r="C697" s="70"/>
      <c r="D697" s="68"/>
      <c r="E697" s="68"/>
      <c r="F697" s="68"/>
      <c r="G697" s="68"/>
      <c r="H697" s="68"/>
      <c r="I697" s="69"/>
      <c r="J697" s="68"/>
      <c r="K697" s="48"/>
      <c r="L697" s="62"/>
      <c r="M697" s="63"/>
      <c r="N697" s="65"/>
      <c r="O697" s="65"/>
      <c r="P697" s="64"/>
      <c r="Q697" s="64"/>
    </row>
    <row r="698" spans="1:17" ht="15.75">
      <c r="A698" s="70"/>
      <c r="B698" s="71"/>
      <c r="C698" s="70"/>
      <c r="D698" s="68"/>
      <c r="E698" s="68"/>
      <c r="F698" s="68"/>
      <c r="G698" s="68"/>
      <c r="H698" s="68"/>
      <c r="I698" s="69"/>
      <c r="J698" s="68"/>
      <c r="K698" s="48"/>
      <c r="L698" s="62"/>
      <c r="M698" s="63"/>
      <c r="N698" s="65"/>
      <c r="O698" s="65"/>
      <c r="P698" s="64"/>
      <c r="Q698" s="64"/>
    </row>
    <row r="699" spans="1:17" ht="15.75">
      <c r="A699" s="70"/>
      <c r="B699" s="71"/>
      <c r="C699" s="70"/>
      <c r="D699" s="68"/>
      <c r="E699" s="68"/>
      <c r="F699" s="68"/>
      <c r="G699" s="68"/>
      <c r="H699" s="68"/>
      <c r="I699" s="69"/>
      <c r="J699" s="68"/>
      <c r="K699" s="48"/>
      <c r="L699" s="62"/>
      <c r="M699" s="63"/>
      <c r="N699" s="65"/>
      <c r="O699" s="65"/>
      <c r="P699" s="64"/>
      <c r="Q699" s="64"/>
    </row>
    <row r="700" spans="1:17" ht="15.75">
      <c r="A700" s="70"/>
      <c r="B700" s="71"/>
      <c r="C700" s="70"/>
      <c r="D700" s="68"/>
      <c r="E700" s="68"/>
      <c r="F700" s="68"/>
      <c r="G700" s="68"/>
      <c r="H700" s="68"/>
      <c r="I700" s="69"/>
      <c r="J700" s="68"/>
      <c r="K700" s="48"/>
      <c r="L700" s="62"/>
      <c r="M700" s="63"/>
      <c r="N700" s="65"/>
      <c r="O700" s="65"/>
      <c r="P700" s="64"/>
      <c r="Q700" s="64"/>
    </row>
    <row r="701" spans="1:17" ht="15.75">
      <c r="A701" s="70"/>
      <c r="B701" s="71"/>
      <c r="C701" s="70"/>
      <c r="D701" s="68"/>
      <c r="E701" s="68"/>
      <c r="F701" s="68"/>
      <c r="G701" s="68"/>
      <c r="H701" s="68"/>
      <c r="I701" s="69"/>
      <c r="J701" s="68"/>
      <c r="K701" s="48"/>
      <c r="L701" s="62"/>
      <c r="M701" s="63"/>
      <c r="N701" s="65"/>
      <c r="O701" s="65"/>
      <c r="P701" s="64"/>
      <c r="Q701" s="64"/>
    </row>
    <row r="702" spans="1:17" ht="15.75">
      <c r="A702" s="70"/>
      <c r="B702" s="71"/>
      <c r="C702" s="70"/>
      <c r="D702" s="68"/>
      <c r="E702" s="68"/>
      <c r="F702" s="68"/>
      <c r="G702" s="68"/>
      <c r="H702" s="68"/>
      <c r="I702" s="69"/>
      <c r="J702" s="68"/>
      <c r="K702" s="48"/>
      <c r="L702" s="62"/>
      <c r="M702" s="63"/>
      <c r="N702" s="65"/>
      <c r="O702" s="65"/>
      <c r="P702" s="64"/>
      <c r="Q702" s="64"/>
    </row>
    <row r="703" spans="1:17" ht="15.75">
      <c r="A703" s="70"/>
      <c r="B703" s="71"/>
      <c r="C703" s="70"/>
      <c r="D703" s="68"/>
      <c r="E703" s="68"/>
      <c r="F703" s="68"/>
      <c r="G703" s="68"/>
      <c r="H703" s="68"/>
      <c r="I703" s="69"/>
      <c r="J703" s="68"/>
      <c r="K703" s="48"/>
      <c r="L703" s="62"/>
      <c r="M703" s="63"/>
      <c r="N703" s="65"/>
      <c r="O703" s="65"/>
      <c r="P703" s="64"/>
      <c r="Q703" s="64"/>
    </row>
    <row r="704" spans="1:17" ht="15.75">
      <c r="A704" s="70"/>
      <c r="B704" s="71"/>
      <c r="C704" s="70"/>
      <c r="D704" s="68"/>
      <c r="E704" s="68"/>
      <c r="F704" s="68"/>
      <c r="G704" s="68"/>
      <c r="H704" s="68"/>
      <c r="I704" s="69"/>
      <c r="J704" s="68"/>
      <c r="K704" s="48"/>
      <c r="L704" s="62"/>
      <c r="M704" s="63"/>
      <c r="N704" s="65"/>
      <c r="O704" s="65"/>
      <c r="P704" s="64"/>
      <c r="Q704" s="64"/>
    </row>
    <row r="705" spans="1:17" ht="15.75">
      <c r="A705" s="70"/>
      <c r="B705" s="71"/>
      <c r="C705" s="70"/>
      <c r="D705" s="68"/>
      <c r="E705" s="68"/>
      <c r="F705" s="68"/>
      <c r="G705" s="68"/>
      <c r="H705" s="68"/>
      <c r="I705" s="69"/>
      <c r="J705" s="68"/>
      <c r="K705" s="48"/>
      <c r="L705" s="62"/>
      <c r="M705" s="63"/>
      <c r="N705" s="65"/>
      <c r="O705" s="65"/>
      <c r="P705" s="64"/>
      <c r="Q705" s="64"/>
    </row>
    <row r="706" spans="1:17" ht="15.75">
      <c r="A706" s="70"/>
      <c r="B706" s="71"/>
      <c r="C706" s="70"/>
      <c r="D706" s="68"/>
      <c r="E706" s="68"/>
      <c r="F706" s="68"/>
      <c r="G706" s="68"/>
      <c r="H706" s="68"/>
      <c r="I706" s="69"/>
      <c r="J706" s="68"/>
      <c r="K706" s="48"/>
      <c r="L706" s="62"/>
      <c r="M706" s="63"/>
      <c r="N706" s="65"/>
      <c r="O706" s="65"/>
      <c r="P706" s="64"/>
      <c r="Q706" s="64"/>
    </row>
    <row r="707" spans="1:17" ht="15.75">
      <c r="A707" s="70"/>
      <c r="B707" s="71"/>
      <c r="C707" s="70"/>
      <c r="D707" s="68"/>
      <c r="E707" s="68"/>
      <c r="F707" s="68"/>
      <c r="G707" s="68"/>
      <c r="H707" s="68"/>
      <c r="I707" s="69"/>
      <c r="J707" s="68"/>
      <c r="K707" s="48"/>
      <c r="L707" s="62"/>
      <c r="M707" s="63"/>
      <c r="N707" s="65"/>
      <c r="O707" s="65"/>
      <c r="P707" s="64"/>
      <c r="Q707" s="64"/>
    </row>
    <row r="708" spans="1:17" ht="15.75">
      <c r="A708" s="70"/>
      <c r="B708" s="71"/>
      <c r="C708" s="70"/>
      <c r="D708" s="68"/>
      <c r="E708" s="68"/>
      <c r="F708" s="68"/>
      <c r="G708" s="68"/>
      <c r="H708" s="68"/>
      <c r="I708" s="69"/>
      <c r="J708" s="68"/>
      <c r="K708" s="48"/>
      <c r="L708" s="62"/>
      <c r="M708" s="63"/>
      <c r="N708" s="65"/>
      <c r="O708" s="65"/>
      <c r="P708" s="64"/>
      <c r="Q708" s="64"/>
    </row>
    <row r="709" spans="1:17" ht="15.75">
      <c r="A709" s="70"/>
      <c r="B709" s="71"/>
      <c r="C709" s="70"/>
      <c r="D709" s="68"/>
      <c r="E709" s="68"/>
      <c r="F709" s="68"/>
      <c r="G709" s="68"/>
      <c r="H709" s="68"/>
      <c r="I709" s="69"/>
      <c r="J709" s="68"/>
      <c r="K709" s="48"/>
      <c r="L709" s="62"/>
      <c r="M709" s="63"/>
      <c r="N709" s="65"/>
      <c r="O709" s="65"/>
      <c r="P709" s="64"/>
      <c r="Q709" s="64"/>
    </row>
    <row r="710" spans="1:17" ht="15.75">
      <c r="A710" s="70"/>
      <c r="B710" s="71"/>
      <c r="C710" s="70"/>
      <c r="D710" s="68"/>
      <c r="E710" s="68"/>
      <c r="F710" s="68"/>
      <c r="G710" s="68"/>
      <c r="H710" s="68"/>
      <c r="I710" s="69"/>
      <c r="J710" s="68"/>
      <c r="K710" s="48"/>
      <c r="L710" s="62"/>
      <c r="M710" s="63"/>
      <c r="N710" s="65"/>
      <c r="O710" s="65"/>
      <c r="P710" s="64"/>
      <c r="Q710" s="64"/>
    </row>
    <row r="711" spans="1:17" ht="15.75">
      <c r="A711" s="70"/>
      <c r="B711" s="71"/>
      <c r="C711" s="70"/>
      <c r="D711" s="68"/>
      <c r="E711" s="68"/>
      <c r="F711" s="68"/>
      <c r="G711" s="68"/>
      <c r="H711" s="68"/>
      <c r="I711" s="69"/>
      <c r="J711" s="68"/>
      <c r="K711" s="48"/>
      <c r="L711" s="62"/>
      <c r="M711" s="63"/>
      <c r="N711" s="65"/>
      <c r="O711" s="65"/>
      <c r="P711" s="64"/>
      <c r="Q711" s="64"/>
    </row>
    <row r="712" spans="1:17" ht="15.75">
      <c r="A712" s="70"/>
      <c r="B712" s="71"/>
      <c r="C712" s="70"/>
      <c r="D712" s="68"/>
      <c r="E712" s="68"/>
      <c r="F712" s="68"/>
      <c r="G712" s="68"/>
      <c r="H712" s="68"/>
      <c r="I712" s="69"/>
      <c r="J712" s="68"/>
      <c r="K712" s="48"/>
      <c r="L712" s="62"/>
      <c r="M712" s="63"/>
      <c r="N712" s="65"/>
      <c r="O712" s="65"/>
      <c r="P712" s="64"/>
      <c r="Q712" s="64"/>
    </row>
    <row r="713" spans="1:17" ht="15.75">
      <c r="A713" s="70"/>
      <c r="B713" s="71"/>
      <c r="C713" s="70"/>
      <c r="D713" s="68"/>
      <c r="E713" s="68"/>
      <c r="F713" s="68"/>
      <c r="G713" s="68"/>
      <c r="H713" s="68"/>
      <c r="I713" s="69"/>
      <c r="J713" s="68"/>
      <c r="K713" s="48"/>
      <c r="L713" s="62"/>
      <c r="M713" s="63"/>
      <c r="N713" s="65"/>
      <c r="O713" s="65"/>
      <c r="P713" s="64"/>
      <c r="Q713" s="64"/>
    </row>
    <row r="714" spans="1:17" ht="15.75">
      <c r="A714" s="70"/>
      <c r="B714" s="71"/>
      <c r="C714" s="70"/>
      <c r="D714" s="68"/>
      <c r="E714" s="68"/>
      <c r="F714" s="68"/>
      <c r="G714" s="68"/>
      <c r="H714" s="68"/>
      <c r="I714" s="69"/>
      <c r="J714" s="68"/>
      <c r="K714" s="48"/>
      <c r="L714" s="62"/>
      <c r="M714" s="63"/>
      <c r="N714" s="65"/>
      <c r="O714" s="65"/>
      <c r="P714" s="64"/>
      <c r="Q714" s="64"/>
    </row>
    <row r="715" spans="1:17" ht="15.75">
      <c r="A715" s="70"/>
      <c r="B715" s="71"/>
      <c r="C715" s="70"/>
      <c r="D715" s="68"/>
      <c r="E715" s="68"/>
      <c r="F715" s="68"/>
      <c r="G715" s="68"/>
      <c r="H715" s="68"/>
      <c r="I715" s="69"/>
      <c r="J715" s="68"/>
      <c r="K715" s="48"/>
      <c r="L715" s="62"/>
      <c r="M715" s="63"/>
      <c r="N715" s="65"/>
      <c r="O715" s="65"/>
      <c r="P715" s="64"/>
      <c r="Q715" s="64"/>
    </row>
    <row r="716" spans="1:17" ht="15.75">
      <c r="A716" s="70"/>
      <c r="B716" s="71"/>
      <c r="C716" s="70"/>
      <c r="D716" s="68"/>
      <c r="E716" s="68"/>
      <c r="F716" s="68"/>
      <c r="G716" s="68"/>
      <c r="H716" s="68"/>
      <c r="I716" s="69"/>
      <c r="J716" s="68"/>
      <c r="K716" s="48"/>
      <c r="L716" s="62"/>
      <c r="M716" s="63"/>
      <c r="N716" s="65"/>
      <c r="O716" s="65"/>
      <c r="P716" s="64"/>
      <c r="Q716" s="64"/>
    </row>
    <row r="717" spans="1:17" ht="15.75">
      <c r="A717" s="70"/>
      <c r="B717" s="71"/>
      <c r="C717" s="70"/>
      <c r="D717" s="68"/>
      <c r="E717" s="68"/>
      <c r="F717" s="68"/>
      <c r="G717" s="68"/>
      <c r="H717" s="68"/>
      <c r="I717" s="69"/>
      <c r="J717" s="68"/>
      <c r="K717" s="48"/>
      <c r="L717" s="62"/>
      <c r="M717" s="63"/>
      <c r="N717" s="65"/>
      <c r="O717" s="65"/>
      <c r="P717" s="64"/>
      <c r="Q717" s="64"/>
    </row>
    <row r="718" spans="1:17" ht="15.75">
      <c r="A718" s="70"/>
      <c r="B718" s="71"/>
      <c r="C718" s="70"/>
      <c r="D718" s="68"/>
      <c r="E718" s="68"/>
      <c r="F718" s="68"/>
      <c r="G718" s="68"/>
      <c r="H718" s="68"/>
      <c r="I718" s="69"/>
      <c r="J718" s="68"/>
      <c r="K718" s="48"/>
      <c r="L718" s="62"/>
      <c r="M718" s="63"/>
      <c r="N718" s="65"/>
      <c r="O718" s="65"/>
      <c r="P718" s="64"/>
      <c r="Q718" s="64"/>
    </row>
    <row r="719" spans="1:17" ht="15.75">
      <c r="A719" s="70"/>
      <c r="B719" s="71"/>
      <c r="C719" s="70"/>
      <c r="D719" s="68"/>
      <c r="E719" s="68"/>
      <c r="F719" s="68"/>
      <c r="G719" s="68"/>
      <c r="H719" s="68"/>
      <c r="I719" s="69"/>
      <c r="J719" s="68"/>
      <c r="K719" s="48"/>
      <c r="L719" s="62"/>
      <c r="M719" s="63"/>
      <c r="N719" s="65"/>
      <c r="O719" s="65"/>
      <c r="P719" s="64"/>
      <c r="Q719" s="64"/>
    </row>
    <row r="720" spans="1:17" ht="15.75">
      <c r="A720" s="70"/>
      <c r="B720" s="71"/>
      <c r="C720" s="70"/>
      <c r="D720" s="68"/>
      <c r="E720" s="68"/>
      <c r="F720" s="68"/>
      <c r="G720" s="68"/>
      <c r="H720" s="68"/>
      <c r="I720" s="69"/>
      <c r="J720" s="68"/>
      <c r="K720" s="48"/>
      <c r="L720" s="62"/>
      <c r="M720" s="63"/>
      <c r="N720" s="65"/>
      <c r="O720" s="65"/>
      <c r="P720" s="64"/>
      <c r="Q720" s="64"/>
    </row>
    <row r="721" spans="1:17" ht="15.75">
      <c r="A721" s="70"/>
      <c r="B721" s="71"/>
      <c r="C721" s="70"/>
      <c r="D721" s="68"/>
      <c r="E721" s="68"/>
      <c r="F721" s="68"/>
      <c r="G721" s="68"/>
      <c r="H721" s="68"/>
      <c r="I721" s="69"/>
      <c r="J721" s="68"/>
      <c r="K721" s="48"/>
      <c r="L721" s="62"/>
      <c r="M721" s="63"/>
      <c r="N721" s="65"/>
      <c r="O721" s="65"/>
      <c r="P721" s="64"/>
      <c r="Q721" s="64"/>
    </row>
    <row r="722" spans="1:17" ht="15.75">
      <c r="A722" s="70"/>
      <c r="B722" s="71"/>
      <c r="C722" s="70"/>
      <c r="D722" s="68"/>
      <c r="E722" s="68"/>
      <c r="F722" s="68"/>
      <c r="G722" s="68"/>
      <c r="H722" s="68"/>
      <c r="I722" s="69"/>
      <c r="J722" s="68"/>
      <c r="K722" s="48"/>
      <c r="L722" s="62"/>
      <c r="M722" s="63"/>
      <c r="N722" s="65"/>
      <c r="O722" s="65"/>
      <c r="P722" s="64"/>
      <c r="Q722" s="64"/>
    </row>
    <row r="723" spans="1:17" ht="15.75">
      <c r="A723" s="70"/>
      <c r="B723" s="71"/>
      <c r="C723" s="70"/>
      <c r="D723" s="68"/>
      <c r="E723" s="68"/>
      <c r="F723" s="68"/>
      <c r="G723" s="68"/>
      <c r="H723" s="68"/>
      <c r="I723" s="69"/>
      <c r="J723" s="68"/>
      <c r="K723" s="48"/>
      <c r="L723" s="62"/>
      <c r="M723" s="63"/>
      <c r="N723" s="65"/>
      <c r="O723" s="65"/>
      <c r="P723" s="64"/>
      <c r="Q723" s="64"/>
    </row>
    <row r="724" spans="1:17" ht="15.75">
      <c r="A724" s="70"/>
      <c r="B724" s="71"/>
      <c r="C724" s="70"/>
      <c r="D724" s="68"/>
      <c r="E724" s="68"/>
      <c r="F724" s="68"/>
      <c r="G724" s="68"/>
      <c r="H724" s="68"/>
      <c r="I724" s="69"/>
      <c r="J724" s="68"/>
      <c r="K724" s="48"/>
      <c r="L724" s="62"/>
      <c r="M724" s="63"/>
      <c r="N724" s="65"/>
      <c r="O724" s="65"/>
      <c r="P724" s="64"/>
      <c r="Q724" s="64"/>
    </row>
    <row r="725" spans="1:17" ht="15.75">
      <c r="A725" s="70"/>
      <c r="B725" s="71"/>
      <c r="C725" s="70"/>
      <c r="D725" s="68"/>
      <c r="E725" s="68"/>
      <c r="F725" s="68"/>
      <c r="G725" s="68"/>
      <c r="H725" s="68"/>
      <c r="I725" s="69"/>
      <c r="J725" s="68"/>
      <c r="K725" s="48"/>
      <c r="L725" s="62"/>
      <c r="M725" s="63"/>
      <c r="N725" s="65"/>
      <c r="O725" s="65"/>
      <c r="P725" s="64"/>
      <c r="Q725" s="64"/>
    </row>
    <row r="726" spans="1:17" ht="15.75">
      <c r="A726" s="70"/>
      <c r="B726" s="71"/>
      <c r="C726" s="70"/>
      <c r="D726" s="68"/>
      <c r="E726" s="68"/>
      <c r="F726" s="68"/>
      <c r="G726" s="68"/>
      <c r="H726" s="68"/>
      <c r="I726" s="69"/>
      <c r="J726" s="68"/>
      <c r="K726" s="48"/>
      <c r="L726" s="62"/>
      <c r="M726" s="63"/>
      <c r="N726" s="65"/>
      <c r="O726" s="65"/>
      <c r="P726" s="64"/>
      <c r="Q726" s="64"/>
    </row>
    <row r="727" spans="1:17" ht="15.75">
      <c r="A727" s="70"/>
      <c r="B727" s="71"/>
      <c r="C727" s="70"/>
      <c r="D727" s="68"/>
      <c r="E727" s="68"/>
      <c r="F727" s="68"/>
      <c r="G727" s="68"/>
      <c r="H727" s="68"/>
      <c r="I727" s="69"/>
      <c r="J727" s="68"/>
      <c r="K727" s="48"/>
      <c r="L727" s="62"/>
      <c r="M727" s="63"/>
      <c r="N727" s="65"/>
      <c r="O727" s="65"/>
      <c r="P727" s="64"/>
      <c r="Q727" s="64"/>
    </row>
    <row r="728" spans="1:17" ht="15.75">
      <c r="A728" s="70"/>
      <c r="B728" s="71"/>
      <c r="C728" s="70"/>
      <c r="D728" s="68"/>
      <c r="E728" s="68"/>
      <c r="F728" s="68"/>
      <c r="G728" s="68"/>
      <c r="H728" s="68"/>
      <c r="I728" s="69"/>
      <c r="J728" s="68"/>
      <c r="K728" s="48"/>
      <c r="L728" s="62"/>
      <c r="M728" s="63"/>
      <c r="N728" s="65"/>
      <c r="O728" s="65"/>
      <c r="P728" s="64"/>
      <c r="Q728" s="64"/>
    </row>
    <row r="729" spans="1:17" ht="15.75">
      <c r="A729" s="70"/>
      <c r="B729" s="71"/>
      <c r="C729" s="70"/>
      <c r="D729" s="68"/>
      <c r="E729" s="68"/>
      <c r="F729" s="68"/>
      <c r="G729" s="68"/>
      <c r="H729" s="68"/>
      <c r="I729" s="69"/>
      <c r="J729" s="68"/>
      <c r="K729" s="48"/>
      <c r="L729" s="62"/>
      <c r="M729" s="63"/>
      <c r="N729" s="65"/>
      <c r="O729" s="65"/>
      <c r="P729" s="64"/>
      <c r="Q729" s="64"/>
    </row>
    <row r="730" spans="1:17" ht="15.75">
      <c r="A730" s="70"/>
      <c r="B730" s="71"/>
      <c r="C730" s="70"/>
      <c r="D730" s="68"/>
      <c r="E730" s="68"/>
      <c r="F730" s="68"/>
      <c r="G730" s="68"/>
      <c r="H730" s="68"/>
      <c r="I730" s="69"/>
      <c r="J730" s="68"/>
      <c r="K730" s="48"/>
      <c r="L730" s="62"/>
      <c r="M730" s="63"/>
      <c r="N730" s="65"/>
      <c r="O730" s="65"/>
      <c r="P730" s="64"/>
      <c r="Q730" s="64"/>
    </row>
    <row r="731" spans="1:17" ht="15.75">
      <c r="A731" s="70"/>
      <c r="B731" s="71"/>
      <c r="C731" s="70"/>
      <c r="D731" s="68"/>
      <c r="E731" s="68"/>
      <c r="F731" s="68"/>
      <c r="G731" s="68"/>
      <c r="H731" s="68"/>
      <c r="I731" s="69"/>
      <c r="J731" s="68"/>
      <c r="K731" s="48"/>
      <c r="L731" s="62"/>
      <c r="M731" s="63"/>
      <c r="N731" s="65"/>
      <c r="O731" s="65"/>
      <c r="P731" s="64"/>
      <c r="Q731" s="64"/>
    </row>
    <row r="732" spans="1:17" ht="15.75">
      <c r="A732" s="70"/>
      <c r="B732" s="71"/>
      <c r="C732" s="70"/>
      <c r="D732" s="68"/>
      <c r="E732" s="68"/>
      <c r="F732" s="68"/>
      <c r="G732" s="68"/>
      <c r="H732" s="68"/>
      <c r="I732" s="69"/>
      <c r="J732" s="68"/>
      <c r="K732" s="48"/>
      <c r="L732" s="62"/>
      <c r="M732" s="63"/>
      <c r="N732" s="65"/>
      <c r="O732" s="65"/>
      <c r="P732" s="64"/>
      <c r="Q732" s="64"/>
    </row>
    <row r="733" spans="1:17" ht="15.75">
      <c r="A733" s="70"/>
      <c r="B733" s="71"/>
      <c r="C733" s="70"/>
      <c r="D733" s="68"/>
      <c r="E733" s="68"/>
      <c r="F733" s="68"/>
      <c r="G733" s="68"/>
      <c r="H733" s="68"/>
      <c r="I733" s="69"/>
      <c r="J733" s="68"/>
      <c r="K733" s="48"/>
      <c r="L733" s="62"/>
      <c r="M733" s="63"/>
      <c r="N733" s="65"/>
      <c r="O733" s="65"/>
      <c r="P733" s="64"/>
      <c r="Q733" s="64"/>
    </row>
    <row r="734" spans="1:17" ht="15.75">
      <c r="A734" s="70"/>
      <c r="B734" s="71"/>
      <c r="C734" s="70"/>
      <c r="D734" s="68"/>
      <c r="E734" s="68"/>
      <c r="F734" s="68"/>
      <c r="G734" s="68"/>
      <c r="H734" s="68"/>
      <c r="I734" s="69"/>
      <c r="J734" s="68"/>
      <c r="K734" s="48"/>
      <c r="L734" s="62"/>
      <c r="M734" s="63"/>
      <c r="N734" s="65"/>
      <c r="O734" s="65"/>
      <c r="P734" s="64"/>
      <c r="Q734" s="64"/>
    </row>
    <row r="735" spans="1:17" ht="15.75">
      <c r="A735" s="70"/>
      <c r="B735" s="71"/>
      <c r="C735" s="70"/>
      <c r="D735" s="68"/>
      <c r="E735" s="68"/>
      <c r="F735" s="68"/>
      <c r="G735" s="68"/>
      <c r="H735" s="68"/>
      <c r="I735" s="69"/>
      <c r="J735" s="68"/>
      <c r="K735" s="48"/>
      <c r="L735" s="62"/>
      <c r="M735" s="63"/>
      <c r="N735" s="65"/>
      <c r="O735" s="65"/>
      <c r="P735" s="64"/>
      <c r="Q735" s="64"/>
    </row>
    <row r="736" spans="1:17" ht="15.75">
      <c r="A736" s="70"/>
      <c r="B736" s="71"/>
      <c r="C736" s="70"/>
      <c r="D736" s="68"/>
      <c r="E736" s="68"/>
      <c r="F736" s="68"/>
      <c r="G736" s="68"/>
      <c r="H736" s="68"/>
      <c r="I736" s="69"/>
      <c r="J736" s="68"/>
      <c r="K736" s="48"/>
      <c r="L736" s="62"/>
      <c r="M736" s="63"/>
      <c r="N736" s="65"/>
      <c r="O736" s="65"/>
      <c r="P736" s="64"/>
      <c r="Q736" s="64"/>
    </row>
    <row r="737" spans="1:17" ht="15.75">
      <c r="A737" s="70"/>
      <c r="B737" s="71"/>
      <c r="C737" s="70"/>
      <c r="D737" s="68"/>
      <c r="E737" s="68"/>
      <c r="F737" s="68"/>
      <c r="G737" s="68"/>
      <c r="H737" s="68"/>
      <c r="I737" s="69"/>
      <c r="J737" s="68"/>
      <c r="K737" s="48"/>
      <c r="L737" s="62"/>
      <c r="M737" s="63"/>
      <c r="N737" s="65"/>
      <c r="O737" s="65"/>
      <c r="P737" s="64"/>
      <c r="Q737" s="64"/>
    </row>
    <row r="738" spans="1:17" ht="15.75">
      <c r="A738" s="70"/>
      <c r="B738" s="71"/>
      <c r="C738" s="70"/>
      <c r="D738" s="68"/>
      <c r="E738" s="68"/>
      <c r="F738" s="68"/>
      <c r="G738" s="68"/>
      <c r="H738" s="68"/>
      <c r="I738" s="69"/>
      <c r="J738" s="68"/>
      <c r="K738" s="48"/>
      <c r="L738" s="62"/>
      <c r="M738" s="63"/>
      <c r="N738" s="65"/>
      <c r="O738" s="65"/>
      <c r="P738" s="64"/>
      <c r="Q738" s="64"/>
    </row>
    <row r="739" spans="1:17" ht="15.75">
      <c r="A739" s="70"/>
      <c r="B739" s="71"/>
      <c r="C739" s="70"/>
      <c r="D739" s="68"/>
      <c r="E739" s="68"/>
      <c r="F739" s="68"/>
      <c r="G739" s="68"/>
      <c r="H739" s="68"/>
      <c r="I739" s="69"/>
      <c r="J739" s="68"/>
      <c r="K739" s="48"/>
      <c r="L739" s="62"/>
      <c r="M739" s="63"/>
      <c r="N739" s="65"/>
      <c r="O739" s="65"/>
      <c r="P739" s="64"/>
      <c r="Q739" s="64"/>
    </row>
    <row r="740" spans="1:17" ht="15.75">
      <c r="A740" s="70"/>
      <c r="B740" s="71"/>
      <c r="C740" s="70"/>
      <c r="D740" s="68"/>
      <c r="E740" s="68"/>
      <c r="F740" s="68"/>
      <c r="G740" s="68"/>
      <c r="H740" s="68"/>
      <c r="I740" s="69"/>
      <c r="J740" s="68"/>
      <c r="K740" s="48"/>
      <c r="L740" s="62"/>
      <c r="M740" s="63"/>
      <c r="N740" s="65"/>
      <c r="O740" s="65"/>
      <c r="P740" s="64"/>
      <c r="Q740" s="64"/>
    </row>
    <row r="741" spans="1:17" ht="15.75">
      <c r="A741" s="70"/>
      <c r="B741" s="71"/>
      <c r="C741" s="70"/>
      <c r="D741" s="68"/>
      <c r="E741" s="68"/>
      <c r="F741" s="68"/>
      <c r="G741" s="68"/>
      <c r="H741" s="68"/>
      <c r="I741" s="69"/>
      <c r="J741" s="68"/>
      <c r="K741" s="48"/>
      <c r="L741" s="62"/>
      <c r="M741" s="63"/>
      <c r="N741" s="65"/>
      <c r="O741" s="65"/>
      <c r="P741" s="64"/>
      <c r="Q741" s="64"/>
    </row>
    <row r="742" spans="1:17" ht="15.75">
      <c r="A742" s="70"/>
      <c r="B742" s="71"/>
      <c r="C742" s="70"/>
      <c r="D742" s="68"/>
      <c r="E742" s="68"/>
      <c r="F742" s="68"/>
      <c r="G742" s="68"/>
      <c r="H742" s="68"/>
      <c r="I742" s="69"/>
      <c r="J742" s="68"/>
      <c r="K742" s="48"/>
      <c r="L742" s="62"/>
      <c r="M742" s="63"/>
      <c r="N742" s="65"/>
      <c r="O742" s="65"/>
      <c r="P742" s="64"/>
      <c r="Q742" s="64"/>
    </row>
    <row r="743" spans="1:17" ht="15.75">
      <c r="A743" s="70"/>
      <c r="B743" s="71"/>
      <c r="C743" s="70"/>
      <c r="D743" s="68"/>
      <c r="E743" s="68"/>
      <c r="F743" s="68"/>
      <c r="G743" s="68"/>
      <c r="H743" s="68"/>
      <c r="I743" s="69"/>
      <c r="J743" s="68"/>
      <c r="K743" s="48"/>
      <c r="L743" s="62"/>
      <c r="M743" s="63"/>
      <c r="N743" s="65"/>
      <c r="O743" s="65"/>
      <c r="P743" s="64"/>
      <c r="Q743" s="64"/>
    </row>
    <row r="744" spans="1:17" ht="15.75">
      <c r="A744" s="70"/>
      <c r="B744" s="71"/>
      <c r="C744" s="70"/>
      <c r="D744" s="68"/>
      <c r="E744" s="68"/>
      <c r="F744" s="68"/>
      <c r="G744" s="68"/>
      <c r="H744" s="68"/>
      <c r="I744" s="69"/>
      <c r="J744" s="68"/>
      <c r="K744" s="48"/>
      <c r="L744" s="62"/>
      <c r="M744" s="63"/>
      <c r="N744" s="65"/>
      <c r="O744" s="65"/>
      <c r="P744" s="64"/>
      <c r="Q744" s="64"/>
    </row>
    <row r="745" spans="1:17" ht="15.75">
      <c r="A745" s="70"/>
      <c r="B745" s="71"/>
      <c r="C745" s="70"/>
      <c r="D745" s="68"/>
      <c r="E745" s="68"/>
      <c r="F745" s="68"/>
      <c r="G745" s="68"/>
      <c r="H745" s="68"/>
      <c r="I745" s="69"/>
      <c r="J745" s="68"/>
      <c r="K745" s="48"/>
      <c r="L745" s="62"/>
      <c r="M745" s="63"/>
      <c r="N745" s="65"/>
      <c r="O745" s="65"/>
      <c r="P745" s="64"/>
      <c r="Q745" s="64"/>
    </row>
    <row r="746" spans="1:17" ht="15.75">
      <c r="A746" s="70"/>
      <c r="B746" s="71"/>
      <c r="C746" s="70"/>
      <c r="D746" s="68"/>
      <c r="E746" s="68"/>
      <c r="F746" s="68"/>
      <c r="G746" s="68"/>
      <c r="H746" s="68"/>
      <c r="I746" s="69"/>
      <c r="J746" s="68"/>
      <c r="K746" s="48"/>
      <c r="L746" s="62"/>
      <c r="M746" s="63"/>
      <c r="N746" s="65"/>
      <c r="O746" s="65"/>
      <c r="P746" s="64"/>
      <c r="Q746" s="64"/>
    </row>
    <row r="747" spans="1:17" ht="15.75">
      <c r="A747" s="70"/>
      <c r="B747" s="71"/>
      <c r="C747" s="70"/>
      <c r="D747" s="68"/>
      <c r="E747" s="68"/>
      <c r="F747" s="68"/>
      <c r="G747" s="68"/>
      <c r="H747" s="68"/>
      <c r="I747" s="69"/>
      <c r="J747" s="68"/>
      <c r="K747" s="48"/>
      <c r="L747" s="62"/>
      <c r="M747" s="63"/>
      <c r="N747" s="65"/>
      <c r="O747" s="65"/>
      <c r="P747" s="64"/>
      <c r="Q747" s="64"/>
    </row>
    <row r="748" spans="1:17" ht="15.75">
      <c r="A748" s="70"/>
      <c r="B748" s="71"/>
      <c r="C748" s="70"/>
      <c r="D748" s="68"/>
      <c r="E748" s="68"/>
      <c r="F748" s="68"/>
      <c r="G748" s="68"/>
      <c r="H748" s="68"/>
      <c r="I748" s="69"/>
      <c r="J748" s="68"/>
      <c r="K748" s="48"/>
      <c r="L748" s="62"/>
      <c r="M748" s="63"/>
      <c r="N748" s="65"/>
      <c r="O748" s="65"/>
      <c r="P748" s="64"/>
      <c r="Q748" s="64"/>
    </row>
    <row r="749" spans="1:17" ht="15.75">
      <c r="A749" s="70"/>
      <c r="B749" s="71"/>
      <c r="C749" s="70"/>
      <c r="D749" s="68"/>
      <c r="E749" s="68"/>
      <c r="F749" s="68"/>
      <c r="G749" s="68"/>
      <c r="H749" s="68"/>
      <c r="I749" s="69"/>
      <c r="J749" s="68"/>
      <c r="K749" s="48"/>
      <c r="L749" s="62"/>
      <c r="M749" s="63"/>
      <c r="N749" s="65"/>
      <c r="O749" s="65"/>
      <c r="P749" s="64"/>
      <c r="Q749" s="64"/>
    </row>
    <row r="750" spans="1:17" ht="15.75">
      <c r="A750" s="70"/>
      <c r="B750" s="71"/>
      <c r="C750" s="70"/>
      <c r="D750" s="68"/>
      <c r="E750" s="68"/>
      <c r="F750" s="68"/>
      <c r="G750" s="68"/>
      <c r="H750" s="68"/>
      <c r="I750" s="69"/>
      <c r="J750" s="68"/>
      <c r="K750" s="48"/>
      <c r="L750" s="62"/>
      <c r="M750" s="63"/>
      <c r="N750" s="65"/>
      <c r="O750" s="65"/>
      <c r="P750" s="64"/>
      <c r="Q750" s="64"/>
    </row>
    <row r="751" spans="1:17" ht="15.75">
      <c r="A751" s="70"/>
      <c r="B751" s="71"/>
      <c r="C751" s="70"/>
      <c r="D751" s="68"/>
      <c r="E751" s="68"/>
      <c r="F751" s="68"/>
      <c r="G751" s="68"/>
      <c r="H751" s="68"/>
      <c r="I751" s="69"/>
      <c r="J751" s="68"/>
      <c r="K751" s="48"/>
      <c r="L751" s="62"/>
      <c r="M751" s="63"/>
      <c r="N751" s="65"/>
      <c r="O751" s="65"/>
      <c r="P751" s="64"/>
      <c r="Q751" s="64"/>
    </row>
    <row r="752" spans="1:17" ht="15.75">
      <c r="A752" s="70"/>
      <c r="B752" s="71"/>
      <c r="C752" s="70"/>
      <c r="D752" s="68"/>
      <c r="E752" s="68"/>
      <c r="F752" s="68"/>
      <c r="G752" s="68"/>
      <c r="H752" s="68"/>
      <c r="I752" s="69"/>
      <c r="J752" s="68"/>
      <c r="K752" s="48"/>
      <c r="L752" s="62"/>
      <c r="M752" s="63"/>
      <c r="N752" s="65"/>
      <c r="O752" s="65"/>
      <c r="P752" s="64"/>
      <c r="Q752" s="64"/>
    </row>
    <row r="753" spans="1:17" ht="15.75">
      <c r="A753" s="70"/>
      <c r="B753" s="71"/>
      <c r="C753" s="70"/>
      <c r="D753" s="68"/>
      <c r="E753" s="68"/>
      <c r="F753" s="68"/>
      <c r="G753" s="68"/>
      <c r="H753" s="68"/>
      <c r="I753" s="69"/>
      <c r="J753" s="68"/>
      <c r="K753" s="48"/>
      <c r="L753" s="62"/>
      <c r="M753" s="63"/>
      <c r="N753" s="65"/>
      <c r="O753" s="65"/>
      <c r="P753" s="64"/>
      <c r="Q753" s="64"/>
    </row>
    <row r="754" spans="1:17" ht="15.75">
      <c r="A754" s="70"/>
      <c r="B754" s="71"/>
      <c r="C754" s="70"/>
      <c r="D754" s="68"/>
      <c r="E754" s="68"/>
      <c r="F754" s="68"/>
      <c r="G754" s="68"/>
      <c r="H754" s="68"/>
      <c r="I754" s="69"/>
      <c r="J754" s="68"/>
      <c r="K754" s="48"/>
      <c r="L754" s="62"/>
      <c r="M754" s="63"/>
      <c r="N754" s="65"/>
      <c r="O754" s="65"/>
      <c r="P754" s="64"/>
      <c r="Q754" s="64"/>
    </row>
    <row r="755" spans="1:17" ht="15.75">
      <c r="A755" s="70"/>
      <c r="B755" s="71"/>
      <c r="C755" s="70"/>
      <c r="D755" s="68"/>
      <c r="E755" s="68"/>
      <c r="F755" s="68"/>
      <c r="G755" s="68"/>
      <c r="H755" s="68"/>
      <c r="I755" s="69"/>
      <c r="J755" s="68"/>
      <c r="K755" s="48"/>
      <c r="L755" s="62"/>
      <c r="M755" s="63"/>
      <c r="N755" s="65"/>
      <c r="O755" s="65"/>
      <c r="P755" s="64"/>
      <c r="Q755" s="64"/>
    </row>
    <row r="756" spans="1:17" ht="15.75">
      <c r="A756" s="70"/>
      <c r="B756" s="71"/>
      <c r="C756" s="70"/>
      <c r="D756" s="68"/>
      <c r="E756" s="68"/>
      <c r="F756" s="68"/>
      <c r="G756" s="68"/>
      <c r="H756" s="68"/>
      <c r="I756" s="69"/>
      <c r="J756" s="68"/>
      <c r="K756" s="48"/>
      <c r="L756" s="62"/>
      <c r="M756" s="63"/>
      <c r="N756" s="65"/>
      <c r="O756" s="65"/>
      <c r="P756" s="64"/>
      <c r="Q756" s="64"/>
    </row>
    <row r="757" spans="1:17" ht="15.75">
      <c r="A757" s="70"/>
      <c r="B757" s="71"/>
      <c r="C757" s="70"/>
      <c r="D757" s="68"/>
      <c r="E757" s="68"/>
      <c r="F757" s="68"/>
      <c r="G757" s="68"/>
      <c r="H757" s="68"/>
      <c r="I757" s="69"/>
      <c r="J757" s="68"/>
      <c r="K757" s="48"/>
      <c r="L757" s="62"/>
      <c r="M757" s="63"/>
      <c r="N757" s="65"/>
      <c r="O757" s="65"/>
      <c r="P757" s="64"/>
      <c r="Q757" s="64"/>
    </row>
    <row r="758" spans="1:17" ht="15.75">
      <c r="A758" s="70"/>
      <c r="B758" s="71"/>
      <c r="C758" s="70"/>
      <c r="D758" s="68"/>
      <c r="E758" s="68"/>
      <c r="F758" s="68"/>
      <c r="G758" s="68"/>
      <c r="H758" s="68"/>
      <c r="I758" s="69"/>
      <c r="J758" s="68"/>
      <c r="K758" s="48"/>
      <c r="L758" s="62"/>
      <c r="M758" s="63"/>
      <c r="N758" s="65"/>
      <c r="O758" s="65"/>
      <c r="P758" s="64"/>
      <c r="Q758" s="64"/>
    </row>
    <row r="759" spans="1:17" ht="15.75">
      <c r="A759" s="70"/>
      <c r="B759" s="71"/>
      <c r="C759" s="70"/>
      <c r="D759" s="68"/>
      <c r="E759" s="68"/>
      <c r="F759" s="68"/>
      <c r="G759" s="68"/>
      <c r="H759" s="68"/>
      <c r="I759" s="69"/>
      <c r="J759" s="68"/>
      <c r="K759" s="48"/>
      <c r="L759" s="62"/>
      <c r="M759" s="63"/>
      <c r="N759" s="65"/>
      <c r="O759" s="65"/>
      <c r="P759" s="64"/>
      <c r="Q759" s="64"/>
    </row>
    <row r="760" spans="1:17" ht="15.75">
      <c r="A760" s="70"/>
      <c r="B760" s="71"/>
      <c r="C760" s="70"/>
      <c r="D760" s="68"/>
      <c r="E760" s="68"/>
      <c r="F760" s="68"/>
      <c r="G760" s="68"/>
      <c r="H760" s="68"/>
      <c r="I760" s="69"/>
      <c r="J760" s="68"/>
      <c r="K760" s="48"/>
      <c r="L760" s="62"/>
      <c r="M760" s="63"/>
      <c r="N760" s="65"/>
      <c r="O760" s="65"/>
      <c r="P760" s="64"/>
      <c r="Q760" s="64"/>
    </row>
    <row r="761" spans="1:17" ht="15.75">
      <c r="A761" s="70"/>
      <c r="B761" s="71"/>
      <c r="C761" s="70"/>
      <c r="D761" s="68"/>
      <c r="E761" s="68"/>
      <c r="F761" s="68"/>
      <c r="G761" s="68"/>
      <c r="H761" s="68"/>
      <c r="I761" s="69"/>
      <c r="J761" s="68"/>
      <c r="K761" s="48"/>
      <c r="L761" s="62"/>
      <c r="M761" s="63"/>
      <c r="N761" s="65"/>
      <c r="O761" s="65"/>
      <c r="P761" s="64"/>
      <c r="Q761" s="64"/>
    </row>
    <row r="762" spans="1:17" ht="15.75">
      <c r="A762" s="70"/>
      <c r="B762" s="71"/>
      <c r="C762" s="70"/>
      <c r="D762" s="68"/>
      <c r="E762" s="68"/>
      <c r="F762" s="68"/>
      <c r="G762" s="68"/>
      <c r="H762" s="68"/>
      <c r="I762" s="69"/>
      <c r="J762" s="68"/>
      <c r="K762" s="48"/>
      <c r="L762" s="62"/>
      <c r="M762" s="63"/>
      <c r="N762" s="65"/>
      <c r="O762" s="65"/>
      <c r="P762" s="64"/>
      <c r="Q762" s="64"/>
    </row>
    <row r="763" spans="1:17" ht="15.75">
      <c r="A763" s="70"/>
      <c r="B763" s="71"/>
      <c r="C763" s="70"/>
      <c r="D763" s="68"/>
      <c r="E763" s="68"/>
      <c r="F763" s="68"/>
      <c r="G763" s="68"/>
      <c r="H763" s="68"/>
      <c r="I763" s="69"/>
      <c r="J763" s="68"/>
      <c r="K763" s="48"/>
      <c r="L763" s="62"/>
      <c r="M763" s="63"/>
      <c r="N763" s="65"/>
      <c r="O763" s="65"/>
      <c r="P763" s="64"/>
      <c r="Q763" s="64"/>
    </row>
    <row r="764" spans="1:17" ht="15.75">
      <c r="A764" s="70"/>
      <c r="B764" s="71"/>
      <c r="C764" s="70"/>
      <c r="D764" s="68"/>
      <c r="E764" s="68"/>
      <c r="F764" s="68"/>
      <c r="G764" s="68"/>
      <c r="H764" s="68"/>
      <c r="I764" s="69"/>
      <c r="J764" s="68"/>
      <c r="K764" s="48"/>
      <c r="L764" s="62"/>
      <c r="M764" s="63"/>
      <c r="N764" s="65"/>
      <c r="O764" s="65"/>
      <c r="P764" s="64"/>
      <c r="Q764" s="64"/>
    </row>
    <row r="765" spans="1:17" ht="15.75">
      <c r="A765" s="70"/>
      <c r="B765" s="71"/>
      <c r="C765" s="70"/>
      <c r="D765" s="68"/>
      <c r="E765" s="68"/>
      <c r="F765" s="68"/>
      <c r="G765" s="68"/>
      <c r="H765" s="68"/>
      <c r="I765" s="69"/>
      <c r="J765" s="68"/>
      <c r="K765" s="48"/>
      <c r="L765" s="62"/>
      <c r="M765" s="63"/>
      <c r="N765" s="65"/>
      <c r="O765" s="65"/>
      <c r="P765" s="64"/>
      <c r="Q765" s="64"/>
    </row>
    <row r="766" spans="1:17" ht="15.75">
      <c r="A766" s="70"/>
      <c r="B766" s="71"/>
      <c r="C766" s="70"/>
      <c r="D766" s="68"/>
      <c r="E766" s="68"/>
      <c r="F766" s="68"/>
      <c r="G766" s="68"/>
      <c r="H766" s="68"/>
      <c r="I766" s="69"/>
      <c r="J766" s="68"/>
      <c r="K766" s="48"/>
      <c r="L766" s="62"/>
      <c r="M766" s="63"/>
      <c r="N766" s="65"/>
      <c r="O766" s="65"/>
      <c r="P766" s="64"/>
      <c r="Q766" s="64"/>
    </row>
    <row r="767" spans="1:17" ht="15.75">
      <c r="A767" s="70"/>
      <c r="B767" s="71"/>
      <c r="C767" s="70"/>
      <c r="D767" s="68"/>
      <c r="E767" s="68"/>
      <c r="F767" s="68"/>
      <c r="G767" s="68"/>
      <c r="H767" s="68"/>
      <c r="I767" s="69"/>
      <c r="J767" s="68"/>
      <c r="K767" s="48"/>
      <c r="L767" s="62"/>
      <c r="M767" s="63"/>
      <c r="N767" s="65"/>
      <c r="O767" s="65"/>
      <c r="P767" s="64"/>
      <c r="Q767" s="64"/>
    </row>
    <row r="768" spans="1:17" ht="15.75">
      <c r="A768" s="70"/>
      <c r="B768" s="71"/>
      <c r="C768" s="70"/>
      <c r="D768" s="68"/>
      <c r="E768" s="68"/>
      <c r="F768" s="68"/>
      <c r="G768" s="68"/>
      <c r="H768" s="68"/>
      <c r="I768" s="69"/>
      <c r="J768" s="68"/>
      <c r="K768" s="48"/>
      <c r="L768" s="62"/>
      <c r="M768" s="63"/>
      <c r="N768" s="65"/>
      <c r="O768" s="65"/>
      <c r="P768" s="64"/>
      <c r="Q768" s="64"/>
    </row>
    <row r="769" spans="1:17" ht="15.75">
      <c r="A769" s="70"/>
      <c r="B769" s="71"/>
      <c r="C769" s="70"/>
      <c r="D769" s="68"/>
      <c r="E769" s="68"/>
      <c r="F769" s="68"/>
      <c r="G769" s="68"/>
      <c r="H769" s="68"/>
      <c r="I769" s="69"/>
      <c r="J769" s="68"/>
      <c r="K769" s="48"/>
      <c r="L769" s="62"/>
      <c r="M769" s="63"/>
      <c r="N769" s="65"/>
      <c r="O769" s="65"/>
      <c r="P769" s="64"/>
      <c r="Q769" s="64"/>
    </row>
    <row r="770" spans="1:17" ht="15.75">
      <c r="A770" s="70"/>
      <c r="B770" s="71"/>
      <c r="C770" s="70"/>
      <c r="D770" s="68"/>
      <c r="E770" s="68"/>
      <c r="F770" s="68"/>
      <c r="G770" s="68"/>
      <c r="H770" s="68"/>
      <c r="I770" s="69"/>
      <c r="J770" s="68"/>
      <c r="K770" s="48"/>
      <c r="L770" s="62"/>
      <c r="M770" s="63"/>
      <c r="N770" s="65"/>
      <c r="O770" s="65"/>
      <c r="P770" s="64"/>
      <c r="Q770" s="64"/>
    </row>
    <row r="771" spans="1:17" ht="15.75">
      <c r="A771" s="70"/>
      <c r="B771" s="71"/>
      <c r="C771" s="70"/>
      <c r="D771" s="68"/>
      <c r="E771" s="68"/>
      <c r="F771" s="68"/>
      <c r="G771" s="68"/>
      <c r="H771" s="68"/>
      <c r="I771" s="69"/>
      <c r="J771" s="68"/>
      <c r="K771" s="48"/>
      <c r="L771" s="62"/>
      <c r="M771" s="63"/>
      <c r="N771" s="65"/>
      <c r="O771" s="65"/>
      <c r="P771" s="64"/>
      <c r="Q771" s="64"/>
    </row>
    <row r="772" spans="1:17" ht="15.75">
      <c r="A772" s="70"/>
      <c r="B772" s="71"/>
      <c r="C772" s="70"/>
      <c r="D772" s="68"/>
      <c r="E772" s="68"/>
      <c r="F772" s="68"/>
      <c r="G772" s="68"/>
      <c r="H772" s="68"/>
      <c r="I772" s="69"/>
      <c r="J772" s="68"/>
      <c r="K772" s="48"/>
      <c r="L772" s="62"/>
      <c r="M772" s="63"/>
      <c r="N772" s="65"/>
      <c r="O772" s="65"/>
      <c r="P772" s="64"/>
      <c r="Q772" s="64"/>
    </row>
    <row r="773" spans="1:17" ht="15.75">
      <c r="A773" s="70"/>
      <c r="B773" s="71"/>
      <c r="C773" s="70"/>
      <c r="D773" s="68"/>
      <c r="E773" s="68"/>
      <c r="F773" s="68"/>
      <c r="G773" s="68"/>
      <c r="H773" s="68"/>
      <c r="I773" s="69"/>
      <c r="J773" s="68"/>
      <c r="K773" s="48"/>
      <c r="L773" s="62"/>
      <c r="M773" s="63"/>
      <c r="N773" s="65"/>
      <c r="O773" s="65"/>
      <c r="P773" s="64"/>
      <c r="Q773" s="64"/>
    </row>
    <row r="774" spans="1:17" ht="15.75">
      <c r="A774" s="70"/>
      <c r="B774" s="71"/>
      <c r="C774" s="70"/>
      <c r="D774" s="68"/>
      <c r="E774" s="68"/>
      <c r="F774" s="68"/>
      <c r="G774" s="68"/>
      <c r="H774" s="68"/>
      <c r="I774" s="69"/>
      <c r="J774" s="68"/>
      <c r="K774" s="48"/>
      <c r="L774" s="62"/>
      <c r="M774" s="63"/>
      <c r="N774" s="65"/>
      <c r="O774" s="65"/>
      <c r="P774" s="64"/>
      <c r="Q774" s="64"/>
    </row>
    <row r="775" spans="1:17" ht="15.75">
      <c r="A775" s="70"/>
      <c r="B775" s="71"/>
      <c r="C775" s="70"/>
      <c r="D775" s="68"/>
      <c r="E775" s="68"/>
      <c r="F775" s="68"/>
      <c r="G775" s="68"/>
      <c r="H775" s="68"/>
      <c r="I775" s="69"/>
      <c r="J775" s="68"/>
      <c r="K775" s="48"/>
      <c r="L775" s="62"/>
      <c r="M775" s="63"/>
      <c r="N775" s="65"/>
      <c r="O775" s="65"/>
      <c r="P775" s="64"/>
      <c r="Q775" s="64"/>
    </row>
    <row r="776" spans="1:17" ht="15.75">
      <c r="A776" s="70"/>
      <c r="B776" s="71"/>
      <c r="C776" s="70"/>
      <c r="D776" s="68"/>
      <c r="E776" s="68"/>
      <c r="F776" s="68"/>
      <c r="G776" s="68"/>
      <c r="H776" s="68"/>
      <c r="I776" s="69"/>
      <c r="J776" s="68"/>
      <c r="K776" s="48"/>
      <c r="L776" s="62"/>
      <c r="M776" s="63"/>
      <c r="N776" s="65"/>
      <c r="O776" s="65"/>
      <c r="P776" s="64"/>
      <c r="Q776" s="64"/>
    </row>
    <row r="777" spans="1:17" ht="15.75">
      <c r="A777" s="70"/>
      <c r="B777" s="71"/>
      <c r="C777" s="70"/>
      <c r="D777" s="68"/>
      <c r="E777" s="68"/>
      <c r="F777" s="68"/>
      <c r="G777" s="68"/>
      <c r="H777" s="68"/>
      <c r="I777" s="69"/>
      <c r="J777" s="68"/>
      <c r="K777" s="48"/>
      <c r="L777" s="62"/>
      <c r="M777" s="63"/>
      <c r="N777" s="65"/>
      <c r="O777" s="65"/>
      <c r="P777" s="64"/>
      <c r="Q777" s="64"/>
    </row>
    <row r="778" spans="1:17" ht="15.75">
      <c r="A778" s="70"/>
      <c r="B778" s="71"/>
      <c r="C778" s="70"/>
      <c r="D778" s="68"/>
      <c r="E778" s="68"/>
      <c r="F778" s="68"/>
      <c r="G778" s="68"/>
      <c r="H778" s="68"/>
      <c r="I778" s="69"/>
      <c r="J778" s="68"/>
      <c r="K778" s="48"/>
      <c r="L778" s="62"/>
      <c r="M778" s="63"/>
      <c r="N778" s="65"/>
      <c r="O778" s="65"/>
      <c r="P778" s="64"/>
      <c r="Q778" s="64"/>
    </row>
    <row r="779" spans="1:17" ht="15.75">
      <c r="A779" s="70"/>
      <c r="B779" s="71"/>
      <c r="C779" s="70"/>
      <c r="D779" s="68"/>
      <c r="E779" s="68"/>
      <c r="F779" s="68"/>
      <c r="G779" s="68"/>
      <c r="H779" s="68"/>
      <c r="I779" s="69"/>
      <c r="J779" s="68"/>
      <c r="K779" s="48"/>
      <c r="L779" s="62"/>
      <c r="M779" s="63"/>
      <c r="N779" s="65"/>
      <c r="O779" s="65"/>
      <c r="P779" s="64"/>
      <c r="Q779" s="64"/>
    </row>
    <row r="780" spans="1:17" ht="15.75">
      <c r="A780" s="70"/>
      <c r="B780" s="71"/>
      <c r="C780" s="70"/>
      <c r="D780" s="68"/>
      <c r="E780" s="68"/>
      <c r="F780" s="68"/>
      <c r="G780" s="68"/>
      <c r="H780" s="68"/>
      <c r="I780" s="69"/>
      <c r="J780" s="68"/>
      <c r="K780" s="48"/>
      <c r="L780" s="62"/>
      <c r="M780" s="63"/>
      <c r="N780" s="65"/>
      <c r="O780" s="65"/>
      <c r="P780" s="64"/>
      <c r="Q780" s="64"/>
    </row>
    <row r="781" spans="1:17" ht="15.75">
      <c r="A781" s="70"/>
      <c r="B781" s="71"/>
      <c r="C781" s="70"/>
      <c r="D781" s="68"/>
      <c r="E781" s="68"/>
      <c r="F781" s="68"/>
      <c r="G781" s="68"/>
      <c r="H781" s="68"/>
      <c r="I781" s="69"/>
      <c r="J781" s="68"/>
      <c r="K781" s="48"/>
      <c r="L781" s="62"/>
      <c r="M781" s="63"/>
      <c r="N781" s="65"/>
      <c r="O781" s="65"/>
      <c r="P781" s="64"/>
      <c r="Q781" s="64"/>
    </row>
    <row r="782" spans="1:17" ht="15.75">
      <c r="A782" s="70"/>
      <c r="B782" s="71"/>
      <c r="C782" s="70"/>
      <c r="D782" s="68"/>
      <c r="E782" s="68"/>
      <c r="F782" s="68"/>
      <c r="G782" s="68"/>
      <c r="H782" s="68"/>
      <c r="I782" s="69"/>
      <c r="J782" s="68"/>
      <c r="K782" s="48"/>
      <c r="L782" s="62"/>
      <c r="M782" s="63"/>
      <c r="N782" s="65"/>
      <c r="O782" s="65"/>
      <c r="P782" s="64"/>
      <c r="Q782" s="64"/>
    </row>
    <row r="783" spans="1:17" ht="15.75">
      <c r="A783" s="70"/>
      <c r="B783" s="71"/>
      <c r="C783" s="70"/>
      <c r="D783" s="68"/>
      <c r="E783" s="68"/>
      <c r="F783" s="68"/>
      <c r="G783" s="68"/>
      <c r="H783" s="68"/>
      <c r="I783" s="69"/>
      <c r="J783" s="68"/>
      <c r="K783" s="48"/>
      <c r="L783" s="62"/>
      <c r="M783" s="63"/>
      <c r="N783" s="65"/>
      <c r="O783" s="65"/>
      <c r="P783" s="64"/>
      <c r="Q783" s="64"/>
    </row>
    <row r="784" spans="1:17" ht="15.75">
      <c r="A784" s="70"/>
      <c r="B784" s="71"/>
      <c r="C784" s="70"/>
      <c r="D784" s="68"/>
      <c r="E784" s="68"/>
      <c r="F784" s="68"/>
      <c r="G784" s="68"/>
      <c r="H784" s="68"/>
      <c r="I784" s="69"/>
      <c r="J784" s="68"/>
      <c r="K784" s="48"/>
      <c r="L784" s="62"/>
      <c r="M784" s="63"/>
      <c r="N784" s="65"/>
      <c r="O784" s="65"/>
      <c r="P784" s="64"/>
      <c r="Q784" s="64"/>
    </row>
    <row r="785" spans="1:17" ht="15.75">
      <c r="A785" s="70"/>
      <c r="B785" s="71"/>
      <c r="C785" s="70"/>
      <c r="D785" s="68"/>
      <c r="E785" s="68"/>
      <c r="F785" s="68"/>
      <c r="G785" s="68"/>
      <c r="H785" s="68"/>
      <c r="I785" s="69"/>
      <c r="J785" s="68"/>
      <c r="K785" s="48"/>
      <c r="L785" s="62"/>
      <c r="M785" s="63"/>
      <c r="N785" s="65"/>
      <c r="O785" s="65"/>
      <c r="P785" s="64"/>
      <c r="Q785" s="64"/>
    </row>
    <row r="786" spans="1:17" ht="15.75">
      <c r="A786" s="70"/>
      <c r="B786" s="71"/>
      <c r="C786" s="70"/>
      <c r="D786" s="68"/>
      <c r="E786" s="68"/>
      <c r="F786" s="68"/>
      <c r="G786" s="68"/>
      <c r="H786" s="68"/>
      <c r="I786" s="69"/>
      <c r="J786" s="68"/>
      <c r="K786" s="48"/>
      <c r="L786" s="62"/>
      <c r="M786" s="63"/>
      <c r="N786" s="65"/>
      <c r="O786" s="65"/>
      <c r="P786" s="64"/>
      <c r="Q786" s="64"/>
    </row>
    <row r="787" spans="1:17" ht="15.75">
      <c r="A787" s="70"/>
      <c r="B787" s="71"/>
      <c r="C787" s="70"/>
      <c r="D787" s="68"/>
      <c r="E787" s="68"/>
      <c r="F787" s="68"/>
      <c r="G787" s="68"/>
      <c r="H787" s="68"/>
      <c r="I787" s="69"/>
      <c r="J787" s="68"/>
      <c r="K787" s="48"/>
      <c r="L787" s="62"/>
      <c r="M787" s="63"/>
      <c r="N787" s="65"/>
      <c r="O787" s="65"/>
      <c r="P787" s="64"/>
      <c r="Q787" s="64"/>
    </row>
    <row r="788" spans="1:17" ht="15.75">
      <c r="A788" s="70"/>
      <c r="B788" s="71"/>
      <c r="C788" s="70"/>
      <c r="D788" s="68"/>
      <c r="E788" s="68"/>
      <c r="F788" s="68"/>
      <c r="G788" s="68"/>
      <c r="H788" s="68"/>
      <c r="I788" s="69"/>
      <c r="J788" s="68"/>
      <c r="K788" s="48"/>
      <c r="L788" s="62"/>
      <c r="M788" s="63"/>
      <c r="N788" s="65"/>
      <c r="O788" s="65"/>
      <c r="P788" s="64"/>
      <c r="Q788" s="64"/>
    </row>
    <row r="789" spans="1:17" ht="15.75">
      <c r="A789" s="70"/>
      <c r="B789" s="71"/>
      <c r="C789" s="70"/>
      <c r="D789" s="68"/>
      <c r="E789" s="68"/>
      <c r="F789" s="68"/>
      <c r="G789" s="68"/>
      <c r="H789" s="68"/>
      <c r="I789" s="69"/>
      <c r="J789" s="68"/>
      <c r="K789" s="48"/>
      <c r="L789" s="62"/>
      <c r="M789" s="63"/>
      <c r="N789" s="65"/>
      <c r="O789" s="65"/>
      <c r="P789" s="64"/>
      <c r="Q789" s="64"/>
    </row>
    <row r="790" spans="1:17" ht="15.75">
      <c r="A790" s="70"/>
      <c r="B790" s="71"/>
      <c r="C790" s="70"/>
      <c r="D790" s="68"/>
      <c r="E790" s="68"/>
      <c r="F790" s="68"/>
      <c r="G790" s="68"/>
      <c r="H790" s="68"/>
      <c r="I790" s="69"/>
      <c r="J790" s="68"/>
      <c r="K790" s="48"/>
      <c r="L790" s="62"/>
      <c r="M790" s="63"/>
      <c r="N790" s="65"/>
      <c r="O790" s="65"/>
      <c r="P790" s="64"/>
      <c r="Q790" s="64"/>
    </row>
    <row r="791" spans="1:17" ht="15.75">
      <c r="A791" s="70"/>
      <c r="B791" s="71"/>
      <c r="C791" s="70"/>
      <c r="D791" s="68"/>
      <c r="E791" s="68"/>
      <c r="F791" s="68"/>
      <c r="G791" s="68"/>
      <c r="H791" s="68"/>
      <c r="I791" s="69"/>
      <c r="J791" s="68"/>
      <c r="K791" s="48"/>
      <c r="L791" s="62"/>
      <c r="M791" s="63"/>
      <c r="N791" s="65"/>
      <c r="O791" s="65"/>
      <c r="P791" s="64"/>
      <c r="Q791" s="64"/>
    </row>
    <row r="792" spans="1:17" ht="15.75">
      <c r="A792" s="70"/>
      <c r="B792" s="71"/>
      <c r="C792" s="70"/>
      <c r="D792" s="68"/>
      <c r="E792" s="68"/>
      <c r="F792" s="68"/>
      <c r="G792" s="68"/>
      <c r="H792" s="68"/>
      <c r="I792" s="69"/>
      <c r="J792" s="68"/>
      <c r="K792" s="48"/>
      <c r="L792" s="62"/>
      <c r="M792" s="63"/>
      <c r="N792" s="65"/>
      <c r="O792" s="65"/>
      <c r="P792" s="64"/>
      <c r="Q792" s="64"/>
    </row>
    <row r="793" spans="1:17" ht="15.75">
      <c r="A793" s="70"/>
      <c r="B793" s="71"/>
      <c r="C793" s="70"/>
      <c r="D793" s="68"/>
      <c r="E793" s="68"/>
      <c r="F793" s="68"/>
      <c r="G793" s="68"/>
      <c r="H793" s="68"/>
      <c r="I793" s="69"/>
      <c r="J793" s="68"/>
      <c r="K793" s="48"/>
      <c r="L793" s="62"/>
      <c r="M793" s="63"/>
      <c r="N793" s="65"/>
      <c r="O793" s="65"/>
      <c r="P793" s="64"/>
      <c r="Q793" s="64"/>
    </row>
    <row r="794" spans="1:17" ht="15.75">
      <c r="A794" s="70"/>
      <c r="B794" s="71"/>
      <c r="C794" s="70"/>
      <c r="D794" s="68"/>
      <c r="E794" s="68"/>
      <c r="F794" s="68"/>
      <c r="G794" s="68"/>
      <c r="H794" s="68"/>
      <c r="I794" s="69"/>
      <c r="J794" s="68"/>
      <c r="K794" s="48"/>
      <c r="L794" s="62"/>
      <c r="M794" s="63"/>
      <c r="N794" s="65"/>
      <c r="O794" s="65"/>
      <c r="P794" s="64"/>
      <c r="Q794" s="64"/>
    </row>
    <row r="795" spans="1:17" ht="15.75">
      <c r="A795" s="70"/>
      <c r="B795" s="71"/>
      <c r="C795" s="70"/>
      <c r="D795" s="68"/>
      <c r="E795" s="68"/>
      <c r="F795" s="68"/>
      <c r="G795" s="68"/>
      <c r="H795" s="68"/>
      <c r="I795" s="69"/>
      <c r="J795" s="68"/>
      <c r="K795" s="48"/>
      <c r="L795" s="62"/>
      <c r="M795" s="63"/>
      <c r="N795" s="65"/>
      <c r="O795" s="65"/>
      <c r="P795" s="64"/>
      <c r="Q795" s="64"/>
    </row>
    <row r="796" spans="1:17" ht="15.75">
      <c r="A796" s="70"/>
      <c r="B796" s="71"/>
      <c r="C796" s="70"/>
      <c r="D796" s="68"/>
      <c r="E796" s="68"/>
      <c r="F796" s="68"/>
      <c r="G796" s="68"/>
      <c r="H796" s="68"/>
      <c r="I796" s="69"/>
      <c r="J796" s="68"/>
      <c r="K796" s="48"/>
      <c r="L796" s="62"/>
      <c r="M796" s="63"/>
      <c r="N796" s="65"/>
      <c r="O796" s="65"/>
      <c r="P796" s="64"/>
      <c r="Q796" s="64"/>
    </row>
    <row r="797" spans="1:17" ht="15.75">
      <c r="A797" s="70"/>
      <c r="B797" s="71"/>
      <c r="C797" s="70"/>
      <c r="D797" s="68"/>
      <c r="E797" s="68"/>
      <c r="F797" s="68"/>
      <c r="G797" s="68"/>
      <c r="H797" s="68"/>
      <c r="I797" s="69"/>
      <c r="J797" s="68"/>
      <c r="K797" s="48"/>
      <c r="L797" s="62"/>
      <c r="M797" s="63"/>
      <c r="N797" s="65"/>
      <c r="O797" s="65"/>
      <c r="P797" s="64"/>
      <c r="Q797" s="64"/>
    </row>
    <row r="798" spans="1:17" ht="15.75">
      <c r="A798" s="70"/>
      <c r="B798" s="71"/>
      <c r="C798" s="70"/>
      <c r="D798" s="68"/>
      <c r="E798" s="68"/>
      <c r="F798" s="68"/>
      <c r="G798" s="68"/>
      <c r="H798" s="68"/>
      <c r="I798" s="69"/>
      <c r="J798" s="68"/>
      <c r="K798" s="48"/>
      <c r="L798" s="62"/>
      <c r="M798" s="63"/>
      <c r="N798" s="65"/>
      <c r="O798" s="65"/>
      <c r="P798" s="64"/>
      <c r="Q798" s="64"/>
    </row>
    <row r="799" spans="1:17" ht="15.75">
      <c r="A799" s="70"/>
      <c r="B799" s="71"/>
      <c r="C799" s="70"/>
      <c r="D799" s="68"/>
      <c r="E799" s="68"/>
      <c r="F799" s="68"/>
      <c r="G799" s="68"/>
      <c r="H799" s="68"/>
      <c r="I799" s="69"/>
      <c r="J799" s="68"/>
      <c r="K799" s="48"/>
      <c r="L799" s="62"/>
      <c r="M799" s="63"/>
      <c r="N799" s="65"/>
      <c r="O799" s="65"/>
      <c r="P799" s="64"/>
      <c r="Q799" s="64"/>
    </row>
    <row r="800" spans="1:17" ht="15.75">
      <c r="A800" s="70"/>
      <c r="B800" s="71"/>
      <c r="C800" s="70"/>
      <c r="D800" s="68"/>
      <c r="E800" s="68"/>
      <c r="F800" s="68"/>
      <c r="G800" s="68"/>
      <c r="H800" s="68"/>
      <c r="I800" s="69"/>
      <c r="J800" s="68"/>
      <c r="K800" s="48"/>
      <c r="L800" s="62"/>
      <c r="M800" s="63"/>
      <c r="N800" s="65"/>
      <c r="O800" s="65"/>
      <c r="P800" s="64"/>
      <c r="Q800" s="64"/>
    </row>
    <row r="801" spans="1:17" ht="15.75">
      <c r="A801" s="70"/>
      <c r="B801" s="71"/>
      <c r="C801" s="70"/>
      <c r="D801" s="68"/>
      <c r="E801" s="68"/>
      <c r="F801" s="68"/>
      <c r="G801" s="68"/>
      <c r="H801" s="68"/>
      <c r="I801" s="69"/>
      <c r="J801" s="68"/>
      <c r="K801" s="48"/>
      <c r="L801" s="62"/>
      <c r="M801" s="63"/>
      <c r="N801" s="65"/>
      <c r="O801" s="65"/>
      <c r="P801" s="64"/>
      <c r="Q801" s="64"/>
    </row>
    <row r="802" spans="1:17" ht="15.75">
      <c r="A802" s="70"/>
      <c r="B802" s="71"/>
      <c r="C802" s="70"/>
      <c r="D802" s="68"/>
      <c r="E802" s="68"/>
      <c r="F802" s="68"/>
      <c r="G802" s="68"/>
      <c r="H802" s="68"/>
      <c r="I802" s="69"/>
      <c r="J802" s="68"/>
      <c r="K802" s="48"/>
      <c r="L802" s="62"/>
      <c r="M802" s="63"/>
      <c r="N802" s="65"/>
      <c r="O802" s="65"/>
      <c r="P802" s="64"/>
      <c r="Q802" s="64"/>
    </row>
    <row r="803" spans="1:17" ht="15.75">
      <c r="A803" s="70"/>
      <c r="B803" s="71"/>
      <c r="C803" s="70"/>
      <c r="D803" s="68"/>
      <c r="E803" s="68"/>
      <c r="F803" s="68"/>
      <c r="G803" s="68"/>
      <c r="H803" s="68"/>
      <c r="I803" s="69"/>
      <c r="J803" s="68"/>
      <c r="K803" s="48"/>
      <c r="L803" s="62"/>
      <c r="M803" s="63"/>
      <c r="N803" s="65"/>
      <c r="O803" s="65"/>
      <c r="P803" s="64"/>
      <c r="Q803" s="64"/>
    </row>
    <row r="804" spans="1:17" ht="15.75">
      <c r="A804" s="70"/>
      <c r="B804" s="71"/>
      <c r="C804" s="70"/>
      <c r="D804" s="68"/>
      <c r="E804" s="68"/>
      <c r="F804" s="68"/>
      <c r="G804" s="68"/>
      <c r="H804" s="68"/>
      <c r="I804" s="69"/>
      <c r="J804" s="68"/>
      <c r="K804" s="48"/>
      <c r="L804" s="62"/>
      <c r="M804" s="63"/>
      <c r="N804" s="65"/>
      <c r="O804" s="65"/>
      <c r="P804" s="64"/>
      <c r="Q804" s="64"/>
    </row>
    <row r="805" spans="1:17" ht="15.75">
      <c r="A805" s="70"/>
      <c r="B805" s="71"/>
      <c r="C805" s="70"/>
      <c r="D805" s="68"/>
      <c r="E805" s="68"/>
      <c r="F805" s="68"/>
      <c r="G805" s="68"/>
      <c r="H805" s="68"/>
      <c r="I805" s="69"/>
      <c r="J805" s="68"/>
      <c r="K805" s="48"/>
      <c r="L805" s="62"/>
      <c r="M805" s="63"/>
      <c r="N805" s="65"/>
      <c r="O805" s="65"/>
      <c r="P805" s="64"/>
      <c r="Q805" s="64"/>
    </row>
    <row r="806" spans="1:17" ht="15.75">
      <c r="A806" s="70"/>
      <c r="B806" s="71"/>
      <c r="C806" s="70"/>
      <c r="D806" s="68"/>
      <c r="E806" s="68"/>
      <c r="F806" s="68"/>
      <c r="G806" s="68"/>
      <c r="H806" s="68"/>
      <c r="I806" s="69"/>
      <c r="J806" s="68"/>
      <c r="K806" s="48"/>
      <c r="L806" s="62"/>
      <c r="M806" s="63"/>
      <c r="N806" s="65"/>
      <c r="O806" s="65"/>
      <c r="P806" s="64"/>
      <c r="Q806" s="64"/>
    </row>
    <row r="807" spans="1:17" ht="15.75">
      <c r="A807" s="70"/>
      <c r="B807" s="71"/>
      <c r="C807" s="70"/>
      <c r="D807" s="68"/>
      <c r="E807" s="68"/>
      <c r="F807" s="68"/>
      <c r="G807" s="68"/>
      <c r="H807" s="68"/>
      <c r="I807" s="69"/>
      <c r="J807" s="68"/>
      <c r="K807" s="48"/>
      <c r="L807" s="62"/>
      <c r="M807" s="63"/>
      <c r="N807" s="65"/>
      <c r="O807" s="65"/>
      <c r="P807" s="64"/>
      <c r="Q807" s="64"/>
    </row>
    <row r="808" spans="1:17" ht="15.75">
      <c r="A808" s="70"/>
      <c r="B808" s="71"/>
      <c r="C808" s="70"/>
      <c r="D808" s="68"/>
      <c r="E808" s="68"/>
      <c r="F808" s="68"/>
      <c r="G808" s="68"/>
      <c r="H808" s="68"/>
      <c r="I808" s="69"/>
      <c r="J808" s="68"/>
      <c r="K808" s="48"/>
      <c r="L808" s="62"/>
      <c r="M808" s="63"/>
      <c r="N808" s="65"/>
      <c r="O808" s="65"/>
      <c r="P808" s="64"/>
      <c r="Q808" s="64"/>
    </row>
    <row r="809" spans="1:17" ht="15.75">
      <c r="A809" s="70"/>
      <c r="B809" s="71"/>
      <c r="C809" s="70"/>
      <c r="D809" s="68"/>
      <c r="E809" s="68"/>
      <c r="F809" s="68"/>
      <c r="G809" s="68"/>
      <c r="H809" s="68"/>
      <c r="I809" s="69"/>
      <c r="J809" s="68"/>
      <c r="K809" s="48"/>
      <c r="L809" s="62"/>
      <c r="M809" s="63"/>
      <c r="N809" s="65"/>
      <c r="O809" s="65"/>
      <c r="P809" s="64"/>
      <c r="Q809" s="64"/>
    </row>
    <row r="810" spans="1:17" ht="15.75">
      <c r="A810" s="70"/>
      <c r="B810" s="71"/>
      <c r="C810" s="70"/>
      <c r="D810" s="68"/>
      <c r="E810" s="68"/>
      <c r="F810" s="68"/>
      <c r="G810" s="68"/>
      <c r="H810" s="68"/>
      <c r="I810" s="69"/>
      <c r="J810" s="68"/>
      <c r="K810" s="48"/>
      <c r="L810" s="62"/>
      <c r="M810" s="63"/>
      <c r="N810" s="65"/>
      <c r="O810" s="65"/>
      <c r="P810" s="64"/>
      <c r="Q810" s="64"/>
    </row>
    <row r="811" spans="1:17" ht="15.75">
      <c r="A811" s="70"/>
      <c r="B811" s="71"/>
      <c r="C811" s="70"/>
      <c r="D811" s="68"/>
      <c r="E811" s="68"/>
      <c r="F811" s="68"/>
      <c r="G811" s="68"/>
      <c r="H811" s="68"/>
      <c r="I811" s="69"/>
      <c r="J811" s="68"/>
      <c r="K811" s="48"/>
      <c r="L811" s="62"/>
      <c r="M811" s="63"/>
      <c r="N811" s="65"/>
      <c r="O811" s="65"/>
      <c r="P811" s="64"/>
      <c r="Q811" s="64"/>
    </row>
    <row r="812" spans="1:17" ht="15.75">
      <c r="A812" s="70"/>
      <c r="B812" s="71"/>
      <c r="C812" s="70"/>
      <c r="D812" s="68"/>
      <c r="E812" s="68"/>
      <c r="F812" s="68"/>
      <c r="G812" s="68"/>
      <c r="H812" s="68"/>
      <c r="I812" s="69"/>
      <c r="J812" s="68"/>
      <c r="K812" s="48"/>
      <c r="L812" s="62"/>
      <c r="M812" s="63"/>
      <c r="N812" s="65"/>
      <c r="O812" s="65"/>
      <c r="P812" s="64"/>
      <c r="Q812" s="64"/>
    </row>
    <row r="813" spans="1:17" ht="15.75">
      <c r="A813" s="70"/>
      <c r="B813" s="71"/>
      <c r="C813" s="70"/>
      <c r="D813" s="68"/>
      <c r="E813" s="68"/>
      <c r="F813" s="68"/>
      <c r="G813" s="68"/>
      <c r="H813" s="68"/>
      <c r="I813" s="69"/>
      <c r="J813" s="68"/>
      <c r="K813" s="48"/>
      <c r="L813" s="62"/>
      <c r="M813" s="63"/>
      <c r="N813" s="65"/>
      <c r="O813" s="65"/>
      <c r="P813" s="64"/>
      <c r="Q813" s="64"/>
    </row>
    <row r="814" spans="1:17" ht="15.75">
      <c r="A814" s="70"/>
      <c r="B814" s="71"/>
      <c r="C814" s="70"/>
      <c r="D814" s="68"/>
      <c r="E814" s="68"/>
      <c r="F814" s="68"/>
      <c r="G814" s="68"/>
      <c r="H814" s="68"/>
      <c r="I814" s="69"/>
      <c r="J814" s="68"/>
      <c r="K814" s="48"/>
      <c r="L814" s="62"/>
      <c r="M814" s="63"/>
      <c r="N814" s="65"/>
      <c r="O814" s="65"/>
      <c r="P814" s="64"/>
      <c r="Q814" s="64"/>
    </row>
    <row r="815" spans="1:17" ht="15.75">
      <c r="A815" s="70"/>
      <c r="B815" s="71"/>
      <c r="C815" s="70"/>
      <c r="D815" s="68"/>
      <c r="E815" s="68"/>
      <c r="F815" s="68"/>
      <c r="G815" s="68"/>
      <c r="H815" s="68"/>
      <c r="I815" s="69"/>
      <c r="J815" s="68"/>
      <c r="K815" s="48"/>
      <c r="L815" s="62"/>
      <c r="M815" s="63"/>
      <c r="N815" s="65"/>
      <c r="O815" s="65"/>
      <c r="P815" s="64"/>
      <c r="Q815" s="64"/>
    </row>
    <row r="816" spans="1:17" ht="15.75">
      <c r="A816" s="70"/>
      <c r="B816" s="71"/>
      <c r="C816" s="70"/>
      <c r="D816" s="68"/>
      <c r="E816" s="68"/>
      <c r="F816" s="68"/>
      <c r="G816" s="68"/>
      <c r="H816" s="68"/>
      <c r="I816" s="69"/>
      <c r="J816" s="68"/>
      <c r="K816" s="48"/>
      <c r="L816" s="62"/>
      <c r="M816" s="63"/>
      <c r="N816" s="65"/>
      <c r="O816" s="65"/>
      <c r="P816" s="64"/>
      <c r="Q816" s="64"/>
    </row>
    <row r="817" spans="1:17" ht="15.75">
      <c r="A817" s="70"/>
      <c r="B817" s="71"/>
      <c r="C817" s="70"/>
      <c r="D817" s="68"/>
      <c r="E817" s="68"/>
      <c r="F817" s="68"/>
      <c r="G817" s="68"/>
      <c r="H817" s="68"/>
      <c r="I817" s="69"/>
      <c r="J817" s="68"/>
      <c r="K817" s="48"/>
      <c r="L817" s="62"/>
      <c r="M817" s="63"/>
      <c r="N817" s="65"/>
      <c r="O817" s="65"/>
      <c r="P817" s="64"/>
      <c r="Q817" s="64"/>
    </row>
    <row r="818" spans="1:17" ht="15.75">
      <c r="A818" s="70"/>
      <c r="B818" s="71"/>
      <c r="C818" s="70"/>
      <c r="D818" s="68"/>
      <c r="E818" s="68"/>
      <c r="F818" s="68"/>
      <c r="G818" s="68"/>
      <c r="H818" s="68"/>
      <c r="I818" s="69"/>
      <c r="J818" s="68"/>
      <c r="K818" s="48"/>
      <c r="L818" s="62"/>
      <c r="M818" s="63"/>
      <c r="N818" s="65"/>
      <c r="O818" s="65"/>
      <c r="P818" s="64"/>
      <c r="Q818" s="64"/>
    </row>
    <row r="819" spans="1:17" ht="15.75">
      <c r="A819" s="70"/>
      <c r="B819" s="71"/>
      <c r="C819" s="70"/>
      <c r="D819" s="68"/>
      <c r="E819" s="68"/>
      <c r="F819" s="68"/>
      <c r="G819" s="68"/>
      <c r="H819" s="68"/>
      <c r="I819" s="69"/>
      <c r="J819" s="68"/>
      <c r="K819" s="48"/>
      <c r="L819" s="62"/>
      <c r="M819" s="63"/>
      <c r="N819" s="65"/>
      <c r="O819" s="65"/>
      <c r="P819" s="64"/>
      <c r="Q819" s="64"/>
    </row>
    <row r="820" spans="1:17" ht="15.75">
      <c r="A820" s="70"/>
      <c r="B820" s="71"/>
      <c r="C820" s="70"/>
      <c r="D820" s="68"/>
      <c r="E820" s="68"/>
      <c r="F820" s="68"/>
      <c r="G820" s="68"/>
      <c r="H820" s="68"/>
      <c r="I820" s="69"/>
      <c r="J820" s="68"/>
      <c r="K820" s="48"/>
      <c r="L820" s="62"/>
      <c r="M820" s="63"/>
      <c r="N820" s="65"/>
      <c r="O820" s="65"/>
      <c r="P820" s="64"/>
      <c r="Q820" s="64"/>
    </row>
    <row r="821" spans="1:17" ht="15.75">
      <c r="A821" s="70"/>
      <c r="B821" s="71"/>
      <c r="C821" s="70"/>
      <c r="D821" s="68"/>
      <c r="E821" s="68"/>
      <c r="F821" s="68"/>
      <c r="G821" s="68"/>
      <c r="H821" s="68"/>
      <c r="I821" s="69"/>
      <c r="J821" s="68"/>
      <c r="K821" s="48"/>
      <c r="L821" s="62"/>
      <c r="M821" s="63"/>
      <c r="N821" s="65"/>
      <c r="O821" s="65"/>
      <c r="P821" s="64"/>
      <c r="Q821" s="64"/>
    </row>
    <row r="822" spans="1:17" ht="15.75">
      <c r="A822" s="70"/>
      <c r="B822" s="71"/>
      <c r="C822" s="70"/>
      <c r="D822" s="68"/>
      <c r="E822" s="68"/>
      <c r="F822" s="68"/>
      <c r="G822" s="68"/>
      <c r="H822" s="68"/>
      <c r="I822" s="69"/>
      <c r="J822" s="68"/>
      <c r="K822" s="48"/>
      <c r="L822" s="62"/>
      <c r="M822" s="63"/>
      <c r="N822" s="65"/>
      <c r="O822" s="65"/>
      <c r="P822" s="64"/>
      <c r="Q822" s="64"/>
    </row>
    <row r="823" spans="1:17" ht="15.75">
      <c r="A823" s="70"/>
      <c r="B823" s="71"/>
      <c r="C823" s="70"/>
      <c r="D823" s="68"/>
      <c r="E823" s="68"/>
      <c r="F823" s="68"/>
      <c r="G823" s="68"/>
      <c r="H823" s="68"/>
      <c r="I823" s="69"/>
      <c r="J823" s="68"/>
      <c r="K823" s="48"/>
      <c r="L823" s="62"/>
      <c r="M823" s="63"/>
      <c r="N823" s="65"/>
      <c r="O823" s="65"/>
      <c r="P823" s="64"/>
      <c r="Q823" s="64"/>
    </row>
    <row r="824" spans="1:17" ht="15.75">
      <c r="A824" s="70"/>
      <c r="B824" s="71"/>
      <c r="C824" s="70"/>
      <c r="D824" s="68"/>
      <c r="E824" s="68"/>
      <c r="F824" s="68"/>
      <c r="G824" s="68"/>
      <c r="H824" s="68"/>
      <c r="I824" s="69"/>
      <c r="J824" s="68"/>
      <c r="K824" s="48"/>
      <c r="L824" s="62"/>
      <c r="M824" s="63"/>
      <c r="N824" s="65"/>
      <c r="O824" s="65"/>
      <c r="P824" s="64"/>
      <c r="Q824" s="64"/>
    </row>
    <row r="825" spans="1:17" ht="15.75">
      <c r="A825" s="70"/>
      <c r="B825" s="71"/>
      <c r="C825" s="70"/>
      <c r="D825" s="68"/>
      <c r="E825" s="68"/>
      <c r="F825" s="68"/>
      <c r="G825" s="68"/>
      <c r="H825" s="68"/>
      <c r="I825" s="69"/>
      <c r="J825" s="68"/>
      <c r="K825" s="48"/>
      <c r="L825" s="62"/>
      <c r="M825" s="63"/>
      <c r="N825" s="65"/>
      <c r="O825" s="65"/>
      <c r="P825" s="64"/>
      <c r="Q825" s="64"/>
    </row>
    <row r="826" spans="1:17" ht="15.75">
      <c r="A826" s="70"/>
      <c r="B826" s="71"/>
      <c r="C826" s="70"/>
      <c r="D826" s="68"/>
      <c r="E826" s="68"/>
      <c r="F826" s="68"/>
      <c r="G826" s="68"/>
      <c r="H826" s="68"/>
      <c r="I826" s="69"/>
      <c r="J826" s="68"/>
      <c r="K826" s="48"/>
      <c r="L826" s="62"/>
      <c r="M826" s="63"/>
      <c r="N826" s="65"/>
      <c r="O826" s="65"/>
      <c r="P826" s="64"/>
      <c r="Q826" s="64"/>
    </row>
    <row r="827" spans="1:17" ht="15.75">
      <c r="A827" s="70"/>
      <c r="B827" s="71"/>
      <c r="C827" s="70"/>
      <c r="D827" s="68"/>
      <c r="E827" s="68"/>
      <c r="F827" s="68"/>
      <c r="G827" s="68"/>
      <c r="H827" s="68"/>
      <c r="I827" s="69"/>
      <c r="J827" s="68"/>
      <c r="K827" s="48"/>
      <c r="L827" s="62"/>
      <c r="M827" s="63"/>
      <c r="N827" s="65"/>
      <c r="O827" s="65"/>
      <c r="P827" s="64"/>
      <c r="Q827" s="64"/>
    </row>
    <row r="828" spans="1:17" ht="15.75">
      <c r="A828" s="70"/>
      <c r="B828" s="71"/>
      <c r="C828" s="70"/>
      <c r="D828" s="68"/>
      <c r="E828" s="68"/>
      <c r="F828" s="68"/>
      <c r="G828" s="68"/>
      <c r="H828" s="68"/>
      <c r="I828" s="69"/>
      <c r="J828" s="68"/>
      <c r="K828" s="48"/>
      <c r="L828" s="62"/>
      <c r="M828" s="63"/>
      <c r="N828" s="65"/>
      <c r="O828" s="65"/>
      <c r="P828" s="64"/>
      <c r="Q828" s="64"/>
    </row>
    <row r="829" spans="1:17" ht="15.75">
      <c r="A829" s="70"/>
      <c r="B829" s="71"/>
      <c r="C829" s="70"/>
      <c r="D829" s="68"/>
      <c r="E829" s="68"/>
      <c r="F829" s="68"/>
      <c r="G829" s="68"/>
      <c r="H829" s="68"/>
      <c r="I829" s="69"/>
      <c r="J829" s="68"/>
      <c r="K829" s="48"/>
      <c r="L829" s="62"/>
      <c r="M829" s="63"/>
      <c r="N829" s="65"/>
      <c r="O829" s="65"/>
      <c r="P829" s="64"/>
      <c r="Q829" s="64"/>
    </row>
    <row r="830" spans="1:17" ht="15.75">
      <c r="A830" s="70"/>
      <c r="B830" s="71"/>
      <c r="C830" s="70"/>
      <c r="D830" s="68"/>
      <c r="E830" s="68"/>
      <c r="F830" s="68"/>
      <c r="G830" s="68"/>
      <c r="H830" s="68"/>
      <c r="I830" s="69"/>
      <c r="J830" s="68"/>
      <c r="K830" s="48"/>
      <c r="L830" s="62"/>
      <c r="M830" s="63"/>
      <c r="N830" s="65"/>
      <c r="O830" s="65"/>
      <c r="P830" s="64"/>
      <c r="Q830" s="64"/>
    </row>
    <row r="831" spans="1:17" ht="15.75">
      <c r="A831" s="70"/>
      <c r="B831" s="71"/>
      <c r="C831" s="70"/>
      <c r="D831" s="68"/>
      <c r="E831" s="68"/>
      <c r="F831" s="68"/>
      <c r="G831" s="68"/>
      <c r="H831" s="68"/>
      <c r="I831" s="69"/>
      <c r="J831" s="68"/>
      <c r="K831" s="48"/>
      <c r="L831" s="62"/>
      <c r="M831" s="63"/>
      <c r="N831" s="65"/>
      <c r="O831" s="65"/>
      <c r="P831" s="64"/>
      <c r="Q831" s="64"/>
    </row>
    <row r="832" spans="1:17" ht="15.75">
      <c r="A832" s="70"/>
      <c r="B832" s="71"/>
      <c r="C832" s="70"/>
      <c r="D832" s="68"/>
      <c r="E832" s="68"/>
      <c r="F832" s="68"/>
      <c r="G832" s="68"/>
      <c r="H832" s="68"/>
      <c r="I832" s="69"/>
      <c r="J832" s="68"/>
      <c r="K832" s="48"/>
      <c r="L832" s="62"/>
      <c r="M832" s="63"/>
      <c r="N832" s="65"/>
      <c r="O832" s="65"/>
      <c r="P832" s="64"/>
      <c r="Q832" s="64"/>
    </row>
    <row r="833" spans="1:17" ht="15.75">
      <c r="A833" s="70"/>
      <c r="B833" s="71"/>
      <c r="C833" s="70"/>
      <c r="D833" s="68"/>
      <c r="E833" s="68"/>
      <c r="F833" s="68"/>
      <c r="G833" s="68"/>
      <c r="H833" s="68"/>
      <c r="I833" s="69"/>
      <c r="J833" s="68"/>
      <c r="K833" s="48"/>
      <c r="L833" s="62"/>
      <c r="M833" s="63"/>
      <c r="N833" s="65"/>
      <c r="O833" s="65"/>
      <c r="P833" s="64"/>
      <c r="Q833" s="64"/>
    </row>
    <row r="834" spans="1:17" ht="15.75">
      <c r="A834" s="70"/>
      <c r="B834" s="71"/>
      <c r="C834" s="70"/>
      <c r="D834" s="68"/>
      <c r="E834" s="68"/>
      <c r="F834" s="68"/>
      <c r="G834" s="68"/>
      <c r="H834" s="68"/>
      <c r="I834" s="69"/>
      <c r="J834" s="68"/>
      <c r="K834" s="48"/>
      <c r="L834" s="62"/>
      <c r="M834" s="63"/>
      <c r="N834" s="65"/>
      <c r="O834" s="65"/>
      <c r="P834" s="64"/>
      <c r="Q834" s="64"/>
    </row>
    <row r="835" spans="1:17" ht="15.75">
      <c r="A835" s="70"/>
      <c r="B835" s="71"/>
      <c r="C835" s="70"/>
      <c r="D835" s="68"/>
      <c r="E835" s="68"/>
      <c r="F835" s="68"/>
      <c r="G835" s="68"/>
      <c r="H835" s="68"/>
      <c r="I835" s="69"/>
      <c r="J835" s="68"/>
      <c r="K835" s="48"/>
      <c r="L835" s="62"/>
      <c r="M835" s="63"/>
      <c r="N835" s="65"/>
      <c r="O835" s="65"/>
      <c r="P835" s="64"/>
      <c r="Q835" s="64"/>
    </row>
    <row r="836" spans="1:17" ht="15.75">
      <c r="A836" s="70"/>
      <c r="B836" s="71"/>
      <c r="C836" s="70"/>
      <c r="D836" s="68"/>
      <c r="E836" s="68"/>
      <c r="F836" s="68"/>
      <c r="G836" s="68"/>
      <c r="H836" s="68"/>
      <c r="I836" s="69"/>
      <c r="J836" s="68"/>
      <c r="K836" s="48"/>
      <c r="L836" s="62"/>
      <c r="M836" s="63"/>
      <c r="N836" s="65"/>
      <c r="O836" s="65"/>
      <c r="P836" s="64"/>
      <c r="Q836" s="64"/>
    </row>
    <row r="837" spans="1:17" ht="15.75">
      <c r="A837" s="70"/>
      <c r="B837" s="71"/>
      <c r="C837" s="70"/>
      <c r="D837" s="68"/>
      <c r="E837" s="68"/>
      <c r="F837" s="68"/>
      <c r="G837" s="68"/>
      <c r="H837" s="68"/>
      <c r="I837" s="69"/>
      <c r="J837" s="68"/>
      <c r="K837" s="48"/>
      <c r="L837" s="62"/>
      <c r="M837" s="63"/>
      <c r="N837" s="65"/>
      <c r="O837" s="65"/>
      <c r="P837" s="64"/>
      <c r="Q837" s="64"/>
    </row>
    <row r="838" spans="1:17" ht="15.75">
      <c r="A838" s="70"/>
      <c r="B838" s="71"/>
      <c r="C838" s="70"/>
      <c r="D838" s="68"/>
      <c r="E838" s="68"/>
      <c r="F838" s="68"/>
      <c r="G838" s="68"/>
      <c r="H838" s="68"/>
      <c r="I838" s="69"/>
      <c r="J838" s="68"/>
      <c r="K838" s="48"/>
      <c r="L838" s="62"/>
      <c r="M838" s="63"/>
      <c r="N838" s="65"/>
      <c r="O838" s="65"/>
      <c r="P838" s="64"/>
      <c r="Q838" s="64"/>
    </row>
    <row r="839" spans="1:17" ht="15.75">
      <c r="A839" s="70"/>
      <c r="B839" s="71"/>
      <c r="C839" s="70"/>
      <c r="D839" s="68"/>
      <c r="E839" s="68"/>
      <c r="F839" s="68"/>
      <c r="G839" s="68"/>
      <c r="H839" s="68"/>
      <c r="I839" s="69"/>
      <c r="J839" s="68"/>
      <c r="K839" s="48"/>
      <c r="L839" s="62"/>
      <c r="M839" s="63"/>
      <c r="N839" s="65"/>
      <c r="O839" s="65"/>
      <c r="P839" s="64"/>
      <c r="Q839" s="64"/>
    </row>
    <row r="840" spans="1:17" ht="15.75">
      <c r="A840" s="70"/>
      <c r="B840" s="71"/>
      <c r="C840" s="70"/>
      <c r="D840" s="68"/>
      <c r="E840" s="68"/>
      <c r="F840" s="68"/>
      <c r="G840" s="68"/>
      <c r="H840" s="68"/>
      <c r="I840" s="69"/>
      <c r="J840" s="68"/>
      <c r="K840" s="48"/>
      <c r="L840" s="62"/>
      <c r="M840" s="63"/>
      <c r="N840" s="65"/>
      <c r="O840" s="65"/>
      <c r="P840" s="64"/>
      <c r="Q840" s="64"/>
    </row>
    <row r="841" spans="1:17" ht="15.75">
      <c r="A841" s="70"/>
      <c r="B841" s="71"/>
      <c r="C841" s="70"/>
      <c r="D841" s="68"/>
      <c r="E841" s="68"/>
      <c r="F841" s="68"/>
      <c r="G841" s="68"/>
      <c r="H841" s="68"/>
      <c r="I841" s="69"/>
      <c r="J841" s="68"/>
      <c r="K841" s="48"/>
      <c r="L841" s="62"/>
      <c r="M841" s="63"/>
      <c r="N841" s="65"/>
      <c r="O841" s="65"/>
      <c r="P841" s="64"/>
      <c r="Q841" s="64"/>
    </row>
    <row r="842" spans="1:17" ht="15.75">
      <c r="A842" s="70"/>
      <c r="B842" s="71"/>
      <c r="C842" s="70"/>
      <c r="D842" s="68"/>
      <c r="E842" s="68"/>
      <c r="F842" s="68"/>
      <c r="G842" s="68"/>
      <c r="H842" s="68"/>
      <c r="I842" s="69"/>
      <c r="J842" s="68"/>
      <c r="K842" s="48"/>
      <c r="L842" s="62"/>
      <c r="M842" s="63"/>
      <c r="N842" s="65"/>
      <c r="O842" s="65"/>
      <c r="P842" s="64"/>
      <c r="Q842" s="64"/>
    </row>
    <row r="843" spans="1:17" ht="15.75">
      <c r="A843" s="70"/>
      <c r="B843" s="71"/>
      <c r="C843" s="70"/>
      <c r="D843" s="68"/>
      <c r="E843" s="68"/>
      <c r="F843" s="68"/>
      <c r="G843" s="68"/>
      <c r="H843" s="68"/>
      <c r="I843" s="69"/>
      <c r="J843" s="68"/>
      <c r="K843" s="48"/>
      <c r="L843" s="62"/>
      <c r="M843" s="63"/>
      <c r="N843" s="65"/>
      <c r="O843" s="65"/>
      <c r="P843" s="64"/>
      <c r="Q843" s="64"/>
    </row>
    <row r="844" spans="1:17" ht="15.75">
      <c r="A844" s="70"/>
      <c r="B844" s="71"/>
      <c r="C844" s="70"/>
      <c r="D844" s="68"/>
      <c r="E844" s="68"/>
      <c r="F844" s="68"/>
      <c r="G844" s="68"/>
      <c r="H844" s="68"/>
      <c r="I844" s="69"/>
      <c r="J844" s="68"/>
      <c r="K844" s="48"/>
      <c r="L844" s="62"/>
      <c r="M844" s="63"/>
      <c r="N844" s="65"/>
      <c r="O844" s="65"/>
      <c r="P844" s="64"/>
      <c r="Q844" s="64"/>
    </row>
    <row r="845" spans="1:17" ht="15.75">
      <c r="A845" s="70"/>
      <c r="B845" s="71"/>
      <c r="C845" s="70"/>
      <c r="D845" s="68"/>
      <c r="E845" s="68"/>
      <c r="F845" s="68"/>
      <c r="G845" s="68"/>
      <c r="H845" s="68"/>
      <c r="I845" s="69"/>
      <c r="J845" s="68"/>
      <c r="K845" s="48"/>
      <c r="L845" s="62"/>
      <c r="M845" s="63"/>
      <c r="N845" s="65"/>
      <c r="O845" s="65"/>
      <c r="P845" s="64"/>
      <c r="Q845" s="64"/>
    </row>
    <row r="846" spans="1:17" ht="15.75">
      <c r="A846" s="70"/>
      <c r="B846" s="71"/>
      <c r="C846" s="70"/>
      <c r="D846" s="68"/>
      <c r="E846" s="68"/>
      <c r="F846" s="68"/>
      <c r="G846" s="68"/>
      <c r="H846" s="68"/>
      <c r="I846" s="69"/>
      <c r="J846" s="68"/>
      <c r="K846" s="48"/>
      <c r="L846" s="62"/>
      <c r="M846" s="63"/>
      <c r="N846" s="65"/>
      <c r="O846" s="65"/>
      <c r="P846" s="64"/>
      <c r="Q846" s="64"/>
    </row>
    <row r="847" spans="1:17" ht="15.75">
      <c r="A847" s="70"/>
      <c r="B847" s="71"/>
      <c r="C847" s="70"/>
      <c r="D847" s="68"/>
      <c r="E847" s="68"/>
      <c r="F847" s="68"/>
      <c r="G847" s="68"/>
      <c r="H847" s="68"/>
      <c r="I847" s="69"/>
      <c r="J847" s="68"/>
      <c r="K847" s="48"/>
      <c r="L847" s="62"/>
      <c r="M847" s="63"/>
      <c r="N847" s="65"/>
      <c r="O847" s="65"/>
      <c r="P847" s="64"/>
      <c r="Q847" s="64"/>
    </row>
    <row r="848" spans="1:17" ht="15.75">
      <c r="A848" s="70"/>
      <c r="B848" s="71"/>
      <c r="C848" s="70"/>
      <c r="D848" s="68"/>
      <c r="E848" s="68"/>
      <c r="F848" s="68"/>
      <c r="G848" s="68"/>
      <c r="H848" s="68"/>
      <c r="I848" s="69"/>
      <c r="J848" s="68"/>
      <c r="K848" s="48"/>
      <c r="L848" s="62"/>
      <c r="M848" s="63"/>
      <c r="N848" s="65"/>
      <c r="O848" s="65"/>
      <c r="P848" s="64"/>
      <c r="Q848" s="64"/>
    </row>
    <row r="849" spans="1:17" ht="15.75">
      <c r="A849" s="70"/>
      <c r="B849" s="71"/>
      <c r="C849" s="70"/>
      <c r="D849" s="68"/>
      <c r="E849" s="68"/>
      <c r="F849" s="68"/>
      <c r="G849" s="68"/>
      <c r="H849" s="68"/>
      <c r="I849" s="69"/>
      <c r="J849" s="68"/>
      <c r="K849" s="48"/>
      <c r="L849" s="62"/>
      <c r="M849" s="63"/>
      <c r="N849" s="65"/>
      <c r="O849" s="65"/>
      <c r="P849" s="64"/>
      <c r="Q849" s="64"/>
    </row>
    <row r="850" spans="1:17" ht="15.75">
      <c r="A850" s="70"/>
      <c r="B850" s="71"/>
      <c r="C850" s="70"/>
      <c r="D850" s="68"/>
      <c r="E850" s="68"/>
      <c r="F850" s="68"/>
      <c r="G850" s="68"/>
      <c r="H850" s="68"/>
      <c r="I850" s="69"/>
      <c r="J850" s="68"/>
      <c r="K850" s="48"/>
      <c r="L850" s="62"/>
      <c r="M850" s="63"/>
      <c r="N850" s="65"/>
      <c r="O850" s="65"/>
      <c r="P850" s="64"/>
      <c r="Q850" s="64"/>
    </row>
    <row r="851" spans="1:17" ht="15.75">
      <c r="A851" s="70"/>
      <c r="B851" s="71"/>
      <c r="C851" s="70"/>
      <c r="D851" s="68"/>
      <c r="E851" s="68"/>
      <c r="F851" s="68"/>
      <c r="G851" s="68"/>
      <c r="H851" s="68"/>
      <c r="I851" s="69"/>
      <c r="J851" s="68"/>
      <c r="K851" s="48"/>
      <c r="L851" s="62"/>
      <c r="M851" s="63"/>
      <c r="N851" s="65"/>
      <c r="O851" s="65"/>
      <c r="P851" s="64"/>
      <c r="Q851" s="64"/>
    </row>
    <row r="852" spans="1:17" ht="15.75">
      <c r="A852" s="70"/>
      <c r="B852" s="71"/>
      <c r="C852" s="70"/>
      <c r="D852" s="68"/>
      <c r="E852" s="68"/>
      <c r="F852" s="68"/>
      <c r="G852" s="68"/>
      <c r="H852" s="68"/>
      <c r="I852" s="69"/>
      <c r="J852" s="68"/>
      <c r="K852" s="48"/>
      <c r="L852" s="62"/>
      <c r="M852" s="63"/>
      <c r="N852" s="65"/>
      <c r="O852" s="65"/>
      <c r="P852" s="64"/>
      <c r="Q852" s="64"/>
    </row>
    <row r="853" spans="1:17" ht="15.75">
      <c r="A853" s="70"/>
      <c r="B853" s="71"/>
      <c r="C853" s="70"/>
      <c r="D853" s="68"/>
      <c r="E853" s="68"/>
      <c r="F853" s="68"/>
      <c r="G853" s="68"/>
      <c r="H853" s="68"/>
      <c r="I853" s="69"/>
      <c r="J853" s="68"/>
      <c r="K853" s="48"/>
      <c r="L853" s="62"/>
      <c r="M853" s="63"/>
      <c r="N853" s="65"/>
      <c r="O853" s="65"/>
      <c r="P853" s="64"/>
      <c r="Q853" s="64"/>
    </row>
    <row r="854" spans="1:17" ht="15.75">
      <c r="A854" s="70"/>
      <c r="B854" s="71"/>
      <c r="C854" s="70"/>
      <c r="D854" s="68"/>
      <c r="E854" s="68"/>
      <c r="F854" s="68"/>
      <c r="G854" s="68"/>
      <c r="H854" s="68"/>
      <c r="I854" s="69"/>
      <c r="J854" s="68"/>
      <c r="K854" s="48"/>
      <c r="L854" s="62"/>
      <c r="M854" s="63"/>
      <c r="N854" s="65"/>
      <c r="O854" s="65"/>
      <c r="P854" s="64"/>
      <c r="Q854" s="64"/>
    </row>
    <row r="855" spans="1:17" ht="15.75">
      <c r="A855" s="70"/>
      <c r="B855" s="71"/>
      <c r="C855" s="70"/>
      <c r="D855" s="68"/>
      <c r="E855" s="68"/>
      <c r="F855" s="68"/>
      <c r="G855" s="68"/>
      <c r="H855" s="68"/>
      <c r="I855" s="69"/>
      <c r="J855" s="68"/>
      <c r="K855" s="48"/>
      <c r="L855" s="62"/>
      <c r="M855" s="63"/>
      <c r="N855" s="65"/>
      <c r="O855" s="65"/>
      <c r="P855" s="64"/>
      <c r="Q855" s="64"/>
    </row>
    <row r="856" spans="1:17" ht="15.75">
      <c r="A856" s="70"/>
      <c r="B856" s="71"/>
      <c r="C856" s="70"/>
      <c r="D856" s="68"/>
      <c r="E856" s="68"/>
      <c r="F856" s="68"/>
      <c r="G856" s="68"/>
      <c r="H856" s="68"/>
      <c r="I856" s="69"/>
      <c r="J856" s="68"/>
      <c r="K856" s="48"/>
      <c r="L856" s="62"/>
      <c r="M856" s="63"/>
      <c r="N856" s="65"/>
      <c r="O856" s="65"/>
      <c r="P856" s="64"/>
      <c r="Q856" s="64"/>
    </row>
    <row r="857" spans="1:17" ht="15.75">
      <c r="A857" s="70"/>
      <c r="B857" s="71"/>
      <c r="C857" s="70"/>
      <c r="D857" s="68"/>
      <c r="E857" s="68"/>
      <c r="F857" s="68"/>
      <c r="G857" s="68"/>
      <c r="H857" s="68"/>
      <c r="I857" s="69"/>
      <c r="J857" s="68"/>
      <c r="K857" s="48"/>
      <c r="L857" s="62"/>
      <c r="M857" s="63"/>
      <c r="N857" s="65"/>
      <c r="O857" s="65"/>
      <c r="P857" s="64"/>
      <c r="Q857" s="64"/>
    </row>
    <row r="858" spans="1:17" ht="15.75">
      <c r="A858" s="70"/>
      <c r="B858" s="71"/>
      <c r="C858" s="70"/>
      <c r="D858" s="68"/>
      <c r="E858" s="68"/>
      <c r="F858" s="68"/>
      <c r="G858" s="68"/>
      <c r="H858" s="68"/>
      <c r="I858" s="69"/>
      <c r="J858" s="68"/>
      <c r="K858" s="48"/>
      <c r="L858" s="62"/>
      <c r="M858" s="63"/>
      <c r="N858" s="65"/>
      <c r="O858" s="65"/>
      <c r="P858" s="64"/>
      <c r="Q858" s="64"/>
    </row>
    <row r="859" spans="1:17" ht="15.75">
      <c r="A859" s="70"/>
      <c r="B859" s="71"/>
      <c r="C859" s="70"/>
      <c r="D859" s="68"/>
      <c r="E859" s="68"/>
      <c r="F859" s="68"/>
      <c r="G859" s="68"/>
      <c r="H859" s="68"/>
      <c r="I859" s="69"/>
      <c r="J859" s="68"/>
      <c r="K859" s="48"/>
      <c r="L859" s="62"/>
      <c r="M859" s="63"/>
      <c r="N859" s="65"/>
      <c r="O859" s="65"/>
      <c r="P859" s="64"/>
      <c r="Q859" s="64"/>
    </row>
    <row r="860" spans="1:17" ht="15.75">
      <c r="A860" s="70"/>
      <c r="B860" s="71"/>
      <c r="C860" s="70"/>
      <c r="D860" s="68"/>
      <c r="E860" s="68"/>
      <c r="F860" s="68"/>
      <c r="G860" s="68"/>
      <c r="H860" s="68"/>
      <c r="I860" s="69"/>
      <c r="J860" s="68"/>
      <c r="K860" s="48"/>
      <c r="L860" s="62"/>
      <c r="M860" s="63"/>
      <c r="N860" s="65"/>
      <c r="O860" s="65"/>
      <c r="P860" s="64"/>
      <c r="Q860" s="64"/>
    </row>
    <row r="861" spans="1:17" ht="15.75">
      <c r="A861" s="70"/>
      <c r="B861" s="71"/>
      <c r="C861" s="70"/>
      <c r="D861" s="68"/>
      <c r="E861" s="68"/>
      <c r="F861" s="68"/>
      <c r="G861" s="68"/>
      <c r="H861" s="68"/>
      <c r="I861" s="69"/>
      <c r="J861" s="68"/>
      <c r="K861" s="48"/>
      <c r="L861" s="62"/>
      <c r="M861" s="63"/>
      <c r="N861" s="65"/>
      <c r="O861" s="65"/>
      <c r="P861" s="64"/>
      <c r="Q861" s="64"/>
    </row>
    <row r="862" spans="1:17" ht="15.75">
      <c r="A862" s="70"/>
      <c r="B862" s="71"/>
      <c r="C862" s="70"/>
      <c r="D862" s="68"/>
      <c r="E862" s="68"/>
      <c r="F862" s="68"/>
      <c r="G862" s="68"/>
      <c r="H862" s="68"/>
      <c r="I862" s="69"/>
      <c r="J862" s="68"/>
      <c r="K862" s="48"/>
      <c r="L862" s="62"/>
      <c r="M862" s="63"/>
      <c r="N862" s="65"/>
      <c r="O862" s="65"/>
      <c r="P862" s="64"/>
      <c r="Q862" s="64"/>
    </row>
    <row r="863" spans="1:17" ht="15.75">
      <c r="A863" s="70"/>
      <c r="B863" s="71"/>
      <c r="C863" s="70"/>
      <c r="D863" s="68"/>
      <c r="E863" s="68"/>
      <c r="F863" s="68"/>
      <c r="G863" s="68"/>
      <c r="H863" s="68"/>
      <c r="I863" s="69"/>
      <c r="J863" s="68"/>
      <c r="K863" s="48"/>
      <c r="L863" s="62"/>
      <c r="M863" s="63"/>
      <c r="N863" s="65"/>
      <c r="O863" s="65"/>
      <c r="P863" s="64"/>
      <c r="Q863" s="64"/>
    </row>
    <row r="864" spans="1:17" ht="15.75">
      <c r="A864" s="70"/>
      <c r="B864" s="71"/>
      <c r="C864" s="70"/>
      <c r="D864" s="68"/>
      <c r="E864" s="68"/>
      <c r="F864" s="68"/>
      <c r="G864" s="68"/>
      <c r="H864" s="68"/>
      <c r="I864" s="69"/>
      <c r="J864" s="68"/>
      <c r="K864" s="48"/>
      <c r="L864" s="62"/>
      <c r="M864" s="63"/>
      <c r="N864" s="65"/>
      <c r="O864" s="65"/>
      <c r="P864" s="64"/>
      <c r="Q864" s="64"/>
    </row>
    <row r="865" spans="1:17" ht="15.75">
      <c r="A865" s="70"/>
      <c r="B865" s="71"/>
      <c r="C865" s="70"/>
      <c r="D865" s="68"/>
      <c r="E865" s="68"/>
      <c r="F865" s="68"/>
      <c r="G865" s="68"/>
      <c r="H865" s="68"/>
      <c r="I865" s="69"/>
      <c r="J865" s="68"/>
      <c r="K865" s="48"/>
      <c r="L865" s="62"/>
      <c r="M865" s="63"/>
      <c r="N865" s="65"/>
      <c r="O865" s="65"/>
      <c r="P865" s="64"/>
      <c r="Q865" s="64"/>
    </row>
    <row r="866" spans="1:17" ht="15.75">
      <c r="A866" s="70"/>
      <c r="B866" s="71"/>
      <c r="C866" s="70"/>
      <c r="D866" s="68"/>
      <c r="E866" s="68"/>
      <c r="F866" s="68"/>
      <c r="G866" s="68"/>
      <c r="H866" s="68"/>
      <c r="I866" s="69"/>
      <c r="J866" s="68"/>
      <c r="K866" s="48"/>
      <c r="L866" s="62"/>
      <c r="M866" s="63"/>
      <c r="N866" s="65"/>
      <c r="O866" s="65"/>
      <c r="P866" s="64"/>
      <c r="Q866" s="64"/>
    </row>
    <row r="867" spans="1:17" ht="15.75">
      <c r="A867" s="70"/>
      <c r="B867" s="71"/>
      <c r="C867" s="70"/>
      <c r="D867" s="68"/>
      <c r="E867" s="68"/>
      <c r="F867" s="68"/>
      <c r="G867" s="68"/>
      <c r="H867" s="68"/>
      <c r="I867" s="69"/>
      <c r="J867" s="68"/>
      <c r="K867" s="48"/>
      <c r="L867" s="62"/>
      <c r="M867" s="63"/>
      <c r="N867" s="65"/>
      <c r="O867" s="65"/>
      <c r="P867" s="64"/>
      <c r="Q867" s="64"/>
    </row>
    <row r="868" spans="1:17" ht="15.75">
      <c r="A868" s="70"/>
      <c r="B868" s="71"/>
      <c r="C868" s="70"/>
      <c r="D868" s="68"/>
      <c r="E868" s="68"/>
      <c r="F868" s="68"/>
      <c r="G868" s="68"/>
      <c r="H868" s="68"/>
      <c r="I868" s="69"/>
      <c r="J868" s="68"/>
      <c r="K868" s="48"/>
      <c r="L868" s="62"/>
      <c r="M868" s="63"/>
      <c r="N868" s="65"/>
      <c r="O868" s="65"/>
      <c r="P868" s="64"/>
      <c r="Q868" s="64"/>
    </row>
    <row r="869" spans="1:17" ht="15.75">
      <c r="A869" s="70"/>
      <c r="B869" s="71"/>
      <c r="C869" s="70"/>
      <c r="D869" s="68"/>
      <c r="E869" s="68"/>
      <c r="F869" s="68"/>
      <c r="G869" s="68"/>
      <c r="H869" s="68"/>
      <c r="I869" s="69"/>
      <c r="J869" s="68"/>
      <c r="K869" s="48"/>
      <c r="L869" s="62"/>
      <c r="M869" s="63"/>
      <c r="N869" s="65"/>
      <c r="O869" s="65"/>
      <c r="P869" s="64"/>
      <c r="Q869" s="64"/>
    </row>
    <row r="870" spans="1:17" ht="15.75">
      <c r="A870" s="70"/>
      <c r="B870" s="71"/>
      <c r="C870" s="70"/>
      <c r="D870" s="68"/>
      <c r="E870" s="68"/>
      <c r="F870" s="68"/>
      <c r="G870" s="68"/>
      <c r="H870" s="68"/>
      <c r="I870" s="69"/>
      <c r="J870" s="68"/>
      <c r="K870" s="48"/>
      <c r="L870" s="62"/>
      <c r="M870" s="63"/>
      <c r="N870" s="65"/>
      <c r="O870" s="65"/>
      <c r="P870" s="64"/>
      <c r="Q870" s="64"/>
    </row>
    <row r="871" spans="1:17" ht="15.75">
      <c r="A871" s="70"/>
      <c r="B871" s="71"/>
      <c r="C871" s="70"/>
      <c r="D871" s="68"/>
      <c r="E871" s="68"/>
      <c r="F871" s="68"/>
      <c r="G871" s="68"/>
      <c r="H871" s="68"/>
      <c r="I871" s="69"/>
      <c r="J871" s="68"/>
      <c r="K871" s="48"/>
      <c r="L871" s="62"/>
      <c r="M871" s="63"/>
      <c r="N871" s="65"/>
      <c r="O871" s="65"/>
      <c r="P871" s="64"/>
      <c r="Q871" s="64"/>
    </row>
    <row r="872" spans="1:17" ht="15.75">
      <c r="A872" s="70"/>
      <c r="B872" s="71"/>
      <c r="C872" s="70"/>
      <c r="D872" s="68"/>
      <c r="E872" s="68"/>
      <c r="F872" s="68"/>
      <c r="G872" s="68"/>
      <c r="H872" s="68"/>
      <c r="I872" s="69"/>
      <c r="J872" s="68"/>
      <c r="K872" s="48"/>
      <c r="L872" s="62"/>
      <c r="M872" s="63"/>
      <c r="N872" s="65"/>
      <c r="O872" s="65"/>
      <c r="P872" s="64"/>
      <c r="Q872" s="64"/>
    </row>
    <row r="873" spans="1:17" ht="15.75">
      <c r="A873" s="70"/>
      <c r="B873" s="71"/>
      <c r="C873" s="70"/>
      <c r="D873" s="68"/>
      <c r="E873" s="68"/>
      <c r="F873" s="68"/>
      <c r="G873" s="68"/>
      <c r="H873" s="68"/>
      <c r="I873" s="69"/>
      <c r="J873" s="68"/>
      <c r="K873" s="48"/>
      <c r="L873" s="62"/>
      <c r="M873" s="63"/>
      <c r="N873" s="65"/>
      <c r="O873" s="65"/>
      <c r="P873" s="64"/>
      <c r="Q873" s="64"/>
    </row>
    <row r="874" spans="1:17" ht="15.75">
      <c r="A874" s="70"/>
      <c r="B874" s="71"/>
      <c r="C874" s="70"/>
      <c r="D874" s="68"/>
      <c r="E874" s="68"/>
      <c r="F874" s="68"/>
      <c r="G874" s="68"/>
      <c r="H874" s="68"/>
      <c r="I874" s="69"/>
      <c r="J874" s="68"/>
      <c r="K874" s="48"/>
      <c r="L874" s="62"/>
      <c r="M874" s="63"/>
      <c r="N874" s="65"/>
      <c r="O874" s="65"/>
      <c r="P874" s="64"/>
      <c r="Q874" s="64"/>
    </row>
    <row r="875" spans="1:17" ht="15.75">
      <c r="A875" s="70"/>
      <c r="B875" s="71"/>
      <c r="C875" s="70"/>
      <c r="D875" s="68"/>
      <c r="E875" s="68"/>
      <c r="F875" s="68"/>
      <c r="G875" s="68"/>
      <c r="H875" s="68"/>
      <c r="I875" s="69"/>
      <c r="J875" s="68"/>
      <c r="K875" s="48"/>
      <c r="L875" s="62"/>
      <c r="M875" s="63"/>
      <c r="N875" s="65"/>
      <c r="O875" s="65"/>
      <c r="P875" s="64"/>
      <c r="Q875" s="64"/>
    </row>
    <row r="876" spans="1:17" ht="15.75">
      <c r="A876" s="70"/>
      <c r="B876" s="71"/>
      <c r="C876" s="70"/>
      <c r="D876" s="68"/>
      <c r="E876" s="68"/>
      <c r="F876" s="68"/>
      <c r="G876" s="68"/>
      <c r="H876" s="68"/>
      <c r="I876" s="69"/>
      <c r="J876" s="68"/>
      <c r="K876" s="48"/>
      <c r="L876" s="62"/>
      <c r="M876" s="63"/>
      <c r="N876" s="65"/>
      <c r="O876" s="65"/>
      <c r="P876" s="64"/>
      <c r="Q876" s="64"/>
    </row>
    <row r="877" spans="1:17" ht="15.75">
      <c r="A877" s="70"/>
      <c r="B877" s="71"/>
      <c r="C877" s="70"/>
      <c r="D877" s="68"/>
      <c r="E877" s="68"/>
      <c r="F877" s="68"/>
      <c r="G877" s="68"/>
      <c r="H877" s="68"/>
      <c r="I877" s="69"/>
      <c r="J877" s="68"/>
      <c r="K877" s="48"/>
      <c r="L877" s="62"/>
      <c r="M877" s="63"/>
      <c r="N877" s="65"/>
      <c r="O877" s="65"/>
      <c r="P877" s="64"/>
      <c r="Q877" s="64"/>
    </row>
    <row r="878" spans="1:17" ht="15.75">
      <c r="A878" s="70"/>
      <c r="B878" s="71"/>
      <c r="C878" s="70"/>
      <c r="D878" s="68"/>
      <c r="E878" s="68"/>
      <c r="F878" s="68"/>
      <c r="G878" s="68"/>
      <c r="H878" s="68"/>
      <c r="I878" s="69"/>
      <c r="J878" s="68"/>
      <c r="K878" s="48"/>
      <c r="L878" s="62"/>
      <c r="M878" s="63"/>
      <c r="N878" s="65"/>
      <c r="O878" s="65"/>
      <c r="P878" s="64"/>
      <c r="Q878" s="64"/>
    </row>
    <row r="879" spans="1:17" ht="15.75">
      <c r="A879" s="70"/>
      <c r="B879" s="71"/>
      <c r="C879" s="70"/>
      <c r="D879" s="68"/>
      <c r="E879" s="68"/>
      <c r="F879" s="68"/>
      <c r="G879" s="68"/>
      <c r="H879" s="68"/>
      <c r="I879" s="69"/>
      <c r="J879" s="68"/>
      <c r="K879" s="48"/>
      <c r="L879" s="62"/>
      <c r="M879" s="63"/>
      <c r="N879" s="65"/>
      <c r="O879" s="65"/>
      <c r="P879" s="64"/>
      <c r="Q879" s="64"/>
    </row>
    <row r="880" spans="1:17" ht="15.75">
      <c r="A880" s="70"/>
      <c r="B880" s="71"/>
      <c r="C880" s="70"/>
      <c r="D880" s="68"/>
      <c r="E880" s="68"/>
      <c r="F880" s="68"/>
      <c r="G880" s="68"/>
      <c r="H880" s="68"/>
      <c r="I880" s="69"/>
      <c r="J880" s="68"/>
      <c r="K880" s="48"/>
      <c r="L880" s="62"/>
      <c r="M880" s="63"/>
      <c r="N880" s="65"/>
      <c r="O880" s="65"/>
      <c r="P880" s="64"/>
      <c r="Q880" s="64"/>
    </row>
    <row r="881" spans="1:17" ht="15.75">
      <c r="A881" s="70"/>
      <c r="B881" s="71"/>
      <c r="C881" s="70"/>
      <c r="D881" s="68"/>
      <c r="E881" s="68"/>
      <c r="F881" s="68"/>
      <c r="G881" s="68"/>
      <c r="H881" s="68"/>
      <c r="I881" s="69"/>
      <c r="J881" s="68"/>
      <c r="K881" s="48"/>
      <c r="L881" s="62"/>
      <c r="M881" s="63"/>
      <c r="N881" s="65"/>
      <c r="O881" s="65"/>
      <c r="P881" s="64"/>
      <c r="Q881" s="64"/>
    </row>
    <row r="882" spans="1:17" ht="15.75">
      <c r="A882" s="70"/>
      <c r="B882" s="71"/>
      <c r="C882" s="70"/>
      <c r="D882" s="68"/>
      <c r="E882" s="68"/>
      <c r="F882" s="68"/>
      <c r="G882" s="68"/>
      <c r="H882" s="68"/>
      <c r="I882" s="69"/>
      <c r="J882" s="68"/>
      <c r="K882" s="48"/>
      <c r="L882" s="62"/>
      <c r="M882" s="63"/>
      <c r="N882" s="65"/>
      <c r="O882" s="65"/>
      <c r="P882" s="64"/>
      <c r="Q882" s="64"/>
    </row>
    <row r="883" spans="1:17" ht="15.75">
      <c r="A883" s="70"/>
      <c r="B883" s="71"/>
      <c r="C883" s="70"/>
      <c r="D883" s="68"/>
      <c r="E883" s="68"/>
      <c r="F883" s="68"/>
      <c r="G883" s="68"/>
      <c r="H883" s="68"/>
      <c r="I883" s="69"/>
      <c r="J883" s="68"/>
      <c r="K883" s="48"/>
      <c r="L883" s="62"/>
      <c r="M883" s="63"/>
      <c r="N883" s="65"/>
      <c r="O883" s="65"/>
      <c r="P883" s="64"/>
      <c r="Q883" s="64"/>
    </row>
    <row r="884" spans="1:17" ht="15.75">
      <c r="A884" s="70"/>
      <c r="B884" s="71"/>
      <c r="C884" s="70"/>
      <c r="D884" s="68"/>
      <c r="E884" s="68"/>
      <c r="F884" s="68"/>
      <c r="G884" s="68"/>
      <c r="H884" s="68"/>
      <c r="I884" s="69"/>
      <c r="J884" s="68"/>
      <c r="K884" s="48"/>
      <c r="L884" s="62"/>
      <c r="M884" s="63"/>
      <c r="N884" s="65"/>
      <c r="O884" s="65"/>
      <c r="P884" s="64"/>
      <c r="Q884" s="64"/>
    </row>
    <row r="885" spans="1:17" ht="15.75">
      <c r="A885" s="70"/>
      <c r="B885" s="71"/>
      <c r="C885" s="70"/>
      <c r="D885" s="68"/>
      <c r="E885" s="68"/>
      <c r="F885" s="68"/>
      <c r="G885" s="68"/>
      <c r="H885" s="68"/>
      <c r="I885" s="69"/>
      <c r="J885" s="68"/>
      <c r="K885" s="48"/>
      <c r="L885" s="62"/>
      <c r="M885" s="63"/>
      <c r="N885" s="65"/>
      <c r="O885" s="65"/>
      <c r="P885" s="64"/>
      <c r="Q885" s="64"/>
    </row>
    <row r="886" spans="1:17" ht="15.75">
      <c r="A886" s="70"/>
      <c r="B886" s="71"/>
      <c r="C886" s="70"/>
      <c r="D886" s="68"/>
      <c r="E886" s="68"/>
      <c r="F886" s="68"/>
      <c r="G886" s="68"/>
      <c r="H886" s="68"/>
      <c r="I886" s="69"/>
      <c r="J886" s="68"/>
      <c r="K886" s="48"/>
      <c r="L886" s="62"/>
      <c r="M886" s="63"/>
      <c r="N886" s="65"/>
      <c r="O886" s="65"/>
      <c r="P886" s="64"/>
      <c r="Q886" s="64"/>
    </row>
    <row r="887" spans="1:17" ht="15.75">
      <c r="A887" s="70"/>
      <c r="B887" s="71"/>
      <c r="C887" s="70"/>
      <c r="D887" s="68"/>
      <c r="E887" s="68"/>
      <c r="F887" s="68"/>
      <c r="G887" s="68"/>
      <c r="H887" s="68"/>
      <c r="I887" s="69"/>
      <c r="J887" s="68"/>
      <c r="K887" s="48"/>
      <c r="L887" s="62"/>
      <c r="M887" s="63"/>
      <c r="N887" s="65"/>
      <c r="O887" s="65"/>
      <c r="P887" s="64"/>
      <c r="Q887" s="64"/>
    </row>
    <row r="888" spans="1:17" ht="15.75">
      <c r="A888" s="70"/>
      <c r="B888" s="71"/>
      <c r="C888" s="70"/>
      <c r="D888" s="68"/>
      <c r="E888" s="68"/>
      <c r="F888" s="68"/>
      <c r="G888" s="68"/>
      <c r="H888" s="68"/>
      <c r="I888" s="69"/>
      <c r="J888" s="68"/>
      <c r="K888" s="48"/>
      <c r="L888" s="62"/>
      <c r="M888" s="63"/>
      <c r="N888" s="65"/>
      <c r="O888" s="65"/>
      <c r="P888" s="64"/>
      <c r="Q888" s="64"/>
    </row>
    <row r="889" spans="1:17" ht="15.75">
      <c r="A889" s="70"/>
      <c r="B889" s="71"/>
      <c r="C889" s="70"/>
      <c r="D889" s="68"/>
      <c r="E889" s="68"/>
      <c r="F889" s="68"/>
      <c r="G889" s="68"/>
      <c r="H889" s="68"/>
      <c r="I889" s="69"/>
      <c r="J889" s="68"/>
      <c r="K889" s="48"/>
      <c r="L889" s="62"/>
      <c r="M889" s="63"/>
      <c r="N889" s="65"/>
      <c r="O889" s="65"/>
      <c r="P889" s="64"/>
      <c r="Q889" s="64"/>
    </row>
    <row r="890" spans="1:17" ht="15.75">
      <c r="A890" s="70"/>
      <c r="B890" s="71"/>
      <c r="C890" s="70"/>
      <c r="D890" s="68"/>
      <c r="E890" s="68"/>
      <c r="F890" s="68"/>
      <c r="G890" s="68"/>
      <c r="H890" s="68"/>
      <c r="I890" s="69"/>
      <c r="J890" s="68"/>
      <c r="K890" s="48"/>
      <c r="L890" s="62"/>
      <c r="M890" s="63"/>
      <c r="N890" s="65"/>
      <c r="O890" s="65"/>
      <c r="P890" s="64"/>
      <c r="Q890" s="64"/>
    </row>
    <row r="891" spans="1:17" ht="15.75">
      <c r="A891" s="70"/>
      <c r="B891" s="71"/>
      <c r="C891" s="70"/>
      <c r="D891" s="68"/>
      <c r="E891" s="68"/>
      <c r="F891" s="68"/>
      <c r="G891" s="68"/>
      <c r="H891" s="68"/>
      <c r="I891" s="69"/>
      <c r="J891" s="68"/>
      <c r="K891" s="48"/>
      <c r="L891" s="62"/>
      <c r="M891" s="63"/>
      <c r="N891" s="65"/>
      <c r="O891" s="65"/>
      <c r="P891" s="64"/>
      <c r="Q891" s="64"/>
    </row>
    <row r="892" spans="1:17" ht="15.75">
      <c r="A892" s="70"/>
      <c r="B892" s="71"/>
      <c r="C892" s="70"/>
      <c r="D892" s="68"/>
      <c r="E892" s="68"/>
      <c r="F892" s="68"/>
      <c r="G892" s="68"/>
      <c r="H892" s="68"/>
      <c r="I892" s="69"/>
      <c r="J892" s="68"/>
      <c r="K892" s="48"/>
      <c r="L892" s="62"/>
      <c r="M892" s="63"/>
      <c r="N892" s="65"/>
      <c r="O892" s="65"/>
      <c r="P892" s="64"/>
      <c r="Q892" s="64"/>
    </row>
    <row r="893" spans="1:17" ht="15.75">
      <c r="A893" s="70"/>
      <c r="B893" s="71"/>
      <c r="C893" s="70"/>
      <c r="D893" s="68"/>
      <c r="E893" s="68"/>
      <c r="F893" s="68"/>
      <c r="G893" s="68"/>
      <c r="H893" s="68"/>
      <c r="I893" s="69"/>
      <c r="J893" s="68"/>
      <c r="K893" s="48"/>
      <c r="L893" s="62"/>
      <c r="M893" s="63"/>
      <c r="N893" s="65"/>
      <c r="O893" s="65"/>
      <c r="P893" s="64"/>
      <c r="Q893" s="64"/>
    </row>
    <row r="894" spans="1:17" ht="15.75">
      <c r="A894" s="70"/>
      <c r="B894" s="71"/>
      <c r="C894" s="70"/>
      <c r="D894" s="68"/>
      <c r="E894" s="68"/>
      <c r="F894" s="68"/>
      <c r="G894" s="68"/>
      <c r="H894" s="68"/>
      <c r="I894" s="69"/>
      <c r="J894" s="68"/>
      <c r="K894" s="48"/>
      <c r="L894" s="62"/>
      <c r="M894" s="63"/>
      <c r="N894" s="65"/>
      <c r="O894" s="65"/>
      <c r="P894" s="64"/>
      <c r="Q894" s="64"/>
    </row>
    <row r="895" spans="1:17" ht="15.75">
      <c r="A895" s="70"/>
      <c r="B895" s="71"/>
      <c r="C895" s="70"/>
      <c r="D895" s="68"/>
      <c r="E895" s="68"/>
      <c r="F895" s="68"/>
      <c r="G895" s="68"/>
      <c r="H895" s="68"/>
      <c r="I895" s="69"/>
      <c r="J895" s="68"/>
      <c r="K895" s="48"/>
      <c r="L895" s="62"/>
      <c r="M895" s="63"/>
      <c r="N895" s="65"/>
      <c r="O895" s="65"/>
      <c r="P895" s="64"/>
      <c r="Q895" s="64"/>
    </row>
    <row r="896" spans="1:17" ht="15.75">
      <c r="A896" s="70"/>
      <c r="B896" s="71"/>
      <c r="C896" s="70"/>
      <c r="D896" s="68"/>
      <c r="E896" s="68"/>
      <c r="F896" s="68"/>
      <c r="G896" s="68"/>
      <c r="H896" s="68"/>
      <c r="I896" s="69"/>
      <c r="J896" s="68"/>
      <c r="K896" s="48"/>
      <c r="L896" s="62"/>
      <c r="M896" s="63"/>
      <c r="N896" s="65"/>
      <c r="O896" s="65"/>
      <c r="P896" s="64"/>
      <c r="Q896" s="64"/>
    </row>
    <row r="897" spans="1:17" ht="15.75">
      <c r="A897" s="70"/>
      <c r="B897" s="71"/>
      <c r="C897" s="70"/>
      <c r="D897" s="68"/>
      <c r="E897" s="68"/>
      <c r="F897" s="68"/>
      <c r="G897" s="68"/>
      <c r="H897" s="68"/>
      <c r="I897" s="69"/>
      <c r="J897" s="68"/>
      <c r="K897" s="48"/>
      <c r="L897" s="62"/>
      <c r="M897" s="63"/>
      <c r="N897" s="65"/>
      <c r="O897" s="65"/>
      <c r="P897" s="64"/>
      <c r="Q897" s="64"/>
    </row>
    <row r="898" spans="1:17" ht="15.75">
      <c r="A898" s="70"/>
      <c r="B898" s="71"/>
      <c r="C898" s="70"/>
      <c r="D898" s="68"/>
      <c r="E898" s="68"/>
      <c r="F898" s="68"/>
      <c r="G898" s="68"/>
      <c r="H898" s="68"/>
      <c r="I898" s="69"/>
      <c r="J898" s="68"/>
      <c r="K898" s="48"/>
      <c r="L898" s="62"/>
      <c r="M898" s="63"/>
      <c r="N898" s="65"/>
      <c r="O898" s="65"/>
      <c r="P898" s="64"/>
      <c r="Q898" s="64"/>
    </row>
    <row r="899" spans="1:17" ht="15.75">
      <c r="A899" s="70"/>
      <c r="B899" s="71"/>
      <c r="C899" s="70"/>
      <c r="D899" s="68"/>
      <c r="E899" s="68"/>
      <c r="F899" s="68"/>
      <c r="G899" s="68"/>
      <c r="H899" s="68"/>
      <c r="I899" s="69"/>
      <c r="J899" s="68"/>
      <c r="K899" s="48"/>
      <c r="L899" s="62"/>
      <c r="M899" s="63"/>
      <c r="N899" s="65"/>
      <c r="O899" s="65"/>
      <c r="P899" s="64"/>
      <c r="Q899" s="64"/>
    </row>
    <row r="900" spans="1:17" ht="15.75">
      <c r="A900" s="70"/>
      <c r="B900" s="71"/>
      <c r="C900" s="70"/>
      <c r="D900" s="68"/>
      <c r="E900" s="68"/>
      <c r="F900" s="68"/>
      <c r="G900" s="68"/>
      <c r="H900" s="68"/>
      <c r="I900" s="69"/>
      <c r="J900" s="68"/>
      <c r="K900" s="48"/>
      <c r="L900" s="62"/>
      <c r="M900" s="63"/>
      <c r="N900" s="65"/>
      <c r="O900" s="65"/>
      <c r="P900" s="64"/>
      <c r="Q900" s="64"/>
    </row>
    <row r="901" spans="1:17" ht="15.75">
      <c r="A901" s="70"/>
      <c r="B901" s="71"/>
      <c r="C901" s="70"/>
      <c r="D901" s="68"/>
      <c r="E901" s="68"/>
      <c r="F901" s="68"/>
      <c r="G901" s="68"/>
      <c r="H901" s="68"/>
      <c r="I901" s="69"/>
      <c r="J901" s="68"/>
      <c r="K901" s="48"/>
      <c r="L901" s="62"/>
      <c r="M901" s="63"/>
      <c r="N901" s="65"/>
      <c r="O901" s="65"/>
      <c r="P901" s="64"/>
      <c r="Q901" s="64"/>
    </row>
    <row r="902" spans="1:17" ht="15.75">
      <c r="A902" s="70"/>
      <c r="B902" s="71"/>
      <c r="C902" s="70"/>
      <c r="D902" s="68"/>
      <c r="E902" s="68"/>
      <c r="F902" s="68"/>
      <c r="G902" s="68"/>
      <c r="H902" s="68"/>
      <c r="I902" s="69"/>
      <c r="J902" s="68"/>
      <c r="K902" s="48"/>
      <c r="L902" s="62"/>
      <c r="M902" s="63"/>
      <c r="N902" s="65"/>
      <c r="O902" s="65"/>
      <c r="P902" s="64"/>
      <c r="Q902" s="64"/>
    </row>
    <row r="903" spans="1:17" ht="15.75">
      <c r="A903" s="70"/>
      <c r="B903" s="71"/>
      <c r="C903" s="70"/>
      <c r="D903" s="68"/>
      <c r="E903" s="68"/>
      <c r="F903" s="68"/>
      <c r="G903" s="68"/>
      <c r="H903" s="68"/>
      <c r="I903" s="69"/>
      <c r="J903" s="68"/>
      <c r="K903" s="48"/>
      <c r="L903" s="62"/>
      <c r="M903" s="63"/>
      <c r="N903" s="65"/>
      <c r="O903" s="65"/>
      <c r="P903" s="64"/>
      <c r="Q903" s="64"/>
    </row>
    <row r="904" spans="1:17" ht="15.75">
      <c r="A904" s="70"/>
      <c r="B904" s="71"/>
      <c r="C904" s="70"/>
      <c r="D904" s="68"/>
      <c r="E904" s="68"/>
      <c r="F904" s="68"/>
      <c r="G904" s="68"/>
      <c r="H904" s="68"/>
      <c r="I904" s="69"/>
      <c r="J904" s="68"/>
      <c r="K904" s="48"/>
      <c r="L904" s="62"/>
      <c r="M904" s="63"/>
      <c r="N904" s="65"/>
      <c r="O904" s="65"/>
      <c r="P904" s="64"/>
      <c r="Q904" s="64"/>
    </row>
    <row r="905" spans="1:17" ht="15.75">
      <c r="A905" s="70"/>
      <c r="B905" s="71"/>
      <c r="C905" s="70"/>
      <c r="D905" s="68"/>
      <c r="E905" s="68"/>
      <c r="F905" s="68"/>
      <c r="G905" s="68"/>
      <c r="H905" s="68"/>
      <c r="I905" s="69"/>
      <c r="J905" s="68"/>
      <c r="K905" s="48"/>
      <c r="L905" s="62"/>
      <c r="M905" s="63"/>
      <c r="N905" s="65"/>
      <c r="O905" s="65"/>
      <c r="P905" s="64"/>
      <c r="Q905" s="64"/>
    </row>
    <row r="906" spans="1:17" ht="15.75">
      <c r="A906" s="70"/>
      <c r="B906" s="71"/>
      <c r="C906" s="70"/>
      <c r="D906" s="68"/>
      <c r="E906" s="68"/>
      <c r="F906" s="68"/>
      <c r="G906" s="68"/>
      <c r="H906" s="68"/>
      <c r="I906" s="69"/>
      <c r="J906" s="68"/>
      <c r="K906" s="48"/>
      <c r="L906" s="62"/>
      <c r="M906" s="63"/>
      <c r="N906" s="65"/>
      <c r="O906" s="65"/>
      <c r="P906" s="64"/>
      <c r="Q906" s="64"/>
    </row>
    <row r="907" spans="1:17" ht="15.75">
      <c r="A907" s="70"/>
      <c r="B907" s="71"/>
      <c r="C907" s="70"/>
      <c r="D907" s="68"/>
      <c r="E907" s="68"/>
      <c r="F907" s="68"/>
      <c r="G907" s="68"/>
      <c r="H907" s="68"/>
      <c r="I907" s="69"/>
      <c r="J907" s="68"/>
      <c r="K907" s="48"/>
      <c r="L907" s="62"/>
      <c r="M907" s="63"/>
      <c r="N907" s="65"/>
      <c r="O907" s="65"/>
      <c r="P907" s="64"/>
      <c r="Q907" s="64"/>
    </row>
    <row r="908" spans="1:17" ht="15.75">
      <c r="A908" s="70"/>
      <c r="B908" s="71"/>
      <c r="C908" s="70"/>
      <c r="D908" s="68"/>
      <c r="E908" s="68"/>
      <c r="F908" s="68"/>
      <c r="G908" s="68"/>
      <c r="H908" s="68"/>
      <c r="I908" s="69"/>
      <c r="J908" s="68"/>
      <c r="K908" s="48"/>
      <c r="L908" s="62"/>
      <c r="M908" s="63"/>
      <c r="N908" s="65"/>
      <c r="O908" s="65"/>
      <c r="P908" s="64"/>
      <c r="Q908" s="64"/>
    </row>
    <row r="909" spans="1:17" ht="15.75">
      <c r="A909" s="70"/>
      <c r="B909" s="71"/>
      <c r="C909" s="70"/>
      <c r="D909" s="68"/>
      <c r="E909" s="68"/>
      <c r="F909" s="68"/>
      <c r="G909" s="68"/>
      <c r="H909" s="68"/>
      <c r="I909" s="69"/>
      <c r="J909" s="68"/>
      <c r="K909" s="48"/>
      <c r="L909" s="62"/>
      <c r="M909" s="63"/>
      <c r="N909" s="65"/>
      <c r="O909" s="65"/>
      <c r="P909" s="64"/>
      <c r="Q909" s="64"/>
    </row>
    <row r="910" spans="1:17" ht="15.75">
      <c r="A910" s="70"/>
      <c r="B910" s="71"/>
      <c r="C910" s="70"/>
      <c r="D910" s="68"/>
      <c r="E910" s="68"/>
      <c r="F910" s="68"/>
      <c r="G910" s="68"/>
      <c r="H910" s="68"/>
      <c r="I910" s="69"/>
      <c r="J910" s="68"/>
      <c r="K910" s="48"/>
      <c r="L910" s="62"/>
      <c r="M910" s="63"/>
      <c r="N910" s="65"/>
      <c r="O910" s="65"/>
      <c r="P910" s="64"/>
      <c r="Q910" s="64"/>
    </row>
    <row r="911" spans="1:17" ht="15.75">
      <c r="A911" s="70"/>
      <c r="B911" s="71"/>
      <c r="C911" s="70"/>
      <c r="D911" s="68"/>
      <c r="E911" s="68"/>
      <c r="F911" s="68"/>
      <c r="G911" s="68"/>
      <c r="H911" s="68"/>
      <c r="I911" s="69"/>
      <c r="J911" s="68"/>
      <c r="K911" s="48"/>
      <c r="L911" s="62"/>
      <c r="M911" s="63"/>
      <c r="N911" s="65"/>
      <c r="O911" s="65"/>
      <c r="P911" s="64"/>
      <c r="Q911" s="64"/>
    </row>
    <row r="912" spans="1:17" ht="15.75">
      <c r="A912" s="70"/>
      <c r="B912" s="71"/>
      <c r="C912" s="70"/>
      <c r="D912" s="68"/>
      <c r="E912" s="68"/>
      <c r="F912" s="68"/>
      <c r="G912" s="68"/>
      <c r="H912" s="68"/>
      <c r="I912" s="69"/>
      <c r="J912" s="68"/>
      <c r="K912" s="48"/>
      <c r="L912" s="62"/>
      <c r="M912" s="63"/>
      <c r="N912" s="65"/>
      <c r="O912" s="65"/>
      <c r="P912" s="64"/>
      <c r="Q912" s="64"/>
    </row>
    <row r="913" spans="1:17" ht="15.75">
      <c r="A913" s="70"/>
      <c r="B913" s="71"/>
      <c r="C913" s="70"/>
      <c r="D913" s="68"/>
      <c r="E913" s="68"/>
      <c r="F913" s="68"/>
      <c r="G913" s="68"/>
      <c r="H913" s="68"/>
      <c r="I913" s="69"/>
      <c r="J913" s="68"/>
      <c r="K913" s="48"/>
      <c r="L913" s="62"/>
      <c r="M913" s="63"/>
      <c r="N913" s="65"/>
      <c r="O913" s="65"/>
      <c r="P913" s="64"/>
      <c r="Q913" s="64"/>
    </row>
    <row r="914" spans="1:17" ht="15.75">
      <c r="A914" s="70"/>
      <c r="B914" s="71"/>
      <c r="C914" s="70"/>
      <c r="D914" s="68"/>
      <c r="E914" s="68"/>
      <c r="F914" s="68"/>
      <c r="G914" s="68"/>
      <c r="H914" s="68"/>
      <c r="I914" s="69"/>
      <c r="J914" s="68"/>
      <c r="K914" s="48"/>
      <c r="L914" s="62"/>
      <c r="M914" s="63"/>
      <c r="N914" s="65"/>
      <c r="O914" s="65"/>
      <c r="P914" s="64"/>
      <c r="Q914" s="64"/>
    </row>
    <row r="915" spans="1:17" ht="15.75">
      <c r="A915" s="70"/>
      <c r="B915" s="71"/>
      <c r="C915" s="70"/>
      <c r="D915" s="68"/>
      <c r="E915" s="68"/>
      <c r="F915" s="68"/>
      <c r="G915" s="68"/>
      <c r="H915" s="68"/>
      <c r="I915" s="69"/>
      <c r="J915" s="68"/>
      <c r="K915" s="48"/>
      <c r="L915" s="62"/>
      <c r="M915" s="63"/>
      <c r="N915" s="65"/>
      <c r="O915" s="65"/>
      <c r="P915" s="64"/>
      <c r="Q915" s="64"/>
    </row>
    <row r="916" spans="1:17" ht="15.75">
      <c r="A916" s="70"/>
      <c r="B916" s="71"/>
      <c r="C916" s="70"/>
      <c r="D916" s="68"/>
      <c r="E916" s="68"/>
      <c r="F916" s="68"/>
      <c r="G916" s="68"/>
      <c r="H916" s="68"/>
      <c r="I916" s="69"/>
      <c r="J916" s="68"/>
      <c r="K916" s="48"/>
      <c r="L916" s="62"/>
      <c r="M916" s="63"/>
      <c r="N916" s="65"/>
      <c r="O916" s="65"/>
      <c r="P916" s="64"/>
      <c r="Q916" s="64"/>
    </row>
    <row r="917" spans="1:17" ht="15.75">
      <c r="A917" s="70"/>
      <c r="B917" s="71"/>
      <c r="C917" s="70"/>
      <c r="D917" s="68"/>
      <c r="E917" s="68"/>
      <c r="F917" s="68"/>
      <c r="G917" s="68"/>
      <c r="H917" s="68"/>
      <c r="I917" s="69"/>
      <c r="J917" s="68"/>
      <c r="K917" s="48"/>
      <c r="L917" s="62"/>
      <c r="M917" s="63"/>
      <c r="N917" s="65"/>
      <c r="O917" s="65"/>
      <c r="P917" s="64"/>
      <c r="Q917" s="64"/>
    </row>
    <row r="918" spans="1:17" ht="15.75">
      <c r="A918" s="70"/>
      <c r="B918" s="71"/>
      <c r="C918" s="70"/>
      <c r="D918" s="68"/>
      <c r="E918" s="68"/>
      <c r="F918" s="68"/>
      <c r="G918" s="68"/>
      <c r="H918" s="68"/>
      <c r="I918" s="69"/>
      <c r="J918" s="68"/>
      <c r="K918" s="48"/>
      <c r="L918" s="62"/>
      <c r="M918" s="63"/>
      <c r="N918" s="65"/>
      <c r="O918" s="65"/>
      <c r="P918" s="64"/>
      <c r="Q918" s="64"/>
    </row>
    <row r="919" spans="1:17" ht="15.75">
      <c r="A919" s="70"/>
      <c r="B919" s="71"/>
      <c r="C919" s="70"/>
      <c r="D919" s="68"/>
      <c r="E919" s="68"/>
      <c r="F919" s="68"/>
      <c r="G919" s="68"/>
      <c r="H919" s="68"/>
      <c r="I919" s="69"/>
      <c r="J919" s="68"/>
      <c r="K919" s="48"/>
      <c r="L919" s="62"/>
      <c r="M919" s="63"/>
      <c r="N919" s="65"/>
      <c r="O919" s="65"/>
      <c r="P919" s="64"/>
      <c r="Q919" s="64"/>
    </row>
    <row r="920" spans="1:17" ht="15.75">
      <c r="A920" s="70"/>
      <c r="B920" s="71"/>
      <c r="C920" s="70"/>
      <c r="D920" s="68"/>
      <c r="E920" s="68"/>
      <c r="F920" s="68"/>
      <c r="G920" s="68"/>
      <c r="H920" s="68"/>
      <c r="I920" s="69"/>
      <c r="J920" s="68"/>
      <c r="K920" s="48"/>
      <c r="L920" s="62"/>
      <c r="M920" s="63"/>
      <c r="N920" s="65"/>
      <c r="O920" s="65"/>
      <c r="P920" s="64"/>
      <c r="Q920" s="64"/>
    </row>
    <row r="921" spans="1:17" ht="15.75">
      <c r="A921" s="70"/>
      <c r="B921" s="71"/>
      <c r="C921" s="70"/>
      <c r="D921" s="68"/>
      <c r="E921" s="68"/>
      <c r="F921" s="68"/>
      <c r="G921" s="68"/>
      <c r="H921" s="68"/>
      <c r="I921" s="69"/>
      <c r="J921" s="68"/>
      <c r="K921" s="48"/>
      <c r="L921" s="62"/>
      <c r="M921" s="63"/>
      <c r="N921" s="65"/>
      <c r="O921" s="65"/>
      <c r="P921" s="64"/>
      <c r="Q921" s="64"/>
    </row>
    <row r="922" spans="1:17" ht="15.75">
      <c r="A922" s="70"/>
      <c r="B922" s="71"/>
      <c r="C922" s="70"/>
      <c r="D922" s="68"/>
      <c r="E922" s="68"/>
      <c r="F922" s="68"/>
      <c r="G922" s="68"/>
      <c r="H922" s="68"/>
      <c r="I922" s="69"/>
      <c r="J922" s="68"/>
      <c r="K922" s="48"/>
      <c r="L922" s="62"/>
      <c r="M922" s="63"/>
      <c r="N922" s="65"/>
      <c r="O922" s="65"/>
      <c r="P922" s="64"/>
      <c r="Q922" s="64"/>
    </row>
    <row r="923" spans="1:17" ht="15.75">
      <c r="A923" s="70"/>
      <c r="B923" s="71"/>
      <c r="C923" s="70"/>
      <c r="D923" s="68"/>
      <c r="E923" s="68"/>
      <c r="F923" s="68"/>
      <c r="G923" s="68"/>
      <c r="H923" s="68"/>
      <c r="I923" s="69"/>
      <c r="J923" s="68"/>
      <c r="K923" s="48"/>
      <c r="L923" s="62"/>
      <c r="M923" s="63"/>
      <c r="N923" s="65"/>
      <c r="O923" s="65"/>
      <c r="P923" s="64"/>
      <c r="Q923" s="64"/>
    </row>
    <row r="924" spans="1:17" ht="15.75">
      <c r="A924" s="70"/>
      <c r="B924" s="71"/>
      <c r="C924" s="70"/>
      <c r="D924" s="68"/>
      <c r="E924" s="68"/>
      <c r="F924" s="68"/>
      <c r="G924" s="68"/>
      <c r="H924" s="68"/>
      <c r="I924" s="69"/>
      <c r="J924" s="68"/>
      <c r="K924" s="48"/>
      <c r="L924" s="62"/>
      <c r="M924" s="63"/>
      <c r="N924" s="65"/>
      <c r="O924" s="65"/>
      <c r="P924" s="64"/>
      <c r="Q924" s="64"/>
    </row>
    <row r="925" spans="1:17" ht="15.75">
      <c r="A925" s="70"/>
      <c r="B925" s="71"/>
      <c r="C925" s="70"/>
      <c r="D925" s="68"/>
      <c r="E925" s="68"/>
      <c r="F925" s="68"/>
      <c r="G925" s="68"/>
      <c r="H925" s="68"/>
      <c r="I925" s="69"/>
      <c r="J925" s="68"/>
      <c r="K925" s="48"/>
      <c r="L925" s="62"/>
      <c r="M925" s="63"/>
      <c r="N925" s="65"/>
      <c r="O925" s="65"/>
      <c r="P925" s="64"/>
      <c r="Q925" s="64"/>
    </row>
    <row r="926" spans="1:17" ht="15.75">
      <c r="A926" s="70"/>
      <c r="B926" s="71"/>
      <c r="C926" s="70"/>
      <c r="D926" s="68"/>
      <c r="E926" s="68"/>
      <c r="F926" s="68"/>
      <c r="G926" s="68"/>
      <c r="H926" s="68"/>
      <c r="I926" s="69"/>
      <c r="J926" s="68"/>
      <c r="K926" s="48"/>
      <c r="L926" s="62"/>
      <c r="M926" s="63"/>
      <c r="N926" s="65"/>
      <c r="O926" s="65"/>
      <c r="P926" s="64"/>
      <c r="Q926" s="64"/>
    </row>
    <row r="927" spans="1:17" ht="15.75">
      <c r="A927" s="70"/>
      <c r="B927" s="71"/>
      <c r="C927" s="70"/>
      <c r="D927" s="68"/>
      <c r="E927" s="68"/>
      <c r="F927" s="68"/>
      <c r="G927" s="68"/>
      <c r="H927" s="68"/>
      <c r="I927" s="69"/>
      <c r="J927" s="68"/>
      <c r="K927" s="48"/>
      <c r="L927" s="62"/>
      <c r="M927" s="63"/>
      <c r="N927" s="65"/>
      <c r="O927" s="65"/>
      <c r="P927" s="64"/>
      <c r="Q927" s="64"/>
    </row>
    <row r="928" spans="1:17" ht="15.75">
      <c r="A928" s="70"/>
      <c r="B928" s="71"/>
      <c r="C928" s="70"/>
      <c r="D928" s="68"/>
      <c r="E928" s="68"/>
      <c r="F928" s="68"/>
      <c r="G928" s="68"/>
      <c r="H928" s="68"/>
      <c r="I928" s="69"/>
      <c r="J928" s="68"/>
      <c r="K928" s="48"/>
      <c r="L928" s="62"/>
      <c r="M928" s="63"/>
      <c r="N928" s="65"/>
      <c r="O928" s="65"/>
      <c r="P928" s="64"/>
      <c r="Q928" s="64"/>
    </row>
    <row r="929" spans="1:17" ht="15.75">
      <c r="A929" s="70"/>
      <c r="B929" s="71"/>
      <c r="C929" s="70"/>
      <c r="D929" s="68"/>
      <c r="E929" s="68"/>
      <c r="F929" s="68"/>
      <c r="G929" s="68"/>
      <c r="H929" s="68"/>
      <c r="I929" s="69"/>
      <c r="J929" s="68"/>
      <c r="K929" s="48"/>
      <c r="L929" s="62"/>
      <c r="M929" s="63"/>
      <c r="N929" s="65"/>
      <c r="O929" s="65"/>
      <c r="P929" s="64"/>
      <c r="Q929" s="64"/>
    </row>
    <row r="930" spans="1:17" ht="15.75">
      <c r="A930" s="70"/>
      <c r="B930" s="71"/>
      <c r="C930" s="70"/>
      <c r="D930" s="68"/>
      <c r="E930" s="68"/>
      <c r="F930" s="68"/>
      <c r="G930" s="68"/>
      <c r="H930" s="68"/>
      <c r="I930" s="69"/>
      <c r="J930" s="68"/>
      <c r="K930" s="48"/>
      <c r="L930" s="62"/>
      <c r="M930" s="63"/>
      <c r="N930" s="65"/>
      <c r="O930" s="65"/>
      <c r="P930" s="64"/>
      <c r="Q930" s="64"/>
    </row>
    <row r="931" spans="1:17" ht="15.75">
      <c r="A931" s="70"/>
      <c r="B931" s="71"/>
      <c r="C931" s="70"/>
      <c r="D931" s="68"/>
      <c r="E931" s="68"/>
      <c r="F931" s="68"/>
      <c r="G931" s="68"/>
      <c r="H931" s="68"/>
      <c r="I931" s="69"/>
      <c r="J931" s="68"/>
      <c r="K931" s="48"/>
      <c r="L931" s="62"/>
      <c r="M931" s="63"/>
      <c r="N931" s="65"/>
      <c r="O931" s="65"/>
      <c r="P931" s="64"/>
      <c r="Q931" s="64"/>
    </row>
    <row r="932" spans="1:17" ht="15.75">
      <c r="A932" s="70"/>
      <c r="B932" s="71"/>
      <c r="C932" s="70"/>
      <c r="D932" s="68"/>
      <c r="E932" s="68"/>
      <c r="F932" s="68"/>
      <c r="G932" s="68"/>
      <c r="H932" s="68"/>
      <c r="I932" s="69"/>
      <c r="J932" s="68"/>
      <c r="K932" s="48"/>
      <c r="L932" s="62"/>
      <c r="M932" s="63"/>
      <c r="N932" s="65"/>
      <c r="O932" s="65"/>
      <c r="P932" s="64"/>
      <c r="Q932" s="64"/>
    </row>
    <row r="933" spans="1:17" ht="15.75">
      <c r="A933" s="70"/>
      <c r="B933" s="71"/>
      <c r="C933" s="70"/>
      <c r="D933" s="68"/>
      <c r="E933" s="68"/>
      <c r="F933" s="68"/>
      <c r="G933" s="68"/>
      <c r="H933" s="68"/>
      <c r="I933" s="69"/>
      <c r="J933" s="68"/>
      <c r="K933" s="48"/>
      <c r="L933" s="62"/>
      <c r="M933" s="63"/>
      <c r="N933" s="65"/>
      <c r="O933" s="65"/>
      <c r="P933" s="64"/>
      <c r="Q933" s="64"/>
    </row>
    <row r="934" spans="1:17" ht="15.75">
      <c r="A934" s="70"/>
      <c r="B934" s="71"/>
      <c r="C934" s="70"/>
      <c r="D934" s="68"/>
      <c r="E934" s="68"/>
      <c r="F934" s="68"/>
      <c r="G934" s="68"/>
      <c r="H934" s="68"/>
      <c r="I934" s="69"/>
      <c r="J934" s="68"/>
      <c r="K934" s="48"/>
      <c r="L934" s="62"/>
      <c r="M934" s="63"/>
      <c r="N934" s="65"/>
      <c r="O934" s="65"/>
      <c r="P934" s="64"/>
      <c r="Q934" s="64"/>
    </row>
    <row r="935" spans="1:17" ht="15.75">
      <c r="A935" s="70"/>
      <c r="B935" s="71"/>
      <c r="C935" s="70"/>
      <c r="D935" s="68"/>
      <c r="E935" s="68"/>
      <c r="F935" s="68"/>
      <c r="G935" s="68"/>
      <c r="H935" s="68"/>
      <c r="I935" s="69"/>
      <c r="J935" s="68"/>
      <c r="K935" s="48"/>
      <c r="L935" s="62"/>
      <c r="M935" s="63"/>
      <c r="N935" s="65"/>
      <c r="O935" s="65"/>
      <c r="P935" s="64"/>
      <c r="Q935" s="64"/>
    </row>
    <row r="936" spans="1:17" ht="15.75">
      <c r="A936" s="70"/>
      <c r="B936" s="71"/>
      <c r="C936" s="70"/>
      <c r="D936" s="68"/>
      <c r="E936" s="68"/>
      <c r="F936" s="68"/>
      <c r="G936" s="68"/>
      <c r="H936" s="68"/>
      <c r="I936" s="69"/>
      <c r="J936" s="68"/>
      <c r="K936" s="48"/>
      <c r="L936" s="62"/>
      <c r="M936" s="63"/>
      <c r="N936" s="65"/>
      <c r="O936" s="65"/>
      <c r="P936" s="64"/>
      <c r="Q936" s="64"/>
    </row>
    <row r="937" spans="1:17" ht="15.75">
      <c r="A937" s="70"/>
      <c r="B937" s="71"/>
      <c r="C937" s="70"/>
      <c r="D937" s="68"/>
      <c r="E937" s="68"/>
      <c r="F937" s="68"/>
      <c r="G937" s="68"/>
      <c r="H937" s="68"/>
      <c r="I937" s="69"/>
      <c r="J937" s="68"/>
      <c r="K937" s="48"/>
      <c r="L937" s="62"/>
      <c r="M937" s="63"/>
      <c r="N937" s="65"/>
      <c r="O937" s="65"/>
      <c r="P937" s="64"/>
      <c r="Q937" s="64"/>
    </row>
    <row r="938" spans="1:17" ht="15.75">
      <c r="A938" s="70"/>
      <c r="B938" s="71"/>
      <c r="C938" s="70"/>
      <c r="D938" s="68"/>
      <c r="E938" s="68"/>
      <c r="F938" s="68"/>
      <c r="G938" s="68"/>
      <c r="H938" s="68"/>
      <c r="I938" s="69"/>
      <c r="J938" s="68"/>
      <c r="K938" s="48"/>
      <c r="L938" s="62"/>
      <c r="M938" s="63"/>
      <c r="N938" s="65"/>
      <c r="O938" s="65"/>
      <c r="P938" s="64"/>
      <c r="Q938" s="64"/>
    </row>
    <row r="939" spans="1:17" ht="15.75">
      <c r="A939" s="70"/>
      <c r="B939" s="71"/>
      <c r="C939" s="70"/>
      <c r="D939" s="68"/>
      <c r="E939" s="68"/>
      <c r="F939" s="68"/>
      <c r="G939" s="68"/>
      <c r="H939" s="68"/>
      <c r="I939" s="69"/>
      <c r="J939" s="68"/>
      <c r="K939" s="48"/>
      <c r="L939" s="62"/>
      <c r="M939" s="63"/>
      <c r="N939" s="65"/>
      <c r="O939" s="65"/>
      <c r="P939" s="64"/>
      <c r="Q939" s="64"/>
    </row>
    <row r="940" spans="1:17" ht="15.75">
      <c r="A940" s="70"/>
      <c r="B940" s="71"/>
      <c r="C940" s="70"/>
      <c r="D940" s="68"/>
      <c r="E940" s="68"/>
      <c r="F940" s="68"/>
      <c r="G940" s="68"/>
      <c r="H940" s="68"/>
      <c r="I940" s="69"/>
      <c r="J940" s="68"/>
      <c r="K940" s="48"/>
      <c r="L940" s="62"/>
      <c r="M940" s="63"/>
      <c r="N940" s="65"/>
      <c r="O940" s="65"/>
      <c r="P940" s="64"/>
      <c r="Q940" s="64"/>
    </row>
    <row r="941" spans="1:17" ht="15.75">
      <c r="A941" s="70"/>
      <c r="B941" s="71"/>
      <c r="C941" s="70"/>
      <c r="D941" s="68"/>
      <c r="E941" s="68"/>
      <c r="F941" s="68"/>
      <c r="G941" s="68"/>
      <c r="H941" s="68"/>
      <c r="I941" s="69"/>
      <c r="J941" s="68"/>
      <c r="K941" s="48"/>
      <c r="L941" s="62"/>
      <c r="M941" s="63"/>
      <c r="N941" s="65"/>
      <c r="O941" s="65"/>
      <c r="P941" s="64"/>
      <c r="Q941" s="64"/>
    </row>
    <row r="942" spans="1:17" ht="15.75">
      <c r="A942" s="70"/>
      <c r="B942" s="71"/>
      <c r="C942" s="70"/>
      <c r="D942" s="68"/>
      <c r="E942" s="68"/>
      <c r="F942" s="68"/>
      <c r="G942" s="68"/>
      <c r="H942" s="68"/>
      <c r="I942" s="69"/>
      <c r="J942" s="68"/>
      <c r="K942" s="48"/>
      <c r="L942" s="62"/>
      <c r="M942" s="63"/>
      <c r="N942" s="65"/>
      <c r="O942" s="65"/>
      <c r="P942" s="64"/>
      <c r="Q942" s="64"/>
    </row>
    <row r="943" spans="1:17" ht="15.75">
      <c r="A943" s="70"/>
      <c r="B943" s="71"/>
      <c r="C943" s="70"/>
      <c r="D943" s="68"/>
      <c r="E943" s="68"/>
      <c r="F943" s="68"/>
      <c r="G943" s="68"/>
      <c r="H943" s="68"/>
      <c r="I943" s="69"/>
      <c r="J943" s="68"/>
      <c r="K943" s="48"/>
      <c r="L943" s="62"/>
      <c r="M943" s="63"/>
      <c r="N943" s="65"/>
      <c r="O943" s="65"/>
      <c r="P943" s="64"/>
      <c r="Q943" s="64"/>
    </row>
    <row r="944" spans="1:17" ht="15.75">
      <c r="A944" s="70"/>
      <c r="B944" s="71"/>
      <c r="C944" s="70"/>
      <c r="D944" s="68"/>
      <c r="E944" s="68"/>
      <c r="F944" s="68"/>
      <c r="G944" s="68"/>
      <c r="H944" s="68"/>
      <c r="I944" s="69"/>
      <c r="J944" s="68"/>
      <c r="K944" s="48"/>
      <c r="L944" s="62"/>
      <c r="M944" s="63"/>
      <c r="N944" s="65"/>
      <c r="O944" s="65"/>
      <c r="P944" s="64"/>
      <c r="Q944" s="64"/>
    </row>
    <row r="945" spans="1:17" ht="15.75">
      <c r="A945" s="70"/>
      <c r="B945" s="71"/>
      <c r="C945" s="70"/>
      <c r="D945" s="68"/>
      <c r="E945" s="68"/>
      <c r="F945" s="68"/>
      <c r="G945" s="68"/>
      <c r="H945" s="68"/>
      <c r="I945" s="69"/>
      <c r="J945" s="68"/>
      <c r="K945" s="48"/>
      <c r="L945" s="62"/>
      <c r="M945" s="63"/>
      <c r="N945" s="65"/>
      <c r="O945" s="65"/>
      <c r="P945" s="64"/>
      <c r="Q945" s="64"/>
    </row>
    <row r="946" spans="1:17" ht="15.75">
      <c r="A946" s="70"/>
      <c r="B946" s="71"/>
      <c r="C946" s="70"/>
      <c r="D946" s="68"/>
      <c r="E946" s="68"/>
      <c r="F946" s="68"/>
      <c r="G946" s="68"/>
      <c r="H946" s="68"/>
      <c r="I946" s="69"/>
      <c r="J946" s="68"/>
      <c r="K946" s="48"/>
      <c r="L946" s="62"/>
      <c r="M946" s="63"/>
      <c r="N946" s="65"/>
      <c r="O946" s="65"/>
      <c r="P946" s="64"/>
      <c r="Q946" s="64"/>
    </row>
    <row r="947" spans="1:17" ht="15.75">
      <c r="A947" s="70"/>
      <c r="B947" s="71"/>
      <c r="C947" s="70"/>
      <c r="D947" s="68"/>
      <c r="E947" s="68"/>
      <c r="F947" s="68"/>
      <c r="G947" s="68"/>
      <c r="H947" s="68"/>
      <c r="I947" s="69"/>
      <c r="J947" s="68"/>
      <c r="K947" s="48"/>
      <c r="L947" s="62"/>
      <c r="M947" s="63"/>
      <c r="N947" s="65"/>
      <c r="O947" s="65"/>
      <c r="P947" s="64"/>
      <c r="Q947" s="64"/>
    </row>
    <row r="948" spans="1:17" ht="15.75">
      <c r="A948" s="70"/>
      <c r="B948" s="71"/>
      <c r="C948" s="70"/>
      <c r="D948" s="68"/>
      <c r="E948" s="68"/>
      <c r="F948" s="68"/>
      <c r="G948" s="68"/>
      <c r="H948" s="68"/>
      <c r="I948" s="69"/>
      <c r="J948" s="68"/>
      <c r="K948" s="48"/>
      <c r="L948" s="62"/>
      <c r="M948" s="63"/>
      <c r="N948" s="65"/>
      <c r="O948" s="65"/>
      <c r="P948" s="64"/>
      <c r="Q948" s="64"/>
    </row>
    <row r="949" spans="1:17" ht="15.75">
      <c r="A949" s="70"/>
      <c r="B949" s="71"/>
      <c r="C949" s="70"/>
      <c r="D949" s="68"/>
      <c r="E949" s="68"/>
      <c r="F949" s="68"/>
      <c r="G949" s="68"/>
      <c r="H949" s="68"/>
      <c r="I949" s="69"/>
      <c r="J949" s="68"/>
      <c r="K949" s="48"/>
      <c r="L949" s="62"/>
      <c r="M949" s="63"/>
      <c r="N949" s="65"/>
      <c r="O949" s="65"/>
      <c r="P949" s="64"/>
      <c r="Q949" s="64"/>
    </row>
    <row r="950" spans="1:17" ht="15.75">
      <c r="A950" s="70"/>
      <c r="B950" s="71"/>
      <c r="C950" s="70"/>
      <c r="D950" s="68"/>
      <c r="E950" s="68"/>
      <c r="F950" s="68"/>
      <c r="G950" s="68"/>
      <c r="H950" s="68"/>
      <c r="I950" s="69"/>
      <c r="J950" s="68"/>
      <c r="K950" s="48"/>
      <c r="L950" s="62"/>
      <c r="M950" s="63"/>
      <c r="N950" s="65"/>
      <c r="O950" s="65"/>
      <c r="P950" s="64"/>
      <c r="Q950" s="64"/>
    </row>
    <row r="951" spans="1:17" ht="15.75">
      <c r="A951" s="70"/>
      <c r="B951" s="71"/>
      <c r="C951" s="70"/>
      <c r="D951" s="68"/>
      <c r="E951" s="68"/>
      <c r="F951" s="68"/>
      <c r="G951" s="68"/>
      <c r="H951" s="68"/>
      <c r="I951" s="69"/>
      <c r="J951" s="68"/>
      <c r="K951" s="48"/>
      <c r="L951" s="62"/>
      <c r="M951" s="63"/>
      <c r="N951" s="65"/>
      <c r="O951" s="65"/>
      <c r="P951" s="64"/>
      <c r="Q951" s="64"/>
    </row>
    <row r="952" spans="1:17" ht="15.75">
      <c r="A952" s="70"/>
      <c r="B952" s="71"/>
      <c r="C952" s="70"/>
      <c r="D952" s="68"/>
      <c r="E952" s="68"/>
      <c r="F952" s="68"/>
      <c r="G952" s="68"/>
      <c r="H952" s="68"/>
      <c r="I952" s="69"/>
      <c r="J952" s="68"/>
      <c r="K952" s="48"/>
      <c r="L952" s="62"/>
      <c r="M952" s="63"/>
      <c r="N952" s="65"/>
      <c r="O952" s="65"/>
      <c r="P952" s="64"/>
      <c r="Q952" s="64"/>
    </row>
    <row r="953" spans="1:17" ht="15.75">
      <c r="A953" s="70"/>
      <c r="B953" s="71"/>
      <c r="C953" s="70"/>
      <c r="D953" s="68"/>
      <c r="E953" s="68"/>
      <c r="F953" s="68"/>
      <c r="G953" s="68"/>
      <c r="H953" s="68"/>
      <c r="I953" s="69"/>
      <c r="J953" s="68"/>
      <c r="K953" s="48"/>
      <c r="L953" s="62"/>
      <c r="M953" s="63"/>
      <c r="N953" s="65"/>
      <c r="O953" s="65"/>
      <c r="P953" s="64"/>
      <c r="Q953" s="64"/>
    </row>
    <row r="954" spans="1:17" ht="15.75">
      <c r="A954" s="70"/>
      <c r="B954" s="71"/>
      <c r="C954" s="70"/>
      <c r="D954" s="68"/>
      <c r="E954" s="68"/>
      <c r="F954" s="68"/>
      <c r="G954" s="68"/>
      <c r="H954" s="68"/>
      <c r="I954" s="69"/>
      <c r="J954" s="68"/>
      <c r="K954" s="48"/>
      <c r="L954" s="62"/>
      <c r="M954" s="63"/>
      <c r="N954" s="65"/>
      <c r="O954" s="65"/>
      <c r="P954" s="64"/>
      <c r="Q954" s="64"/>
    </row>
    <row r="955" spans="1:17" ht="15.75">
      <c r="A955" s="70"/>
      <c r="B955" s="71"/>
      <c r="C955" s="70"/>
      <c r="D955" s="68"/>
      <c r="E955" s="68"/>
      <c r="F955" s="68"/>
      <c r="G955" s="68"/>
      <c r="H955" s="68"/>
      <c r="I955" s="69"/>
      <c r="J955" s="68"/>
      <c r="K955" s="48"/>
      <c r="L955" s="62"/>
      <c r="M955" s="63"/>
      <c r="N955" s="65"/>
      <c r="O955" s="65"/>
      <c r="P955" s="64"/>
      <c r="Q955" s="64"/>
    </row>
    <row r="956" spans="1:17" ht="15.75">
      <c r="A956" s="70"/>
      <c r="B956" s="71"/>
      <c r="C956" s="70"/>
      <c r="D956" s="68"/>
      <c r="E956" s="68"/>
      <c r="F956" s="68"/>
      <c r="G956" s="68"/>
      <c r="H956" s="68"/>
      <c r="I956" s="69"/>
      <c r="J956" s="68"/>
      <c r="K956" s="48"/>
      <c r="L956" s="62"/>
      <c r="M956" s="63"/>
      <c r="N956" s="65"/>
      <c r="O956" s="65"/>
      <c r="P956" s="64"/>
      <c r="Q956" s="64"/>
    </row>
    <row r="957" spans="1:17" ht="15.75">
      <c r="A957" s="70"/>
      <c r="B957" s="71"/>
      <c r="C957" s="70"/>
      <c r="D957" s="68"/>
      <c r="E957" s="68"/>
      <c r="F957" s="68"/>
      <c r="G957" s="68"/>
      <c r="H957" s="68"/>
      <c r="I957" s="69"/>
      <c r="J957" s="68"/>
      <c r="K957" s="48"/>
      <c r="L957" s="62"/>
      <c r="M957" s="63"/>
      <c r="N957" s="65"/>
      <c r="O957" s="65"/>
      <c r="P957" s="64"/>
      <c r="Q957" s="64"/>
    </row>
    <row r="958" spans="1:17" ht="15.75">
      <c r="A958" s="70"/>
      <c r="B958" s="71"/>
      <c r="C958" s="70"/>
      <c r="D958" s="68"/>
      <c r="E958" s="68"/>
      <c r="F958" s="68"/>
      <c r="G958" s="68"/>
      <c r="H958" s="68"/>
      <c r="I958" s="69"/>
      <c r="J958" s="68"/>
      <c r="K958" s="48"/>
      <c r="L958" s="62"/>
      <c r="M958" s="63"/>
      <c r="N958" s="65"/>
      <c r="O958" s="65"/>
      <c r="P958" s="64"/>
      <c r="Q958" s="64"/>
    </row>
    <row r="959" spans="1:17" ht="15.75">
      <c r="A959" s="70"/>
      <c r="B959" s="71"/>
      <c r="C959" s="70"/>
      <c r="D959" s="68"/>
      <c r="E959" s="68"/>
      <c r="F959" s="68"/>
      <c r="G959" s="68"/>
      <c r="H959" s="68"/>
      <c r="I959" s="69"/>
      <c r="J959" s="68"/>
      <c r="K959" s="48"/>
      <c r="L959" s="62"/>
      <c r="M959" s="63"/>
      <c r="N959" s="65"/>
      <c r="O959" s="65"/>
      <c r="P959" s="64"/>
      <c r="Q959" s="64"/>
    </row>
    <row r="960" spans="1:17" ht="15.75">
      <c r="A960" s="70"/>
      <c r="B960" s="71"/>
      <c r="C960" s="70"/>
      <c r="D960" s="68"/>
      <c r="E960" s="68"/>
      <c r="F960" s="68"/>
      <c r="G960" s="68"/>
      <c r="H960" s="68"/>
      <c r="I960" s="69"/>
      <c r="J960" s="68"/>
      <c r="K960" s="48"/>
      <c r="L960" s="62"/>
      <c r="M960" s="63"/>
      <c r="N960" s="65"/>
      <c r="O960" s="65"/>
      <c r="P960" s="64"/>
      <c r="Q960" s="64"/>
    </row>
    <row r="961" spans="1:17" ht="15.75">
      <c r="A961" s="70"/>
      <c r="B961" s="71"/>
      <c r="C961" s="70"/>
      <c r="D961" s="68"/>
      <c r="E961" s="68"/>
      <c r="F961" s="68"/>
      <c r="G961" s="68"/>
      <c r="H961" s="68"/>
      <c r="I961" s="69"/>
      <c r="J961" s="68"/>
      <c r="K961" s="48"/>
      <c r="L961" s="62"/>
      <c r="M961" s="63"/>
      <c r="N961" s="65"/>
      <c r="O961" s="65"/>
      <c r="P961" s="64"/>
      <c r="Q961" s="64"/>
    </row>
    <row r="962" spans="1:17" ht="15.75">
      <c r="A962" s="70"/>
      <c r="B962" s="71"/>
      <c r="C962" s="70"/>
      <c r="D962" s="68"/>
      <c r="E962" s="68"/>
      <c r="F962" s="68"/>
      <c r="G962" s="68"/>
      <c r="H962" s="68"/>
      <c r="I962" s="69"/>
      <c r="J962" s="68"/>
      <c r="K962" s="48"/>
      <c r="L962" s="62"/>
      <c r="M962" s="63"/>
      <c r="N962" s="65"/>
      <c r="O962" s="65"/>
      <c r="P962" s="64"/>
      <c r="Q962" s="64"/>
    </row>
    <row r="963" spans="1:17" ht="15.75">
      <c r="A963" s="70"/>
      <c r="B963" s="71"/>
      <c r="C963" s="70"/>
      <c r="D963" s="68"/>
      <c r="E963" s="68"/>
      <c r="F963" s="68"/>
      <c r="G963" s="68"/>
      <c r="H963" s="68"/>
      <c r="I963" s="69"/>
      <c r="J963" s="68"/>
      <c r="K963" s="48"/>
      <c r="L963" s="62"/>
      <c r="M963" s="63"/>
      <c r="N963" s="65"/>
      <c r="O963" s="65"/>
      <c r="P963" s="64"/>
      <c r="Q963" s="64"/>
    </row>
    <row r="964" spans="1:17" ht="15.75">
      <c r="A964" s="70"/>
      <c r="B964" s="71"/>
      <c r="C964" s="70"/>
      <c r="D964" s="68"/>
      <c r="E964" s="68"/>
      <c r="F964" s="68"/>
      <c r="G964" s="68"/>
      <c r="H964" s="68"/>
      <c r="I964" s="69"/>
      <c r="J964" s="68"/>
      <c r="K964" s="48"/>
      <c r="L964" s="62"/>
      <c r="M964" s="63"/>
      <c r="N964" s="65"/>
      <c r="O964" s="65"/>
      <c r="P964" s="64"/>
      <c r="Q964" s="64"/>
    </row>
    <row r="965" spans="1:17" ht="15.75">
      <c r="A965" s="70"/>
      <c r="B965" s="71"/>
      <c r="C965" s="70"/>
      <c r="D965" s="68"/>
      <c r="E965" s="68"/>
      <c r="F965" s="68"/>
      <c r="G965" s="68"/>
      <c r="H965" s="68"/>
      <c r="I965" s="69"/>
      <c r="J965" s="68"/>
      <c r="K965" s="48"/>
      <c r="L965" s="62"/>
      <c r="M965" s="63"/>
      <c r="N965" s="65"/>
      <c r="O965" s="65"/>
      <c r="P965" s="64"/>
      <c r="Q965" s="64"/>
    </row>
    <row r="966" spans="1:17" ht="15.75">
      <c r="A966" s="70"/>
      <c r="B966" s="71"/>
      <c r="C966" s="70"/>
      <c r="D966" s="68"/>
      <c r="E966" s="68"/>
      <c r="F966" s="68"/>
      <c r="G966" s="68"/>
      <c r="H966" s="68"/>
      <c r="I966" s="69"/>
      <c r="J966" s="68"/>
      <c r="K966" s="48"/>
      <c r="L966" s="62"/>
      <c r="M966" s="63"/>
      <c r="N966" s="65"/>
      <c r="O966" s="65"/>
      <c r="P966" s="64"/>
      <c r="Q966" s="64"/>
    </row>
    <row r="967" spans="1:17" ht="15.75">
      <c r="A967" s="70"/>
      <c r="B967" s="71"/>
      <c r="C967" s="70"/>
      <c r="D967" s="68"/>
      <c r="E967" s="68"/>
      <c r="F967" s="68"/>
      <c r="G967" s="68"/>
      <c r="H967" s="68"/>
      <c r="I967" s="69"/>
      <c r="J967" s="68"/>
      <c r="K967" s="48"/>
      <c r="L967" s="62"/>
      <c r="M967" s="63"/>
      <c r="N967" s="65"/>
      <c r="O967" s="65"/>
      <c r="P967" s="64"/>
      <c r="Q967" s="64"/>
    </row>
    <row r="968" spans="1:17" ht="15.75">
      <c r="A968" s="70"/>
      <c r="B968" s="71"/>
      <c r="C968" s="70"/>
      <c r="D968" s="68"/>
      <c r="E968" s="68"/>
      <c r="F968" s="68"/>
      <c r="G968" s="68"/>
      <c r="H968" s="68"/>
      <c r="I968" s="69"/>
      <c r="J968" s="68"/>
      <c r="K968" s="48"/>
      <c r="L968" s="62"/>
      <c r="M968" s="63"/>
      <c r="N968" s="65"/>
      <c r="O968" s="65"/>
      <c r="P968" s="64"/>
      <c r="Q968" s="64"/>
    </row>
    <row r="969" spans="1:17" ht="15.75">
      <c r="A969" s="70"/>
      <c r="B969" s="71"/>
      <c r="C969" s="70"/>
      <c r="D969" s="68"/>
      <c r="E969" s="68"/>
      <c r="F969" s="68"/>
      <c r="G969" s="68"/>
      <c r="H969" s="68"/>
      <c r="I969" s="69"/>
      <c r="J969" s="68"/>
      <c r="K969" s="48"/>
      <c r="L969" s="62"/>
      <c r="M969" s="63"/>
      <c r="N969" s="65"/>
      <c r="O969" s="65"/>
      <c r="P969" s="64"/>
      <c r="Q969" s="64"/>
    </row>
    <row r="970" spans="1:17" ht="15.75">
      <c r="A970" s="70"/>
      <c r="B970" s="71"/>
      <c r="C970" s="70"/>
      <c r="D970" s="68"/>
      <c r="E970" s="68"/>
      <c r="F970" s="68"/>
      <c r="G970" s="68"/>
      <c r="H970" s="68"/>
      <c r="I970" s="69"/>
      <c r="J970" s="68"/>
      <c r="K970" s="48"/>
      <c r="L970" s="62"/>
      <c r="M970" s="63"/>
      <c r="N970" s="65"/>
      <c r="O970" s="65"/>
      <c r="P970" s="64"/>
      <c r="Q970" s="64"/>
    </row>
    <row r="971" spans="1:17" ht="15.75">
      <c r="A971" s="70"/>
      <c r="B971" s="71"/>
      <c r="C971" s="70"/>
      <c r="D971" s="68"/>
      <c r="E971" s="68"/>
      <c r="F971" s="68"/>
      <c r="G971" s="68"/>
      <c r="H971" s="68"/>
      <c r="I971" s="69"/>
      <c r="J971" s="68"/>
      <c r="K971" s="48"/>
      <c r="L971" s="62"/>
      <c r="M971" s="63"/>
      <c r="N971" s="65"/>
      <c r="O971" s="65"/>
      <c r="P971" s="64"/>
      <c r="Q971" s="64"/>
    </row>
    <row r="972" spans="1:17" ht="15.75">
      <c r="A972" s="70"/>
      <c r="B972" s="71"/>
      <c r="C972" s="70"/>
      <c r="D972" s="68"/>
      <c r="E972" s="68"/>
      <c r="F972" s="68"/>
      <c r="G972" s="68"/>
      <c r="H972" s="68"/>
      <c r="I972" s="69"/>
      <c r="J972" s="68"/>
      <c r="K972" s="48"/>
      <c r="L972" s="62"/>
      <c r="M972" s="63"/>
      <c r="N972" s="65"/>
      <c r="O972" s="65"/>
      <c r="P972" s="64"/>
      <c r="Q972" s="64"/>
    </row>
    <row r="973" spans="1:17" ht="15.75">
      <c r="A973" s="70"/>
      <c r="B973" s="71"/>
      <c r="C973" s="70"/>
      <c r="D973" s="68"/>
      <c r="E973" s="68"/>
      <c r="F973" s="68"/>
      <c r="G973" s="68"/>
      <c r="H973" s="68"/>
      <c r="I973" s="69"/>
      <c r="J973" s="68"/>
      <c r="K973" s="48"/>
      <c r="L973" s="62"/>
      <c r="M973" s="63"/>
      <c r="N973" s="65"/>
      <c r="O973" s="65"/>
      <c r="P973" s="64"/>
      <c r="Q973" s="64"/>
    </row>
    <row r="974" spans="1:17" ht="15.75">
      <c r="A974" s="70"/>
      <c r="B974" s="71"/>
      <c r="C974" s="70"/>
      <c r="D974" s="68"/>
      <c r="E974" s="68"/>
      <c r="F974" s="68"/>
      <c r="G974" s="68"/>
      <c r="H974" s="68"/>
      <c r="I974" s="69"/>
      <c r="J974" s="68"/>
      <c r="K974" s="48"/>
      <c r="L974" s="62"/>
      <c r="M974" s="63"/>
      <c r="N974" s="65"/>
      <c r="O974" s="65"/>
      <c r="P974" s="64"/>
      <c r="Q974" s="64"/>
    </row>
    <row r="975" spans="1:17" ht="15.75">
      <c r="A975" s="70"/>
      <c r="B975" s="71"/>
      <c r="C975" s="70"/>
      <c r="D975" s="68"/>
      <c r="E975" s="68"/>
      <c r="F975" s="68"/>
      <c r="G975" s="68"/>
      <c r="H975" s="68"/>
      <c r="I975" s="69"/>
      <c r="J975" s="68"/>
      <c r="K975" s="48"/>
      <c r="L975" s="62"/>
      <c r="M975" s="63"/>
      <c r="N975" s="65"/>
      <c r="O975" s="65"/>
      <c r="P975" s="64"/>
      <c r="Q975" s="64"/>
    </row>
    <row r="976" spans="1:17" ht="15.75">
      <c r="A976" s="70"/>
      <c r="B976" s="71"/>
      <c r="C976" s="70"/>
      <c r="D976" s="68"/>
      <c r="E976" s="68"/>
      <c r="F976" s="68"/>
      <c r="G976" s="68"/>
      <c r="H976" s="68"/>
      <c r="I976" s="69"/>
      <c r="J976" s="68"/>
      <c r="K976" s="48"/>
      <c r="L976" s="62"/>
      <c r="M976" s="63"/>
      <c r="N976" s="65"/>
      <c r="O976" s="65"/>
      <c r="P976" s="64"/>
      <c r="Q976" s="64"/>
    </row>
    <row r="977" spans="1:17" ht="15.75">
      <c r="A977" s="70"/>
      <c r="B977" s="71"/>
      <c r="C977" s="70"/>
      <c r="D977" s="68"/>
      <c r="E977" s="68"/>
      <c r="F977" s="68"/>
      <c r="G977" s="68"/>
      <c r="H977" s="68"/>
      <c r="I977" s="69"/>
      <c r="J977" s="68"/>
      <c r="K977" s="48"/>
      <c r="L977" s="62"/>
      <c r="M977" s="63"/>
      <c r="N977" s="65"/>
      <c r="O977" s="65"/>
      <c r="P977" s="64"/>
      <c r="Q977" s="64"/>
    </row>
    <row r="978" spans="1:17" ht="15.75">
      <c r="A978" s="70"/>
      <c r="B978" s="71"/>
      <c r="C978" s="70"/>
      <c r="D978" s="68"/>
      <c r="E978" s="68"/>
      <c r="F978" s="68"/>
      <c r="G978" s="68"/>
      <c r="H978" s="68"/>
      <c r="I978" s="69"/>
      <c r="J978" s="68"/>
      <c r="K978" s="48"/>
      <c r="L978" s="62"/>
      <c r="M978" s="63"/>
      <c r="N978" s="65"/>
      <c r="O978" s="65"/>
      <c r="P978" s="64"/>
      <c r="Q978" s="64"/>
    </row>
    <row r="979" spans="1:17" ht="15.75">
      <c r="A979" s="70"/>
      <c r="B979" s="71"/>
      <c r="C979" s="70"/>
      <c r="D979" s="68"/>
      <c r="E979" s="68"/>
      <c r="F979" s="68"/>
      <c r="G979" s="68"/>
      <c r="H979" s="68"/>
      <c r="I979" s="69"/>
      <c r="J979" s="68"/>
      <c r="K979" s="48"/>
      <c r="L979" s="62"/>
      <c r="M979" s="63"/>
      <c r="N979" s="65"/>
      <c r="O979" s="65"/>
      <c r="P979" s="64"/>
      <c r="Q979" s="64"/>
    </row>
    <row r="980" spans="1:17" ht="15.75">
      <c r="A980" s="70"/>
      <c r="B980" s="71"/>
      <c r="C980" s="70"/>
      <c r="D980" s="68"/>
      <c r="E980" s="68"/>
      <c r="F980" s="68"/>
      <c r="G980" s="68"/>
      <c r="H980" s="68"/>
      <c r="I980" s="69"/>
      <c r="J980" s="68"/>
      <c r="K980" s="48"/>
      <c r="L980" s="62"/>
      <c r="M980" s="63"/>
      <c r="N980" s="65"/>
      <c r="O980" s="65"/>
      <c r="P980" s="64"/>
      <c r="Q980" s="64"/>
    </row>
    <row r="981" spans="1:17" ht="15.75">
      <c r="A981" s="70"/>
      <c r="B981" s="71"/>
      <c r="C981" s="70"/>
      <c r="D981" s="68"/>
      <c r="E981" s="68"/>
      <c r="F981" s="68"/>
      <c r="G981" s="68"/>
      <c r="H981" s="68"/>
      <c r="I981" s="69"/>
      <c r="J981" s="68"/>
      <c r="K981" s="48"/>
      <c r="L981" s="62"/>
      <c r="M981" s="63"/>
      <c r="N981" s="65"/>
      <c r="O981" s="65"/>
      <c r="P981" s="64"/>
      <c r="Q981" s="64"/>
    </row>
    <row r="982" spans="1:17" ht="15.75">
      <c r="A982" s="70"/>
      <c r="B982" s="71"/>
      <c r="C982" s="70"/>
      <c r="D982" s="68"/>
      <c r="E982" s="68"/>
      <c r="F982" s="68"/>
      <c r="G982" s="68"/>
      <c r="H982" s="68"/>
      <c r="I982" s="69"/>
      <c r="J982" s="68"/>
      <c r="K982" s="48"/>
      <c r="L982" s="62"/>
      <c r="M982" s="63"/>
      <c r="N982" s="65"/>
      <c r="O982" s="65"/>
      <c r="P982" s="64"/>
      <c r="Q982" s="64"/>
    </row>
    <row r="983" spans="1:17" ht="15.75">
      <c r="A983" s="70"/>
      <c r="B983" s="71"/>
      <c r="C983" s="70"/>
      <c r="D983" s="68"/>
      <c r="E983" s="68"/>
      <c r="F983" s="68"/>
      <c r="G983" s="68"/>
      <c r="H983" s="68"/>
      <c r="I983" s="69"/>
      <c r="J983" s="68"/>
      <c r="K983" s="48"/>
      <c r="L983" s="62"/>
      <c r="M983" s="63"/>
      <c r="N983" s="65"/>
      <c r="O983" s="65"/>
      <c r="P983" s="64"/>
      <c r="Q983" s="64"/>
    </row>
    <row r="984" spans="1:17" ht="15.75">
      <c r="A984" s="70"/>
      <c r="B984" s="71"/>
      <c r="C984" s="70"/>
      <c r="D984" s="68"/>
      <c r="E984" s="68"/>
      <c r="F984" s="68"/>
      <c r="G984" s="68"/>
      <c r="H984" s="68"/>
      <c r="I984" s="69"/>
      <c r="J984" s="68"/>
      <c r="K984" s="48"/>
      <c r="L984" s="62"/>
      <c r="M984" s="63"/>
      <c r="N984" s="65"/>
      <c r="O984" s="65"/>
      <c r="P984" s="64"/>
      <c r="Q984" s="64"/>
    </row>
    <row r="985" spans="1:17" ht="15.75">
      <c r="A985" s="70"/>
      <c r="B985" s="71"/>
      <c r="C985" s="70"/>
      <c r="D985" s="68"/>
      <c r="E985" s="68"/>
      <c r="F985" s="68"/>
      <c r="G985" s="68"/>
      <c r="H985" s="68"/>
      <c r="I985" s="69"/>
      <c r="J985" s="68"/>
      <c r="K985" s="48"/>
      <c r="L985" s="62"/>
      <c r="M985" s="63"/>
      <c r="N985" s="65"/>
      <c r="O985" s="65"/>
      <c r="P985" s="64"/>
      <c r="Q985" s="64"/>
    </row>
    <row r="986" spans="1:17" ht="15.75">
      <c r="A986" s="70"/>
      <c r="B986" s="71"/>
      <c r="C986" s="70"/>
      <c r="D986" s="68"/>
      <c r="E986" s="68"/>
      <c r="F986" s="68"/>
      <c r="G986" s="68"/>
      <c r="H986" s="68"/>
      <c r="I986" s="69"/>
      <c r="J986" s="68"/>
      <c r="K986" s="48"/>
      <c r="L986" s="62"/>
      <c r="M986" s="63"/>
      <c r="N986" s="65"/>
      <c r="O986" s="65"/>
      <c r="P986" s="64"/>
      <c r="Q986" s="64"/>
    </row>
    <row r="987" spans="1:17" ht="15.75">
      <c r="A987" s="70"/>
      <c r="B987" s="71"/>
      <c r="C987" s="70"/>
      <c r="D987" s="68"/>
      <c r="E987" s="68"/>
      <c r="F987" s="68"/>
      <c r="G987" s="68"/>
      <c r="H987" s="68"/>
      <c r="I987" s="69"/>
      <c r="J987" s="68"/>
      <c r="K987" s="48"/>
      <c r="L987" s="62"/>
      <c r="M987" s="63"/>
      <c r="N987" s="65"/>
      <c r="O987" s="65"/>
      <c r="P987" s="64"/>
      <c r="Q987" s="64"/>
    </row>
    <row r="988" spans="1:17" ht="15.75">
      <c r="A988" s="70"/>
      <c r="B988" s="71"/>
      <c r="C988" s="70"/>
      <c r="D988" s="68"/>
      <c r="E988" s="68"/>
      <c r="F988" s="68"/>
      <c r="G988" s="68"/>
      <c r="H988" s="68"/>
      <c r="I988" s="69"/>
      <c r="J988" s="68"/>
      <c r="K988" s="48"/>
      <c r="L988" s="62"/>
      <c r="M988" s="63"/>
      <c r="N988" s="65"/>
      <c r="O988" s="65"/>
      <c r="P988" s="64"/>
      <c r="Q988" s="64"/>
    </row>
    <row r="989" spans="1:17" ht="15.75">
      <c r="A989" s="70"/>
      <c r="B989" s="71"/>
      <c r="C989" s="70"/>
      <c r="D989" s="68"/>
      <c r="E989" s="68"/>
      <c r="F989" s="68"/>
      <c r="G989" s="68"/>
      <c r="H989" s="68"/>
      <c r="I989" s="69"/>
      <c r="J989" s="68"/>
      <c r="K989" s="48"/>
      <c r="L989" s="62"/>
      <c r="M989" s="63"/>
      <c r="N989" s="65"/>
      <c r="O989" s="65"/>
      <c r="P989" s="64"/>
      <c r="Q989" s="64"/>
    </row>
    <row r="990" spans="1:17" ht="15.75">
      <c r="A990" s="70"/>
      <c r="B990" s="71"/>
      <c r="C990" s="70"/>
      <c r="D990" s="68"/>
      <c r="E990" s="68"/>
      <c r="F990" s="68"/>
      <c r="G990" s="68"/>
      <c r="H990" s="68"/>
      <c r="I990" s="69"/>
      <c r="J990" s="68"/>
      <c r="K990" s="48"/>
      <c r="L990" s="62"/>
      <c r="M990" s="63"/>
      <c r="N990" s="65"/>
      <c r="O990" s="65"/>
      <c r="P990" s="64"/>
      <c r="Q990" s="64"/>
    </row>
    <row r="991" spans="1:17" ht="15.75">
      <c r="A991" s="70"/>
      <c r="B991" s="71"/>
      <c r="C991" s="70"/>
      <c r="D991" s="68"/>
      <c r="E991" s="68"/>
      <c r="F991" s="68"/>
      <c r="G991" s="68"/>
      <c r="H991" s="68"/>
      <c r="I991" s="69"/>
      <c r="J991" s="68"/>
      <c r="K991" s="48"/>
      <c r="L991" s="62"/>
      <c r="M991" s="63"/>
      <c r="N991" s="65"/>
      <c r="O991" s="65"/>
      <c r="P991" s="64"/>
      <c r="Q991" s="64"/>
    </row>
    <row r="992" spans="1:17" ht="15.75">
      <c r="A992" s="70"/>
      <c r="B992" s="71"/>
      <c r="C992" s="70"/>
      <c r="D992" s="68"/>
      <c r="E992" s="68"/>
      <c r="F992" s="68"/>
      <c r="G992" s="68"/>
      <c r="H992" s="68"/>
      <c r="I992" s="69"/>
      <c r="J992" s="68"/>
      <c r="K992" s="48"/>
      <c r="L992" s="62"/>
      <c r="M992" s="63"/>
      <c r="N992" s="65"/>
      <c r="O992" s="65"/>
      <c r="P992" s="64"/>
      <c r="Q992" s="64"/>
    </row>
    <row r="993" spans="1:17" ht="15.75">
      <c r="A993" s="70"/>
      <c r="B993" s="71"/>
      <c r="C993" s="70"/>
      <c r="D993" s="68"/>
      <c r="E993" s="68"/>
      <c r="F993" s="68"/>
      <c r="G993" s="68"/>
      <c r="H993" s="68"/>
      <c r="I993" s="69"/>
      <c r="J993" s="68"/>
      <c r="K993" s="48"/>
      <c r="L993" s="62"/>
      <c r="M993" s="63"/>
      <c r="N993" s="65"/>
      <c r="O993" s="65"/>
      <c r="P993" s="64"/>
      <c r="Q993" s="64"/>
    </row>
    <row r="994" spans="1:17" ht="15.75">
      <c r="A994" s="70"/>
      <c r="B994" s="71"/>
      <c r="C994" s="70"/>
      <c r="D994" s="68"/>
      <c r="E994" s="68"/>
      <c r="F994" s="68"/>
      <c r="G994" s="68"/>
      <c r="H994" s="68"/>
      <c r="I994" s="69"/>
      <c r="J994" s="68"/>
      <c r="K994" s="48"/>
      <c r="L994" s="62"/>
      <c r="M994" s="63"/>
      <c r="N994" s="65"/>
      <c r="O994" s="65"/>
      <c r="P994" s="64"/>
      <c r="Q994" s="64"/>
    </row>
    <row r="995" spans="1:17" ht="15.75">
      <c r="A995" s="70"/>
      <c r="B995" s="71"/>
      <c r="C995" s="70"/>
      <c r="D995" s="68"/>
      <c r="E995" s="68"/>
      <c r="F995" s="68"/>
      <c r="G995" s="68"/>
      <c r="H995" s="68"/>
      <c r="I995" s="69"/>
      <c r="J995" s="68"/>
      <c r="K995" s="48"/>
      <c r="L995" s="62"/>
      <c r="M995" s="63"/>
      <c r="N995" s="65"/>
      <c r="O995" s="65"/>
      <c r="P995" s="64"/>
      <c r="Q995" s="64"/>
    </row>
    <row r="996" spans="1:17" ht="15.75">
      <c r="A996" s="70"/>
      <c r="B996" s="71"/>
      <c r="C996" s="70"/>
      <c r="D996" s="68"/>
      <c r="E996" s="68"/>
      <c r="F996" s="68"/>
      <c r="G996" s="68"/>
      <c r="H996" s="68"/>
      <c r="I996" s="69"/>
      <c r="J996" s="68"/>
      <c r="K996" s="48"/>
      <c r="L996" s="62"/>
      <c r="M996" s="63"/>
      <c r="N996" s="65"/>
      <c r="O996" s="65"/>
      <c r="P996" s="64"/>
      <c r="Q996" s="64"/>
    </row>
    <row r="997" spans="1:17" ht="15.75">
      <c r="A997" s="70"/>
      <c r="B997" s="71"/>
      <c r="C997" s="70"/>
      <c r="D997" s="68"/>
      <c r="E997" s="68"/>
      <c r="F997" s="68"/>
      <c r="G997" s="68"/>
      <c r="H997" s="68"/>
      <c r="I997" s="69"/>
      <c r="J997" s="68"/>
      <c r="K997" s="48"/>
      <c r="L997" s="62"/>
      <c r="M997" s="63"/>
      <c r="N997" s="65"/>
      <c r="O997" s="65"/>
      <c r="P997" s="64"/>
      <c r="Q997" s="64"/>
    </row>
    <row r="998" spans="1:17" ht="15.75">
      <c r="A998" s="70"/>
      <c r="B998" s="71"/>
      <c r="C998" s="70"/>
      <c r="D998" s="68"/>
      <c r="E998" s="68"/>
      <c r="F998" s="68"/>
      <c r="G998" s="68"/>
      <c r="H998" s="68"/>
      <c r="I998" s="69"/>
      <c r="J998" s="68"/>
      <c r="K998" s="48"/>
      <c r="L998" s="62"/>
      <c r="M998" s="63"/>
      <c r="N998" s="65"/>
      <c r="O998" s="65"/>
      <c r="P998" s="64"/>
      <c r="Q998" s="64"/>
    </row>
    <row r="999" spans="1:17" ht="15.75">
      <c r="A999" s="70"/>
      <c r="B999" s="71"/>
      <c r="C999" s="70"/>
      <c r="D999" s="68"/>
      <c r="E999" s="68"/>
      <c r="F999" s="68"/>
      <c r="G999" s="68"/>
      <c r="H999" s="68"/>
      <c r="I999" s="69"/>
      <c r="J999" s="68"/>
      <c r="K999" s="48"/>
      <c r="L999" s="62"/>
      <c r="M999" s="63"/>
      <c r="N999" s="65"/>
      <c r="O999" s="65"/>
      <c r="P999" s="64"/>
      <c r="Q999" s="64"/>
    </row>
    <row r="1000" spans="1:17" ht="15.75">
      <c r="A1000" s="70"/>
      <c r="B1000" s="71"/>
      <c r="C1000" s="70"/>
      <c r="D1000" s="68"/>
      <c r="E1000" s="68"/>
      <c r="F1000" s="68"/>
      <c r="G1000" s="68"/>
      <c r="H1000" s="68"/>
      <c r="I1000" s="69"/>
      <c r="J1000" s="68"/>
      <c r="K1000" s="48"/>
      <c r="L1000" s="62"/>
      <c r="M1000" s="63"/>
      <c r="N1000" s="65"/>
      <c r="O1000" s="65"/>
      <c r="P1000" s="64"/>
      <c r="Q1000" s="64"/>
    </row>
    <row r="1001" spans="1:17" ht="15.75">
      <c r="A1001" s="70"/>
      <c r="B1001" s="71"/>
      <c r="C1001" s="70"/>
      <c r="D1001" s="68"/>
      <c r="E1001" s="68"/>
      <c r="F1001" s="68"/>
      <c r="G1001" s="68"/>
      <c r="H1001" s="68"/>
      <c r="I1001" s="69"/>
      <c r="J1001" s="68"/>
      <c r="K1001" s="48"/>
      <c r="L1001" s="62"/>
      <c r="M1001" s="63"/>
      <c r="N1001" s="65"/>
      <c r="O1001" s="65"/>
      <c r="P1001" s="64"/>
      <c r="Q1001" s="64"/>
    </row>
    <row r="1002" spans="1:17" ht="15.75">
      <c r="A1002" s="70"/>
      <c r="B1002" s="71"/>
      <c r="C1002" s="70"/>
      <c r="D1002" s="68"/>
      <c r="E1002" s="68"/>
      <c r="F1002" s="68"/>
      <c r="G1002" s="68"/>
      <c r="H1002" s="68"/>
      <c r="I1002" s="69"/>
      <c r="J1002" s="68"/>
      <c r="K1002" s="48"/>
      <c r="L1002" s="62"/>
      <c r="M1002" s="63"/>
      <c r="N1002" s="65"/>
      <c r="O1002" s="65"/>
      <c r="P1002" s="64"/>
      <c r="Q1002" s="64"/>
    </row>
    <row r="1003" spans="1:17" ht="15.75">
      <c r="A1003" s="70"/>
      <c r="B1003" s="71"/>
      <c r="C1003" s="70"/>
      <c r="D1003" s="68"/>
      <c r="E1003" s="68"/>
      <c r="F1003" s="68"/>
      <c r="G1003" s="68"/>
      <c r="H1003" s="68"/>
      <c r="I1003" s="69"/>
      <c r="J1003" s="68"/>
      <c r="K1003" s="48"/>
      <c r="L1003" s="62"/>
      <c r="M1003" s="63"/>
      <c r="N1003" s="65"/>
      <c r="O1003" s="65"/>
      <c r="P1003" s="64"/>
      <c r="Q1003" s="64"/>
    </row>
    <row r="1004" spans="1:17" ht="15.75">
      <c r="A1004" s="66"/>
      <c r="B1004" s="56"/>
      <c r="C1004" s="67"/>
      <c r="D1004" s="58"/>
      <c r="E1004" s="59"/>
      <c r="F1004" s="59"/>
      <c r="G1004" s="58"/>
      <c r="H1004" s="60"/>
      <c r="I1004" s="72"/>
      <c r="J1004" s="59"/>
      <c r="K1004" s="48"/>
      <c r="L1004" s="62"/>
      <c r="M1004" s="63"/>
      <c r="N1004" s="65"/>
      <c r="O1004" s="65"/>
      <c r="P1004" s="64"/>
      <c r="Q1004" s="64"/>
    </row>
  </sheetData>
  <mergeCells count="5">
    <mergeCell ref="A1:D1"/>
    <mergeCell ref="E1:G2"/>
    <mergeCell ref="H2:Q2"/>
    <mergeCell ref="A2:D2"/>
    <mergeCell ref="H1:Q1"/>
  </mergeCells>
  <conditionalFormatting sqref="A4:A1004">
    <cfRule type="expression" dxfId="119" priority="65">
      <formula>AND(AND($A4&lt;&gt;"",LEN($A4)=8,ISNUMBER(--$A4)),NOT(OR(LEFT($B4,4)="EOD-",LEFT($B4,3)="EO-",LEFT($B4,3)="ER-",LEFT($B4,5)="FRSEO",AND(LEFT($B4,1)="S",ISNUMBER(--MID($B4,2,2)),MID($B4,4,2)="-R"),ISNUMBER(SEARCH("/AD-",$B4)))),NOT(LEFT($B4,8)="REPLACE "),NOT(OR(LEFT($B4,3)="6Y_",LEFT($B4,4)="A_N ",LEFT($B4,4)="C_N ",LEFT($B4,4)="DCC-",LEFT($B4,4)="CCC-",LEFT($B4,4)="ISC-",LEFT($B4,7)="WEEKLY-")))</formula>
    </cfRule>
    <cfRule type="expression" dxfId="118" priority="64" stopIfTrue="1">
      <formula>AND(AND($A4&lt;&gt;"",LEN($A4)=8,ISNUMBER(--$A4)),OR(LEFT($B4,4)="EOD-",LEFT($B4,3)="EO-",LEFT($B4,3)="ER-",LEFT($B4,5)="FRSEO",AND(LEFT($B4,1)="S",ISNUMBER(--MID($B4,2,2)),MID($B4,4,2)="-R"),ISNUMBER(SEARCH("/AD-",$B4))))</formula>
    </cfRule>
    <cfRule type="expression" dxfId="117" priority="62" stopIfTrue="1">
      <formula>AND($A4&lt;&gt;"",COUNTIF($A$4:$A$1004,$A4)&gt;1)</formula>
    </cfRule>
    <cfRule type="expression" dxfId="116" priority="66">
      <formula>LEFT($A4,4)="STJC"</formula>
    </cfRule>
    <cfRule type="expression" dxfId="115" priority="63" stopIfTrue="1">
      <formula>AND(AND($A4&lt;&gt;"",LEN($A4)=8,ISNUMBER(--$A4)),LEFT($B4,8)="REPLACE ")</formula>
    </cfRule>
  </conditionalFormatting>
  <conditionalFormatting sqref="A377:A1004">
    <cfRule type="expression" dxfId="114" priority="49">
      <formula>$F377="AOG"</formula>
    </cfRule>
    <cfRule type="expression" dxfId="113" priority="158">
      <formula>$F377="Critical"</formula>
    </cfRule>
  </conditionalFormatting>
  <conditionalFormatting sqref="A4:B376">
    <cfRule type="expression" dxfId="112" priority="8">
      <formula>$F4="AOG"</formula>
    </cfRule>
    <cfRule type="expression" dxfId="111" priority="43">
      <formula>$F4="Critical"</formula>
    </cfRule>
  </conditionalFormatting>
  <conditionalFormatting sqref="A4:L1004">
    <cfRule type="expression" dxfId="110" priority="61">
      <formula>AND($L4&lt;&gt;"",ISNUMBER($L4),$L4=TODAY())</formula>
    </cfRule>
  </conditionalFormatting>
  <conditionalFormatting sqref="B377:B1004">
    <cfRule type="expression" dxfId="109" priority="53">
      <formula>$F377="AOG"</formula>
    </cfRule>
    <cfRule type="expression" dxfId="108" priority="159">
      <formula>$F377="Critical"</formula>
    </cfRule>
  </conditionalFormatting>
  <conditionalFormatting sqref="C4:C193">
    <cfRule type="expression" dxfId="107" priority="3">
      <formula>$F4="AOG"</formula>
    </cfRule>
    <cfRule type="expression" dxfId="106" priority="4">
      <formula>$F4="Critical"</formula>
    </cfRule>
  </conditionalFormatting>
  <conditionalFormatting sqref="C4:C1004">
    <cfRule type="expression" dxfId="105" priority="1">
      <formula>$F4="Critical"</formula>
    </cfRule>
  </conditionalFormatting>
  <conditionalFormatting sqref="D4:D1004">
    <cfRule type="cellIs" dxfId="104" priority="9" operator="equal">
      <formula>"GENERAL CABIN"</formula>
    </cfRule>
    <cfRule type="cellIs" dxfId="103" priority="10" operator="equal">
      <formula>"GALLEY"</formula>
    </cfRule>
    <cfRule type="cellIs" dxfId="102" priority="11" operator="equal">
      <formula>"LAVATORY"</formula>
    </cfRule>
    <cfRule type="cellIs" dxfId="101" priority="13" operator="equal">
      <formula>"F/A SEAT"</formula>
    </cfRule>
    <cfRule type="cellIs" dxfId="100" priority="14" operator="equal">
      <formula>"PAX SEAT"</formula>
    </cfRule>
    <cfRule type="cellIs" dxfId="99" priority="15" operator="equal">
      <formula>"FLIGHT DECK"</formula>
    </cfRule>
    <cfRule type="cellIs" dxfId="98" priority="16" operator="equal">
      <formula>"OFAR/OFCR"</formula>
    </cfRule>
    <cfRule type="cellIs" dxfId="97" priority="17" operator="equal">
      <formula>"TEDLAR/SIDEWALL"</formula>
    </cfRule>
    <cfRule type="cellIs" dxfId="96" priority="18" operator="equal">
      <formula>"PAINT"</formula>
    </cfRule>
    <cfRule type="cellIs" dxfId="95" priority="19" operator="equal">
      <formula>"ACFT GENERAL T/C"</formula>
    </cfRule>
    <cfRule type="cellIs" dxfId="94" priority="12" operator="equal">
      <formula>"PAX DOORS"</formula>
    </cfRule>
    <cfRule type="cellIs" dxfId="93" priority="56" operator="equal">
      <formula>"ACCESS"</formula>
    </cfRule>
  </conditionalFormatting>
  <conditionalFormatting sqref="E4:E1004">
    <cfRule type="cellIs" dxfId="92" priority="103" operator="equal">
      <formula>"N/A"</formula>
    </cfRule>
    <cfRule type="cellIs" dxfId="91" priority="99" operator="equal">
      <formula>"Open"</formula>
    </cfRule>
    <cfRule type="cellIs" dxfId="90" priority="100" operator="equal">
      <formula>"I/W"</formula>
    </cfRule>
    <cfRule type="expression" dxfId="89" priority="161">
      <formula>$F4="Critical"</formula>
    </cfRule>
    <cfRule type="cellIs" dxfId="88" priority="161" operator="equal">
      <formula>"Deferred"</formula>
    </cfRule>
    <cfRule type="cellIs" dxfId="87" priority="161" operator="equal">
      <formula>"Closed"</formula>
    </cfRule>
    <cfRule type="cellIs" dxfId="86" priority="161" operator="equal">
      <formula>"On Hold"</formula>
    </cfRule>
    <cfRule type="expression" dxfId="85" priority="161">
      <formula>$F4="AOG"</formula>
    </cfRule>
    <cfRule type="cellIs" dxfId="84" priority="160" operator="equal">
      <formula>"HPC"</formula>
    </cfRule>
  </conditionalFormatting>
  <conditionalFormatting sqref="F4:F1004">
    <cfRule type="cellIs" dxfId="83" priority="105" operator="equal">
      <formula>"Critical"</formula>
    </cfRule>
    <cfRule type="cellIs" dxfId="82" priority="59" operator="equal">
      <formula>"Normal"</formula>
    </cfRule>
    <cfRule type="cellIs" dxfId="81" priority="104" operator="equal">
      <formula>"AOG"</formula>
    </cfRule>
  </conditionalFormatting>
  <conditionalFormatting sqref="G4:G1004">
    <cfRule type="cellIs" dxfId="80" priority="40" operator="equal">
      <formula>"PAINT"</formula>
    </cfRule>
    <cfRule type="cellIs" dxfId="79" priority="39" operator="equal">
      <formula>"S/M"</formula>
    </cfRule>
    <cfRule type="cellIs" dxfId="78" priority="37" operator="equal">
      <formula>"AV"</formula>
    </cfRule>
    <cfRule type="cellIs" dxfId="77" priority="42" operator="equal">
      <formula>"INSP"</formula>
    </cfRule>
    <cfRule type="cellIs" dxfId="76" priority="41" operator="equal">
      <formula>"JOINT"</formula>
    </cfRule>
    <cfRule type="cellIs" dxfId="75" priority="38" operator="equal">
      <formula>"WALL"</formula>
    </cfRule>
    <cfRule type="cellIs" dxfId="74" priority="36" operator="equal">
      <formula>"SEAT"</formula>
    </cfRule>
    <cfRule type="cellIs" dxfId="73" priority="162" operator="equal">
      <formula>"AP"</formula>
    </cfRule>
    <cfRule type="cellIs" dxfId="72" priority="35" operator="equal">
      <formula>"CAB"</formula>
    </cfRule>
  </conditionalFormatting>
  <conditionalFormatting sqref="H4:H1004">
    <cfRule type="cellIs" dxfId="71" priority="32" operator="equal">
      <formula>"Requested - CR"</formula>
    </cfRule>
    <cfRule type="cellIs" dxfId="70" priority="33" operator="equal">
      <formula>"Pending EVAL"</formula>
    </cfRule>
    <cfRule type="cellIs" dxfId="69" priority="34" operator="equal">
      <formula>"N/A"</formula>
    </cfRule>
    <cfRule type="cellIs" dxfId="68" priority="29" operator="equal">
      <formula>"N/R"</formula>
    </cfRule>
    <cfRule type="cellIs" dxfId="67" priority="30" operator="equal">
      <formula>"Requested"</formula>
    </cfRule>
    <cfRule type="cellIs" dxfId="66" priority="31" operator="equal">
      <formula>"Requested - R"</formula>
    </cfRule>
  </conditionalFormatting>
  <conditionalFormatting sqref="I4:I1004">
    <cfRule type="expression" dxfId="65" priority="130">
      <formula>OR(TRIM(I4)="C/W",TRIM(I4)="CW")</formula>
    </cfRule>
  </conditionalFormatting>
  <conditionalFormatting sqref="J4:J1004">
    <cfRule type="cellIs" dxfId="64" priority="157" operator="equal">
      <formula>"N/A"</formula>
    </cfRule>
    <cfRule type="cellIs" dxfId="63" priority="155" operator="equal">
      <formula>"Yes"</formula>
    </cfRule>
    <cfRule type="cellIs" dxfId="62" priority="156" operator="equal">
      <formula>"No"</formula>
    </cfRule>
  </conditionalFormatting>
  <conditionalFormatting sqref="K4:K1004">
    <cfRule type="cellIs" dxfId="61" priority="55" operator="equal">
      <formula>"MID"</formula>
    </cfRule>
    <cfRule type="cellIs" dxfId="60" priority="127" operator="equal">
      <formula>"AFT"</formula>
    </cfRule>
    <cfRule type="cellIs" dxfId="59" priority="128" operator="equal">
      <formula>"JOINT"</formula>
    </cfRule>
    <cfRule type="cellIs" dxfId="58" priority="126" operator="equal">
      <formula>"FWD"</formula>
    </cfRule>
  </conditionalFormatting>
  <conditionalFormatting sqref="L4:L1004">
    <cfRule type="expression" dxfId="57" priority="60">
      <formula>AND($L4&lt;&gt;"",$L4=TODAY())</formula>
    </cfRule>
  </conditionalFormatting>
  <conditionalFormatting sqref="M4:M1004">
    <cfRule type="expression" dxfId="56" priority="163">
      <formula>AND($E4="Closed",$M4="")</formula>
    </cfRule>
    <cfRule type="expression" dxfId="55" priority="163">
      <formula>AND($M4&lt;&gt;"",$E4&lt;&gt;"Closed")</formula>
    </cfRule>
  </conditionalFormatting>
  <conditionalFormatting sqref="A4:M1004">
    <cfRule type="expression" dxfId="54" priority="164">
      <formula>AND($A4&lt;&gt;"",MOD(ROW(),2)=0)</formula>
    </cfRule>
  </conditionalFormatting>
  <dataValidations count="7">
    <dataValidation type="list" allowBlank="1" sqref="F4:F1004" xr:uid="{00000000-0002-0000-0000-000000000000}">
      <formula1>"AOG,Critical,Normal"</formula1>
    </dataValidation>
    <dataValidation type="list" allowBlank="1" sqref="D4:D1004" xr:uid="{00000000-0002-0000-0000-000001000000}">
      <formula1>"ACCESS,GENERAL CABIN,GALLEY,LAVATORY,PAX DOORS,F/A SEAT,PAX SEAT,FLIGHT DECK,TEDLAR/SIDEWALL,ACFT GENERAL T/C"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"CAB,SEAT,AV,WALL,S/M,PAINT,JOINT,INSP,AP"</formula1>
    </dataValidation>
    <dataValidation type="list" allowBlank="1" sqref="K4:K1005" xr:uid="{00000000-0002-0000-0000-000004000000}">
      <formula1>"FWD,MID,AFT,JOINT"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"Open,I/W,HPC,Closed,Deferred,On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937"/>
  </sheetPr>
  <dimension ref="A1:M76"/>
  <sheetViews>
    <sheetView showGridLines="0" workbookViewId="0">
      <selection activeCell="M29" sqref="M29"/>
    </sheetView>
  </sheetViews>
  <sheetFormatPr defaultRowHeight="15"/>
  <cols>
    <col min="1" max="1" width="26" customWidth="1"/>
    <col min="2" max="3" width="9" customWidth="1"/>
    <col min="4" max="4" width="8" customWidth="1"/>
    <col min="5" max="6" width="11" customWidth="1"/>
    <col min="7" max="7" width="30" customWidth="1"/>
    <col min="8" max="8" width="3" customWidth="1"/>
    <col min="12" max="12" width="14" customWidth="1"/>
    <col min="13" max="13" width="13" customWidth="1"/>
  </cols>
  <sheetData>
    <row r="1" spans="1:13" ht="26.1" customHeight="1">
      <c r="A1" s="182" t="s">
        <v>723</v>
      </c>
      <c r="B1" s="253"/>
      <c r="C1" s="253"/>
      <c r="D1" s="253"/>
      <c r="E1" s="253"/>
      <c r="F1" s="188" t="str">
        <f ca="1">"DAY "&amp;MAX(MIN(TODAY()-DASHBOARD!$M$1+1,DASHBOARD!$M$2-DASHBOARD!$M$1+1),0)&amp;"/"&amp;(DASHBOARD!$M$2-DASHBOARD!$M$1+1)</f>
        <v>DAY 2/38</v>
      </c>
      <c r="G1" s="253"/>
      <c r="H1" s="48"/>
      <c r="I1" s="48"/>
      <c r="J1" s="48"/>
      <c r="K1" s="48"/>
      <c r="L1" s="73" t="s">
        <v>724</v>
      </c>
      <c r="M1" s="52">
        <v>46221</v>
      </c>
    </row>
    <row r="2" spans="1:13" ht="21.95" customHeight="1">
      <c r="A2" s="191" t="str">
        <f ca="1">IF(AND(DASHBOARD!$M$1="",DASHBOARD!$M$2=""),"⚙️  Set CHECK START (M1) and CHECK END (M2) dates → schedule alert activates automatically",IF(OR(NOT(ISNUMBER(DASHBOARD!$M$1)),NOT(ISNUMBER(DASHBOARD!$M$2))),"⚠️ Date not recognized — clear M1/M2 and re-type as  2026-07-01  (year-month-day)",IF(DASHBOARD!$M$2&lt;=DASHBOARD!$M$1,"⚠️ CHECK END must be after CHECK START — please review M1/M2",IF(AND(TODAY()&gt;DASHBOARD!$M$2,(COUNTIFS('HZ-ASD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"&amp;(TODAY()-DASHBOARD!$M$2)&amp;" days",IF((COUNTIFS('HZ-ASD Tracker'!$A$4:$A$1004,"&lt;&gt;",'HZ-ASD Tracker'!$E$4:$E$1004,"Closed")/COUNTIF('HZ-ASD Tracker'!$A$4:$A$1004,"&lt;&gt;"))&gt;=((TODAY()-DASHBOARD!$M$1)/(DASHBOARD!$M$2-DASHBOARD!$M$1))-0.05,"✅ ON TRACK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Tracker'!$E$4:$E$1004,"Closed")/MAX(TODAY()-DASHBOARD!$M$1,1),"0.0")&amp;"/day",IF((COUNTIFS('HZ-ASD Tracker'!$A$4:$A$1004,"&lt;&gt;",'HZ-ASD Tracker'!$E$4:$E$1004,"Closed")/COUNTIF('HZ-ASD Tracker'!$A$4:$A$1004,"&lt;&gt;"))&gt;=((TODAY()-DASHBOARD!$M$1)/(DASHBOARD!$M$2-DASHBOARD!$M$1))-0.15,"⚠️ WARNING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Tracker'!$E$4:$E$1004,"Closed")/MAX(TODAY()-DASHBOARD!$M$1,1),"0.0")&amp;"/day","🔴 CRITICAL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Tracker'!$E$4:$E$1004,"Closed")/MAX(TODAY()-DASHBOARD!$M$1,1),"0.0")&amp;"/day"))))))</f>
        <v>✅ ON TRACK — Completed 0% vs Time 3%  ·  Days Left: 36  ·  Pace needed: 5.3/day vs avg 0.0/day</v>
      </c>
      <c r="B2" s="253"/>
      <c r="C2" s="253"/>
      <c r="D2" s="253"/>
      <c r="E2" s="253"/>
      <c r="F2" s="253"/>
      <c r="G2" s="253"/>
      <c r="H2" s="48"/>
      <c r="I2" s="48"/>
      <c r="J2" s="48"/>
      <c r="K2" s="48"/>
      <c r="L2" s="73" t="s">
        <v>725</v>
      </c>
      <c r="M2" s="52">
        <v>46258</v>
      </c>
    </row>
    <row r="3" spans="1:13" ht="6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ht="14.1" customHeight="1">
      <c r="A4" s="74" t="s">
        <v>726</v>
      </c>
      <c r="B4" s="75" t="s">
        <v>727</v>
      </c>
      <c r="C4" s="76" t="s">
        <v>728</v>
      </c>
      <c r="D4" s="77" t="s">
        <v>729</v>
      </c>
      <c r="E4" s="78" t="s">
        <v>730</v>
      </c>
      <c r="F4" s="79" t="s">
        <v>731</v>
      </c>
      <c r="G4" s="80" t="s">
        <v>732</v>
      </c>
      <c r="H4" s="48"/>
      <c r="I4" s="48"/>
      <c r="J4" s="48"/>
      <c r="K4" s="48"/>
      <c r="L4" s="48"/>
      <c r="M4" s="48"/>
    </row>
    <row r="5" spans="1:13" ht="32.1" customHeight="1">
      <c r="A5" s="81">
        <f>COUNTIF('HZ-ASD Tracker'!$A$4:$A$1004,"&lt;&gt;")</f>
        <v>192</v>
      </c>
      <c r="B5" s="82">
        <f>COUNTIFS('HZ-ASD Tracker'!$A$4:$A$1004,"&lt;&gt;",'HZ-ASD Tracker'!$E$4:$E$1004,"Closed")</f>
        <v>0</v>
      </c>
      <c r="C5" s="83">
        <f>COUNTIFS('HZ-ASD Tracker'!$A$4:$A$1004,"&lt;&gt;",'HZ-ASD Tracker'!$E$4:$E$1004,"Open")</f>
        <v>192</v>
      </c>
      <c r="D5" s="84">
        <f>COUNTIFS('HZ-ASD Tracker'!$A$4:$A$1004,"&lt;&gt;",'HZ-ASD Tracker'!$E$4:$E$1004,"HPC")</f>
        <v>0</v>
      </c>
      <c r="E5" s="85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1</v>
      </c>
      <c r="F5" s="86">
        <f>IFERROR(SUMIFS('HZ-ASD Tracker'!$N$4:$N$1004,'HZ-ASD Tracker'!$E$4:$E$1004,"Closed")/SUM('HZ-ASD Tracker'!$N$4:$N$1004),0)</f>
        <v>0</v>
      </c>
      <c r="G5" s="87">
        <f>IFERROR(COUNTIFS('HZ-ASD Tracker'!$A$4:$A$1004,"&lt;&gt;",'HZ-ASD Tracker'!$E$4:$E$1004,"Closed")/COUNTIF('HZ-ASD Tracker'!$A$4:$A$1004,"&lt;&gt;"),0)</f>
        <v>0</v>
      </c>
      <c r="H5" s="48"/>
      <c r="I5" s="48"/>
      <c r="J5" s="48"/>
      <c r="K5" s="48"/>
      <c r="L5" s="48"/>
      <c r="M5" s="48"/>
    </row>
    <row r="6" spans="1:13" ht="6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ht="18" customHeight="1">
      <c r="A7" s="184" t="s">
        <v>733</v>
      </c>
      <c r="B7" s="253"/>
      <c r="C7" s="253"/>
      <c r="D7" s="253"/>
      <c r="E7" s="253"/>
      <c r="F7" s="253"/>
      <c r="G7" s="253"/>
      <c r="H7" s="48"/>
      <c r="I7" s="48"/>
      <c r="J7" s="48"/>
      <c r="K7" s="48"/>
      <c r="L7" s="48"/>
      <c r="M7" s="48"/>
    </row>
    <row r="8" spans="1:13" ht="24" customHeight="1">
      <c r="A8" s="179" t="str">
        <f ca="1">"🛬 O.O.S  "&amp;TEXT(DASHBOARD!$M$1-1,"DD-MMM")&amp;"      🛫 B.I.S  "&amp;TEXT(DASHBOARD!$M$2,"DD-MMM")&amp;"      GROUND TIME "&amp;(DASHBOARD!$M$2-DASHBOARD!$M$1+1)&amp;" days"&amp;"      ·      DAY "&amp;MAX(MIN(TODAY()-DASHBOARD!$M$1+1,DASHBOARD!$M$2-DASHBOARD!$M$1+1),0)&amp;"/"&amp;(DASHBOARD!$M$2-DASHBOARD!$M$1+1)</f>
        <v>🛬 O.O.S  17-Jul      🛫 B.I.S  24-Aug      GROUND TIME 38 days      ·      DAY 2/38</v>
      </c>
      <c r="B8" s="253"/>
      <c r="C8" s="253"/>
      <c r="D8" s="253"/>
      <c r="E8" s="253"/>
      <c r="F8" s="253"/>
      <c r="G8" s="253"/>
      <c r="H8" s="48"/>
      <c r="I8" s="48"/>
      <c r="J8" s="48"/>
      <c r="K8" s="48"/>
      <c r="L8" s="48"/>
      <c r="M8" s="48"/>
    </row>
    <row r="9" spans="1:13" ht="18" customHeight="1">
      <c r="A9" s="187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Now: PHASE 1 — Pre Hangar</v>
      </c>
      <c r="B9" s="253"/>
      <c r="C9" s="253"/>
      <c r="D9" s="253"/>
      <c r="E9" s="253"/>
      <c r="F9" s="253"/>
      <c r="G9" s="253"/>
      <c r="H9" s="48"/>
      <c r="I9" s="48"/>
      <c r="J9" s="48"/>
      <c r="K9" s="48"/>
      <c r="L9" s="48"/>
      <c r="M9" s="48"/>
    </row>
    <row r="10" spans="1:13" ht="18" customHeight="1">
      <c r="A10" s="185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B10" s="253"/>
      <c r="C10" s="253"/>
      <c r="D10" s="253"/>
      <c r="E10" s="253"/>
      <c r="F10" s="253"/>
      <c r="G10" s="253"/>
      <c r="H10" s="48"/>
      <c r="I10" s="48"/>
      <c r="J10" s="48"/>
      <c r="K10" s="48"/>
      <c r="L10" s="48"/>
      <c r="M10" s="48"/>
    </row>
    <row r="11" spans="1:13" ht="18" customHeight="1">
      <c r="A11" s="196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B11" s="253"/>
      <c r="C11" s="253"/>
      <c r="D11" s="253"/>
      <c r="E11" s="253"/>
      <c r="F11" s="253"/>
      <c r="G11" s="253"/>
      <c r="H11" s="48"/>
      <c r="I11" s="48"/>
      <c r="J11" s="48"/>
      <c r="K11" s="48"/>
      <c r="L11" s="48"/>
      <c r="M11" s="48"/>
    </row>
    <row r="12" spans="1:13" ht="18" customHeight="1">
      <c r="A12" s="190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B12" s="253"/>
      <c r="C12" s="253"/>
      <c r="D12" s="253"/>
      <c r="E12" s="253"/>
      <c r="F12" s="253"/>
      <c r="G12" s="253"/>
      <c r="H12" s="48"/>
      <c r="I12" s="48"/>
      <c r="J12" s="48"/>
      <c r="K12" s="48"/>
      <c r="L12" s="48"/>
      <c r="M12" s="48"/>
    </row>
    <row r="13" spans="1:13" ht="18" customHeight="1">
      <c r="A13" s="184" t="s">
        <v>734</v>
      </c>
      <c r="B13" s="253"/>
      <c r="C13" s="253"/>
      <c r="D13" s="253"/>
      <c r="E13" s="253"/>
      <c r="F13" s="253"/>
      <c r="G13" s="253"/>
      <c r="H13" s="48"/>
      <c r="I13" s="48"/>
      <c r="J13" s="48"/>
      <c r="K13" s="48"/>
      <c r="L13" s="48"/>
      <c r="M13" s="48"/>
    </row>
    <row r="14" spans="1:13" ht="12" customHeight="1">
      <c r="A14" s="88"/>
      <c r="B14" s="88" t="s">
        <v>735</v>
      </c>
      <c r="C14" s="88" t="s">
        <v>736</v>
      </c>
      <c r="D14" s="88" t="s">
        <v>737</v>
      </c>
      <c r="E14" s="88" t="s">
        <v>738</v>
      </c>
      <c r="F14" s="88" t="s">
        <v>739</v>
      </c>
      <c r="G14" s="48"/>
      <c r="H14" s="48"/>
      <c r="I14" s="48"/>
      <c r="J14" s="48"/>
      <c r="K14" s="48"/>
      <c r="L14" s="48"/>
      <c r="M14" s="48"/>
    </row>
    <row r="15" spans="1:13" ht="16.5" customHeight="1">
      <c r="A15" s="24" t="s">
        <v>740</v>
      </c>
      <c r="B15" s="25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5" s="25">
        <f>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164</v>
      </c>
      <c r="D15" s="26">
        <f>IFERROR(B15/C15,0)</f>
        <v>0</v>
      </c>
      <c r="E15" s="26">
        <f ca="1">MIN(MAX((TODAY()-DASHBOARD!$M$1)/(DASHBOARD!$M$2-DASHBOARD!$M$1),0),1)</f>
        <v>2.7027027027027029E-2</v>
      </c>
      <c r="F15" s="45">
        <f>C15-B15</f>
        <v>164</v>
      </c>
      <c r="G15" s="22" t="str">
        <f>IF(D15=0,"",D15)</f>
        <v/>
      </c>
      <c r="H15" s="48"/>
      <c r="I15" s="48"/>
      <c r="J15" s="48"/>
      <c r="K15" s="48"/>
      <c r="L15" s="48"/>
      <c r="M15" s="48"/>
    </row>
    <row r="16" spans="1:13" ht="16.5" customHeight="1">
      <c r="A16" s="27" t="s">
        <v>741</v>
      </c>
      <c r="B16" s="25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</f>
        <v>0</v>
      </c>
      <c r="C16" s="25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26</v>
      </c>
      <c r="D16" s="26">
        <f>IFERROR(B16/C16,0)</f>
        <v>0</v>
      </c>
      <c r="E16" s="26" t="str">
        <f ca="1">IF(AND(ISNUMBER(LAYOVER!$B$22),ISNUMBER(LAYOVER!$C$22)),MIN(MAX((TODAY()-LAYOVER!$B$22)/(LAYOVER!$C$22-LAYOVER!$B$22),0),1),"")</f>
        <v/>
      </c>
      <c r="F16" s="45">
        <f>C16-B16</f>
        <v>26</v>
      </c>
      <c r="G16" s="22" t="str">
        <f>IF(D16=0,"",D16)</f>
        <v/>
      </c>
      <c r="H16" s="48"/>
      <c r="I16" s="48"/>
      <c r="J16" s="48"/>
      <c r="K16" s="48"/>
      <c r="L16" s="48"/>
      <c r="M16" s="48"/>
    </row>
    <row r="17" spans="1:7" ht="16.5" customHeight="1">
      <c r="A17" s="28" t="s">
        <v>742</v>
      </c>
      <c r="B17" s="25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7" s="25">
        <f>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2</v>
      </c>
      <c r="D17" s="26">
        <f>IFERROR(B17/C17,0)</f>
        <v>0</v>
      </c>
      <c r="E17" s="26" t="str">
        <f ca="1">IF(AND(ISNUMBER(LAYOVER!$B$21),ISNUMBER(LAYOVER!$C$21)),MIN(MAX((TODAY()-LAYOVER!$B$21)/(LAYOVER!$C$21-LAYOVER!$B$21),0),1),"")</f>
        <v/>
      </c>
      <c r="F17" s="45">
        <f>C17-B17</f>
        <v>2</v>
      </c>
      <c r="G17" s="22" t="str">
        <f>IF(D17=0,"",D17)</f>
        <v/>
      </c>
    </row>
    <row r="18" spans="1:7" ht="6" customHeight="1">
      <c r="A18" s="48"/>
      <c r="B18" s="48"/>
      <c r="C18" s="48"/>
      <c r="D18" s="48"/>
      <c r="E18" s="48"/>
      <c r="F18" s="48"/>
      <c r="G18" s="48"/>
    </row>
    <row r="19" spans="1:7" ht="18" customHeight="1">
      <c r="A19" s="184" t="s">
        <v>743</v>
      </c>
      <c r="B19" s="253"/>
      <c r="C19" s="253"/>
      <c r="D19" s="253"/>
      <c r="E19" s="253"/>
      <c r="F19" s="253"/>
      <c r="G19" s="253"/>
    </row>
    <row r="20" spans="1:7" ht="12" customHeight="1">
      <c r="A20" s="88"/>
      <c r="B20" s="88" t="s">
        <v>735</v>
      </c>
      <c r="C20" s="88" t="s">
        <v>736</v>
      </c>
      <c r="D20" s="88" t="s">
        <v>737</v>
      </c>
      <c r="E20" s="88" t="s">
        <v>744</v>
      </c>
      <c r="F20" s="88" t="s">
        <v>739</v>
      </c>
      <c r="G20" s="48"/>
    </row>
    <row r="21" spans="1:7" ht="16.5" customHeight="1">
      <c r="A21" s="29" t="s">
        <v>31</v>
      </c>
      <c r="B21" s="25">
        <f>COUNTIFS('HZ-ASD Tracker'!$A$4:$A$1004,"&lt;&gt;",'HZ-ASD Tracker'!$D$4:$D$1004,"GENERAL CABIN",'HZ-ASD Tracker'!$E$4:$E$1004,"Closed")</f>
        <v>0</v>
      </c>
      <c r="C21" s="25">
        <f>COUNTIFS('HZ-ASD Tracker'!$A$4:$A$1004,"&lt;&gt;",'HZ-ASD Tracker'!$D$4:$D$1004,"GENERAL CABIN")</f>
        <v>25</v>
      </c>
      <c r="D21" s="26">
        <f t="shared" ref="D21:D30" si="0">IFERROR(B21/C21,0)</f>
        <v>0</v>
      </c>
      <c r="E21" s="26">
        <f>IFERROR(C21/COUNTIF('HZ-ASD Tracker'!$A$4:$A$1004,"&lt;&gt;"),0)</f>
        <v>0.13020833333333334</v>
      </c>
      <c r="F21" s="45">
        <f t="shared" ref="F21:F30" si="1">C21-B21</f>
        <v>25</v>
      </c>
      <c r="G21" s="22" t="str">
        <f t="shared" ref="G21:G30" si="2">IF(D21=0,"",D21)</f>
        <v/>
      </c>
    </row>
    <row r="22" spans="1:7" ht="16.5" customHeight="1">
      <c r="A22" s="30" t="s">
        <v>64</v>
      </c>
      <c r="B22" s="25">
        <f>COUNTIFS('HZ-ASD Tracker'!$A$4:$A$1004,"&lt;&gt;",'HZ-ASD Tracker'!$D$4:$D$1004,"GALLEY",'HZ-ASD Tracker'!$E$4:$E$1004,"Closed")</f>
        <v>0</v>
      </c>
      <c r="C22" s="25">
        <f>COUNTIFS('HZ-ASD Tracker'!$A$4:$A$1004,"&lt;&gt;",'HZ-ASD Tracker'!$D$4:$D$1004,"GALLEY")</f>
        <v>8</v>
      </c>
      <c r="D22" s="26">
        <f t="shared" si="0"/>
        <v>0</v>
      </c>
      <c r="E22" s="26">
        <f>IFERROR(C22/COUNTIF('HZ-ASD Tracker'!$A$4:$A$1004,"&lt;&gt;"),0)</f>
        <v>4.1666666666666664E-2</v>
      </c>
      <c r="F22" s="45">
        <f t="shared" si="1"/>
        <v>8</v>
      </c>
      <c r="G22" s="22" t="str">
        <f t="shared" si="2"/>
        <v/>
      </c>
    </row>
    <row r="23" spans="1:7" ht="16.5" customHeight="1">
      <c r="A23" s="31" t="s">
        <v>69</v>
      </c>
      <c r="B23" s="25">
        <f>COUNTIFS('HZ-ASD Tracker'!$A$4:$A$1004,"&lt;&gt;",'HZ-ASD Tracker'!$D$4:$D$1004,"LAVATORY",'HZ-ASD Tracker'!$E$4:$E$1004,"Closed")</f>
        <v>0</v>
      </c>
      <c r="C23" s="25">
        <f>COUNTIFS('HZ-ASD Tracker'!$A$4:$A$1004,"&lt;&gt;",'HZ-ASD Tracker'!$D$4:$D$1004,"LAVATORY")</f>
        <v>11</v>
      </c>
      <c r="D23" s="26">
        <f t="shared" si="0"/>
        <v>0</v>
      </c>
      <c r="E23" s="26">
        <f>IFERROR(C23/COUNTIF('HZ-ASD Tracker'!$A$4:$A$1004,"&lt;&gt;"),0)</f>
        <v>5.7291666666666664E-2</v>
      </c>
      <c r="F23" s="45">
        <f t="shared" si="1"/>
        <v>11</v>
      </c>
      <c r="G23" s="22" t="str">
        <f t="shared" si="2"/>
        <v/>
      </c>
    </row>
    <row r="24" spans="1:7" ht="16.5" customHeight="1">
      <c r="A24" s="32" t="s">
        <v>91</v>
      </c>
      <c r="B24" s="25">
        <f>COUNTIFS('HZ-ASD Tracker'!$A$4:$A$1004,"&lt;&gt;",'HZ-ASD Tracker'!$D$4:$D$1004,"PAX DOORS",'HZ-ASD Tracker'!$E$4:$E$1004,"Closed")</f>
        <v>0</v>
      </c>
      <c r="C24" s="25">
        <f>COUNTIFS('HZ-ASD Tracker'!$A$4:$A$1004,"&lt;&gt;",'HZ-ASD Tracker'!$D$4:$D$1004,"PAX DOORS")</f>
        <v>41</v>
      </c>
      <c r="D24" s="26">
        <f t="shared" si="0"/>
        <v>0</v>
      </c>
      <c r="E24" s="26">
        <f>IFERROR(C24/COUNTIF('HZ-ASD Tracker'!$A$4:$A$1004,"&lt;&gt;"),0)</f>
        <v>0.21354166666666666</v>
      </c>
      <c r="F24" s="45">
        <f t="shared" si="1"/>
        <v>41</v>
      </c>
      <c r="G24" s="22" t="str">
        <f t="shared" si="2"/>
        <v/>
      </c>
    </row>
    <row r="25" spans="1:7" ht="16.5" customHeight="1">
      <c r="A25" s="33" t="s">
        <v>57</v>
      </c>
      <c r="B25" s="25">
        <f>COUNTIFS('HZ-ASD Tracker'!$A$4:$A$1004,"&lt;&gt;",'HZ-ASD Tracker'!$D$4:$D$1004,"F/A SEAT",'HZ-ASD Tracker'!$E$4:$E$1004,"Closed")</f>
        <v>0</v>
      </c>
      <c r="C25" s="25">
        <f>COUNTIFS('HZ-ASD Tracker'!$A$4:$A$1004,"&lt;&gt;",'HZ-ASD Tracker'!$D$4:$D$1004,"F/A SEAT")</f>
        <v>6</v>
      </c>
      <c r="D25" s="26">
        <f t="shared" si="0"/>
        <v>0</v>
      </c>
      <c r="E25" s="26">
        <f>IFERROR(C25/COUNTIF('HZ-ASD Tracker'!$A$4:$A$1004,"&lt;&gt;"),0)</f>
        <v>3.125E-2</v>
      </c>
      <c r="F25" s="45">
        <f t="shared" si="1"/>
        <v>6</v>
      </c>
      <c r="G25" s="22" t="str">
        <f t="shared" si="2"/>
        <v/>
      </c>
    </row>
    <row r="26" spans="1:7" ht="16.5" customHeight="1">
      <c r="A26" s="34" t="s">
        <v>181</v>
      </c>
      <c r="B26" s="25">
        <f>COUNTIFS('HZ-ASD Tracker'!$A$4:$A$1004,"&lt;&gt;",'HZ-ASD Tracker'!$D$4:$D$1004,"PAX SEAT",'HZ-ASD Tracker'!$E$4:$E$1004,"Closed")</f>
        <v>0</v>
      </c>
      <c r="C26" s="25">
        <f>COUNTIFS('HZ-ASD Tracker'!$A$4:$A$1004,"&lt;&gt;",'HZ-ASD Tracker'!$D$4:$D$1004,"PAX SEAT")</f>
        <v>13</v>
      </c>
      <c r="D26" s="26">
        <f t="shared" si="0"/>
        <v>0</v>
      </c>
      <c r="E26" s="26">
        <f>IFERROR(C26/COUNTIF('HZ-ASD Tracker'!$A$4:$A$1004,"&lt;&gt;"),0)</f>
        <v>6.7708333333333329E-2</v>
      </c>
      <c r="F26" s="45">
        <f t="shared" si="1"/>
        <v>13</v>
      </c>
      <c r="G26" s="22" t="str">
        <f t="shared" si="2"/>
        <v/>
      </c>
    </row>
    <row r="27" spans="1:7" ht="16.5" customHeight="1">
      <c r="A27" s="35" t="s">
        <v>45</v>
      </c>
      <c r="B27" s="25">
        <f>COUNTIFS('HZ-ASD Tracker'!$A$4:$A$1004,"&lt;&gt;",'HZ-ASD Tracker'!$D$4:$D$1004,"FLIGHT DECK",'HZ-ASD Tracker'!$E$4:$E$1004,"Closed")</f>
        <v>0</v>
      </c>
      <c r="C27" s="25">
        <f>COUNTIFS('HZ-ASD Tracker'!$A$4:$A$1004,"&lt;&gt;",'HZ-ASD Tracker'!$D$4:$D$1004,"FLIGHT DECK")</f>
        <v>30</v>
      </c>
      <c r="D27" s="26">
        <f t="shared" si="0"/>
        <v>0</v>
      </c>
      <c r="E27" s="26">
        <f>IFERROR(C27/COUNTIF('HZ-ASD Tracker'!$A$4:$A$1004,"&lt;&gt;"),0)</f>
        <v>0.15625</v>
      </c>
      <c r="F27" s="45">
        <f t="shared" si="1"/>
        <v>30</v>
      </c>
      <c r="G27" s="22" t="str">
        <f t="shared" si="2"/>
        <v/>
      </c>
    </row>
    <row r="28" spans="1:7" ht="16.5" customHeight="1">
      <c r="A28" s="36" t="s">
        <v>683</v>
      </c>
      <c r="B28" s="25">
        <f>COUNTIFS('HZ-ASD Tracker'!$A$4:$A$1004,"&lt;&gt;",'HZ-ASD Tracker'!$D$4:$D$1004,"TEDLAR/SIDEWALL",'HZ-ASD Tracker'!$E$4:$E$1004,"Closed")</f>
        <v>0</v>
      </c>
      <c r="C28" s="25">
        <f>COUNTIFS('HZ-ASD Tracker'!$A$4:$A$1004,"&lt;&gt;",'HZ-ASD Tracker'!$D$4:$D$1004,"TEDLAR/SIDEWALL")</f>
        <v>1</v>
      </c>
      <c r="D28" s="26">
        <f t="shared" si="0"/>
        <v>0</v>
      </c>
      <c r="E28" s="26">
        <f>IFERROR(C28/COUNTIF('HZ-ASD Tracker'!$A$4:$A$1004,"&lt;&gt;"),0)</f>
        <v>5.208333333333333E-3</v>
      </c>
      <c r="F28" s="45">
        <f t="shared" si="1"/>
        <v>1</v>
      </c>
      <c r="G28" s="22" t="str">
        <f t="shared" si="2"/>
        <v/>
      </c>
    </row>
    <row r="29" spans="1:7" ht="16.5" customHeight="1">
      <c r="A29" s="37" t="s">
        <v>745</v>
      </c>
      <c r="B29" s="25">
        <f>COUNTIFS('HZ-ASD Tracker'!$A$4:$A$1004,"&lt;&gt;",'HZ-ASD Tracker'!$D$4:$D$1004,"ACCESS",'HZ-ASD Tracker'!$E$4:$E$1004,"Closed")</f>
        <v>0</v>
      </c>
      <c r="C29" s="25">
        <f>COUNTIFS('HZ-ASD Tracker'!$A$4:$A$1004,"&lt;&gt;",'HZ-ASD Tracker'!$D$4:$D$1004,"ACCESS")</f>
        <v>0</v>
      </c>
      <c r="D29" s="26">
        <f t="shared" si="0"/>
        <v>0</v>
      </c>
      <c r="E29" s="26">
        <f>IFERROR(C29/COUNTIF('HZ-ASD Tracker'!$A$4:$A$1004,"&lt;&gt;"),0)</f>
        <v>0</v>
      </c>
      <c r="F29" s="45">
        <f t="shared" si="1"/>
        <v>0</v>
      </c>
      <c r="G29" s="22" t="str">
        <f t="shared" si="2"/>
        <v/>
      </c>
    </row>
    <row r="30" spans="1:7" ht="16.5" customHeight="1">
      <c r="A30" s="38" t="s">
        <v>21</v>
      </c>
      <c r="B30" s="25">
        <f>COUNTIFS('HZ-ASD Tracker'!$A$4:$A$1004,"&lt;&gt;",'HZ-ASD Tracker'!$D$4:$D$1004,"ACFT GENERAL T/C",'HZ-ASD Tracker'!$E$4:$E$1004,"Closed")</f>
        <v>0</v>
      </c>
      <c r="C30" s="25">
        <f>COUNTIFS('HZ-ASD Tracker'!$A$4:$A$1004,"&lt;&gt;",'HZ-ASD Tracker'!$D$4:$D$1004,"ACFT GENERAL T/C")</f>
        <v>57</v>
      </c>
      <c r="D30" s="26">
        <f t="shared" si="0"/>
        <v>0</v>
      </c>
      <c r="E30" s="26">
        <f>IFERROR(C30/COUNTIF('HZ-ASD Tracker'!$A$4:$A$1004,"&lt;&gt;"),0)</f>
        <v>0.296875</v>
      </c>
      <c r="F30" s="45">
        <f t="shared" si="1"/>
        <v>57</v>
      </c>
      <c r="G30" s="22" t="str">
        <f t="shared" si="2"/>
        <v/>
      </c>
    </row>
    <row r="31" spans="1:7" ht="6" customHeight="1">
      <c r="A31" s="48"/>
      <c r="B31" s="48"/>
      <c r="C31" s="48"/>
      <c r="D31" s="48"/>
      <c r="E31" s="48"/>
      <c r="F31" s="48"/>
      <c r="G31" s="48"/>
    </row>
    <row r="32" spans="1:7" ht="18" customHeight="1">
      <c r="A32" s="184" t="s">
        <v>746</v>
      </c>
      <c r="B32" s="253"/>
      <c r="C32" s="253"/>
      <c r="D32" s="253"/>
      <c r="E32" s="253"/>
      <c r="F32" s="253"/>
      <c r="G32" s="253"/>
    </row>
    <row r="33" spans="1:7" ht="12" customHeight="1">
      <c r="A33" s="88"/>
      <c r="B33" s="88" t="s">
        <v>735</v>
      </c>
      <c r="C33" s="88" t="s">
        <v>736</v>
      </c>
      <c r="D33" s="88" t="s">
        <v>737</v>
      </c>
      <c r="E33" s="88" t="s">
        <v>744</v>
      </c>
      <c r="F33" s="88" t="s">
        <v>739</v>
      </c>
      <c r="G33" s="48"/>
    </row>
    <row r="34" spans="1:7" ht="16.5" customHeight="1">
      <c r="A34" s="39" t="s">
        <v>46</v>
      </c>
      <c r="B34" s="25">
        <f>COUNTIFS('HZ-ASD Tracker'!$A$4:$A$1004,"&lt;&gt;",'HZ-ASD Tracker'!$G$4:$G$1004,"CAB",'HZ-ASD Tracker'!$E$4:$E$1004,"Closed")</f>
        <v>0</v>
      </c>
      <c r="C34" s="25">
        <f>COUNTIFS('HZ-ASD Tracker'!$A$4:$A$1004,"&lt;&gt;",'HZ-ASD Tracker'!$G$4:$G$1004,"CAB")</f>
        <v>66</v>
      </c>
      <c r="D34" s="26">
        <f t="shared" ref="D34:D42" si="3">IFERROR(B34/C34,0)</f>
        <v>0</v>
      </c>
      <c r="E34" s="26">
        <f>IFERROR(C34/COUNTIF('HZ-ASD Tracker'!$A$4:$A$1004,"&lt;&gt;"),0)</f>
        <v>0.34375</v>
      </c>
      <c r="F34" s="45">
        <f t="shared" ref="F34:F42" si="4">C34-B34</f>
        <v>66</v>
      </c>
      <c r="G34" s="22" t="str">
        <f t="shared" ref="G34:G42" si="5">IF(D34=0,"",D34)</f>
        <v/>
      </c>
    </row>
    <row r="35" spans="1:7" ht="16.5" customHeight="1">
      <c r="A35" s="33" t="s">
        <v>182</v>
      </c>
      <c r="B35" s="25">
        <f>COUNTIFS('HZ-ASD Tracker'!$A$4:$A$1004,"&lt;&gt;",'HZ-ASD Tracker'!$G$4:$G$1004,"SEAT",'HZ-ASD Tracker'!$E$4:$E$1004,"Closed")</f>
        <v>0</v>
      </c>
      <c r="C35" s="25">
        <f>COUNTIFS('HZ-ASD Tracker'!$A$4:$A$1004,"&lt;&gt;",'HZ-ASD Tracker'!$G$4:$G$1004,"SEAT")</f>
        <v>10</v>
      </c>
      <c r="D35" s="26">
        <f t="shared" si="3"/>
        <v>0</v>
      </c>
      <c r="E35" s="26">
        <f>IFERROR(C35/COUNTIF('HZ-ASD Tracker'!$A$4:$A$1004,"&lt;&gt;"),0)</f>
        <v>5.2083333333333336E-2</v>
      </c>
      <c r="F35" s="45">
        <f t="shared" si="4"/>
        <v>10</v>
      </c>
      <c r="G35" s="22" t="str">
        <f t="shared" si="5"/>
        <v/>
      </c>
    </row>
    <row r="36" spans="1:7" ht="16.5" customHeight="1">
      <c r="A36" s="32" t="s">
        <v>204</v>
      </c>
      <c r="B36" s="25">
        <f>COUNTIFS('HZ-ASD Tracker'!$A$4:$A$1004,"&lt;&gt;",'HZ-ASD Tracker'!$G$4:$G$1004,"AV",'HZ-ASD Tracker'!$E$4:$E$1004,"Closed")</f>
        <v>0</v>
      </c>
      <c r="C36" s="25">
        <f>COUNTIFS('HZ-ASD Tracker'!$A$4:$A$1004,"&lt;&gt;",'HZ-ASD Tracker'!$G$4:$G$1004,"AV")</f>
        <v>26</v>
      </c>
      <c r="D36" s="26">
        <f t="shared" si="3"/>
        <v>0</v>
      </c>
      <c r="E36" s="26">
        <f>IFERROR(C36/COUNTIF('HZ-ASD Tracker'!$A$4:$A$1004,"&lt;&gt;"),0)</f>
        <v>0.13541666666666666</v>
      </c>
      <c r="F36" s="45">
        <f t="shared" si="4"/>
        <v>26</v>
      </c>
      <c r="G36" s="22" t="str">
        <f t="shared" si="5"/>
        <v/>
      </c>
    </row>
    <row r="37" spans="1:7" ht="16.5" customHeight="1">
      <c r="A37" s="36" t="s">
        <v>747</v>
      </c>
      <c r="B37" s="25">
        <f>COUNTIFS('HZ-ASD Tracker'!$A$4:$A$1004,"&lt;&gt;",'HZ-ASD Tracker'!$G$4:$G$1004,"WALL",'HZ-ASD Tracker'!$E$4:$E$1004,"Closed")</f>
        <v>0</v>
      </c>
      <c r="C37" s="25">
        <f>COUNTIFS('HZ-ASD Tracker'!$A$4:$A$1004,"&lt;&gt;",'HZ-ASD Tracker'!$G$4:$G$1004,"WALL")</f>
        <v>0</v>
      </c>
      <c r="D37" s="26">
        <f t="shared" si="3"/>
        <v>0</v>
      </c>
      <c r="E37" s="26">
        <f>IFERROR(C37/COUNTIF('HZ-ASD Tracker'!$A$4:$A$1004,"&lt;&gt;"),0)</f>
        <v>0</v>
      </c>
      <c r="F37" s="45">
        <f t="shared" si="4"/>
        <v>0</v>
      </c>
      <c r="G37" s="22" t="str">
        <f t="shared" si="5"/>
        <v/>
      </c>
    </row>
    <row r="38" spans="1:7" ht="16.5" customHeight="1">
      <c r="A38" s="30" t="s">
        <v>748</v>
      </c>
      <c r="B38" s="25">
        <f>COUNTIFS('HZ-ASD Tracker'!$A$4:$A$1004,"&lt;&gt;",'HZ-ASD Tracker'!$G$4:$G$1004,"S/M",'HZ-ASD Tracker'!$E$4:$E$1004,"Closed")</f>
        <v>0</v>
      </c>
      <c r="C38" s="25">
        <f>COUNTIFS('HZ-ASD Tracker'!$A$4:$A$1004,"&lt;&gt;",'HZ-ASD Tracker'!$G$4:$G$1004,"S/M")</f>
        <v>0</v>
      </c>
      <c r="D38" s="26">
        <f t="shared" si="3"/>
        <v>0</v>
      </c>
      <c r="E38" s="26">
        <f>IFERROR(C38/COUNTIF('HZ-ASD Tracker'!$A$4:$A$1004,"&lt;&gt;"),0)</f>
        <v>0</v>
      </c>
      <c r="F38" s="45">
        <f t="shared" si="4"/>
        <v>0</v>
      </c>
      <c r="G38" s="22" t="str">
        <f t="shared" si="5"/>
        <v/>
      </c>
    </row>
    <row r="39" spans="1:7" ht="16.5" customHeight="1">
      <c r="A39" s="40" t="s">
        <v>164</v>
      </c>
      <c r="B39" s="25">
        <f>COUNTIFS('HZ-ASD Tracker'!$A$4:$A$1004,"&lt;&gt;",'HZ-ASD Tracker'!$G$4:$G$1004,"PAINT",'HZ-ASD Tracker'!$E$4:$E$1004,"Closed")</f>
        <v>0</v>
      </c>
      <c r="C39" s="25">
        <f>COUNTIFS('HZ-ASD Tracker'!$A$4:$A$1004,"&lt;&gt;",'HZ-ASD Tracker'!$G$4:$G$1004,"PAINT")</f>
        <v>1</v>
      </c>
      <c r="D39" s="26">
        <f t="shared" si="3"/>
        <v>0</v>
      </c>
      <c r="E39" s="26">
        <f>IFERROR(C39/COUNTIF('HZ-ASD Tracker'!$A$4:$A$1004,"&lt;&gt;"),0)</f>
        <v>5.208333333333333E-3</v>
      </c>
      <c r="F39" s="45">
        <f t="shared" si="4"/>
        <v>1</v>
      </c>
      <c r="G39" s="22" t="str">
        <f t="shared" si="5"/>
        <v/>
      </c>
    </row>
    <row r="40" spans="1:7" ht="16.5" customHeight="1">
      <c r="A40" s="41" t="s">
        <v>26</v>
      </c>
      <c r="B40" s="25">
        <f>COUNTIFS('HZ-ASD Tracker'!$A$4:$A$1004,"&lt;&gt;",'HZ-ASD Tracker'!$G$4:$G$1004,"JOINT",'HZ-ASD Tracker'!$E$4:$E$1004,"Closed")</f>
        <v>0</v>
      </c>
      <c r="C40" s="25">
        <f>COUNTIFS('HZ-ASD Tracker'!$A$4:$A$1004,"&lt;&gt;",'HZ-ASD Tracker'!$G$4:$G$1004,"JOINT")</f>
        <v>31</v>
      </c>
      <c r="D40" s="26">
        <f t="shared" si="3"/>
        <v>0</v>
      </c>
      <c r="E40" s="26">
        <f>IFERROR(C40/COUNTIF('HZ-ASD Tracker'!$A$4:$A$1004,"&lt;&gt;"),0)</f>
        <v>0.16145833333333334</v>
      </c>
      <c r="F40" s="45">
        <f t="shared" si="4"/>
        <v>31</v>
      </c>
      <c r="G40" s="22" t="str">
        <f t="shared" si="5"/>
        <v/>
      </c>
    </row>
    <row r="41" spans="1:7" ht="16.5" customHeight="1">
      <c r="A41" s="29" t="s">
        <v>78</v>
      </c>
      <c r="B41" s="25">
        <f>COUNTIFS('HZ-ASD Tracker'!$A$4:$A$1004,"&lt;&gt;",'HZ-ASD Tracker'!$G$4:$G$1004,"INSP",'HZ-ASD Tracker'!$E$4:$E$1004,"Closed")</f>
        <v>0</v>
      </c>
      <c r="C41" s="25">
        <f>COUNTIFS('HZ-ASD Tracker'!$A$4:$A$1004,"&lt;&gt;",'HZ-ASD Tracker'!$G$4:$G$1004,"INSP")</f>
        <v>14</v>
      </c>
      <c r="D41" s="26">
        <f t="shared" si="3"/>
        <v>0</v>
      </c>
      <c r="E41" s="26">
        <f>IFERROR(C41/COUNTIF('HZ-ASD Tracker'!$A$4:$A$1004,"&lt;&gt;"),0)</f>
        <v>7.2916666666666671E-2</v>
      </c>
      <c r="F41" s="45">
        <f t="shared" si="4"/>
        <v>14</v>
      </c>
      <c r="G41" s="22" t="str">
        <f t="shared" si="5"/>
        <v/>
      </c>
    </row>
    <row r="42" spans="1:7" ht="16.5" customHeight="1">
      <c r="A42" s="42" t="s">
        <v>24</v>
      </c>
      <c r="B42" s="25">
        <f>COUNTIFS('HZ-ASD Tracker'!$A$4:$A$1004,"&lt;&gt;",'HZ-ASD Tracker'!$G$4:$G$1004,"AP",'HZ-ASD Tracker'!$E$4:$E$1004,"Closed")</f>
        <v>0</v>
      </c>
      <c r="C42" s="25">
        <f>COUNTIFS('HZ-ASD Tracker'!$A$4:$A$1004,"&lt;&gt;",'HZ-ASD Tracker'!$G$4:$G$1004,"AP")</f>
        <v>14</v>
      </c>
      <c r="D42" s="26">
        <f t="shared" si="3"/>
        <v>0</v>
      </c>
      <c r="E42" s="26">
        <f>IFERROR(C42/COUNTIF('HZ-ASD Tracker'!$A$4:$A$1004,"&lt;&gt;"),0)</f>
        <v>7.2916666666666671E-2</v>
      </c>
      <c r="F42" s="45">
        <f t="shared" si="4"/>
        <v>14</v>
      </c>
      <c r="G42" s="22" t="str">
        <f t="shared" si="5"/>
        <v/>
      </c>
    </row>
    <row r="43" spans="1:7" ht="6" customHeight="1">
      <c r="A43" s="48"/>
      <c r="B43" s="48"/>
      <c r="C43" s="48"/>
      <c r="D43" s="48"/>
      <c r="E43" s="48"/>
      <c r="F43" s="48"/>
      <c r="G43" s="48"/>
    </row>
    <row r="44" spans="1:7" ht="18" customHeight="1">
      <c r="A44" s="184" t="s">
        <v>749</v>
      </c>
      <c r="B44" s="253"/>
      <c r="C44" s="89" t="s">
        <v>750</v>
      </c>
      <c r="D44" s="89" t="s">
        <v>739</v>
      </c>
      <c r="E44" s="89" t="s">
        <v>751</v>
      </c>
      <c r="F44" s="90"/>
      <c r="G44" s="90"/>
    </row>
    <row r="45" spans="1:7" ht="15" customHeight="1">
      <c r="A45" s="43">
        <f ca="1">TODAY()-9</f>
        <v>46213</v>
      </c>
      <c r="B45" s="23">
        <f ca="1">COUNTIFS('HZ-ASD Tracker'!$M$4:$M$1004,TODAY()-9,'HZ-ASD Tracker'!$E$4:$E$1004,"Closed")</f>
        <v>0</v>
      </c>
      <c r="C45" s="45">
        <f ca="1">COUNTIFS('HZ-ASD Tracker'!$M$4:$M$1004,"&lt;="&amp;TODAY()-9,'HZ-ASD Tracker'!$E$4:$E$1004,"Closed")</f>
        <v>0</v>
      </c>
      <c r="D45" s="45">
        <f ca="1">COUNTIF('HZ-ASD Tracker'!$A$4:$A$1004,"&lt;&gt;")-C45</f>
        <v>192</v>
      </c>
      <c r="E45" s="46">
        <f ca="1">IFERROR(C45/COUNTIF('HZ-ASD Tracker'!$A$4:$A$1004,"&lt;&gt;"),0)</f>
        <v>0</v>
      </c>
      <c r="F45" s="22" t="str">
        <f t="shared" ref="F45:F54" ca="1" si="6">IF(E45=0,"",E45)</f>
        <v/>
      </c>
      <c r="G45" s="22" t="str">
        <f t="shared" ref="G45:G54" ca="1" si="7">IF(B45=0,"",B45)</f>
        <v/>
      </c>
    </row>
    <row r="46" spans="1:7" ht="15" customHeight="1">
      <c r="A46" s="43">
        <f ca="1">TODAY()-8</f>
        <v>46214</v>
      </c>
      <c r="B46" s="23">
        <f ca="1">COUNTIFS('HZ-ASD Tracker'!$M$4:$M$1004,TODAY()-8,'HZ-ASD Tracker'!$E$4:$E$1004,"Closed")</f>
        <v>0</v>
      </c>
      <c r="C46" s="45">
        <f ca="1">COUNTIFS('HZ-ASD Tracker'!$M$4:$M$1004,"&lt;="&amp;TODAY()-8,'HZ-ASD Tracker'!$E$4:$E$1004,"Closed")</f>
        <v>0</v>
      </c>
      <c r="D46" s="45">
        <f ca="1">COUNTIF('HZ-ASD Tracker'!$A$4:$A$1004,"&lt;&gt;")-C46</f>
        <v>192</v>
      </c>
      <c r="E46" s="46">
        <f ca="1">IFERROR(C46/COUNTIF('HZ-ASD Tracker'!$A$4:$A$1004,"&lt;&gt;"),0)</f>
        <v>0</v>
      </c>
      <c r="F46" s="22" t="str">
        <f t="shared" ca="1" si="6"/>
        <v/>
      </c>
      <c r="G46" s="22" t="str">
        <f t="shared" ca="1" si="7"/>
        <v/>
      </c>
    </row>
    <row r="47" spans="1:7" ht="15" customHeight="1">
      <c r="A47" s="43">
        <f ca="1">TODAY()-7</f>
        <v>46215</v>
      </c>
      <c r="B47" s="23">
        <f ca="1">COUNTIFS('HZ-ASD Tracker'!$M$4:$M$1004,TODAY()-7,'HZ-ASD Tracker'!$E$4:$E$1004,"Closed")</f>
        <v>0</v>
      </c>
      <c r="C47" s="45">
        <f ca="1">COUNTIFS('HZ-ASD Tracker'!$M$4:$M$1004,"&lt;="&amp;TODAY()-7,'HZ-ASD Tracker'!$E$4:$E$1004,"Closed")</f>
        <v>0</v>
      </c>
      <c r="D47" s="45">
        <f ca="1">COUNTIF('HZ-ASD Tracker'!$A$4:$A$1004,"&lt;&gt;")-C47</f>
        <v>192</v>
      </c>
      <c r="E47" s="46">
        <f ca="1">IFERROR(C47/COUNTIF('HZ-ASD Tracker'!$A$4:$A$1004,"&lt;&gt;"),0)</f>
        <v>0</v>
      </c>
      <c r="F47" s="22" t="str">
        <f t="shared" ca="1" si="6"/>
        <v/>
      </c>
      <c r="G47" s="22" t="str">
        <f t="shared" ca="1" si="7"/>
        <v/>
      </c>
    </row>
    <row r="48" spans="1:7" ht="15" customHeight="1">
      <c r="A48" s="43">
        <f ca="1">TODAY()-6</f>
        <v>46216</v>
      </c>
      <c r="B48" s="23">
        <f ca="1">COUNTIFS('HZ-ASD Tracker'!$M$4:$M$1004,TODAY()-6,'HZ-ASD Tracker'!$E$4:$E$1004,"Closed")</f>
        <v>0</v>
      </c>
      <c r="C48" s="45">
        <f ca="1">COUNTIFS('HZ-ASD Tracker'!$M$4:$M$1004,"&lt;="&amp;TODAY()-6,'HZ-ASD Tracker'!$E$4:$E$1004,"Closed")</f>
        <v>0</v>
      </c>
      <c r="D48" s="45">
        <f ca="1">COUNTIF('HZ-ASD Tracker'!$A$4:$A$1004,"&lt;&gt;")-C48</f>
        <v>192</v>
      </c>
      <c r="E48" s="46">
        <f ca="1">IFERROR(C48/COUNTIF('HZ-ASD Tracker'!$A$4:$A$1004,"&lt;&gt;"),0)</f>
        <v>0</v>
      </c>
      <c r="F48" s="22" t="str">
        <f t="shared" ca="1" si="6"/>
        <v/>
      </c>
      <c r="G48" s="22" t="str">
        <f t="shared" ca="1" si="7"/>
        <v/>
      </c>
    </row>
    <row r="49" spans="1:7" ht="15" customHeight="1">
      <c r="A49" s="43">
        <f ca="1">TODAY()-5</f>
        <v>46217</v>
      </c>
      <c r="B49" s="23">
        <f ca="1">COUNTIFS('HZ-ASD Tracker'!$M$4:$M$1004,TODAY()-5,'HZ-ASD Tracker'!$E$4:$E$1004,"Closed")</f>
        <v>0</v>
      </c>
      <c r="C49" s="45">
        <f ca="1">COUNTIFS('HZ-ASD Tracker'!$M$4:$M$1004,"&lt;="&amp;TODAY()-5,'HZ-ASD Tracker'!$E$4:$E$1004,"Closed")</f>
        <v>0</v>
      </c>
      <c r="D49" s="45">
        <f ca="1">COUNTIF('HZ-ASD Tracker'!$A$4:$A$1004,"&lt;&gt;")-C49</f>
        <v>192</v>
      </c>
      <c r="E49" s="46">
        <f ca="1">IFERROR(C49/COUNTIF('HZ-ASD Tracker'!$A$4:$A$1004,"&lt;&gt;"),0)</f>
        <v>0</v>
      </c>
      <c r="F49" s="22" t="str">
        <f t="shared" ca="1" si="6"/>
        <v/>
      </c>
      <c r="G49" s="22" t="str">
        <f t="shared" ca="1" si="7"/>
        <v/>
      </c>
    </row>
    <row r="50" spans="1:7" ht="15" customHeight="1">
      <c r="A50" s="43">
        <f ca="1">TODAY()-4</f>
        <v>46218</v>
      </c>
      <c r="B50" s="23">
        <f ca="1">COUNTIFS('HZ-ASD Tracker'!$M$4:$M$1004,TODAY()-4,'HZ-ASD Tracker'!$E$4:$E$1004,"Closed")</f>
        <v>0</v>
      </c>
      <c r="C50" s="45">
        <f ca="1">COUNTIFS('HZ-ASD Tracker'!$M$4:$M$1004,"&lt;="&amp;TODAY()-4,'HZ-ASD Tracker'!$E$4:$E$1004,"Closed")</f>
        <v>0</v>
      </c>
      <c r="D50" s="45">
        <f ca="1">COUNTIF('HZ-ASD Tracker'!$A$4:$A$1004,"&lt;&gt;")-C50</f>
        <v>192</v>
      </c>
      <c r="E50" s="46">
        <f ca="1">IFERROR(C50/COUNTIF('HZ-ASD Tracker'!$A$4:$A$1004,"&lt;&gt;"),0)</f>
        <v>0</v>
      </c>
      <c r="F50" s="22" t="str">
        <f t="shared" ca="1" si="6"/>
        <v/>
      </c>
      <c r="G50" s="22" t="str">
        <f t="shared" ca="1" si="7"/>
        <v/>
      </c>
    </row>
    <row r="51" spans="1:7" ht="15" customHeight="1">
      <c r="A51" s="43">
        <f ca="1">TODAY()-3</f>
        <v>46219</v>
      </c>
      <c r="B51" s="23">
        <f ca="1">COUNTIFS('HZ-ASD Tracker'!$M$4:$M$1004,TODAY()-3,'HZ-ASD Tracker'!$E$4:$E$1004,"Closed")</f>
        <v>0</v>
      </c>
      <c r="C51" s="45">
        <f ca="1">COUNTIFS('HZ-ASD Tracker'!$M$4:$M$1004,"&lt;="&amp;TODAY()-3,'HZ-ASD Tracker'!$E$4:$E$1004,"Closed")</f>
        <v>0</v>
      </c>
      <c r="D51" s="45">
        <f ca="1">COUNTIF('HZ-ASD Tracker'!$A$4:$A$1004,"&lt;&gt;")-C51</f>
        <v>192</v>
      </c>
      <c r="E51" s="46">
        <f ca="1">IFERROR(C51/COUNTIF('HZ-ASD Tracker'!$A$4:$A$1004,"&lt;&gt;"),0)</f>
        <v>0</v>
      </c>
      <c r="F51" s="22" t="str">
        <f t="shared" ca="1" si="6"/>
        <v/>
      </c>
      <c r="G51" s="22" t="str">
        <f t="shared" ca="1" si="7"/>
        <v/>
      </c>
    </row>
    <row r="52" spans="1:7" ht="15" customHeight="1">
      <c r="A52" s="43">
        <f ca="1">TODAY()-2</f>
        <v>46220</v>
      </c>
      <c r="B52" s="23">
        <f ca="1">COUNTIFS('HZ-ASD Tracker'!$M$4:$M$1004,TODAY()-2,'HZ-ASD Tracker'!$E$4:$E$1004,"Closed")</f>
        <v>0</v>
      </c>
      <c r="C52" s="45">
        <f ca="1">COUNTIFS('HZ-ASD Tracker'!$M$4:$M$1004,"&lt;="&amp;TODAY()-2,'HZ-ASD Tracker'!$E$4:$E$1004,"Closed")</f>
        <v>0</v>
      </c>
      <c r="D52" s="45">
        <f ca="1">COUNTIF('HZ-ASD Tracker'!$A$4:$A$1004,"&lt;&gt;")-C52</f>
        <v>192</v>
      </c>
      <c r="E52" s="46">
        <f ca="1">IFERROR(C52/COUNTIF('HZ-ASD Tracker'!$A$4:$A$1004,"&lt;&gt;"),0)</f>
        <v>0</v>
      </c>
      <c r="F52" s="22" t="str">
        <f t="shared" ca="1" si="6"/>
        <v/>
      </c>
      <c r="G52" s="22" t="str">
        <f t="shared" ca="1" si="7"/>
        <v/>
      </c>
    </row>
    <row r="53" spans="1:7" ht="15" customHeight="1">
      <c r="A53" s="43">
        <f ca="1">TODAY()-1</f>
        <v>46221</v>
      </c>
      <c r="B53" s="23">
        <f ca="1">COUNTIFS('HZ-ASD Tracker'!$M$4:$M$1004,TODAY()-1,'HZ-ASD Tracker'!$E$4:$E$1004,"Closed")</f>
        <v>0</v>
      </c>
      <c r="C53" s="45">
        <f ca="1">COUNTIFS('HZ-ASD Tracker'!$M$4:$M$1004,"&lt;="&amp;TODAY()-1,'HZ-ASD Tracker'!$E$4:$E$1004,"Closed")</f>
        <v>0</v>
      </c>
      <c r="D53" s="45">
        <f ca="1">COUNTIF('HZ-ASD Tracker'!$A$4:$A$1004,"&lt;&gt;")-C53</f>
        <v>192</v>
      </c>
      <c r="E53" s="46">
        <f ca="1">IFERROR(C53/COUNTIF('HZ-ASD Tracker'!$A$4:$A$1004,"&lt;&gt;"),0)</f>
        <v>0</v>
      </c>
      <c r="F53" s="22" t="str">
        <f t="shared" ca="1" si="6"/>
        <v/>
      </c>
      <c r="G53" s="22" t="str">
        <f t="shared" ca="1" si="7"/>
        <v/>
      </c>
    </row>
    <row r="54" spans="1:7" ht="15" customHeight="1">
      <c r="A54" s="43">
        <f ca="1">TODAY()-0</f>
        <v>46222</v>
      </c>
      <c r="B54" s="23">
        <f ca="1">COUNTIFS('HZ-ASD Tracker'!$M$4:$M$1004,TODAY()-0,'HZ-ASD Tracker'!$E$4:$E$1004,"Closed")</f>
        <v>0</v>
      </c>
      <c r="C54" s="45">
        <f ca="1">COUNTIFS('HZ-ASD Tracker'!$M$4:$M$1004,"&lt;="&amp;TODAY()-0,'HZ-ASD Tracker'!$E$4:$E$1004,"Closed")</f>
        <v>0</v>
      </c>
      <c r="D54" s="45">
        <f ca="1">COUNTIF('HZ-ASD Tracker'!$A$4:$A$1004,"&lt;&gt;")-C54</f>
        <v>192</v>
      </c>
      <c r="E54" s="46">
        <f ca="1">IFERROR(C54/COUNTIF('HZ-ASD Tracker'!$A$4:$A$1004,"&lt;&gt;"),0)</f>
        <v>0</v>
      </c>
      <c r="F54" s="22" t="str">
        <f t="shared" ca="1" si="6"/>
        <v/>
      </c>
      <c r="G54" s="22" t="str">
        <f t="shared" ca="1" si="7"/>
        <v/>
      </c>
    </row>
    <row r="55" spans="1:7" ht="6" customHeight="1">
      <c r="A55" s="48"/>
      <c r="B55" s="48"/>
      <c r="C55" s="48"/>
      <c r="D55" s="48"/>
      <c r="E55" s="48"/>
      <c r="F55" s="48"/>
      <c r="G55" s="48"/>
    </row>
    <row r="56" spans="1:7" ht="18" customHeight="1">
      <c r="A56" s="184" t="s">
        <v>752</v>
      </c>
      <c r="B56" s="253"/>
      <c r="C56" s="253"/>
      <c r="D56" s="253"/>
      <c r="E56" s="198" t="str">
        <f ca="1">IF(NOT(ISNUMBER(LAYOVER!$C$28)),"close-up date TBD",IF(TODAY()&gt;LAYOVER!$C$28,"⚠️ close-up date PASSED","close-up in "&amp;(LAYOVER!$C$28-TODAY())&amp;" d"))</f>
        <v>close-up date TBD</v>
      </c>
      <c r="F56" s="253"/>
      <c r="G56" s="253"/>
    </row>
    <row r="57" spans="1:7" ht="12" customHeight="1">
      <c r="A57" s="88"/>
      <c r="B57" s="88" t="s">
        <v>735</v>
      </c>
      <c r="C57" s="88" t="s">
        <v>736</v>
      </c>
      <c r="D57" s="88" t="s">
        <v>737</v>
      </c>
      <c r="E57" s="88"/>
      <c r="F57" s="48"/>
      <c r="G57" s="48"/>
    </row>
    <row r="58" spans="1:7" ht="16.5" customHeight="1">
      <c r="A58" s="44" t="s">
        <v>753</v>
      </c>
      <c r="B58" s="25">
        <f>COUNTIFS('OPEN UP-ACCESS'!$B$4:$B$504,"&lt;&gt;",'OPEN UP-ACCESS'!$F$4:$F$504,"Open")</f>
        <v>0</v>
      </c>
      <c r="C58" s="25">
        <f>COUNTIF('OPEN UP-ACCESS'!$B$4:$B$504,"&lt;&gt;")</f>
        <v>0</v>
      </c>
      <c r="D58" s="26">
        <f>IFERROR(B58/C58,0)</f>
        <v>0</v>
      </c>
      <c r="E58" s="47"/>
      <c r="F58" s="48"/>
      <c r="G58" s="22" t="str">
        <f>IF(D58=0,"",D58)</f>
        <v/>
      </c>
    </row>
    <row r="59" spans="1:7" ht="16.5" customHeight="1">
      <c r="A59" s="34" t="s">
        <v>754</v>
      </c>
      <c r="B59" s="25">
        <f>COUNTIFS('OPEN UP-ACCESS'!$B$4:$B$504,"&lt;&gt;",'OPEN UP-ACCESS'!$F$4:$F$504,"Partially")</f>
        <v>0</v>
      </c>
      <c r="C59" s="25">
        <f>COUNTIF('OPEN UP-ACCESS'!$B$4:$B$504,"&lt;&gt;")</f>
        <v>0</v>
      </c>
      <c r="D59" s="26">
        <f>IFERROR(B59/C59,0)</f>
        <v>0</v>
      </c>
      <c r="E59" s="47"/>
      <c r="F59" s="48"/>
      <c r="G59" s="22" t="str">
        <f>IF(D59=0,"",D59)</f>
        <v/>
      </c>
    </row>
    <row r="60" spans="1:7" ht="16.5" customHeight="1">
      <c r="A60" s="29" t="s">
        <v>755</v>
      </c>
      <c r="B60" s="25">
        <f>COUNTIFS('OPEN UP-ACCESS'!$B$4:$B$504,"&lt;&gt;",'OPEN UP-ACCESS'!$F$4:$F$504,"Re-Installed")</f>
        <v>0</v>
      </c>
      <c r="C60" s="25">
        <f>COUNTIF('OPEN UP-ACCESS'!$B$4:$B$504,"&lt;&gt;")</f>
        <v>0</v>
      </c>
      <c r="D60" s="26">
        <f>IFERROR(B60/C60,0)</f>
        <v>0</v>
      </c>
      <c r="E60" s="47"/>
      <c r="F60" s="48"/>
      <c r="G60" s="22" t="str">
        <f>IF(D60=0,"",D60)</f>
        <v/>
      </c>
    </row>
    <row r="61" spans="1:7" ht="6" customHeight="1">
      <c r="A61" s="48"/>
      <c r="B61" s="48"/>
      <c r="C61" s="48"/>
      <c r="D61" s="48"/>
      <c r="E61" s="48"/>
      <c r="F61" s="48"/>
      <c r="G61" s="48"/>
    </row>
    <row r="62" spans="1:7" ht="17.100000000000001" customHeight="1">
      <c r="A62" s="181" t="str">
        <f>"🔧 PARTS  —  Requested: "&amp;(COUNTIFS('HZ-ASD Tracker'!$A$4:$A$1004,"&lt;&gt;",'HZ-ASD Tracker'!$H$4:$H$1004,"Requested")+COUNTIFS('HZ-ASD Tracker'!$A$4:$A$1004,"&lt;&gt;",'HZ-ASD Tracker'!$H$4:$H$1004,"Requested - R")+COUNTIFS('HZ-ASD Tracker'!$A$4:$A$1004,"&lt;&gt;",'HZ-ASD Tracker'!$H$4:$H$1004,"Requested - CR"))&amp;"      ·      Pending EVAL: "&amp;COUNTIFS('HZ-ASD Tracker'!$A$4:$A$1004,"&lt;&gt;",'HZ-ASD Tracker'!$H$4:$H$1004,"Pending EVAL")</f>
        <v>🔧 PARTS  —  Requested: 13      ·      Pending EVAL: 0</v>
      </c>
      <c r="B62" s="253"/>
      <c r="C62" s="253"/>
      <c r="D62" s="253"/>
      <c r="E62" s="253"/>
      <c r="F62" s="253"/>
      <c r="G62" s="253"/>
    </row>
    <row r="63" spans="1:7" ht="17.100000000000001" customHeight="1">
      <c r="A63" s="181" t="str">
        <f>"⚙️ Deferred: "&amp;COUNTIFS('HZ-ASD Tracker'!$A$4:$A$1004,"&lt;&gt;",'HZ-ASD Tracker'!$E$4:$E$1004,"Deferred")&amp;"   ·   On Hold: "&amp;COUNTIFS('HZ-ASD Tracker'!$A$4:$A$1004,"&lt;&gt;",'HZ-ASD Tracker'!$E$4:$E$1004,"On Hold")&amp;"   ·   N/A: "&amp;COUNTIFS('HZ-ASD Tracker'!$A$4:$A$1004,"&lt;&gt;",'HZ-ASD Tracker'!$E$4:$E$1004,"N/A")&amp;"        🚨 AOG open: "&amp;COUNTIFS('HZ-ASD Tracker'!$A$4:$A$1004,"&lt;&gt;",'HZ-ASD Tracker'!$F$4:$F$1004,"AOG",'HZ-ASD Tracker'!$E$4:$E$1004,"&lt;&gt;Closed")&amp;"   ·   Critical open: "&amp;COUNTIFS('HZ-ASD Tracker'!$A$4:$A$1004,"&lt;&gt;",'HZ-ASD Tracker'!$F$4:$F$1004,"Critical",'HZ-ASD Tracker'!$E$4:$E$1004,"&lt;&gt;Closed")&amp;"   ·   🔁 Reopened: "&amp;SUMPRODUCT(('HZ-ASD Tracker'!$M$4:$M$1004&lt;&gt;"")*('HZ-ASD Tracker'!$E$4:$E$1004&lt;&gt;"Closed")*('HZ-ASD Tracker'!$A$4:$A$1004&lt;&gt;""))</f>
        <v>⚙️ Deferred: 0   ·   On Hold: 0   ·   N/A: 0        🚨 AOG open: 1   ·   Critical open: 0   ·   🔁 Reopened: 0</v>
      </c>
      <c r="B63" s="253"/>
      <c r="C63" s="253"/>
      <c r="D63" s="253"/>
      <c r="E63" s="253"/>
      <c r="F63" s="253"/>
      <c r="G63" s="253"/>
    </row>
    <row r="64" spans="1:7" ht="18" customHeight="1">
      <c r="A64" s="194" t="str">
        <f>"🕐 WORKLOAD — Est "&amp;TEXT(SUM('HZ-ASD Tracker'!$N$4:$N$1004),"#,##0")&amp;" MH  ·  Booked "&amp;TEXT(SUM('HZ-ASD Tracker'!$P$4:$P$1004),"#,##0")&amp;"  ·  Closed "&amp;TEXT(SUMIFS('HZ-ASD Tracker'!$N$4:$N$1004,'HZ-ASD Tracker'!$E$4:$E$1004,"Closed"),"#,##0")&amp;"  ·  MH "&amp;TEXT(IFERROR(SUMIFS('HZ-ASD Tracker'!$N$4:$N$1004,'HZ-ASD Tracker'!$E$4:$E$1004,"Closed")/SUM('HZ-ASD Tracker'!$N$4:$N$1004),0),"0%")&amp;" vs cards "&amp;TEXT(IFERROR(COUNTIFS('HZ-ASD Tracker'!$A$4:$A$1004,"&lt;&gt;",'HZ-ASD Tracker'!$E$4:$E$1004,"Closed")/COUNTIF('HZ-ASD Tracker'!$A$4:$A$1004,"&lt;&gt;"),0),"0%")&amp;"  ·  cabin 46% of pkg · ASF ≈3×Est"</f>
        <v>🕐 WORKLOAD — Est 1,868 MH  ·  Booked 0  ·  Closed 0  ·  MH 0% vs cards 0%  ·  cabin 46% of pkg · ASF ≈3×Est</v>
      </c>
      <c r="B64" s="253"/>
      <c r="C64" s="253"/>
      <c r="D64" s="253"/>
      <c r="E64" s="253"/>
      <c r="F64" s="253"/>
      <c r="G64" s="253"/>
    </row>
    <row r="66" spans="1:7" ht="18" customHeight="1">
      <c r="A66" s="184" t="s">
        <v>756</v>
      </c>
      <c r="B66" s="253"/>
      <c r="C66" s="89" t="s">
        <v>757</v>
      </c>
      <c r="D66" s="89" t="s">
        <v>758</v>
      </c>
      <c r="E66" s="89" t="s">
        <v>744</v>
      </c>
      <c r="F66" s="90"/>
      <c r="G66" s="90"/>
    </row>
    <row r="67" spans="1:7" ht="16.5" customHeight="1">
      <c r="A67" s="192" t="s">
        <v>46</v>
      </c>
      <c r="B67" s="256"/>
      <c r="C67" s="49">
        <f>SUMIFS('HZ-ASD Tracker'!$N$4:$N$1004,'HZ-ASD Tracker'!$G$4:$G$1004,"CAB")</f>
        <v>214.92000000000007</v>
      </c>
      <c r="D67" s="26">
        <f>IFERROR(SUMIFS('HZ-ASD Tracker'!$N$4:$N$1004,'HZ-ASD Tracker'!$G$4:$G$1004,"CAB",'HZ-ASD Tracker'!$E$4:$E$1004,"Closed")/C67,0)</f>
        <v>0</v>
      </c>
      <c r="E67" s="26">
        <f>IFERROR(C67/SUM('HZ-ASD Tracker'!$N$4:$N$1004),0)</f>
        <v>0.11504491098097577</v>
      </c>
      <c r="F67" s="21"/>
      <c r="G67" s="22">
        <f t="shared" ref="G67:G75" si="8">IF(E67=0,"",E67)</f>
        <v>0.11504491098097577</v>
      </c>
    </row>
    <row r="68" spans="1:7" ht="16.5" customHeight="1">
      <c r="A68" s="200" t="s">
        <v>182</v>
      </c>
      <c r="B68" s="256"/>
      <c r="C68" s="49">
        <f>SUMIFS('HZ-ASD Tracker'!$N$4:$N$1004,'HZ-ASD Tracker'!$G$4:$G$1004,"SEAT")</f>
        <v>121.17</v>
      </c>
      <c r="D68" s="26">
        <f>IFERROR(SUMIFS('HZ-ASD Tracker'!$N$4:$N$1004,'HZ-ASD Tracker'!$G$4:$G$1004,"SEAT",'HZ-ASD Tracker'!$E$4:$E$1004,"Closed")/C68,0)</f>
        <v>0</v>
      </c>
      <c r="E68" s="26">
        <f>IFERROR(C68/SUM('HZ-ASD Tracker'!$N$4:$N$1004),0)</f>
        <v>6.4861305897844918E-2</v>
      </c>
      <c r="F68" s="21"/>
      <c r="G68" s="22">
        <f t="shared" si="8"/>
        <v>6.4861305897844918E-2</v>
      </c>
    </row>
    <row r="69" spans="1:7" ht="16.5" customHeight="1">
      <c r="A69" s="186" t="s">
        <v>204</v>
      </c>
      <c r="B69" s="256"/>
      <c r="C69" s="49">
        <f>SUMIFS('HZ-ASD Tracker'!$N$4:$N$1004,'HZ-ASD Tracker'!$G$4:$G$1004,"AV")</f>
        <v>732.20999999999992</v>
      </c>
      <c r="D69" s="26">
        <f>IFERROR(SUMIFS('HZ-ASD Tracker'!$N$4:$N$1004,'HZ-ASD Tracker'!$G$4:$G$1004,"AV",'HZ-ASD Tracker'!$E$4:$E$1004,"Closed")/C69,0)</f>
        <v>0</v>
      </c>
      <c r="E69" s="26">
        <f>IFERROR(C69/SUM('HZ-ASD Tracker'!$N$4:$N$1004),0)</f>
        <v>0.39194599976447159</v>
      </c>
      <c r="F69" s="21"/>
      <c r="G69" s="22">
        <f t="shared" si="8"/>
        <v>0.39194599976447159</v>
      </c>
    </row>
    <row r="70" spans="1:7" ht="16.5" customHeight="1">
      <c r="A70" s="183" t="s">
        <v>747</v>
      </c>
      <c r="B70" s="256"/>
      <c r="C70" s="49">
        <f>SUMIFS('HZ-ASD Tracker'!$N$4:$N$1004,'HZ-ASD Tracker'!$G$4:$G$1004,"WALL")</f>
        <v>0</v>
      </c>
      <c r="D70" s="26">
        <f>IFERROR(SUMIFS('HZ-ASD Tracker'!$N$4:$N$1004,'HZ-ASD Tracker'!$G$4:$G$1004,"WALL",'HZ-ASD Tracker'!$E$4:$E$1004,"Closed")/C70,0)</f>
        <v>0</v>
      </c>
      <c r="E70" s="26">
        <f>IFERROR(C70/SUM('HZ-ASD Tracker'!$N$4:$N$1004),0)</f>
        <v>0</v>
      </c>
      <c r="F70" s="21"/>
      <c r="G70" s="22" t="str">
        <f t="shared" si="8"/>
        <v/>
      </c>
    </row>
    <row r="71" spans="1:7" ht="16.5" customHeight="1">
      <c r="A71" s="197" t="s">
        <v>748</v>
      </c>
      <c r="B71" s="256"/>
      <c r="C71" s="49">
        <f>SUMIFS('HZ-ASD Tracker'!$N$4:$N$1004,'HZ-ASD Tracker'!$G$4:$G$1004,"S/M")</f>
        <v>0</v>
      </c>
      <c r="D71" s="26">
        <f>IFERROR(SUMIFS('HZ-ASD Tracker'!$N$4:$N$1004,'HZ-ASD Tracker'!$G$4:$G$1004,"S/M",'HZ-ASD Tracker'!$E$4:$E$1004,"Closed")/C71,0)</f>
        <v>0</v>
      </c>
      <c r="E71" s="26">
        <f>IFERROR(C71/SUM('HZ-ASD Tracker'!$N$4:$N$1004),0)</f>
        <v>0</v>
      </c>
      <c r="F71" s="21"/>
      <c r="G71" s="22" t="str">
        <f t="shared" si="8"/>
        <v/>
      </c>
    </row>
    <row r="72" spans="1:7" ht="16.5" customHeight="1">
      <c r="A72" s="199" t="s">
        <v>164</v>
      </c>
      <c r="B72" s="256"/>
      <c r="C72" s="49">
        <f>SUMIFS('HZ-ASD Tracker'!$N$4:$N$1004,'HZ-ASD Tracker'!$G$4:$G$1004,"PAINT")</f>
        <v>1</v>
      </c>
      <c r="D72" s="26">
        <f>IFERROR(SUMIFS('HZ-ASD Tracker'!$N$4:$N$1004,'HZ-ASD Tracker'!$G$4:$G$1004,"PAINT",'HZ-ASD Tracker'!$E$4:$E$1004,"Closed")/C72,0)</f>
        <v>0</v>
      </c>
      <c r="E72" s="26">
        <f>IFERROR(C72/SUM('HZ-ASD Tracker'!$N$4:$N$1004),0)</f>
        <v>5.3529178755339535E-4</v>
      </c>
      <c r="F72" s="21"/>
      <c r="G72" s="22">
        <f t="shared" si="8"/>
        <v>5.3529178755339535E-4</v>
      </c>
    </row>
    <row r="73" spans="1:7" ht="16.5" customHeight="1">
      <c r="A73" s="180" t="s">
        <v>26</v>
      </c>
      <c r="B73" s="256"/>
      <c r="C73" s="49">
        <f>SUMIFS('HZ-ASD Tracker'!$N$4:$N$1004,'HZ-ASD Tracker'!$G$4:$G$1004,"JOINT")</f>
        <v>114.75999999999999</v>
      </c>
      <c r="D73" s="26">
        <f>IFERROR(SUMIFS('HZ-ASD Tracker'!$N$4:$N$1004,'HZ-ASD Tracker'!$G$4:$G$1004,"JOINT",'HZ-ASD Tracker'!$E$4:$E$1004,"Closed")/C73,0)</f>
        <v>0</v>
      </c>
      <c r="E73" s="26">
        <f>IFERROR(C73/SUM('HZ-ASD Tracker'!$N$4:$N$1004),0)</f>
        <v>6.143008553962765E-2</v>
      </c>
      <c r="F73" s="21"/>
      <c r="G73" s="22">
        <f t="shared" si="8"/>
        <v>6.143008553962765E-2</v>
      </c>
    </row>
    <row r="74" spans="1:7" ht="16.5" customHeight="1">
      <c r="A74" s="195" t="s">
        <v>78</v>
      </c>
      <c r="B74" s="256"/>
      <c r="C74" s="49">
        <f>SUMIFS('HZ-ASD Tracker'!$N$4:$N$1004,'HZ-ASD Tracker'!$G$4:$G$1004,"INSP")</f>
        <v>155.24</v>
      </c>
      <c r="D74" s="26">
        <f>IFERROR(SUMIFS('HZ-ASD Tracker'!$N$4:$N$1004,'HZ-ASD Tracker'!$G$4:$G$1004,"INSP",'HZ-ASD Tracker'!$E$4:$E$1004,"Closed")/C74,0)</f>
        <v>0</v>
      </c>
      <c r="E74" s="26">
        <f>IFERROR(C74/SUM('HZ-ASD Tracker'!$N$4:$N$1004),0)</f>
        <v>8.3098697099789107E-2</v>
      </c>
      <c r="F74" s="21"/>
      <c r="G74" s="22">
        <f t="shared" si="8"/>
        <v>8.3098697099789107E-2</v>
      </c>
    </row>
    <row r="75" spans="1:7" ht="16.5" customHeight="1">
      <c r="A75" s="193" t="s">
        <v>24</v>
      </c>
      <c r="B75" s="256"/>
      <c r="C75" s="49">
        <f>SUMIFS('HZ-ASD Tracker'!$N$4:$N$1004,'HZ-ASD Tracker'!$G$4:$G$1004,"AP")</f>
        <v>101.79</v>
      </c>
      <c r="D75" s="26">
        <f>IFERROR(SUMIFS('HZ-ASD Tracker'!$N$4:$N$1004,'HZ-ASD Tracker'!$G$4:$G$1004,"AP",'HZ-ASD Tracker'!$E$4:$E$1004,"Closed")/C75,0)</f>
        <v>0</v>
      </c>
      <c r="E75" s="26">
        <f>IFERROR(C75/SUM('HZ-ASD Tracker'!$N$4:$N$1004),0)</f>
        <v>5.4487351055060119E-2</v>
      </c>
      <c r="F75" s="21"/>
      <c r="G75" s="22">
        <f t="shared" si="8"/>
        <v>5.4487351055060119E-2</v>
      </c>
    </row>
    <row r="76" spans="1:7" ht="18" customHeight="1">
      <c r="A76" s="189" t="str">
        <f>"👥 CREW (MH · done%) — FWD "&amp;TEXT(SUMIFS('HZ-ASD Tracker'!$N$4:$N$1004,'HZ-ASD Tracker'!$K$4:$K$1004,"FWD"),"#,##0")&amp;" ("&amp;TEXT(IFERROR(SUMIFS('HZ-ASD Tracker'!$N$4:$N$1004,'HZ-ASD Tracker'!$K$4:$K$1004,"FWD",'HZ-ASD Tracker'!$E$4:$E$1004,"Closed")/SUMIFS('HZ-ASD Tracker'!$N$4:$N$1004,'HZ-ASD Tracker'!$K$4:$K$1004,"FWD"),0),"0%")&amp;")"&amp;"  ·  AFT "&amp;TEXT(SUMIFS('HZ-ASD Tracker'!$N$4:$N$1004,'HZ-ASD Tracker'!$K$4:$K$1004,"AFT"),"#,##0")&amp;" ("&amp;TEXT(IFERROR(SUMIFS('HZ-ASD Tracker'!$N$4:$N$1004,'HZ-ASD Tracker'!$K$4:$K$1004,"AFT",'HZ-ASD Tracker'!$E$4:$E$1004,"Closed")/SUMIFS('HZ-ASD Tracker'!$N$4:$N$1004,'HZ-ASD Tracker'!$K$4:$K$1004,"AFT"),0),"0%")&amp;")"&amp;"  ·  JOINT "&amp;TEXT(SUMIFS('HZ-ASD Tracker'!$N$4:$N$1004,'HZ-ASD Tracker'!$K$4:$K$1004,"JOINT"),"#,##0")&amp;" ("&amp;TEXT(IFERROR(SUMIFS('HZ-ASD Tracker'!$N$4:$N$1004,'HZ-ASD Tracker'!$K$4:$K$1004,"JOINT",'HZ-ASD Tracker'!$E$4:$E$1004,"Closed")/SUMIFS('HZ-ASD Tracker'!$N$4:$N$1004,'HZ-ASD Tracker'!$K$4:$K$1004,"JOINT"),0),"0%")&amp;")"&amp;"  ·  unassig. "&amp;TEXT(SUM('HZ-ASD Tracker'!$N$4:$N$1004)-SUMIFS('HZ-ASD Tracker'!$N$4:$N$1004,'HZ-ASD Tracker'!$K$4:$K$1004,"FWD")-SUMIFS('HZ-ASD Tracker'!$N$4:$N$1004,'HZ-ASD Tracker'!$K$4:$K$1004,"AFT")-SUMIFS('HZ-ASD Tracker'!$N$4:$N$1004,'HZ-ASD Tracker'!$K$4:$K$1004,"JOINT"),"#,##0")</f>
        <v>👥 CREW (MH · done%) — FWD 191 (0%)  ·  AFT 221 (0%)  ·  JOINT 1,309 (0%)  ·  unassig. 147</v>
      </c>
      <c r="B76" s="253"/>
      <c r="C76" s="253"/>
      <c r="D76" s="253"/>
      <c r="E76" s="253"/>
      <c r="F76" s="253"/>
      <c r="G76" s="253"/>
    </row>
  </sheetData>
  <sheetProtection sheet="1"/>
  <mergeCells count="29">
    <mergeCell ref="A76:G76"/>
    <mergeCell ref="A12:G12"/>
    <mergeCell ref="A2:G2"/>
    <mergeCell ref="A44:B44"/>
    <mergeCell ref="A67:B67"/>
    <mergeCell ref="A75:B75"/>
    <mergeCell ref="A66:B66"/>
    <mergeCell ref="A64:G64"/>
    <mergeCell ref="A74:B74"/>
    <mergeCell ref="A11:G11"/>
    <mergeCell ref="A71:B71"/>
    <mergeCell ref="E56:G56"/>
    <mergeCell ref="A56:D56"/>
    <mergeCell ref="A72:B72"/>
    <mergeCell ref="A68:B68"/>
    <mergeCell ref="A32:G32"/>
    <mergeCell ref="A8:G8"/>
    <mergeCell ref="A73:B73"/>
    <mergeCell ref="A62:G62"/>
    <mergeCell ref="A1:E1"/>
    <mergeCell ref="A70:B70"/>
    <mergeCell ref="A19:G19"/>
    <mergeCell ref="A63:G63"/>
    <mergeCell ref="A10:G10"/>
    <mergeCell ref="A69:B69"/>
    <mergeCell ref="A13:G13"/>
    <mergeCell ref="A9:G9"/>
    <mergeCell ref="A7:G7"/>
    <mergeCell ref="F1:G1"/>
  </mergeCells>
  <conditionalFormatting sqref="A2:G2">
    <cfRule type="expression" dxfId="50" priority="1" stopIfTrue="1">
      <formula>ISNUMBER(SEARCH("✅",$A$2))</formula>
    </cfRule>
    <cfRule type="expression" dxfId="49" priority="2" stopIfTrue="1">
      <formula>ISNUMBER(SEARCH("⚠️",$A$2))</formula>
    </cfRule>
    <cfRule type="expression" dxfId="48" priority="3" stopIfTrue="1">
      <formula>ISNUMBER(SEARCH("🔴",$A$2))</formula>
    </cfRule>
    <cfRule type="expression" dxfId="47" priority="4" stopIfTrue="1">
      <formula>ISNUMBER(SEARCH("❌",$A$2))</formula>
    </cfRule>
  </conditionalFormatting>
  <conditionalFormatting sqref="G15:G17">
    <cfRule type="dataBar" priority="5">
      <dataBar>
        <cfvo type="num" val="0"/>
        <cfvo type="num" val="1"/>
        <color rgb="FF2E7D32"/>
      </dataBar>
    </cfRule>
  </conditionalFormatting>
  <conditionalFormatting sqref="G21:G30">
    <cfRule type="dataBar" priority="6">
      <dataBar>
        <cfvo type="num" val="0"/>
        <cfvo type="num" val="1"/>
        <color rgb="FF2E7D32"/>
      </dataBar>
    </cfRule>
  </conditionalFormatting>
  <conditionalFormatting sqref="G34:G42">
    <cfRule type="dataBar" priority="7">
      <dataBar>
        <cfvo type="num" val="0"/>
        <cfvo type="num" val="1"/>
        <color rgb="FF2E7D32"/>
      </dataBar>
    </cfRule>
  </conditionalFormatting>
  <conditionalFormatting sqref="G45:G54">
    <cfRule type="dataBar" priority="8">
      <dataBar>
        <cfvo type="num" val="0"/>
        <cfvo type="max"/>
        <color rgb="FF1565C0"/>
      </dataBar>
    </cfRule>
  </conditionalFormatting>
  <conditionalFormatting sqref="G58:G60">
    <cfRule type="dataBar" priority="9">
      <dataBar>
        <cfvo type="num" val="0"/>
        <cfvo type="num" val="1"/>
        <color rgb="FF1B5E20"/>
      </dataBar>
    </cfRule>
  </conditionalFormatting>
  <conditionalFormatting sqref="F45:F54">
    <cfRule type="dataBar" priority="10">
      <dataBar>
        <cfvo type="num" val="0"/>
        <cfvo type="num" val="1"/>
        <color rgb="FF2E7D32"/>
      </dataBar>
    </cfRule>
  </conditionalFormatting>
  <conditionalFormatting sqref="D15:D17">
    <cfRule type="expression" dxfId="46" priority="11">
      <formula>AND(D15&lt;&gt;"",D15=1)</formula>
    </cfRule>
  </conditionalFormatting>
  <conditionalFormatting sqref="D21:D30">
    <cfRule type="expression" dxfId="45" priority="12">
      <formula>AND(D21&lt;&gt;"",D21=1)</formula>
    </cfRule>
  </conditionalFormatting>
  <conditionalFormatting sqref="D34:D42">
    <cfRule type="expression" dxfId="44" priority="13">
      <formula>AND(D34&lt;&gt;"",D34=1)</formula>
    </cfRule>
  </conditionalFormatting>
  <conditionalFormatting sqref="D58:D60">
    <cfRule type="expression" dxfId="43" priority="14">
      <formula>AND(D58&lt;&gt;"",D58=1)</formula>
    </cfRule>
  </conditionalFormatting>
  <conditionalFormatting sqref="F15:F17">
    <cfRule type="expression" dxfId="42" priority="15">
      <formula>AND(F15&lt;&gt;"",F15=0)</formula>
    </cfRule>
  </conditionalFormatting>
  <conditionalFormatting sqref="F21:F30">
    <cfRule type="expression" dxfId="41" priority="16">
      <formula>AND(F21&lt;&gt;"",F21=0)</formula>
    </cfRule>
  </conditionalFormatting>
  <conditionalFormatting sqref="F34:F42">
    <cfRule type="expression" dxfId="40" priority="17">
      <formula>AND(F34&lt;&gt;"",F34=0)</formula>
    </cfRule>
  </conditionalFormatting>
  <conditionalFormatting sqref="G67:G75">
    <cfRule type="dataBar" priority="18">
      <dataBar>
        <cfvo type="num" val="0"/>
        <cfvo type="num" val="0.5"/>
        <color rgb="FF00695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37"/>
    <pageSetUpPr fitToPage="1"/>
  </sheetPr>
  <dimension ref="A1:CY48"/>
  <sheetViews>
    <sheetView showGridLines="0" workbookViewId="0">
      <pane xSplit="3" ySplit="5" topLeftCell="D6" activePane="bottomRight" state="frozen"/>
      <selection pane="bottomRight" activeCell="K20" sqref="K20"/>
      <selection pane="bottomLeft"/>
      <selection pane="topRight"/>
    </sheetView>
  </sheetViews>
  <sheetFormatPr defaultRowHeight="15"/>
  <cols>
    <col min="1" max="1" width="34" customWidth="1"/>
    <col min="2" max="3" width="10" customWidth="1"/>
    <col min="4" max="79" width="3" customWidth="1"/>
    <col min="80" max="103" width="3" hidden="1" customWidth="1"/>
  </cols>
  <sheetData>
    <row r="1" spans="1:103" ht="25.9" customHeight="1">
      <c r="A1" s="201"/>
      <c r="B1" s="253"/>
      <c r="C1" s="253"/>
      <c r="D1" s="206" t="s">
        <v>759</v>
      </c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07" t="str">
        <f>"O.O.S  "&amp;TEXT(DASHBOARD!$M$1-1,"DD-MMM")&amp;"      B.I.S  "&amp;TEXT(DASHBOARD!$M$2,"DD-MMM")&amp;"      GROUND TIME  "&amp;(DASHBOARD!$M$2-DASHBOARD!$M$1+1)&amp;" DAYS"</f>
        <v>O.O.S  17-Jul      B.I.S  24-Aug      GROUND TIME  38 DAYS</v>
      </c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</row>
    <row r="2" spans="1:103" ht="19.899999999999999" customHeight="1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  <c r="BW2" s="253"/>
      <c r="BX2" s="253"/>
      <c r="BY2" s="253"/>
      <c r="BZ2" s="253"/>
      <c r="CA2" s="253"/>
      <c r="CB2" s="253"/>
      <c r="CC2" s="253"/>
      <c r="CD2" s="253"/>
      <c r="CE2" s="253"/>
      <c r="CF2" s="253"/>
      <c r="CG2" s="253"/>
      <c r="CH2" s="253"/>
      <c r="CI2" s="253"/>
      <c r="CJ2" s="253"/>
      <c r="CK2" s="253"/>
      <c r="CL2" s="253"/>
      <c r="CM2" s="253"/>
      <c r="CN2" s="253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</row>
    <row r="3" spans="1:103" ht="13.15" customHeight="1">
      <c r="A3" s="211" t="s">
        <v>760</v>
      </c>
      <c r="B3" s="211" t="s">
        <v>761</v>
      </c>
      <c r="C3" s="211" t="s">
        <v>762</v>
      </c>
      <c r="D3" s="202" t="str">
        <f>IF(DASHBOARD!$M$2-DASHBOARD!$M$1&gt;=0,"Day "&amp;1,"")</f>
        <v>Day 1</v>
      </c>
      <c r="E3" s="253"/>
      <c r="F3" s="202" t="str">
        <f>IF(DASHBOARD!$M$2-DASHBOARD!$M$1&gt;=1,"Day "&amp;2,"")</f>
        <v>Day 2</v>
      </c>
      <c r="G3" s="253"/>
      <c r="H3" s="202" t="str">
        <f>IF(DASHBOARD!$M$2-DASHBOARD!$M$1&gt;=2,"Day "&amp;3,"")</f>
        <v>Day 3</v>
      </c>
      <c r="I3" s="253"/>
      <c r="J3" s="202" t="str">
        <f>IF(DASHBOARD!$M$2-DASHBOARD!$M$1&gt;=3,"Day "&amp;4,"")</f>
        <v>Day 4</v>
      </c>
      <c r="K3" s="253"/>
      <c r="L3" s="202" t="str">
        <f>IF(DASHBOARD!$M$2-DASHBOARD!$M$1&gt;=4,"Day "&amp;5,"")</f>
        <v>Day 5</v>
      </c>
      <c r="M3" s="253"/>
      <c r="N3" s="202" t="str">
        <f>IF(DASHBOARD!$M$2-DASHBOARD!$M$1&gt;=5,"Day "&amp;6,"")</f>
        <v>Day 6</v>
      </c>
      <c r="O3" s="253"/>
      <c r="P3" s="202" t="str">
        <f>IF(DASHBOARD!$M$2-DASHBOARD!$M$1&gt;=6,"Day "&amp;7,"")</f>
        <v>Day 7</v>
      </c>
      <c r="Q3" s="253"/>
      <c r="R3" s="202" t="str">
        <f>IF(DASHBOARD!$M$2-DASHBOARD!$M$1&gt;=7,"Day "&amp;8,"")</f>
        <v>Day 8</v>
      </c>
      <c r="S3" s="253"/>
      <c r="T3" s="202" t="str">
        <f>IF(DASHBOARD!$M$2-DASHBOARD!$M$1&gt;=8,"Day "&amp;9,"")</f>
        <v>Day 9</v>
      </c>
      <c r="U3" s="253"/>
      <c r="V3" s="202" t="str">
        <f>IF(DASHBOARD!$M$2-DASHBOARD!$M$1&gt;=9,"Day "&amp;10,"")</f>
        <v>Day 10</v>
      </c>
      <c r="W3" s="253"/>
      <c r="X3" s="202" t="str">
        <f>IF(DASHBOARD!$M$2-DASHBOARD!$M$1&gt;=10,"Day "&amp;11,"")</f>
        <v>Day 11</v>
      </c>
      <c r="Y3" s="253"/>
      <c r="Z3" s="202" t="str">
        <f>IF(DASHBOARD!$M$2-DASHBOARD!$M$1&gt;=11,"Day "&amp;12,"")</f>
        <v>Day 12</v>
      </c>
      <c r="AA3" s="253"/>
      <c r="AB3" s="202" t="str">
        <f>IF(DASHBOARD!$M$2-DASHBOARD!$M$1&gt;=12,"Day "&amp;13,"")</f>
        <v>Day 13</v>
      </c>
      <c r="AC3" s="253"/>
      <c r="AD3" s="202" t="str">
        <f>IF(DASHBOARD!$M$2-DASHBOARD!$M$1&gt;=13,"Day "&amp;14,"")</f>
        <v>Day 14</v>
      </c>
      <c r="AE3" s="253"/>
      <c r="AF3" s="202" t="str">
        <f>IF(DASHBOARD!$M$2-DASHBOARD!$M$1&gt;=14,"Day "&amp;15,"")</f>
        <v>Day 15</v>
      </c>
      <c r="AG3" s="253"/>
      <c r="AH3" s="202" t="str">
        <f>IF(DASHBOARD!$M$2-DASHBOARD!$M$1&gt;=15,"Day "&amp;16,"")</f>
        <v>Day 16</v>
      </c>
      <c r="AI3" s="253"/>
      <c r="AJ3" s="202" t="str">
        <f>IF(DASHBOARD!$M$2-DASHBOARD!$M$1&gt;=16,"Day "&amp;17,"")</f>
        <v>Day 17</v>
      </c>
      <c r="AK3" s="253"/>
      <c r="AL3" s="202" t="str">
        <f>IF(DASHBOARD!$M$2-DASHBOARD!$M$1&gt;=17,"Day "&amp;18,"")</f>
        <v>Day 18</v>
      </c>
      <c r="AM3" s="253"/>
      <c r="AN3" s="202" t="str">
        <f>IF(DASHBOARD!$M$2-DASHBOARD!$M$1&gt;=18,"Day "&amp;19,"")</f>
        <v>Day 19</v>
      </c>
      <c r="AO3" s="253"/>
      <c r="AP3" s="202" t="str">
        <f>IF(DASHBOARD!$M$2-DASHBOARD!$M$1&gt;=19,"Day "&amp;20,"")</f>
        <v>Day 20</v>
      </c>
      <c r="AQ3" s="253"/>
      <c r="AR3" s="202" t="str">
        <f>IF(DASHBOARD!$M$2-DASHBOARD!$M$1&gt;=20,"Day "&amp;21,"")</f>
        <v>Day 21</v>
      </c>
      <c r="AS3" s="253"/>
      <c r="AT3" s="202" t="str">
        <f>IF(DASHBOARD!$M$2-DASHBOARD!$M$1&gt;=21,"Day "&amp;22,"")</f>
        <v>Day 22</v>
      </c>
      <c r="AU3" s="253"/>
      <c r="AV3" s="202" t="str">
        <f>IF(DASHBOARD!$M$2-DASHBOARD!$M$1&gt;=22,"Day "&amp;23,"")</f>
        <v>Day 23</v>
      </c>
      <c r="AW3" s="253"/>
      <c r="AX3" s="202" t="str">
        <f>IF(DASHBOARD!$M$2-DASHBOARD!$M$1&gt;=23,"Day "&amp;24,"")</f>
        <v>Day 24</v>
      </c>
      <c r="AY3" s="253"/>
      <c r="AZ3" s="202" t="str">
        <f>IF(DASHBOARD!$M$2-DASHBOARD!$M$1&gt;=24,"Day "&amp;25,"")</f>
        <v>Day 25</v>
      </c>
      <c r="BA3" s="253"/>
      <c r="BB3" s="202" t="str">
        <f>IF(DASHBOARD!$M$2-DASHBOARD!$M$1&gt;=25,"Day "&amp;26,"")</f>
        <v>Day 26</v>
      </c>
      <c r="BC3" s="253"/>
      <c r="BD3" s="202" t="str">
        <f>IF(DASHBOARD!$M$2-DASHBOARD!$M$1&gt;=26,"Day "&amp;27,"")</f>
        <v>Day 27</v>
      </c>
      <c r="BE3" s="253"/>
      <c r="BF3" s="202" t="str">
        <f>IF(DASHBOARD!$M$2-DASHBOARD!$M$1&gt;=27,"Day "&amp;28,"")</f>
        <v>Day 28</v>
      </c>
      <c r="BG3" s="253"/>
      <c r="BH3" s="202" t="str">
        <f>IF(DASHBOARD!$M$2-DASHBOARD!$M$1&gt;=28,"Day "&amp;29,"")</f>
        <v>Day 29</v>
      </c>
      <c r="BI3" s="253"/>
      <c r="BJ3" s="202" t="str">
        <f>IF(DASHBOARD!$M$2-DASHBOARD!$M$1&gt;=29,"Day "&amp;30,"")</f>
        <v>Day 30</v>
      </c>
      <c r="BK3" s="253"/>
      <c r="BL3" s="202" t="str">
        <f>IF(DASHBOARD!$M$2-DASHBOARD!$M$1&gt;=30,"Day "&amp;31,"")</f>
        <v>Day 31</v>
      </c>
      <c r="BM3" s="253"/>
      <c r="BN3" s="202" t="str">
        <f>IF(DASHBOARD!$M$2-DASHBOARD!$M$1&gt;=31,"Day "&amp;32,"")</f>
        <v>Day 32</v>
      </c>
      <c r="BO3" s="253"/>
      <c r="BP3" s="202" t="str">
        <f>IF(DASHBOARD!$M$2-DASHBOARD!$M$1&gt;=32,"Day "&amp;33,"")</f>
        <v>Day 33</v>
      </c>
      <c r="BQ3" s="253"/>
      <c r="BR3" s="202" t="str">
        <f>IF(DASHBOARD!$M$2-DASHBOARD!$M$1&gt;=33,"Day "&amp;34,"")</f>
        <v>Day 34</v>
      </c>
      <c r="BS3" s="253"/>
      <c r="BT3" s="202" t="str">
        <f>IF(DASHBOARD!$M$2-DASHBOARD!$M$1&gt;=34,"Day "&amp;35,"")</f>
        <v>Day 35</v>
      </c>
      <c r="BU3" s="253"/>
      <c r="BV3" s="202" t="str">
        <f>IF(DASHBOARD!$M$2-DASHBOARD!$M$1&gt;=35,"Day "&amp;36,"")</f>
        <v>Day 36</v>
      </c>
      <c r="BW3" s="253"/>
      <c r="BX3" s="202" t="str">
        <f>IF(DASHBOARD!$M$2-DASHBOARD!$M$1&gt;=36,"Day "&amp;37,"")</f>
        <v>Day 37</v>
      </c>
      <c r="BY3" s="253"/>
      <c r="BZ3" s="202" t="str">
        <f>IF(DASHBOARD!$M$2-DASHBOARD!$M$1&gt;=37,"Day "&amp;38,"")</f>
        <v>Day 38</v>
      </c>
      <c r="CA3" s="253"/>
      <c r="CB3" s="202" t="str">
        <f>IF(DASHBOARD!$M$2-DASHBOARD!$M$1&gt;=38,"Day "&amp;39,"")</f>
        <v/>
      </c>
      <c r="CC3" s="253"/>
      <c r="CD3" s="202" t="str">
        <f>IF(DASHBOARD!$M$2-DASHBOARD!$M$1&gt;=39,"Day "&amp;40,"")</f>
        <v/>
      </c>
      <c r="CE3" s="253"/>
      <c r="CF3" s="202" t="str">
        <f>IF(DASHBOARD!$M$2-DASHBOARD!$M$1&gt;=40,"Day "&amp;41,"")</f>
        <v/>
      </c>
      <c r="CG3" s="253"/>
      <c r="CH3" s="202" t="str">
        <f>IF(DASHBOARD!$M$2-DASHBOARD!$M$1&gt;=41,"Day "&amp;42,"")</f>
        <v/>
      </c>
      <c r="CI3" s="253"/>
      <c r="CJ3" s="202" t="str">
        <f>IF(DASHBOARD!$M$2-DASHBOARD!$M$1&gt;=42,"Day "&amp;43,"")</f>
        <v/>
      </c>
      <c r="CK3" s="253"/>
      <c r="CL3" s="202" t="str">
        <f>IF(DASHBOARD!$M$2-DASHBOARD!$M$1&gt;=43,"Day "&amp;44,"")</f>
        <v/>
      </c>
      <c r="CM3" s="253"/>
      <c r="CN3" s="202" t="str">
        <f>IF(DASHBOARD!$M$2-DASHBOARD!$M$1&gt;=44,"Day "&amp;45,"")</f>
        <v/>
      </c>
      <c r="CO3" s="253"/>
      <c r="CP3" s="202" t="str">
        <f>IF(DASHBOARD!$M$2-DASHBOARD!$M$1&gt;=45,"Day "&amp;46,"")</f>
        <v/>
      </c>
      <c r="CQ3" s="253"/>
      <c r="CR3" s="202" t="str">
        <f>IF(DASHBOARD!$M$2-DASHBOARD!$M$1&gt;=46,"Day "&amp;47,"")</f>
        <v/>
      </c>
      <c r="CS3" s="253"/>
      <c r="CT3" s="202" t="str">
        <f>IF(DASHBOARD!$M$2-DASHBOARD!$M$1&gt;=47,"Day "&amp;48,"")</f>
        <v/>
      </c>
      <c r="CU3" s="253"/>
      <c r="CV3" s="202" t="str">
        <f>IF(DASHBOARD!$M$2-DASHBOARD!$M$1&gt;=48,"Day "&amp;49,"")</f>
        <v/>
      </c>
      <c r="CW3" s="253"/>
      <c r="CX3" s="202" t="str">
        <f>IF(DASHBOARD!$M$2-DASHBOARD!$M$1&gt;=49,"Day "&amp;50,"")</f>
        <v/>
      </c>
      <c r="CY3" s="253"/>
    </row>
    <row r="4" spans="1:103" ht="15" customHeight="1">
      <c r="A4" s="253"/>
      <c r="B4" s="253"/>
      <c r="C4" s="253"/>
      <c r="D4" s="203">
        <f>IF(DASHBOARD!$M$2-DASHBOARD!$M$1&gt;=0,DASHBOARD!$M$1+0,"")</f>
        <v>46221</v>
      </c>
      <c r="E4" s="253"/>
      <c r="F4" s="203">
        <f>IF(DASHBOARD!$M$2-DASHBOARD!$M$1&gt;=1,DASHBOARD!$M$1+1,"")</f>
        <v>46222</v>
      </c>
      <c r="G4" s="253"/>
      <c r="H4" s="203">
        <f>IF(DASHBOARD!$M$2-DASHBOARD!$M$1&gt;=2,DASHBOARD!$M$1+2,"")</f>
        <v>46223</v>
      </c>
      <c r="I4" s="253"/>
      <c r="J4" s="203">
        <f>IF(DASHBOARD!$M$2-DASHBOARD!$M$1&gt;=3,DASHBOARD!$M$1+3,"")</f>
        <v>46224</v>
      </c>
      <c r="K4" s="253"/>
      <c r="L4" s="203">
        <f>IF(DASHBOARD!$M$2-DASHBOARD!$M$1&gt;=4,DASHBOARD!$M$1+4,"")</f>
        <v>46225</v>
      </c>
      <c r="M4" s="253"/>
      <c r="N4" s="203">
        <f>IF(DASHBOARD!$M$2-DASHBOARD!$M$1&gt;=5,DASHBOARD!$M$1+5,"")</f>
        <v>46226</v>
      </c>
      <c r="O4" s="253"/>
      <c r="P4" s="203">
        <f>IF(DASHBOARD!$M$2-DASHBOARD!$M$1&gt;=6,DASHBOARD!$M$1+6,"")</f>
        <v>46227</v>
      </c>
      <c r="Q4" s="253"/>
      <c r="R4" s="203">
        <f>IF(DASHBOARD!$M$2-DASHBOARD!$M$1&gt;=7,DASHBOARD!$M$1+7,"")</f>
        <v>46228</v>
      </c>
      <c r="S4" s="253"/>
      <c r="T4" s="203">
        <f>IF(DASHBOARD!$M$2-DASHBOARD!$M$1&gt;=8,DASHBOARD!$M$1+8,"")</f>
        <v>46229</v>
      </c>
      <c r="U4" s="253"/>
      <c r="V4" s="203">
        <f>IF(DASHBOARD!$M$2-DASHBOARD!$M$1&gt;=9,DASHBOARD!$M$1+9,"")</f>
        <v>46230</v>
      </c>
      <c r="W4" s="253"/>
      <c r="X4" s="203">
        <f>IF(DASHBOARD!$M$2-DASHBOARD!$M$1&gt;=10,DASHBOARD!$M$1+10,"")</f>
        <v>46231</v>
      </c>
      <c r="Y4" s="253"/>
      <c r="Z4" s="203">
        <f>IF(DASHBOARD!$M$2-DASHBOARD!$M$1&gt;=11,DASHBOARD!$M$1+11,"")</f>
        <v>46232</v>
      </c>
      <c r="AA4" s="253"/>
      <c r="AB4" s="203">
        <f>IF(DASHBOARD!$M$2-DASHBOARD!$M$1&gt;=12,DASHBOARD!$M$1+12,"")</f>
        <v>46233</v>
      </c>
      <c r="AC4" s="253"/>
      <c r="AD4" s="203">
        <f>IF(DASHBOARD!$M$2-DASHBOARD!$M$1&gt;=13,DASHBOARD!$M$1+13,"")</f>
        <v>46234</v>
      </c>
      <c r="AE4" s="253"/>
      <c r="AF4" s="203">
        <f>IF(DASHBOARD!$M$2-DASHBOARD!$M$1&gt;=14,DASHBOARD!$M$1+14,"")</f>
        <v>46235</v>
      </c>
      <c r="AG4" s="253"/>
      <c r="AH4" s="203">
        <f>IF(DASHBOARD!$M$2-DASHBOARD!$M$1&gt;=15,DASHBOARD!$M$1+15,"")</f>
        <v>46236</v>
      </c>
      <c r="AI4" s="253"/>
      <c r="AJ4" s="203">
        <f>IF(DASHBOARD!$M$2-DASHBOARD!$M$1&gt;=16,DASHBOARD!$M$1+16,"")</f>
        <v>46237</v>
      </c>
      <c r="AK4" s="253"/>
      <c r="AL4" s="203">
        <f>IF(DASHBOARD!$M$2-DASHBOARD!$M$1&gt;=17,DASHBOARD!$M$1+17,"")</f>
        <v>46238</v>
      </c>
      <c r="AM4" s="253"/>
      <c r="AN4" s="203">
        <f>IF(DASHBOARD!$M$2-DASHBOARD!$M$1&gt;=18,DASHBOARD!$M$1+18,"")</f>
        <v>46239</v>
      </c>
      <c r="AO4" s="253"/>
      <c r="AP4" s="203">
        <f>IF(DASHBOARD!$M$2-DASHBOARD!$M$1&gt;=19,DASHBOARD!$M$1+19,"")</f>
        <v>46240</v>
      </c>
      <c r="AQ4" s="253"/>
      <c r="AR4" s="203">
        <f>IF(DASHBOARD!$M$2-DASHBOARD!$M$1&gt;=20,DASHBOARD!$M$1+20,"")</f>
        <v>46241</v>
      </c>
      <c r="AS4" s="253"/>
      <c r="AT4" s="203">
        <f>IF(DASHBOARD!$M$2-DASHBOARD!$M$1&gt;=21,DASHBOARD!$M$1+21,"")</f>
        <v>46242</v>
      </c>
      <c r="AU4" s="253"/>
      <c r="AV4" s="203">
        <f>IF(DASHBOARD!$M$2-DASHBOARD!$M$1&gt;=22,DASHBOARD!$M$1+22,"")</f>
        <v>46243</v>
      </c>
      <c r="AW4" s="253"/>
      <c r="AX4" s="203">
        <f>IF(DASHBOARD!$M$2-DASHBOARD!$M$1&gt;=23,DASHBOARD!$M$1+23,"")</f>
        <v>46244</v>
      </c>
      <c r="AY4" s="253"/>
      <c r="AZ4" s="203">
        <f>IF(DASHBOARD!$M$2-DASHBOARD!$M$1&gt;=24,DASHBOARD!$M$1+24,"")</f>
        <v>46245</v>
      </c>
      <c r="BA4" s="253"/>
      <c r="BB4" s="203">
        <f>IF(DASHBOARD!$M$2-DASHBOARD!$M$1&gt;=25,DASHBOARD!$M$1+25,"")</f>
        <v>46246</v>
      </c>
      <c r="BC4" s="253"/>
      <c r="BD4" s="203">
        <f>IF(DASHBOARD!$M$2-DASHBOARD!$M$1&gt;=26,DASHBOARD!$M$1+26,"")</f>
        <v>46247</v>
      </c>
      <c r="BE4" s="253"/>
      <c r="BF4" s="203">
        <f>IF(DASHBOARD!$M$2-DASHBOARD!$M$1&gt;=27,DASHBOARD!$M$1+27,"")</f>
        <v>46248</v>
      </c>
      <c r="BG4" s="253"/>
      <c r="BH4" s="203">
        <f>IF(DASHBOARD!$M$2-DASHBOARD!$M$1&gt;=28,DASHBOARD!$M$1+28,"")</f>
        <v>46249</v>
      </c>
      <c r="BI4" s="253"/>
      <c r="BJ4" s="203">
        <f>IF(DASHBOARD!$M$2-DASHBOARD!$M$1&gt;=29,DASHBOARD!$M$1+29,"")</f>
        <v>46250</v>
      </c>
      <c r="BK4" s="253"/>
      <c r="BL4" s="203">
        <f>IF(DASHBOARD!$M$2-DASHBOARD!$M$1&gt;=30,DASHBOARD!$M$1+30,"")</f>
        <v>46251</v>
      </c>
      <c r="BM4" s="253"/>
      <c r="BN4" s="203">
        <f>IF(DASHBOARD!$M$2-DASHBOARD!$M$1&gt;=31,DASHBOARD!$M$1+31,"")</f>
        <v>46252</v>
      </c>
      <c r="BO4" s="253"/>
      <c r="BP4" s="203">
        <f>IF(DASHBOARD!$M$2-DASHBOARD!$M$1&gt;=32,DASHBOARD!$M$1+32,"")</f>
        <v>46253</v>
      </c>
      <c r="BQ4" s="253"/>
      <c r="BR4" s="203">
        <f>IF(DASHBOARD!$M$2-DASHBOARD!$M$1&gt;=33,DASHBOARD!$M$1+33,"")</f>
        <v>46254</v>
      </c>
      <c r="BS4" s="253"/>
      <c r="BT4" s="203">
        <f>IF(DASHBOARD!$M$2-DASHBOARD!$M$1&gt;=34,DASHBOARD!$M$1+34,"")</f>
        <v>46255</v>
      </c>
      <c r="BU4" s="253"/>
      <c r="BV4" s="203">
        <f>IF(DASHBOARD!$M$2-DASHBOARD!$M$1&gt;=35,DASHBOARD!$M$1+35,"")</f>
        <v>46256</v>
      </c>
      <c r="BW4" s="253"/>
      <c r="BX4" s="203">
        <f>IF(DASHBOARD!$M$2-DASHBOARD!$M$1&gt;=36,DASHBOARD!$M$1+36,"")</f>
        <v>46257</v>
      </c>
      <c r="BY4" s="253"/>
      <c r="BZ4" s="203">
        <f>IF(DASHBOARD!$M$2-DASHBOARD!$M$1&gt;=37,DASHBOARD!$M$1+37,"")</f>
        <v>46258</v>
      </c>
      <c r="CA4" s="253"/>
      <c r="CB4" s="203" t="str">
        <f>IF(DASHBOARD!$M$2-DASHBOARD!$M$1&gt;=38,DASHBOARD!$M$1+38,"")</f>
        <v/>
      </c>
      <c r="CC4" s="253"/>
      <c r="CD4" s="208" t="str">
        <f>IF(DASHBOARD!$M$2-DASHBOARD!$M$1&gt;=39,DASHBOARD!$M$1+39,"")</f>
        <v/>
      </c>
      <c r="CE4" s="253"/>
      <c r="CF4" s="208" t="str">
        <f>IF(DASHBOARD!$M$2-DASHBOARD!$M$1&gt;=40,DASHBOARD!$M$1+40,"")</f>
        <v/>
      </c>
      <c r="CG4" s="253"/>
      <c r="CH4" s="208" t="str">
        <f>IF(DASHBOARD!$M$2-DASHBOARD!$M$1&gt;=41,DASHBOARD!$M$1+41,"")</f>
        <v/>
      </c>
      <c r="CI4" s="253"/>
      <c r="CJ4" s="208" t="str">
        <f>IF(DASHBOARD!$M$2-DASHBOARD!$M$1&gt;=42,DASHBOARD!$M$1+42,"")</f>
        <v/>
      </c>
      <c r="CK4" s="253"/>
      <c r="CL4" s="208" t="str">
        <f>IF(DASHBOARD!$M$2-DASHBOARD!$M$1&gt;=43,DASHBOARD!$M$1+43,"")</f>
        <v/>
      </c>
      <c r="CM4" s="253"/>
      <c r="CN4" s="208" t="str">
        <f>IF(DASHBOARD!$M$2-DASHBOARD!$M$1&gt;=44,DASHBOARD!$M$1+44,"")</f>
        <v/>
      </c>
      <c r="CO4" s="253"/>
      <c r="CP4" s="208" t="str">
        <f>IF(DASHBOARD!$M$2-DASHBOARD!$M$1&gt;=45,DASHBOARD!$M$1+45,"")</f>
        <v/>
      </c>
      <c r="CQ4" s="253"/>
      <c r="CR4" s="208" t="str">
        <f>IF(DASHBOARD!$M$2-DASHBOARD!$M$1&gt;=46,DASHBOARD!$M$1+46,"")</f>
        <v/>
      </c>
      <c r="CS4" s="253"/>
      <c r="CT4" s="208" t="str">
        <f>IF(DASHBOARD!$M$2-DASHBOARD!$M$1&gt;=47,DASHBOARD!$M$1+47,"")</f>
        <v/>
      </c>
      <c r="CU4" s="253"/>
      <c r="CV4" s="208" t="str">
        <f>IF(DASHBOARD!$M$2-DASHBOARD!$M$1&gt;=48,DASHBOARD!$M$1+48,"")</f>
        <v/>
      </c>
      <c r="CW4" s="253"/>
      <c r="CX4" s="208" t="str">
        <f>IF(DASHBOARD!$M$2-DASHBOARD!$M$1&gt;=49,DASHBOARD!$M$1+49,"")</f>
        <v/>
      </c>
      <c r="CY4" s="253"/>
    </row>
    <row r="5" spans="1:103" ht="10.9" customHeight="1">
      <c r="A5" s="253"/>
      <c r="B5" s="253"/>
      <c r="C5" s="253"/>
      <c r="D5" s="14" t="str">
        <f>IF(DASHBOARD!$M$2-DASHBOARD!$M$1&gt;=0,"D","")</f>
        <v>D</v>
      </c>
      <c r="E5" s="15" t="str">
        <f>IF(DASHBOARD!$M$2-DASHBOARD!$M$1&gt;=0,"T","")</f>
        <v>T</v>
      </c>
      <c r="F5" s="14" t="str">
        <f>IF(DASHBOARD!$M$2-DASHBOARD!$M$1&gt;=1,"D","")</f>
        <v>D</v>
      </c>
      <c r="G5" s="15" t="str">
        <f>IF(DASHBOARD!$M$2-DASHBOARD!$M$1&gt;=1,"T","")</f>
        <v>T</v>
      </c>
      <c r="H5" s="14" t="str">
        <f>IF(DASHBOARD!$M$2-DASHBOARD!$M$1&gt;=2,"D","")</f>
        <v>D</v>
      </c>
      <c r="I5" s="15" t="str">
        <f>IF(DASHBOARD!$M$2-DASHBOARD!$M$1&gt;=2,"T","")</f>
        <v>T</v>
      </c>
      <c r="J5" s="14" t="str">
        <f>IF(DASHBOARD!$M$2-DASHBOARD!$M$1&gt;=3,"D","")</f>
        <v>D</v>
      </c>
      <c r="K5" s="15" t="str">
        <f>IF(DASHBOARD!$M$2-DASHBOARD!$M$1&gt;=3,"T","")</f>
        <v>T</v>
      </c>
      <c r="L5" s="14" t="str">
        <f>IF(DASHBOARD!$M$2-DASHBOARD!$M$1&gt;=4,"D","")</f>
        <v>D</v>
      </c>
      <c r="M5" s="15" t="str">
        <f>IF(DASHBOARD!$M$2-DASHBOARD!$M$1&gt;=4,"T","")</f>
        <v>T</v>
      </c>
      <c r="N5" s="14" t="str">
        <f>IF(DASHBOARD!$M$2-DASHBOARD!$M$1&gt;=5,"D","")</f>
        <v>D</v>
      </c>
      <c r="O5" s="15" t="str">
        <f>IF(DASHBOARD!$M$2-DASHBOARD!$M$1&gt;=5,"T","")</f>
        <v>T</v>
      </c>
      <c r="P5" s="14" t="str">
        <f>IF(DASHBOARD!$M$2-DASHBOARD!$M$1&gt;=6,"D","")</f>
        <v>D</v>
      </c>
      <c r="Q5" s="15" t="str">
        <f>IF(DASHBOARD!$M$2-DASHBOARD!$M$1&gt;=6,"T","")</f>
        <v>T</v>
      </c>
      <c r="R5" s="14" t="str">
        <f>IF(DASHBOARD!$M$2-DASHBOARD!$M$1&gt;=7,"D","")</f>
        <v>D</v>
      </c>
      <c r="S5" s="15" t="str">
        <f>IF(DASHBOARD!$M$2-DASHBOARD!$M$1&gt;=7,"T","")</f>
        <v>T</v>
      </c>
      <c r="T5" s="14" t="str">
        <f>IF(DASHBOARD!$M$2-DASHBOARD!$M$1&gt;=8,"D","")</f>
        <v>D</v>
      </c>
      <c r="U5" s="15" t="str">
        <f>IF(DASHBOARD!$M$2-DASHBOARD!$M$1&gt;=8,"T","")</f>
        <v>T</v>
      </c>
      <c r="V5" s="14" t="str">
        <f>IF(DASHBOARD!$M$2-DASHBOARD!$M$1&gt;=9,"D","")</f>
        <v>D</v>
      </c>
      <c r="W5" s="15" t="str">
        <f>IF(DASHBOARD!$M$2-DASHBOARD!$M$1&gt;=9,"T","")</f>
        <v>T</v>
      </c>
      <c r="X5" s="14" t="str">
        <f>IF(DASHBOARD!$M$2-DASHBOARD!$M$1&gt;=10,"D","")</f>
        <v>D</v>
      </c>
      <c r="Y5" s="15" t="str">
        <f>IF(DASHBOARD!$M$2-DASHBOARD!$M$1&gt;=10,"T","")</f>
        <v>T</v>
      </c>
      <c r="Z5" s="14" t="str">
        <f>IF(DASHBOARD!$M$2-DASHBOARD!$M$1&gt;=11,"D","")</f>
        <v>D</v>
      </c>
      <c r="AA5" s="15" t="str">
        <f>IF(DASHBOARD!$M$2-DASHBOARD!$M$1&gt;=11,"T","")</f>
        <v>T</v>
      </c>
      <c r="AB5" s="14" t="str">
        <f>IF(DASHBOARD!$M$2-DASHBOARD!$M$1&gt;=12,"D","")</f>
        <v>D</v>
      </c>
      <c r="AC5" s="15" t="str">
        <f>IF(DASHBOARD!$M$2-DASHBOARD!$M$1&gt;=12,"T","")</f>
        <v>T</v>
      </c>
      <c r="AD5" s="14" t="str">
        <f>IF(DASHBOARD!$M$2-DASHBOARD!$M$1&gt;=13,"D","")</f>
        <v>D</v>
      </c>
      <c r="AE5" s="15" t="str">
        <f>IF(DASHBOARD!$M$2-DASHBOARD!$M$1&gt;=13,"T","")</f>
        <v>T</v>
      </c>
      <c r="AF5" s="14" t="str">
        <f>IF(DASHBOARD!$M$2-DASHBOARD!$M$1&gt;=14,"D","")</f>
        <v>D</v>
      </c>
      <c r="AG5" s="15" t="str">
        <f>IF(DASHBOARD!$M$2-DASHBOARD!$M$1&gt;=14,"T","")</f>
        <v>T</v>
      </c>
      <c r="AH5" s="14" t="str">
        <f>IF(DASHBOARD!$M$2-DASHBOARD!$M$1&gt;=15,"D","")</f>
        <v>D</v>
      </c>
      <c r="AI5" s="15" t="str">
        <f>IF(DASHBOARD!$M$2-DASHBOARD!$M$1&gt;=15,"T","")</f>
        <v>T</v>
      </c>
      <c r="AJ5" s="14" t="str">
        <f>IF(DASHBOARD!$M$2-DASHBOARD!$M$1&gt;=16,"D","")</f>
        <v>D</v>
      </c>
      <c r="AK5" s="15" t="str">
        <f>IF(DASHBOARD!$M$2-DASHBOARD!$M$1&gt;=16,"T","")</f>
        <v>T</v>
      </c>
      <c r="AL5" s="14" t="str">
        <f>IF(DASHBOARD!$M$2-DASHBOARD!$M$1&gt;=17,"D","")</f>
        <v>D</v>
      </c>
      <c r="AM5" s="15" t="str">
        <f>IF(DASHBOARD!$M$2-DASHBOARD!$M$1&gt;=17,"T","")</f>
        <v>T</v>
      </c>
      <c r="AN5" s="14" t="str">
        <f>IF(DASHBOARD!$M$2-DASHBOARD!$M$1&gt;=18,"D","")</f>
        <v>D</v>
      </c>
      <c r="AO5" s="15" t="str">
        <f>IF(DASHBOARD!$M$2-DASHBOARD!$M$1&gt;=18,"T","")</f>
        <v>T</v>
      </c>
      <c r="AP5" s="14" t="str">
        <f>IF(DASHBOARD!$M$2-DASHBOARD!$M$1&gt;=19,"D","")</f>
        <v>D</v>
      </c>
      <c r="AQ5" s="15" t="str">
        <f>IF(DASHBOARD!$M$2-DASHBOARD!$M$1&gt;=19,"T","")</f>
        <v>T</v>
      </c>
      <c r="AR5" s="14" t="str">
        <f>IF(DASHBOARD!$M$2-DASHBOARD!$M$1&gt;=20,"D","")</f>
        <v>D</v>
      </c>
      <c r="AS5" s="15" t="str">
        <f>IF(DASHBOARD!$M$2-DASHBOARD!$M$1&gt;=20,"T","")</f>
        <v>T</v>
      </c>
      <c r="AT5" s="14" t="str">
        <f>IF(DASHBOARD!$M$2-DASHBOARD!$M$1&gt;=21,"D","")</f>
        <v>D</v>
      </c>
      <c r="AU5" s="15" t="str">
        <f>IF(DASHBOARD!$M$2-DASHBOARD!$M$1&gt;=21,"T","")</f>
        <v>T</v>
      </c>
      <c r="AV5" s="14" t="str">
        <f>IF(DASHBOARD!$M$2-DASHBOARD!$M$1&gt;=22,"D","")</f>
        <v>D</v>
      </c>
      <c r="AW5" s="15" t="str">
        <f>IF(DASHBOARD!$M$2-DASHBOARD!$M$1&gt;=22,"T","")</f>
        <v>T</v>
      </c>
      <c r="AX5" s="14" t="str">
        <f>IF(DASHBOARD!$M$2-DASHBOARD!$M$1&gt;=23,"D","")</f>
        <v>D</v>
      </c>
      <c r="AY5" s="15" t="str">
        <f>IF(DASHBOARD!$M$2-DASHBOARD!$M$1&gt;=23,"T","")</f>
        <v>T</v>
      </c>
      <c r="AZ5" s="14" t="str">
        <f>IF(DASHBOARD!$M$2-DASHBOARD!$M$1&gt;=24,"D","")</f>
        <v>D</v>
      </c>
      <c r="BA5" s="15" t="str">
        <f>IF(DASHBOARD!$M$2-DASHBOARD!$M$1&gt;=24,"T","")</f>
        <v>T</v>
      </c>
      <c r="BB5" s="14" t="str">
        <f>IF(DASHBOARD!$M$2-DASHBOARD!$M$1&gt;=25,"D","")</f>
        <v>D</v>
      </c>
      <c r="BC5" s="15" t="str">
        <f>IF(DASHBOARD!$M$2-DASHBOARD!$M$1&gt;=25,"T","")</f>
        <v>T</v>
      </c>
      <c r="BD5" s="14" t="str">
        <f>IF(DASHBOARD!$M$2-DASHBOARD!$M$1&gt;=26,"D","")</f>
        <v>D</v>
      </c>
      <c r="BE5" s="15" t="str">
        <f>IF(DASHBOARD!$M$2-DASHBOARD!$M$1&gt;=26,"T","")</f>
        <v>T</v>
      </c>
      <c r="BF5" s="14" t="str">
        <f>IF(DASHBOARD!$M$2-DASHBOARD!$M$1&gt;=27,"D","")</f>
        <v>D</v>
      </c>
      <c r="BG5" s="15" t="str">
        <f>IF(DASHBOARD!$M$2-DASHBOARD!$M$1&gt;=27,"T","")</f>
        <v>T</v>
      </c>
      <c r="BH5" s="14" t="str">
        <f>IF(DASHBOARD!$M$2-DASHBOARD!$M$1&gt;=28,"D","")</f>
        <v>D</v>
      </c>
      <c r="BI5" s="15" t="str">
        <f>IF(DASHBOARD!$M$2-DASHBOARD!$M$1&gt;=28,"T","")</f>
        <v>T</v>
      </c>
      <c r="BJ5" s="14" t="str">
        <f>IF(DASHBOARD!$M$2-DASHBOARD!$M$1&gt;=29,"D","")</f>
        <v>D</v>
      </c>
      <c r="BK5" s="15" t="str">
        <f>IF(DASHBOARD!$M$2-DASHBOARD!$M$1&gt;=29,"T","")</f>
        <v>T</v>
      </c>
      <c r="BL5" s="14" t="str">
        <f>IF(DASHBOARD!$M$2-DASHBOARD!$M$1&gt;=30,"D","")</f>
        <v>D</v>
      </c>
      <c r="BM5" s="15" t="str">
        <f>IF(DASHBOARD!$M$2-DASHBOARD!$M$1&gt;=30,"T","")</f>
        <v>T</v>
      </c>
      <c r="BN5" s="14" t="str">
        <f>IF(DASHBOARD!$M$2-DASHBOARD!$M$1&gt;=31,"D","")</f>
        <v>D</v>
      </c>
      <c r="BO5" s="15" t="str">
        <f>IF(DASHBOARD!$M$2-DASHBOARD!$M$1&gt;=31,"T","")</f>
        <v>T</v>
      </c>
      <c r="BP5" s="14" t="str">
        <f>IF(DASHBOARD!$M$2-DASHBOARD!$M$1&gt;=32,"D","")</f>
        <v>D</v>
      </c>
      <c r="BQ5" s="15" t="str">
        <f>IF(DASHBOARD!$M$2-DASHBOARD!$M$1&gt;=32,"T","")</f>
        <v>T</v>
      </c>
      <c r="BR5" s="14" t="str">
        <f>IF(DASHBOARD!$M$2-DASHBOARD!$M$1&gt;=33,"D","")</f>
        <v>D</v>
      </c>
      <c r="BS5" s="15" t="str">
        <f>IF(DASHBOARD!$M$2-DASHBOARD!$M$1&gt;=33,"T","")</f>
        <v>T</v>
      </c>
      <c r="BT5" s="14" t="str">
        <f>IF(DASHBOARD!$M$2-DASHBOARD!$M$1&gt;=34,"D","")</f>
        <v>D</v>
      </c>
      <c r="BU5" s="15" t="str">
        <f>IF(DASHBOARD!$M$2-DASHBOARD!$M$1&gt;=34,"T","")</f>
        <v>T</v>
      </c>
      <c r="BV5" s="14" t="str">
        <f>IF(DASHBOARD!$M$2-DASHBOARD!$M$1&gt;=35,"D","")</f>
        <v>D</v>
      </c>
      <c r="BW5" s="15" t="str">
        <f>IF(DASHBOARD!$M$2-DASHBOARD!$M$1&gt;=35,"T","")</f>
        <v>T</v>
      </c>
      <c r="BX5" s="14" t="str">
        <f>IF(DASHBOARD!$M$2-DASHBOARD!$M$1&gt;=36,"D","")</f>
        <v>D</v>
      </c>
      <c r="BY5" s="15" t="str">
        <f>IF(DASHBOARD!$M$2-DASHBOARD!$M$1&gt;=36,"T","")</f>
        <v>T</v>
      </c>
      <c r="BZ5" s="14" t="str">
        <f>IF(DASHBOARD!$M$2-DASHBOARD!$M$1&gt;=37,"D","")</f>
        <v>D</v>
      </c>
      <c r="CA5" s="15" t="str">
        <f>IF(DASHBOARD!$M$2-DASHBOARD!$M$1&gt;=37,"T","")</f>
        <v>T</v>
      </c>
      <c r="CB5" s="14" t="str">
        <f>IF(DASHBOARD!$M$2-DASHBOARD!$M$1&gt;=38,"D","")</f>
        <v/>
      </c>
      <c r="CC5" s="15" t="str">
        <f>IF(DASHBOARD!$M$2-DASHBOARD!$M$1&gt;=38,"T","")</f>
        <v/>
      </c>
      <c r="CD5" s="14" t="str">
        <f>IF(DASHBOARD!$M$2-DASHBOARD!$M$1&gt;=39,"D","")</f>
        <v/>
      </c>
      <c r="CE5" s="15" t="str">
        <f>IF(DASHBOARD!$M$2-DASHBOARD!$M$1&gt;=39,"T","")</f>
        <v/>
      </c>
      <c r="CF5" s="14" t="str">
        <f>IF(DASHBOARD!$M$2-DASHBOARD!$M$1&gt;=40,"D","")</f>
        <v/>
      </c>
      <c r="CG5" s="15" t="str">
        <f>IF(DASHBOARD!$M$2-DASHBOARD!$M$1&gt;=40,"T","")</f>
        <v/>
      </c>
      <c r="CH5" s="14" t="str">
        <f>IF(DASHBOARD!$M$2-DASHBOARD!$M$1&gt;=41,"D","")</f>
        <v/>
      </c>
      <c r="CI5" s="15" t="str">
        <f>IF(DASHBOARD!$M$2-DASHBOARD!$M$1&gt;=41,"T","")</f>
        <v/>
      </c>
      <c r="CJ5" s="14" t="str">
        <f>IF(DASHBOARD!$M$2-DASHBOARD!$M$1&gt;=42,"D","")</f>
        <v/>
      </c>
      <c r="CK5" s="15" t="str">
        <f>IF(DASHBOARD!$M$2-DASHBOARD!$M$1&gt;=42,"T","")</f>
        <v/>
      </c>
      <c r="CL5" s="14" t="str">
        <f>IF(DASHBOARD!$M$2-DASHBOARD!$M$1&gt;=43,"D","")</f>
        <v/>
      </c>
      <c r="CM5" s="15" t="str">
        <f>IF(DASHBOARD!$M$2-DASHBOARD!$M$1&gt;=43,"T","")</f>
        <v/>
      </c>
      <c r="CN5" s="14" t="str">
        <f>IF(DASHBOARD!$M$2-DASHBOARD!$M$1&gt;=44,"D","")</f>
        <v/>
      </c>
      <c r="CO5" s="15" t="str">
        <f>IF(DASHBOARD!$M$2-DASHBOARD!$M$1&gt;=44,"T","")</f>
        <v/>
      </c>
      <c r="CP5" s="14" t="str">
        <f>IF(DASHBOARD!$M$2-DASHBOARD!$M$1&gt;=45,"D","")</f>
        <v/>
      </c>
      <c r="CQ5" s="15" t="str">
        <f>IF(DASHBOARD!$M$2-DASHBOARD!$M$1&gt;=45,"T","")</f>
        <v/>
      </c>
      <c r="CR5" s="14" t="str">
        <f>IF(DASHBOARD!$M$2-DASHBOARD!$M$1&gt;=46,"D","")</f>
        <v/>
      </c>
      <c r="CS5" s="15" t="str">
        <f>IF(DASHBOARD!$M$2-DASHBOARD!$M$1&gt;=46,"T","")</f>
        <v/>
      </c>
      <c r="CT5" s="14" t="str">
        <f>IF(DASHBOARD!$M$2-DASHBOARD!$M$1&gt;=47,"D","")</f>
        <v/>
      </c>
      <c r="CU5" s="15" t="str">
        <f>IF(DASHBOARD!$M$2-DASHBOARD!$M$1&gt;=47,"T","")</f>
        <v/>
      </c>
      <c r="CV5" s="14" t="str">
        <f>IF(DASHBOARD!$M$2-DASHBOARD!$M$1&gt;=48,"D","")</f>
        <v/>
      </c>
      <c r="CW5" s="15" t="str">
        <f>IF(DASHBOARD!$M$2-DASHBOARD!$M$1&gt;=48,"T","")</f>
        <v/>
      </c>
      <c r="CX5" s="14" t="str">
        <f>IF(DASHBOARD!$M$2-DASHBOARD!$M$1&gt;=49,"D","")</f>
        <v/>
      </c>
      <c r="CY5" s="15" t="str">
        <f>IF(DASHBOARD!$M$2-DASHBOARD!$M$1&gt;=49,"T","")</f>
        <v/>
      </c>
    </row>
    <row r="6" spans="1:103" ht="15.4" customHeight="1">
      <c r="A6" s="205" t="s">
        <v>763</v>
      </c>
      <c r="B6" s="257"/>
      <c r="C6" s="258"/>
      <c r="D6" s="91"/>
      <c r="E6" s="17"/>
      <c r="F6" s="91"/>
      <c r="G6" s="17"/>
      <c r="H6" s="91"/>
      <c r="I6" s="17"/>
      <c r="J6" s="91"/>
      <c r="K6" s="17"/>
      <c r="L6" s="91"/>
      <c r="M6" s="17"/>
      <c r="N6" s="91"/>
      <c r="O6" s="17"/>
      <c r="P6" s="91"/>
      <c r="Q6" s="17"/>
      <c r="R6" s="91"/>
      <c r="S6" s="17"/>
      <c r="T6" s="91"/>
      <c r="U6" s="17"/>
      <c r="V6" s="91"/>
      <c r="W6" s="17"/>
      <c r="X6" s="91"/>
      <c r="Y6" s="17"/>
      <c r="Z6" s="91"/>
      <c r="AA6" s="17"/>
      <c r="AB6" s="91"/>
      <c r="AC6" s="17"/>
      <c r="AD6" s="91"/>
      <c r="AE6" s="17"/>
      <c r="AF6" s="91"/>
      <c r="AG6" s="17"/>
      <c r="AH6" s="91"/>
      <c r="AI6" s="17"/>
      <c r="AJ6" s="91"/>
      <c r="AK6" s="17"/>
      <c r="AL6" s="91"/>
      <c r="AM6" s="17"/>
      <c r="AN6" s="91"/>
      <c r="AO6" s="17"/>
      <c r="AP6" s="91"/>
      <c r="AQ6" s="17"/>
      <c r="AR6" s="91"/>
      <c r="AS6" s="17"/>
      <c r="AT6" s="91"/>
      <c r="AU6" s="17"/>
      <c r="AV6" s="91"/>
      <c r="AW6" s="17"/>
      <c r="AX6" s="91"/>
      <c r="AY6" s="17"/>
      <c r="AZ6" s="91"/>
      <c r="BA6" s="17"/>
      <c r="BB6" s="91"/>
      <c r="BC6" s="17"/>
      <c r="BD6" s="91"/>
      <c r="BE6" s="17"/>
      <c r="BF6" s="91"/>
      <c r="BG6" s="17"/>
      <c r="BH6" s="91"/>
      <c r="BI6" s="17"/>
      <c r="BJ6" s="91"/>
      <c r="BK6" s="17"/>
      <c r="BL6" s="91"/>
      <c r="BM6" s="17"/>
      <c r="BN6" s="91"/>
      <c r="BO6" s="17"/>
      <c r="BP6" s="91"/>
      <c r="BQ6" s="17"/>
      <c r="BR6" s="91"/>
      <c r="BS6" s="17"/>
      <c r="BT6" s="91"/>
      <c r="BU6" s="17"/>
      <c r="BV6" s="91"/>
      <c r="BW6" s="17"/>
      <c r="BX6" s="91"/>
      <c r="BY6" s="17"/>
      <c r="BZ6" s="91"/>
      <c r="CA6" s="17"/>
      <c r="CB6" s="91"/>
      <c r="CC6" s="16"/>
      <c r="CD6" s="91"/>
      <c r="CE6" s="17"/>
      <c r="CF6" s="91"/>
      <c r="CG6" s="17"/>
      <c r="CH6" s="91"/>
      <c r="CI6" s="17"/>
      <c r="CJ6" s="91"/>
      <c r="CK6" s="17"/>
      <c r="CL6" s="91"/>
      <c r="CM6" s="17"/>
      <c r="CN6" s="91"/>
      <c r="CO6" s="17"/>
      <c r="CP6" s="91"/>
      <c r="CQ6" s="17"/>
      <c r="CR6" s="91"/>
      <c r="CS6" s="17"/>
      <c r="CT6" s="91"/>
      <c r="CU6" s="17"/>
      <c r="CV6" s="91"/>
      <c r="CW6" s="17"/>
      <c r="CX6" s="91"/>
      <c r="CY6" s="17"/>
    </row>
    <row r="7" spans="1:103" ht="15.4" customHeight="1">
      <c r="A7" s="20" t="s">
        <v>764</v>
      </c>
      <c r="B7" s="213">
        <v>46221.25</v>
      </c>
      <c r="C7" s="214"/>
      <c r="D7" s="91"/>
      <c r="E7" s="17"/>
      <c r="F7" s="91"/>
      <c r="G7" s="17"/>
      <c r="H7" s="91"/>
      <c r="I7" s="17"/>
      <c r="J7" s="91"/>
      <c r="K7" s="17"/>
      <c r="L7" s="91"/>
      <c r="M7" s="17"/>
      <c r="N7" s="91"/>
      <c r="O7" s="17"/>
      <c r="P7" s="91"/>
      <c r="Q7" s="17"/>
      <c r="R7" s="91"/>
      <c r="S7" s="17"/>
      <c r="T7" s="91"/>
      <c r="U7" s="17"/>
      <c r="V7" s="91"/>
      <c r="W7" s="17"/>
      <c r="X7" s="91"/>
      <c r="Y7" s="17"/>
      <c r="Z7" s="91"/>
      <c r="AA7" s="17"/>
      <c r="AB7" s="91"/>
      <c r="AC7" s="17"/>
      <c r="AD7" s="91"/>
      <c r="AE7" s="17"/>
      <c r="AF7" s="91"/>
      <c r="AG7" s="17"/>
      <c r="AH7" s="91"/>
      <c r="AI7" s="17"/>
      <c r="AJ7" s="91"/>
      <c r="AK7" s="17"/>
      <c r="AL7" s="91"/>
      <c r="AM7" s="17"/>
      <c r="AN7" s="91"/>
      <c r="AO7" s="17"/>
      <c r="AP7" s="91"/>
      <c r="AQ7" s="17"/>
      <c r="AR7" s="91"/>
      <c r="AS7" s="17"/>
      <c r="AT7" s="91"/>
      <c r="AU7" s="17"/>
      <c r="AV7" s="91"/>
      <c r="AW7" s="17"/>
      <c r="AX7" s="91"/>
      <c r="AY7" s="17"/>
      <c r="AZ7" s="91"/>
      <c r="BA7" s="17"/>
      <c r="BB7" s="91"/>
      <c r="BC7" s="17"/>
      <c r="BD7" s="91"/>
      <c r="BE7" s="17"/>
      <c r="BF7" s="91"/>
      <c r="BG7" s="17"/>
      <c r="BH7" s="91"/>
      <c r="BI7" s="17"/>
      <c r="BJ7" s="91"/>
      <c r="BK7" s="17"/>
      <c r="BL7" s="91"/>
      <c r="BM7" s="17"/>
      <c r="BN7" s="91"/>
      <c r="BO7" s="17"/>
      <c r="BP7" s="91"/>
      <c r="BQ7" s="17"/>
      <c r="BR7" s="91"/>
      <c r="BS7" s="17"/>
      <c r="BT7" s="91"/>
      <c r="BU7" s="17"/>
      <c r="BV7" s="91"/>
      <c r="BW7" s="17"/>
      <c r="BX7" s="91"/>
      <c r="BY7" s="17"/>
      <c r="BZ7" s="91"/>
      <c r="CA7" s="17"/>
      <c r="CB7" s="91"/>
      <c r="CC7" s="16"/>
      <c r="CD7" s="91"/>
      <c r="CE7" s="17"/>
      <c r="CF7" s="91"/>
      <c r="CG7" s="17"/>
      <c r="CH7" s="91"/>
      <c r="CI7" s="17"/>
      <c r="CJ7" s="91"/>
      <c r="CK7" s="17"/>
      <c r="CL7" s="91"/>
      <c r="CM7" s="17"/>
      <c r="CN7" s="91"/>
      <c r="CO7" s="17"/>
      <c r="CP7" s="91"/>
      <c r="CQ7" s="17"/>
      <c r="CR7" s="91"/>
      <c r="CS7" s="17"/>
      <c r="CT7" s="91"/>
      <c r="CU7" s="17"/>
      <c r="CV7" s="91"/>
      <c r="CW7" s="17"/>
      <c r="CX7" s="91"/>
      <c r="CY7" s="17"/>
    </row>
    <row r="8" spans="1:103" ht="15.4" customHeight="1">
      <c r="A8" s="20" t="s">
        <v>765</v>
      </c>
      <c r="B8" s="213">
        <v>46221.75</v>
      </c>
      <c r="C8" s="214"/>
      <c r="D8" s="91"/>
      <c r="E8" s="17"/>
      <c r="F8" s="91"/>
      <c r="G8" s="17"/>
      <c r="H8" s="91"/>
      <c r="I8" s="17"/>
      <c r="J8" s="91"/>
      <c r="K8" s="17"/>
      <c r="L8" s="91"/>
      <c r="M8" s="17"/>
      <c r="N8" s="91"/>
      <c r="O8" s="17"/>
      <c r="P8" s="91"/>
      <c r="Q8" s="17"/>
      <c r="R8" s="91"/>
      <c r="S8" s="17"/>
      <c r="T8" s="91"/>
      <c r="U8" s="17"/>
      <c r="V8" s="91"/>
      <c r="W8" s="17"/>
      <c r="X8" s="91"/>
      <c r="Y8" s="17"/>
      <c r="Z8" s="91"/>
      <c r="AA8" s="17"/>
      <c r="AB8" s="91"/>
      <c r="AC8" s="17"/>
      <c r="AD8" s="91"/>
      <c r="AE8" s="17"/>
      <c r="AF8" s="91"/>
      <c r="AG8" s="17"/>
      <c r="AH8" s="91"/>
      <c r="AI8" s="17"/>
      <c r="AJ8" s="91"/>
      <c r="AK8" s="17"/>
      <c r="AL8" s="91"/>
      <c r="AM8" s="17"/>
      <c r="AN8" s="91"/>
      <c r="AO8" s="17"/>
      <c r="AP8" s="91"/>
      <c r="AQ8" s="17"/>
      <c r="AR8" s="91"/>
      <c r="AS8" s="17"/>
      <c r="AT8" s="91"/>
      <c r="AU8" s="17"/>
      <c r="AV8" s="91"/>
      <c r="AW8" s="17"/>
      <c r="AX8" s="91"/>
      <c r="AY8" s="17"/>
      <c r="AZ8" s="91"/>
      <c r="BA8" s="17"/>
      <c r="BB8" s="91"/>
      <c r="BC8" s="17"/>
      <c r="BD8" s="91"/>
      <c r="BE8" s="17"/>
      <c r="BF8" s="91"/>
      <c r="BG8" s="17"/>
      <c r="BH8" s="91"/>
      <c r="BI8" s="17"/>
      <c r="BJ8" s="91"/>
      <c r="BK8" s="17"/>
      <c r="BL8" s="91"/>
      <c r="BM8" s="17"/>
      <c r="BN8" s="91"/>
      <c r="BO8" s="17"/>
      <c r="BP8" s="91"/>
      <c r="BQ8" s="17"/>
      <c r="BR8" s="91"/>
      <c r="BS8" s="17"/>
      <c r="BT8" s="91"/>
      <c r="BU8" s="17"/>
      <c r="BV8" s="91"/>
      <c r="BW8" s="17"/>
      <c r="BX8" s="91"/>
      <c r="BY8" s="17"/>
      <c r="BZ8" s="91"/>
      <c r="CA8" s="17"/>
      <c r="CB8" s="91"/>
      <c r="CC8" s="16"/>
      <c r="CD8" s="91"/>
      <c r="CE8" s="17"/>
      <c r="CF8" s="91"/>
      <c r="CG8" s="17"/>
      <c r="CH8" s="91"/>
      <c r="CI8" s="17"/>
      <c r="CJ8" s="91"/>
      <c r="CK8" s="17"/>
      <c r="CL8" s="91"/>
      <c r="CM8" s="17"/>
      <c r="CN8" s="91"/>
      <c r="CO8" s="17"/>
      <c r="CP8" s="91"/>
      <c r="CQ8" s="17"/>
      <c r="CR8" s="91"/>
      <c r="CS8" s="17"/>
      <c r="CT8" s="91"/>
      <c r="CU8" s="17"/>
      <c r="CV8" s="91"/>
      <c r="CW8" s="17"/>
      <c r="CX8" s="91"/>
      <c r="CY8" s="17"/>
    </row>
    <row r="9" spans="1:103" ht="15.4" customHeight="1">
      <c r="A9" s="20" t="s">
        <v>766</v>
      </c>
      <c r="B9" s="54"/>
      <c r="C9" s="54"/>
      <c r="D9" s="91"/>
      <c r="E9" s="17"/>
      <c r="F9" s="91"/>
      <c r="G9" s="17"/>
      <c r="H9" s="91"/>
      <c r="I9" s="17"/>
      <c r="J9" s="91"/>
      <c r="K9" s="17"/>
      <c r="L9" s="91"/>
      <c r="M9" s="17"/>
      <c r="N9" s="91"/>
      <c r="O9" s="17"/>
      <c r="P9" s="91"/>
      <c r="Q9" s="17"/>
      <c r="R9" s="91"/>
      <c r="S9" s="17"/>
      <c r="T9" s="91"/>
      <c r="U9" s="17"/>
      <c r="V9" s="91"/>
      <c r="W9" s="17"/>
      <c r="X9" s="91"/>
      <c r="Y9" s="17"/>
      <c r="Z9" s="91"/>
      <c r="AA9" s="17"/>
      <c r="AB9" s="91"/>
      <c r="AC9" s="17"/>
      <c r="AD9" s="91"/>
      <c r="AE9" s="17"/>
      <c r="AF9" s="91"/>
      <c r="AG9" s="17"/>
      <c r="AH9" s="91"/>
      <c r="AI9" s="17"/>
      <c r="AJ9" s="91"/>
      <c r="AK9" s="17"/>
      <c r="AL9" s="91"/>
      <c r="AM9" s="17"/>
      <c r="AN9" s="91"/>
      <c r="AO9" s="17"/>
      <c r="AP9" s="91"/>
      <c r="AQ9" s="17"/>
      <c r="AR9" s="91"/>
      <c r="AS9" s="17"/>
      <c r="AT9" s="91"/>
      <c r="AU9" s="17"/>
      <c r="AV9" s="91"/>
      <c r="AW9" s="17"/>
      <c r="AX9" s="91"/>
      <c r="AY9" s="17"/>
      <c r="AZ9" s="91"/>
      <c r="BA9" s="17"/>
      <c r="BB9" s="91"/>
      <c r="BC9" s="17"/>
      <c r="BD9" s="91"/>
      <c r="BE9" s="17"/>
      <c r="BF9" s="91"/>
      <c r="BG9" s="17"/>
      <c r="BH9" s="91"/>
      <c r="BI9" s="17"/>
      <c r="BJ9" s="91"/>
      <c r="BK9" s="17"/>
      <c r="BL9" s="91"/>
      <c r="BM9" s="17"/>
      <c r="BN9" s="91"/>
      <c r="BO9" s="17"/>
      <c r="BP9" s="91"/>
      <c r="BQ9" s="17"/>
      <c r="BR9" s="91"/>
      <c r="BS9" s="17"/>
      <c r="BT9" s="91"/>
      <c r="BU9" s="17"/>
      <c r="BV9" s="91"/>
      <c r="BW9" s="17"/>
      <c r="BX9" s="91"/>
      <c r="BY9" s="17"/>
      <c r="BZ9" s="91"/>
      <c r="CA9" s="17"/>
      <c r="CB9" s="91"/>
      <c r="CC9" s="16"/>
      <c r="CD9" s="91"/>
      <c r="CE9" s="17"/>
      <c r="CF9" s="91"/>
      <c r="CG9" s="17"/>
      <c r="CH9" s="91"/>
      <c r="CI9" s="17"/>
      <c r="CJ9" s="91"/>
      <c r="CK9" s="17"/>
      <c r="CL9" s="91"/>
      <c r="CM9" s="17"/>
      <c r="CN9" s="91"/>
      <c r="CO9" s="17"/>
      <c r="CP9" s="91"/>
      <c r="CQ9" s="17"/>
      <c r="CR9" s="91"/>
      <c r="CS9" s="17"/>
      <c r="CT9" s="91"/>
      <c r="CU9" s="17"/>
      <c r="CV9" s="91"/>
      <c r="CW9" s="17"/>
      <c r="CX9" s="91"/>
      <c r="CY9" s="17"/>
    </row>
    <row r="10" spans="1:103" ht="15.4" customHeight="1">
      <c r="A10" s="20" t="s">
        <v>767</v>
      </c>
      <c r="B10" s="54"/>
      <c r="C10" s="54"/>
      <c r="D10" s="91"/>
      <c r="E10" s="17"/>
      <c r="F10" s="91"/>
      <c r="G10" s="17"/>
      <c r="H10" s="91"/>
      <c r="I10" s="17"/>
      <c r="J10" s="91"/>
      <c r="K10" s="17"/>
      <c r="L10" s="91"/>
      <c r="M10" s="17"/>
      <c r="N10" s="91"/>
      <c r="O10" s="17"/>
      <c r="P10" s="91"/>
      <c r="Q10" s="17"/>
      <c r="R10" s="91"/>
      <c r="S10" s="17"/>
      <c r="T10" s="91"/>
      <c r="U10" s="17"/>
      <c r="V10" s="91"/>
      <c r="W10" s="17"/>
      <c r="X10" s="91"/>
      <c r="Y10" s="17"/>
      <c r="Z10" s="91"/>
      <c r="AA10" s="17"/>
      <c r="AB10" s="91"/>
      <c r="AC10" s="17"/>
      <c r="AD10" s="91"/>
      <c r="AE10" s="17"/>
      <c r="AF10" s="91"/>
      <c r="AG10" s="17"/>
      <c r="AH10" s="91"/>
      <c r="AI10" s="17"/>
      <c r="AJ10" s="91"/>
      <c r="AK10" s="17"/>
      <c r="AL10" s="91"/>
      <c r="AM10" s="17"/>
      <c r="AN10" s="91"/>
      <c r="AO10" s="17"/>
      <c r="AP10" s="91"/>
      <c r="AQ10" s="17"/>
      <c r="AR10" s="91"/>
      <c r="AS10" s="17"/>
      <c r="AT10" s="91"/>
      <c r="AU10" s="17"/>
      <c r="AV10" s="91"/>
      <c r="AW10" s="17"/>
      <c r="AX10" s="91"/>
      <c r="AY10" s="17"/>
      <c r="AZ10" s="91"/>
      <c r="BA10" s="17"/>
      <c r="BB10" s="91"/>
      <c r="BC10" s="17"/>
      <c r="BD10" s="91"/>
      <c r="BE10" s="17"/>
      <c r="BF10" s="91"/>
      <c r="BG10" s="17"/>
      <c r="BH10" s="91"/>
      <c r="BI10" s="17"/>
      <c r="BJ10" s="91"/>
      <c r="BK10" s="17"/>
      <c r="BL10" s="91"/>
      <c r="BM10" s="17"/>
      <c r="BN10" s="91"/>
      <c r="BO10" s="17"/>
      <c r="BP10" s="91"/>
      <c r="BQ10" s="17"/>
      <c r="BR10" s="91"/>
      <c r="BS10" s="17"/>
      <c r="BT10" s="91"/>
      <c r="BU10" s="17"/>
      <c r="BV10" s="91"/>
      <c r="BW10" s="17"/>
      <c r="BX10" s="91"/>
      <c r="BY10" s="17"/>
      <c r="BZ10" s="91"/>
      <c r="CA10" s="17"/>
      <c r="CB10" s="91"/>
      <c r="CC10" s="16"/>
      <c r="CD10" s="91"/>
      <c r="CE10" s="17"/>
      <c r="CF10" s="91"/>
      <c r="CG10" s="17"/>
      <c r="CH10" s="91"/>
      <c r="CI10" s="17"/>
      <c r="CJ10" s="91"/>
      <c r="CK10" s="17"/>
      <c r="CL10" s="91"/>
      <c r="CM10" s="17"/>
      <c r="CN10" s="91"/>
      <c r="CO10" s="17"/>
      <c r="CP10" s="91"/>
      <c r="CQ10" s="17"/>
      <c r="CR10" s="91"/>
      <c r="CS10" s="17"/>
      <c r="CT10" s="91"/>
      <c r="CU10" s="17"/>
      <c r="CV10" s="91"/>
      <c r="CW10" s="17"/>
      <c r="CX10" s="91"/>
      <c r="CY10" s="17"/>
    </row>
    <row r="11" spans="1:103" ht="15.4" customHeight="1">
      <c r="A11" s="20" t="s">
        <v>768</v>
      </c>
      <c r="B11" s="54"/>
      <c r="C11" s="54"/>
      <c r="D11" s="91"/>
      <c r="E11" s="17"/>
      <c r="F11" s="91"/>
      <c r="G11" s="17"/>
      <c r="H11" s="91"/>
      <c r="I11" s="17"/>
      <c r="J11" s="91"/>
      <c r="K11" s="17"/>
      <c r="L11" s="91"/>
      <c r="M11" s="17"/>
      <c r="N11" s="91"/>
      <c r="O11" s="17"/>
      <c r="P11" s="91"/>
      <c r="Q11" s="17"/>
      <c r="R11" s="91"/>
      <c r="S11" s="17"/>
      <c r="T11" s="91"/>
      <c r="U11" s="17"/>
      <c r="V11" s="91"/>
      <c r="W11" s="17"/>
      <c r="X11" s="91"/>
      <c r="Y11" s="17"/>
      <c r="Z11" s="91"/>
      <c r="AA11" s="17"/>
      <c r="AB11" s="91"/>
      <c r="AC11" s="17"/>
      <c r="AD11" s="91"/>
      <c r="AE11" s="17"/>
      <c r="AF11" s="91"/>
      <c r="AG11" s="17"/>
      <c r="AH11" s="91"/>
      <c r="AI11" s="17"/>
      <c r="AJ11" s="91"/>
      <c r="AK11" s="17"/>
      <c r="AL11" s="91"/>
      <c r="AM11" s="17"/>
      <c r="AN11" s="91"/>
      <c r="AO11" s="17"/>
      <c r="AP11" s="91"/>
      <c r="AQ11" s="17"/>
      <c r="AR11" s="91"/>
      <c r="AS11" s="17"/>
      <c r="AT11" s="91"/>
      <c r="AU11" s="17"/>
      <c r="AV11" s="91"/>
      <c r="AW11" s="17"/>
      <c r="AX11" s="91"/>
      <c r="AY11" s="17"/>
      <c r="AZ11" s="91"/>
      <c r="BA11" s="17"/>
      <c r="BB11" s="91"/>
      <c r="BC11" s="17"/>
      <c r="BD11" s="91"/>
      <c r="BE11" s="17"/>
      <c r="BF11" s="91"/>
      <c r="BG11" s="17"/>
      <c r="BH11" s="91"/>
      <c r="BI11" s="17"/>
      <c r="BJ11" s="91"/>
      <c r="BK11" s="17"/>
      <c r="BL11" s="91"/>
      <c r="BM11" s="17"/>
      <c r="BN11" s="91"/>
      <c r="BO11" s="17"/>
      <c r="BP11" s="91"/>
      <c r="BQ11" s="17"/>
      <c r="BR11" s="91"/>
      <c r="BS11" s="17"/>
      <c r="BT11" s="91"/>
      <c r="BU11" s="17"/>
      <c r="BV11" s="91"/>
      <c r="BW11" s="17"/>
      <c r="BX11" s="91"/>
      <c r="BY11" s="17"/>
      <c r="BZ11" s="91"/>
      <c r="CA11" s="17"/>
      <c r="CB11" s="91"/>
      <c r="CC11" s="16"/>
      <c r="CD11" s="91"/>
      <c r="CE11" s="17"/>
      <c r="CF11" s="91"/>
      <c r="CG11" s="17"/>
      <c r="CH11" s="91"/>
      <c r="CI11" s="17"/>
      <c r="CJ11" s="91"/>
      <c r="CK11" s="17"/>
      <c r="CL11" s="91"/>
      <c r="CM11" s="17"/>
      <c r="CN11" s="91"/>
      <c r="CO11" s="17"/>
      <c r="CP11" s="91"/>
      <c r="CQ11" s="17"/>
      <c r="CR11" s="91"/>
      <c r="CS11" s="17"/>
      <c r="CT11" s="91"/>
      <c r="CU11" s="17"/>
      <c r="CV11" s="91"/>
      <c r="CW11" s="17"/>
      <c r="CX11" s="91"/>
      <c r="CY11" s="17"/>
    </row>
    <row r="12" spans="1:103" ht="15.4" customHeight="1">
      <c r="A12" s="20" t="s">
        <v>769</v>
      </c>
      <c r="B12" s="213"/>
      <c r="C12" s="214"/>
      <c r="D12" s="91"/>
      <c r="E12" s="17"/>
      <c r="F12" s="91"/>
      <c r="G12" s="17"/>
      <c r="H12" s="91"/>
      <c r="I12" s="17"/>
      <c r="J12" s="91"/>
      <c r="K12" s="17"/>
      <c r="L12" s="91"/>
      <c r="M12" s="17"/>
      <c r="N12" s="91"/>
      <c r="O12" s="17"/>
      <c r="P12" s="91"/>
      <c r="Q12" s="17"/>
      <c r="R12" s="91"/>
      <c r="S12" s="17"/>
      <c r="T12" s="91"/>
      <c r="U12" s="17"/>
      <c r="V12" s="91"/>
      <c r="W12" s="17"/>
      <c r="X12" s="91"/>
      <c r="Y12" s="17"/>
      <c r="Z12" s="91"/>
      <c r="AA12" s="17"/>
      <c r="AB12" s="91"/>
      <c r="AC12" s="17"/>
      <c r="AD12" s="91"/>
      <c r="AE12" s="17"/>
      <c r="AF12" s="91"/>
      <c r="AG12" s="17"/>
      <c r="AH12" s="91"/>
      <c r="AI12" s="17"/>
      <c r="AJ12" s="91"/>
      <c r="AK12" s="17"/>
      <c r="AL12" s="91"/>
      <c r="AM12" s="17"/>
      <c r="AN12" s="91"/>
      <c r="AO12" s="17"/>
      <c r="AP12" s="91"/>
      <c r="AQ12" s="17"/>
      <c r="AR12" s="91"/>
      <c r="AS12" s="17"/>
      <c r="AT12" s="91"/>
      <c r="AU12" s="17"/>
      <c r="AV12" s="91"/>
      <c r="AW12" s="17"/>
      <c r="AX12" s="91"/>
      <c r="AY12" s="17"/>
      <c r="AZ12" s="91"/>
      <c r="BA12" s="17"/>
      <c r="BB12" s="91"/>
      <c r="BC12" s="17"/>
      <c r="BD12" s="91"/>
      <c r="BE12" s="17"/>
      <c r="BF12" s="91"/>
      <c r="BG12" s="17"/>
      <c r="BH12" s="91"/>
      <c r="BI12" s="17"/>
      <c r="BJ12" s="91"/>
      <c r="BK12" s="17"/>
      <c r="BL12" s="91"/>
      <c r="BM12" s="17"/>
      <c r="BN12" s="91"/>
      <c r="BO12" s="17"/>
      <c r="BP12" s="91"/>
      <c r="BQ12" s="17"/>
      <c r="BR12" s="91"/>
      <c r="BS12" s="17"/>
      <c r="BT12" s="91"/>
      <c r="BU12" s="17"/>
      <c r="BV12" s="91"/>
      <c r="BW12" s="17"/>
      <c r="BX12" s="91"/>
      <c r="BY12" s="17"/>
      <c r="BZ12" s="91"/>
      <c r="CA12" s="17"/>
      <c r="CB12" s="91"/>
      <c r="CC12" s="16"/>
      <c r="CD12" s="91"/>
      <c r="CE12" s="17"/>
      <c r="CF12" s="91"/>
      <c r="CG12" s="17"/>
      <c r="CH12" s="91"/>
      <c r="CI12" s="17"/>
      <c r="CJ12" s="91"/>
      <c r="CK12" s="17"/>
      <c r="CL12" s="91"/>
      <c r="CM12" s="17"/>
      <c r="CN12" s="91"/>
      <c r="CO12" s="17"/>
      <c r="CP12" s="91"/>
      <c r="CQ12" s="17"/>
      <c r="CR12" s="91"/>
      <c r="CS12" s="17"/>
      <c r="CT12" s="91"/>
      <c r="CU12" s="17"/>
      <c r="CV12" s="91"/>
      <c r="CW12" s="17"/>
      <c r="CX12" s="91"/>
      <c r="CY12" s="17"/>
    </row>
    <row r="13" spans="1:103" ht="15.4" customHeight="1">
      <c r="A13" s="205" t="s">
        <v>770</v>
      </c>
      <c r="B13" s="257"/>
      <c r="C13" s="258"/>
      <c r="D13" s="91"/>
      <c r="E13" s="17"/>
      <c r="F13" s="91"/>
      <c r="G13" s="17"/>
      <c r="H13" s="91"/>
      <c r="I13" s="17"/>
      <c r="J13" s="91"/>
      <c r="K13" s="17"/>
      <c r="L13" s="91"/>
      <c r="M13" s="17"/>
      <c r="N13" s="91"/>
      <c r="O13" s="17"/>
      <c r="P13" s="91"/>
      <c r="Q13" s="17"/>
      <c r="R13" s="91"/>
      <c r="S13" s="17"/>
      <c r="T13" s="91"/>
      <c r="U13" s="17"/>
      <c r="V13" s="91"/>
      <c r="W13" s="17"/>
      <c r="X13" s="91"/>
      <c r="Y13" s="17"/>
      <c r="Z13" s="91"/>
      <c r="AA13" s="17"/>
      <c r="AB13" s="91"/>
      <c r="AC13" s="17"/>
      <c r="AD13" s="91"/>
      <c r="AE13" s="17"/>
      <c r="AF13" s="91"/>
      <c r="AG13" s="17"/>
      <c r="AH13" s="91"/>
      <c r="AI13" s="17"/>
      <c r="AJ13" s="91"/>
      <c r="AK13" s="17"/>
      <c r="AL13" s="91"/>
      <c r="AM13" s="17"/>
      <c r="AN13" s="91"/>
      <c r="AO13" s="17"/>
      <c r="AP13" s="91"/>
      <c r="AQ13" s="17"/>
      <c r="AR13" s="91"/>
      <c r="AS13" s="17"/>
      <c r="AT13" s="91"/>
      <c r="AU13" s="17"/>
      <c r="AV13" s="91"/>
      <c r="AW13" s="17"/>
      <c r="AX13" s="91"/>
      <c r="AY13" s="17"/>
      <c r="AZ13" s="91"/>
      <c r="BA13" s="17"/>
      <c r="BB13" s="91"/>
      <c r="BC13" s="17"/>
      <c r="BD13" s="91"/>
      <c r="BE13" s="17"/>
      <c r="BF13" s="91"/>
      <c r="BG13" s="17"/>
      <c r="BH13" s="91"/>
      <c r="BI13" s="17"/>
      <c r="BJ13" s="91"/>
      <c r="BK13" s="17"/>
      <c r="BL13" s="91"/>
      <c r="BM13" s="17"/>
      <c r="BN13" s="91"/>
      <c r="BO13" s="17"/>
      <c r="BP13" s="91"/>
      <c r="BQ13" s="17"/>
      <c r="BR13" s="91"/>
      <c r="BS13" s="17"/>
      <c r="BT13" s="91"/>
      <c r="BU13" s="17"/>
      <c r="BV13" s="91"/>
      <c r="BW13" s="17"/>
      <c r="BX13" s="91"/>
      <c r="BY13" s="17"/>
      <c r="BZ13" s="91"/>
      <c r="CA13" s="17"/>
      <c r="CB13" s="91"/>
      <c r="CC13" s="16"/>
      <c r="CD13" s="91"/>
      <c r="CE13" s="17"/>
      <c r="CF13" s="91"/>
      <c r="CG13" s="17"/>
      <c r="CH13" s="91"/>
      <c r="CI13" s="17"/>
      <c r="CJ13" s="91"/>
      <c r="CK13" s="17"/>
      <c r="CL13" s="91"/>
      <c r="CM13" s="17"/>
      <c r="CN13" s="91"/>
      <c r="CO13" s="17"/>
      <c r="CP13" s="91"/>
      <c r="CQ13" s="17"/>
      <c r="CR13" s="91"/>
      <c r="CS13" s="17"/>
      <c r="CT13" s="91"/>
      <c r="CU13" s="17"/>
      <c r="CV13" s="91"/>
      <c r="CW13" s="17"/>
      <c r="CX13" s="91"/>
      <c r="CY13" s="17"/>
    </row>
    <row r="14" spans="1:103" ht="15.4" customHeight="1">
      <c r="A14" s="20" t="s">
        <v>771</v>
      </c>
      <c r="B14" s="54"/>
      <c r="C14" s="54"/>
      <c r="D14" s="91"/>
      <c r="E14" s="17"/>
      <c r="F14" s="91"/>
      <c r="G14" s="17"/>
      <c r="H14" s="91"/>
      <c r="I14" s="17"/>
      <c r="J14" s="91"/>
      <c r="K14" s="17"/>
      <c r="L14" s="91"/>
      <c r="M14" s="17"/>
      <c r="N14" s="91"/>
      <c r="O14" s="17"/>
      <c r="P14" s="91"/>
      <c r="Q14" s="17"/>
      <c r="R14" s="91"/>
      <c r="S14" s="17"/>
      <c r="T14" s="91"/>
      <c r="U14" s="17"/>
      <c r="V14" s="91"/>
      <c r="W14" s="17"/>
      <c r="X14" s="91"/>
      <c r="Y14" s="17"/>
      <c r="Z14" s="91"/>
      <c r="AA14" s="17"/>
      <c r="AB14" s="91"/>
      <c r="AC14" s="17"/>
      <c r="AD14" s="91"/>
      <c r="AE14" s="17"/>
      <c r="AF14" s="91"/>
      <c r="AG14" s="17"/>
      <c r="AH14" s="91"/>
      <c r="AI14" s="17"/>
      <c r="AJ14" s="91"/>
      <c r="AK14" s="17"/>
      <c r="AL14" s="91"/>
      <c r="AM14" s="17"/>
      <c r="AN14" s="91"/>
      <c r="AO14" s="17"/>
      <c r="AP14" s="91"/>
      <c r="AQ14" s="17"/>
      <c r="AR14" s="91"/>
      <c r="AS14" s="17"/>
      <c r="AT14" s="91"/>
      <c r="AU14" s="17"/>
      <c r="AV14" s="91"/>
      <c r="AW14" s="17"/>
      <c r="AX14" s="91"/>
      <c r="AY14" s="17"/>
      <c r="AZ14" s="91"/>
      <c r="BA14" s="17"/>
      <c r="BB14" s="91"/>
      <c r="BC14" s="17"/>
      <c r="BD14" s="91"/>
      <c r="BE14" s="17"/>
      <c r="BF14" s="91"/>
      <c r="BG14" s="17"/>
      <c r="BH14" s="91"/>
      <c r="BI14" s="17"/>
      <c r="BJ14" s="91"/>
      <c r="BK14" s="17"/>
      <c r="BL14" s="91"/>
      <c r="BM14" s="17"/>
      <c r="BN14" s="91"/>
      <c r="BO14" s="17"/>
      <c r="BP14" s="91"/>
      <c r="BQ14" s="17"/>
      <c r="BR14" s="91"/>
      <c r="BS14" s="17"/>
      <c r="BT14" s="91"/>
      <c r="BU14" s="17"/>
      <c r="BV14" s="91"/>
      <c r="BW14" s="17"/>
      <c r="BX14" s="91"/>
      <c r="BY14" s="17"/>
      <c r="BZ14" s="91"/>
      <c r="CA14" s="17"/>
      <c r="CB14" s="91"/>
      <c r="CC14" s="16"/>
      <c r="CD14" s="91"/>
      <c r="CE14" s="17"/>
      <c r="CF14" s="91"/>
      <c r="CG14" s="17"/>
      <c r="CH14" s="91"/>
      <c r="CI14" s="17"/>
      <c r="CJ14" s="91"/>
      <c r="CK14" s="17"/>
      <c r="CL14" s="91"/>
      <c r="CM14" s="17"/>
      <c r="CN14" s="91"/>
      <c r="CO14" s="17"/>
      <c r="CP14" s="91"/>
      <c r="CQ14" s="17"/>
      <c r="CR14" s="91"/>
      <c r="CS14" s="17"/>
      <c r="CT14" s="91"/>
      <c r="CU14" s="17"/>
      <c r="CV14" s="91"/>
      <c r="CW14" s="17"/>
      <c r="CX14" s="91"/>
      <c r="CY14" s="17"/>
    </row>
    <row r="15" spans="1:103" ht="15.4" customHeight="1">
      <c r="A15" s="20" t="s">
        <v>772</v>
      </c>
      <c r="B15" s="54"/>
      <c r="C15" s="54"/>
      <c r="D15" s="91"/>
      <c r="E15" s="17"/>
      <c r="F15" s="91"/>
      <c r="G15" s="17"/>
      <c r="H15" s="91"/>
      <c r="I15" s="17"/>
      <c r="J15" s="91"/>
      <c r="K15" s="17"/>
      <c r="L15" s="91"/>
      <c r="M15" s="17"/>
      <c r="N15" s="91"/>
      <c r="O15" s="17"/>
      <c r="P15" s="91"/>
      <c r="Q15" s="17"/>
      <c r="R15" s="91"/>
      <c r="S15" s="17"/>
      <c r="T15" s="91"/>
      <c r="U15" s="17"/>
      <c r="V15" s="91"/>
      <c r="W15" s="17"/>
      <c r="X15" s="91"/>
      <c r="Y15" s="17"/>
      <c r="Z15" s="91"/>
      <c r="AA15" s="17"/>
      <c r="AB15" s="91"/>
      <c r="AC15" s="17"/>
      <c r="AD15" s="91"/>
      <c r="AE15" s="17"/>
      <c r="AF15" s="91"/>
      <c r="AG15" s="17"/>
      <c r="AH15" s="91"/>
      <c r="AI15" s="17"/>
      <c r="AJ15" s="91"/>
      <c r="AK15" s="17"/>
      <c r="AL15" s="91"/>
      <c r="AM15" s="17"/>
      <c r="AN15" s="91"/>
      <c r="AO15" s="17"/>
      <c r="AP15" s="91"/>
      <c r="AQ15" s="17"/>
      <c r="AR15" s="91"/>
      <c r="AS15" s="17"/>
      <c r="AT15" s="91"/>
      <c r="AU15" s="17"/>
      <c r="AV15" s="91"/>
      <c r="AW15" s="17"/>
      <c r="AX15" s="91"/>
      <c r="AY15" s="17"/>
      <c r="AZ15" s="91"/>
      <c r="BA15" s="17"/>
      <c r="BB15" s="91"/>
      <c r="BC15" s="17"/>
      <c r="BD15" s="91"/>
      <c r="BE15" s="17"/>
      <c r="BF15" s="91"/>
      <c r="BG15" s="17"/>
      <c r="BH15" s="91"/>
      <c r="BI15" s="17"/>
      <c r="BJ15" s="91"/>
      <c r="BK15" s="17"/>
      <c r="BL15" s="91"/>
      <c r="BM15" s="17"/>
      <c r="BN15" s="91"/>
      <c r="BO15" s="17"/>
      <c r="BP15" s="91"/>
      <c r="BQ15" s="17"/>
      <c r="BR15" s="91"/>
      <c r="BS15" s="17"/>
      <c r="BT15" s="91"/>
      <c r="BU15" s="17"/>
      <c r="BV15" s="91"/>
      <c r="BW15" s="17"/>
      <c r="BX15" s="91"/>
      <c r="BY15" s="17"/>
      <c r="BZ15" s="91"/>
      <c r="CA15" s="17"/>
      <c r="CB15" s="91"/>
      <c r="CC15" s="16"/>
      <c r="CD15" s="91"/>
      <c r="CE15" s="17"/>
      <c r="CF15" s="91"/>
      <c r="CG15" s="17"/>
      <c r="CH15" s="91"/>
      <c r="CI15" s="17"/>
      <c r="CJ15" s="91"/>
      <c r="CK15" s="17"/>
      <c r="CL15" s="91"/>
      <c r="CM15" s="17"/>
      <c r="CN15" s="91"/>
      <c r="CO15" s="17"/>
      <c r="CP15" s="91"/>
      <c r="CQ15" s="17"/>
      <c r="CR15" s="91"/>
      <c r="CS15" s="17"/>
      <c r="CT15" s="91"/>
      <c r="CU15" s="17"/>
      <c r="CV15" s="91"/>
      <c r="CW15" s="17"/>
      <c r="CX15" s="91"/>
      <c r="CY15" s="17"/>
    </row>
    <row r="16" spans="1:103" ht="15.4" customHeight="1">
      <c r="A16" s="20" t="s">
        <v>773</v>
      </c>
      <c r="B16" s="54"/>
      <c r="C16" s="54"/>
      <c r="D16" s="91"/>
      <c r="E16" s="17"/>
      <c r="F16" s="91"/>
      <c r="G16" s="17"/>
      <c r="H16" s="91"/>
      <c r="I16" s="17"/>
      <c r="J16" s="91"/>
      <c r="K16" s="17"/>
      <c r="L16" s="91"/>
      <c r="M16" s="17"/>
      <c r="N16" s="91"/>
      <c r="O16" s="17"/>
      <c r="P16" s="91"/>
      <c r="Q16" s="17"/>
      <c r="R16" s="91"/>
      <c r="S16" s="17"/>
      <c r="T16" s="91"/>
      <c r="U16" s="17"/>
      <c r="V16" s="91"/>
      <c r="W16" s="17"/>
      <c r="X16" s="91"/>
      <c r="Y16" s="17"/>
      <c r="Z16" s="91"/>
      <c r="AA16" s="17"/>
      <c r="AB16" s="91"/>
      <c r="AC16" s="17"/>
      <c r="AD16" s="91"/>
      <c r="AE16" s="17"/>
      <c r="AF16" s="91"/>
      <c r="AG16" s="17"/>
      <c r="AH16" s="91"/>
      <c r="AI16" s="17"/>
      <c r="AJ16" s="91"/>
      <c r="AK16" s="17"/>
      <c r="AL16" s="91"/>
      <c r="AM16" s="17"/>
      <c r="AN16" s="91"/>
      <c r="AO16" s="17"/>
      <c r="AP16" s="91"/>
      <c r="AQ16" s="17"/>
      <c r="AR16" s="91"/>
      <c r="AS16" s="17"/>
      <c r="AT16" s="91"/>
      <c r="AU16" s="17"/>
      <c r="AV16" s="91"/>
      <c r="AW16" s="17"/>
      <c r="AX16" s="91"/>
      <c r="AY16" s="17"/>
      <c r="AZ16" s="91"/>
      <c r="BA16" s="17"/>
      <c r="BB16" s="91"/>
      <c r="BC16" s="17"/>
      <c r="BD16" s="91"/>
      <c r="BE16" s="17"/>
      <c r="BF16" s="91"/>
      <c r="BG16" s="17"/>
      <c r="BH16" s="91"/>
      <c r="BI16" s="17"/>
      <c r="BJ16" s="91"/>
      <c r="BK16" s="17"/>
      <c r="BL16" s="91"/>
      <c r="BM16" s="17"/>
      <c r="BN16" s="91"/>
      <c r="BO16" s="17"/>
      <c r="BP16" s="91"/>
      <c r="BQ16" s="17"/>
      <c r="BR16" s="91"/>
      <c r="BS16" s="17"/>
      <c r="BT16" s="91"/>
      <c r="BU16" s="17"/>
      <c r="BV16" s="91"/>
      <c r="BW16" s="17"/>
      <c r="BX16" s="91"/>
      <c r="BY16" s="17"/>
      <c r="BZ16" s="91"/>
      <c r="CA16" s="17"/>
      <c r="CB16" s="91"/>
      <c r="CC16" s="16"/>
      <c r="CD16" s="91"/>
      <c r="CE16" s="17"/>
      <c r="CF16" s="91"/>
      <c r="CG16" s="17"/>
      <c r="CH16" s="91"/>
      <c r="CI16" s="17"/>
      <c r="CJ16" s="91"/>
      <c r="CK16" s="17"/>
      <c r="CL16" s="91"/>
      <c r="CM16" s="17"/>
      <c r="CN16" s="91"/>
      <c r="CO16" s="17"/>
      <c r="CP16" s="91"/>
      <c r="CQ16" s="17"/>
      <c r="CR16" s="91"/>
      <c r="CS16" s="17"/>
      <c r="CT16" s="91"/>
      <c r="CU16" s="17"/>
      <c r="CV16" s="91"/>
      <c r="CW16" s="17"/>
      <c r="CX16" s="91"/>
      <c r="CY16" s="17"/>
    </row>
    <row r="17" spans="1:103" ht="15.4" customHeight="1">
      <c r="A17" s="20" t="s">
        <v>774</v>
      </c>
      <c r="B17" s="54"/>
      <c r="C17" s="54"/>
      <c r="D17" s="91"/>
      <c r="E17" s="17"/>
      <c r="F17" s="91"/>
      <c r="G17" s="17"/>
      <c r="H17" s="91"/>
      <c r="I17" s="17"/>
      <c r="J17" s="91"/>
      <c r="K17" s="17"/>
      <c r="L17" s="91"/>
      <c r="M17" s="17"/>
      <c r="N17" s="91"/>
      <c r="O17" s="17"/>
      <c r="P17" s="91"/>
      <c r="Q17" s="17"/>
      <c r="R17" s="91"/>
      <c r="S17" s="17"/>
      <c r="T17" s="91"/>
      <c r="U17" s="17"/>
      <c r="V17" s="91"/>
      <c r="W17" s="17"/>
      <c r="X17" s="91"/>
      <c r="Y17" s="17"/>
      <c r="Z17" s="91"/>
      <c r="AA17" s="17"/>
      <c r="AB17" s="91"/>
      <c r="AC17" s="17"/>
      <c r="AD17" s="91"/>
      <c r="AE17" s="17"/>
      <c r="AF17" s="91"/>
      <c r="AG17" s="17"/>
      <c r="AH17" s="91"/>
      <c r="AI17" s="17"/>
      <c r="AJ17" s="91"/>
      <c r="AK17" s="17"/>
      <c r="AL17" s="91"/>
      <c r="AM17" s="17"/>
      <c r="AN17" s="91"/>
      <c r="AO17" s="17"/>
      <c r="AP17" s="91"/>
      <c r="AQ17" s="17"/>
      <c r="AR17" s="91"/>
      <c r="AS17" s="17"/>
      <c r="AT17" s="91"/>
      <c r="AU17" s="17"/>
      <c r="AV17" s="91"/>
      <c r="AW17" s="17"/>
      <c r="AX17" s="91"/>
      <c r="AY17" s="17"/>
      <c r="AZ17" s="91"/>
      <c r="BA17" s="17"/>
      <c r="BB17" s="91"/>
      <c r="BC17" s="17"/>
      <c r="BD17" s="91"/>
      <c r="BE17" s="17"/>
      <c r="BF17" s="91"/>
      <c r="BG17" s="17"/>
      <c r="BH17" s="91"/>
      <c r="BI17" s="17"/>
      <c r="BJ17" s="91"/>
      <c r="BK17" s="17"/>
      <c r="BL17" s="91"/>
      <c r="BM17" s="17"/>
      <c r="BN17" s="91"/>
      <c r="BO17" s="17"/>
      <c r="BP17" s="91"/>
      <c r="BQ17" s="17"/>
      <c r="BR17" s="91"/>
      <c r="BS17" s="17"/>
      <c r="BT17" s="91"/>
      <c r="BU17" s="17"/>
      <c r="BV17" s="91"/>
      <c r="BW17" s="17"/>
      <c r="BX17" s="91"/>
      <c r="BY17" s="17"/>
      <c r="BZ17" s="91"/>
      <c r="CA17" s="17"/>
      <c r="CB17" s="91"/>
      <c r="CC17" s="16"/>
      <c r="CD17" s="91"/>
      <c r="CE17" s="17"/>
      <c r="CF17" s="91"/>
      <c r="CG17" s="17"/>
      <c r="CH17" s="91"/>
      <c r="CI17" s="17"/>
      <c r="CJ17" s="91"/>
      <c r="CK17" s="17"/>
      <c r="CL17" s="91"/>
      <c r="CM17" s="17"/>
      <c r="CN17" s="91"/>
      <c r="CO17" s="17"/>
      <c r="CP17" s="91"/>
      <c r="CQ17" s="17"/>
      <c r="CR17" s="91"/>
      <c r="CS17" s="17"/>
      <c r="CT17" s="91"/>
      <c r="CU17" s="17"/>
      <c r="CV17" s="91"/>
      <c r="CW17" s="17"/>
      <c r="CX17" s="91"/>
      <c r="CY17" s="17"/>
    </row>
    <row r="18" spans="1:103" ht="15.4" customHeight="1">
      <c r="A18" s="20" t="s">
        <v>775</v>
      </c>
      <c r="B18" s="54"/>
      <c r="C18" s="54"/>
      <c r="D18" s="91"/>
      <c r="E18" s="17"/>
      <c r="F18" s="91"/>
      <c r="G18" s="17"/>
      <c r="H18" s="91"/>
      <c r="I18" s="17"/>
      <c r="J18" s="91"/>
      <c r="K18" s="17"/>
      <c r="L18" s="91"/>
      <c r="M18" s="17"/>
      <c r="N18" s="91"/>
      <c r="O18" s="17"/>
      <c r="P18" s="91"/>
      <c r="Q18" s="17"/>
      <c r="R18" s="91"/>
      <c r="S18" s="17"/>
      <c r="T18" s="91"/>
      <c r="U18" s="17"/>
      <c r="V18" s="91"/>
      <c r="W18" s="17"/>
      <c r="X18" s="91"/>
      <c r="Y18" s="17"/>
      <c r="Z18" s="91"/>
      <c r="AA18" s="17"/>
      <c r="AB18" s="91"/>
      <c r="AC18" s="17"/>
      <c r="AD18" s="91"/>
      <c r="AE18" s="17"/>
      <c r="AF18" s="91"/>
      <c r="AG18" s="17"/>
      <c r="AH18" s="91"/>
      <c r="AI18" s="17"/>
      <c r="AJ18" s="91"/>
      <c r="AK18" s="17"/>
      <c r="AL18" s="91"/>
      <c r="AM18" s="17"/>
      <c r="AN18" s="91"/>
      <c r="AO18" s="17"/>
      <c r="AP18" s="91"/>
      <c r="AQ18" s="17"/>
      <c r="AR18" s="91"/>
      <c r="AS18" s="17"/>
      <c r="AT18" s="91"/>
      <c r="AU18" s="17"/>
      <c r="AV18" s="91"/>
      <c r="AW18" s="17"/>
      <c r="AX18" s="91"/>
      <c r="AY18" s="17"/>
      <c r="AZ18" s="91"/>
      <c r="BA18" s="17"/>
      <c r="BB18" s="91"/>
      <c r="BC18" s="17"/>
      <c r="BD18" s="91"/>
      <c r="BE18" s="17"/>
      <c r="BF18" s="91"/>
      <c r="BG18" s="17"/>
      <c r="BH18" s="91"/>
      <c r="BI18" s="17"/>
      <c r="BJ18" s="91"/>
      <c r="BK18" s="17"/>
      <c r="BL18" s="91"/>
      <c r="BM18" s="17"/>
      <c r="BN18" s="91"/>
      <c r="BO18" s="17"/>
      <c r="BP18" s="91"/>
      <c r="BQ18" s="17"/>
      <c r="BR18" s="91"/>
      <c r="BS18" s="17"/>
      <c r="BT18" s="91"/>
      <c r="BU18" s="17"/>
      <c r="BV18" s="91"/>
      <c r="BW18" s="17"/>
      <c r="BX18" s="91"/>
      <c r="BY18" s="17"/>
      <c r="BZ18" s="91"/>
      <c r="CA18" s="17"/>
      <c r="CB18" s="91"/>
      <c r="CC18" s="16"/>
      <c r="CD18" s="91"/>
      <c r="CE18" s="17"/>
      <c r="CF18" s="91"/>
      <c r="CG18" s="17"/>
      <c r="CH18" s="91"/>
      <c r="CI18" s="17"/>
      <c r="CJ18" s="91"/>
      <c r="CK18" s="17"/>
      <c r="CL18" s="91"/>
      <c r="CM18" s="17"/>
      <c r="CN18" s="91"/>
      <c r="CO18" s="17"/>
      <c r="CP18" s="91"/>
      <c r="CQ18" s="17"/>
      <c r="CR18" s="91"/>
      <c r="CS18" s="17"/>
      <c r="CT18" s="91"/>
      <c r="CU18" s="17"/>
      <c r="CV18" s="91"/>
      <c r="CW18" s="17"/>
      <c r="CX18" s="91"/>
      <c r="CY18" s="17"/>
    </row>
    <row r="19" spans="1:103" ht="15.4" customHeight="1">
      <c r="A19" s="92" t="s">
        <v>776</v>
      </c>
      <c r="B19" s="210"/>
      <c r="C19" s="258"/>
      <c r="D19" s="93" t="str">
        <f>IF(DASHBOARD!$M$1+INT((COLUMN()-4)/2)=$B19,"◆ "&amp;TEXT($B19,"D MMM"),"")</f>
        <v/>
      </c>
      <c r="E19" s="17"/>
      <c r="F19" s="93" t="str">
        <f>IF(DASHBOARD!$M$1+INT((COLUMN()-4)/2)=$B19,"◆ "&amp;TEXT($B19,"D MMM"),"")</f>
        <v/>
      </c>
      <c r="G19" s="17"/>
      <c r="H19" s="93" t="str">
        <f>IF(DASHBOARD!$M$1+INT((COLUMN()-4)/2)=$B19,"◆ "&amp;TEXT($B19,"D MMM"),"")</f>
        <v/>
      </c>
      <c r="I19" s="17"/>
      <c r="J19" s="93" t="str">
        <f>IF(DASHBOARD!$M$1+INT((COLUMN()-4)/2)=$B19,"◆ "&amp;TEXT($B19,"D MMM"),"")</f>
        <v/>
      </c>
      <c r="K19" s="17"/>
      <c r="L19" s="93" t="str">
        <f>IF(DASHBOARD!$M$1+INT((COLUMN()-4)/2)=$B19,"◆ "&amp;TEXT($B19,"D MMM"),"")</f>
        <v/>
      </c>
      <c r="M19" s="17"/>
      <c r="N19" s="93" t="str">
        <f>IF(DASHBOARD!$M$1+INT((COLUMN()-4)/2)=$B19,"◆ "&amp;TEXT($B19,"D MMM"),"")</f>
        <v/>
      </c>
      <c r="O19" s="17"/>
      <c r="P19" s="93" t="str">
        <f>IF(DASHBOARD!$M$1+INT((COLUMN()-4)/2)=$B19,"◆ "&amp;TEXT($B19,"D MMM"),"")</f>
        <v/>
      </c>
      <c r="Q19" s="17"/>
      <c r="R19" s="93" t="str">
        <f>IF(DASHBOARD!$M$1+INT((COLUMN()-4)/2)=$B19,"◆ "&amp;TEXT($B19,"D MMM"),"")</f>
        <v/>
      </c>
      <c r="S19" s="17"/>
      <c r="T19" s="93" t="str">
        <f>IF(DASHBOARD!$M$1+INT((COLUMN()-4)/2)=$B19,"◆ "&amp;TEXT($B19,"D MMM"),"")</f>
        <v/>
      </c>
      <c r="U19" s="17"/>
      <c r="V19" s="93" t="str">
        <f>IF(DASHBOARD!$M$1+INT((COLUMN()-4)/2)=$B19,"◆ "&amp;TEXT($B19,"D MMM"),"")</f>
        <v/>
      </c>
      <c r="W19" s="17"/>
      <c r="X19" s="93" t="str">
        <f>IF(DASHBOARD!$M$1+INT((COLUMN()-4)/2)=$B19,"◆ "&amp;TEXT($B19,"D MMM"),"")</f>
        <v/>
      </c>
      <c r="Y19" s="17"/>
      <c r="Z19" s="93" t="str">
        <f>IF(DASHBOARD!$M$1+INT((COLUMN()-4)/2)=$B19,"◆ "&amp;TEXT($B19,"D MMM"),"")</f>
        <v/>
      </c>
      <c r="AA19" s="17"/>
      <c r="AB19" s="93" t="str">
        <f>IF(DASHBOARD!$M$1+INT((COLUMN()-4)/2)=$B19,"◆ "&amp;TEXT($B19,"D MMM"),"")</f>
        <v/>
      </c>
      <c r="AC19" s="17"/>
      <c r="AD19" s="93" t="str">
        <f>IF(DASHBOARD!$M$1+INT((COLUMN()-4)/2)=$B19,"◆ "&amp;TEXT($B19,"D MMM"),"")</f>
        <v/>
      </c>
      <c r="AE19" s="17"/>
      <c r="AF19" s="93" t="str">
        <f>IF(DASHBOARD!$M$1+INT((COLUMN()-4)/2)=$B19,"◆ "&amp;TEXT($B19,"D MMM"),"")</f>
        <v/>
      </c>
      <c r="AG19" s="17"/>
      <c r="AH19" s="93" t="str">
        <f>IF(DASHBOARD!$M$1+INT((COLUMN()-4)/2)=$B19,"◆ "&amp;TEXT($B19,"D MMM"),"")</f>
        <v/>
      </c>
      <c r="AI19" s="17"/>
      <c r="AJ19" s="93" t="str">
        <f>IF(DASHBOARD!$M$1+INT((COLUMN()-4)/2)=$B19,"◆ "&amp;TEXT($B19,"D MMM"),"")</f>
        <v/>
      </c>
      <c r="AK19" s="17"/>
      <c r="AL19" s="93" t="str">
        <f>IF(DASHBOARD!$M$1+INT((COLUMN()-4)/2)=$B19,"◆ "&amp;TEXT($B19,"D MMM"),"")</f>
        <v/>
      </c>
      <c r="AM19" s="17"/>
      <c r="AN19" s="93" t="str">
        <f>IF(DASHBOARD!$M$1+INT((COLUMN()-4)/2)=$B19,"◆ "&amp;TEXT($B19,"D MMM"),"")</f>
        <v/>
      </c>
      <c r="AO19" s="17"/>
      <c r="AP19" s="93" t="str">
        <f>IF(DASHBOARD!$M$1+INT((COLUMN()-4)/2)=$B19,"◆ "&amp;TEXT($B19,"D MMM"),"")</f>
        <v/>
      </c>
      <c r="AQ19" s="17"/>
      <c r="AR19" s="93" t="str">
        <f>IF(DASHBOARD!$M$1+INT((COLUMN()-4)/2)=$B19,"◆ "&amp;TEXT($B19,"D MMM"),"")</f>
        <v/>
      </c>
      <c r="AS19" s="17"/>
      <c r="AT19" s="93" t="str">
        <f>IF(DASHBOARD!$M$1+INT((COLUMN()-4)/2)=$B19,"◆ "&amp;TEXT($B19,"D MMM"),"")</f>
        <v/>
      </c>
      <c r="AU19" s="17"/>
      <c r="AV19" s="93" t="str">
        <f>IF(DASHBOARD!$M$1+INT((COLUMN()-4)/2)=$B19,"◆ "&amp;TEXT($B19,"D MMM"),"")</f>
        <v/>
      </c>
      <c r="AW19" s="17"/>
      <c r="AX19" s="93" t="str">
        <f>IF(DASHBOARD!$M$1+INT((COLUMN()-4)/2)=$B19,"◆ "&amp;TEXT($B19,"D MMM"),"")</f>
        <v/>
      </c>
      <c r="AY19" s="17"/>
      <c r="AZ19" s="93" t="str">
        <f>IF(DASHBOARD!$M$1+INT((COLUMN()-4)/2)=$B19,"◆ "&amp;TEXT($B19,"D MMM"),"")</f>
        <v/>
      </c>
      <c r="BA19" s="17"/>
      <c r="BB19" s="93" t="str">
        <f>IF(DASHBOARD!$M$1+INT((COLUMN()-4)/2)=$B19,"◆ "&amp;TEXT($B19,"D MMM"),"")</f>
        <v/>
      </c>
      <c r="BC19" s="17"/>
      <c r="BD19" s="93" t="str">
        <f>IF(DASHBOARD!$M$1+INT((COLUMN()-4)/2)=$B19,"◆ "&amp;TEXT($B19,"D MMM"),"")</f>
        <v/>
      </c>
      <c r="BE19" s="17"/>
      <c r="BF19" s="93" t="str">
        <f>IF(DASHBOARD!$M$1+INT((COLUMN()-4)/2)=$B19,"◆ "&amp;TEXT($B19,"D MMM"),"")</f>
        <v/>
      </c>
      <c r="BG19" s="17"/>
      <c r="BH19" s="93" t="str">
        <f>IF(DASHBOARD!$M$1+INT((COLUMN()-4)/2)=$B19,"◆ "&amp;TEXT($B19,"D MMM"),"")</f>
        <v/>
      </c>
      <c r="BI19" s="17"/>
      <c r="BJ19" s="93" t="str">
        <f>IF(DASHBOARD!$M$1+INT((COLUMN()-4)/2)=$B19,"◆ "&amp;TEXT($B19,"D MMM"),"")</f>
        <v/>
      </c>
      <c r="BK19" s="17"/>
      <c r="BL19" s="93" t="str">
        <f>IF(DASHBOARD!$M$1+INT((COLUMN()-4)/2)=$B19,"◆ "&amp;TEXT($B19,"D MMM"),"")</f>
        <v/>
      </c>
      <c r="BM19" s="17"/>
      <c r="BN19" s="93" t="str">
        <f>IF(DASHBOARD!$M$1+INT((COLUMN()-4)/2)=$B19,"◆ "&amp;TEXT($B19,"D MMM"),"")</f>
        <v/>
      </c>
      <c r="BO19" s="17"/>
      <c r="BP19" s="93" t="str">
        <f>IF(DASHBOARD!$M$1+INT((COLUMN()-4)/2)=$B19,"◆ "&amp;TEXT($B19,"D MMM"),"")</f>
        <v/>
      </c>
      <c r="BQ19" s="17"/>
      <c r="BR19" s="93" t="str">
        <f>IF(DASHBOARD!$M$1+INT((COLUMN()-4)/2)=$B19,"◆ "&amp;TEXT($B19,"D MMM"),"")</f>
        <v/>
      </c>
      <c r="BS19" s="17"/>
      <c r="BT19" s="93" t="str">
        <f>IF(DASHBOARD!$M$1+INT((COLUMN()-4)/2)=$B19,"◆ "&amp;TEXT($B19,"D MMM"),"")</f>
        <v/>
      </c>
      <c r="BU19" s="17"/>
      <c r="BV19" s="93" t="str">
        <f>IF(DASHBOARD!$M$1+INT((COLUMN()-4)/2)=$B19,"◆ "&amp;TEXT($B19,"D MMM"),"")</f>
        <v/>
      </c>
      <c r="BW19" s="17"/>
      <c r="BX19" s="93" t="str">
        <f>IF(DASHBOARD!$M$1+INT((COLUMN()-4)/2)=$B19,"◆ "&amp;TEXT($B19,"D MMM"),"")</f>
        <v/>
      </c>
      <c r="BY19" s="17"/>
      <c r="BZ19" s="93" t="str">
        <f>IF(DASHBOARD!$M$1+INT((COLUMN()-4)/2)=$B19,"◆ "&amp;TEXT($B19,"D MMM"),"")</f>
        <v/>
      </c>
      <c r="CA19" s="17"/>
      <c r="CB19" s="91"/>
      <c r="CC19" s="16"/>
      <c r="CD19" s="91"/>
      <c r="CE19" s="17"/>
      <c r="CF19" s="91"/>
      <c r="CG19" s="17"/>
      <c r="CH19" s="91"/>
      <c r="CI19" s="17"/>
      <c r="CJ19" s="91"/>
      <c r="CK19" s="17"/>
      <c r="CL19" s="91"/>
      <c r="CM19" s="17"/>
      <c r="CN19" s="91"/>
      <c r="CO19" s="17"/>
      <c r="CP19" s="91"/>
      <c r="CQ19" s="17"/>
      <c r="CR19" s="91"/>
      <c r="CS19" s="17"/>
      <c r="CT19" s="91"/>
      <c r="CU19" s="17"/>
      <c r="CV19" s="91"/>
      <c r="CW19" s="17"/>
      <c r="CX19" s="91"/>
      <c r="CY19" s="17"/>
    </row>
    <row r="20" spans="1:103" ht="15.4" customHeight="1">
      <c r="A20" s="205" t="s">
        <v>777</v>
      </c>
      <c r="B20" s="257"/>
      <c r="C20" s="258"/>
      <c r="D20" s="91"/>
      <c r="E20" s="17"/>
      <c r="F20" s="91"/>
      <c r="G20" s="17"/>
      <c r="H20" s="91"/>
      <c r="I20" s="17"/>
      <c r="J20" s="91"/>
      <c r="K20" s="17"/>
      <c r="L20" s="91"/>
      <c r="M20" s="17"/>
      <c r="N20" s="91"/>
      <c r="O20" s="17"/>
      <c r="P20" s="91"/>
      <c r="Q20" s="17"/>
      <c r="R20" s="91"/>
      <c r="S20" s="17"/>
      <c r="T20" s="91"/>
      <c r="U20" s="17"/>
      <c r="V20" s="91"/>
      <c r="W20" s="17"/>
      <c r="X20" s="91"/>
      <c r="Y20" s="17"/>
      <c r="Z20" s="91"/>
      <c r="AA20" s="17"/>
      <c r="AB20" s="91"/>
      <c r="AC20" s="17"/>
      <c r="AD20" s="91"/>
      <c r="AE20" s="17"/>
      <c r="AF20" s="91"/>
      <c r="AG20" s="17"/>
      <c r="AH20" s="91"/>
      <c r="AI20" s="17"/>
      <c r="AJ20" s="91"/>
      <c r="AK20" s="17"/>
      <c r="AL20" s="91"/>
      <c r="AM20" s="17"/>
      <c r="AN20" s="91"/>
      <c r="AO20" s="17"/>
      <c r="AP20" s="91"/>
      <c r="AQ20" s="17"/>
      <c r="AR20" s="91"/>
      <c r="AS20" s="17"/>
      <c r="AT20" s="91"/>
      <c r="AU20" s="17"/>
      <c r="AV20" s="91"/>
      <c r="AW20" s="17"/>
      <c r="AX20" s="91"/>
      <c r="AY20" s="17"/>
      <c r="AZ20" s="91"/>
      <c r="BA20" s="17"/>
      <c r="BB20" s="91"/>
      <c r="BC20" s="17"/>
      <c r="BD20" s="91"/>
      <c r="BE20" s="17"/>
      <c r="BF20" s="91"/>
      <c r="BG20" s="17"/>
      <c r="BH20" s="91"/>
      <c r="BI20" s="17"/>
      <c r="BJ20" s="91"/>
      <c r="BK20" s="17"/>
      <c r="BL20" s="91"/>
      <c r="BM20" s="17"/>
      <c r="BN20" s="91"/>
      <c r="BO20" s="17"/>
      <c r="BP20" s="91"/>
      <c r="BQ20" s="17"/>
      <c r="BR20" s="91"/>
      <c r="BS20" s="17"/>
      <c r="BT20" s="91"/>
      <c r="BU20" s="17"/>
      <c r="BV20" s="91"/>
      <c r="BW20" s="17"/>
      <c r="BX20" s="91"/>
      <c r="BY20" s="17"/>
      <c r="BZ20" s="91"/>
      <c r="CA20" s="17"/>
      <c r="CB20" s="91"/>
      <c r="CC20" s="16"/>
      <c r="CD20" s="91"/>
      <c r="CE20" s="17"/>
      <c r="CF20" s="91"/>
      <c r="CG20" s="17"/>
      <c r="CH20" s="91"/>
      <c r="CI20" s="17"/>
      <c r="CJ20" s="91"/>
      <c r="CK20" s="17"/>
      <c r="CL20" s="91"/>
      <c r="CM20" s="17"/>
      <c r="CN20" s="91"/>
      <c r="CO20" s="17"/>
      <c r="CP20" s="91"/>
      <c r="CQ20" s="17"/>
      <c r="CR20" s="91"/>
      <c r="CS20" s="17"/>
      <c r="CT20" s="91"/>
      <c r="CU20" s="17"/>
      <c r="CV20" s="91"/>
      <c r="CW20" s="17"/>
      <c r="CX20" s="91"/>
      <c r="CY20" s="17"/>
    </row>
    <row r="21" spans="1:103" ht="15.4" customHeight="1">
      <c r="A21" s="20" t="s">
        <v>778</v>
      </c>
      <c r="B21" s="54"/>
      <c r="C21" s="54"/>
      <c r="D21" s="91"/>
      <c r="E21" s="17"/>
      <c r="F21" s="91"/>
      <c r="G21" s="17"/>
      <c r="H21" s="91"/>
      <c r="I21" s="17"/>
      <c r="J21" s="91"/>
      <c r="K21" s="17"/>
      <c r="L21" s="91"/>
      <c r="M21" s="17"/>
      <c r="N21" s="91"/>
      <c r="O21" s="17"/>
      <c r="P21" s="91"/>
      <c r="Q21" s="17"/>
      <c r="R21" s="91"/>
      <c r="S21" s="17"/>
      <c r="T21" s="91"/>
      <c r="U21" s="17"/>
      <c r="V21" s="91"/>
      <c r="W21" s="17"/>
      <c r="X21" s="91"/>
      <c r="Y21" s="17"/>
      <c r="Z21" s="91"/>
      <c r="AA21" s="17"/>
      <c r="AB21" s="91"/>
      <c r="AC21" s="17"/>
      <c r="AD21" s="91"/>
      <c r="AE21" s="17"/>
      <c r="AF21" s="91"/>
      <c r="AG21" s="17"/>
      <c r="AH21" s="91"/>
      <c r="AI21" s="17"/>
      <c r="AJ21" s="91"/>
      <c r="AK21" s="17"/>
      <c r="AL21" s="91"/>
      <c r="AM21" s="17"/>
      <c r="AN21" s="91"/>
      <c r="AO21" s="17"/>
      <c r="AP21" s="91"/>
      <c r="AQ21" s="17"/>
      <c r="AR21" s="91"/>
      <c r="AS21" s="17"/>
      <c r="AT21" s="91"/>
      <c r="AU21" s="17"/>
      <c r="AV21" s="91"/>
      <c r="AW21" s="17"/>
      <c r="AX21" s="91"/>
      <c r="AY21" s="17"/>
      <c r="AZ21" s="91"/>
      <c r="BA21" s="17"/>
      <c r="BB21" s="91"/>
      <c r="BC21" s="17"/>
      <c r="BD21" s="91"/>
      <c r="BE21" s="17"/>
      <c r="BF21" s="91"/>
      <c r="BG21" s="17"/>
      <c r="BH21" s="91"/>
      <c r="BI21" s="17"/>
      <c r="BJ21" s="91"/>
      <c r="BK21" s="17"/>
      <c r="BL21" s="91"/>
      <c r="BM21" s="17"/>
      <c r="BN21" s="91"/>
      <c r="BO21" s="17"/>
      <c r="BP21" s="91"/>
      <c r="BQ21" s="17"/>
      <c r="BR21" s="91"/>
      <c r="BS21" s="17"/>
      <c r="BT21" s="91"/>
      <c r="BU21" s="17"/>
      <c r="BV21" s="91"/>
      <c r="BW21" s="17"/>
      <c r="BX21" s="91"/>
      <c r="BY21" s="17"/>
      <c r="BZ21" s="91"/>
      <c r="CA21" s="17"/>
      <c r="CB21" s="91"/>
      <c r="CC21" s="16"/>
      <c r="CD21" s="91"/>
      <c r="CE21" s="17"/>
      <c r="CF21" s="91"/>
      <c r="CG21" s="17"/>
      <c r="CH21" s="91"/>
      <c r="CI21" s="17"/>
      <c r="CJ21" s="91"/>
      <c r="CK21" s="17"/>
      <c r="CL21" s="91"/>
      <c r="CM21" s="17"/>
      <c r="CN21" s="91"/>
      <c r="CO21" s="17"/>
      <c r="CP21" s="91"/>
      <c r="CQ21" s="17"/>
      <c r="CR21" s="91"/>
      <c r="CS21" s="17"/>
      <c r="CT21" s="91"/>
      <c r="CU21" s="17"/>
      <c r="CV21" s="91"/>
      <c r="CW21" s="17"/>
      <c r="CX21" s="91"/>
      <c r="CY21" s="17"/>
    </row>
    <row r="22" spans="1:103" ht="15.4" customHeight="1">
      <c r="A22" s="20" t="s">
        <v>779</v>
      </c>
      <c r="B22" s="54"/>
      <c r="C22" s="54"/>
      <c r="D22" s="91"/>
      <c r="E22" s="17"/>
      <c r="F22" s="91"/>
      <c r="G22" s="17"/>
      <c r="H22" s="91"/>
      <c r="I22" s="17"/>
      <c r="J22" s="91"/>
      <c r="K22" s="17"/>
      <c r="L22" s="91"/>
      <c r="M22" s="17"/>
      <c r="N22" s="91"/>
      <c r="O22" s="17"/>
      <c r="P22" s="91"/>
      <c r="Q22" s="17"/>
      <c r="R22" s="91"/>
      <c r="S22" s="17"/>
      <c r="T22" s="91"/>
      <c r="U22" s="17"/>
      <c r="V22" s="91"/>
      <c r="W22" s="17"/>
      <c r="X22" s="91"/>
      <c r="Y22" s="17"/>
      <c r="Z22" s="91"/>
      <c r="AA22" s="17"/>
      <c r="AB22" s="91"/>
      <c r="AC22" s="17"/>
      <c r="AD22" s="91"/>
      <c r="AE22" s="17"/>
      <c r="AF22" s="91"/>
      <c r="AG22" s="17"/>
      <c r="AH22" s="91"/>
      <c r="AI22" s="17"/>
      <c r="AJ22" s="91"/>
      <c r="AK22" s="17"/>
      <c r="AL22" s="91"/>
      <c r="AM22" s="17"/>
      <c r="AN22" s="91"/>
      <c r="AO22" s="17"/>
      <c r="AP22" s="91"/>
      <c r="AQ22" s="17"/>
      <c r="AR22" s="91"/>
      <c r="AS22" s="17"/>
      <c r="AT22" s="91"/>
      <c r="AU22" s="17"/>
      <c r="AV22" s="91"/>
      <c r="AW22" s="17"/>
      <c r="AX22" s="91"/>
      <c r="AY22" s="17"/>
      <c r="AZ22" s="91"/>
      <c r="BA22" s="17"/>
      <c r="BB22" s="91"/>
      <c r="BC22" s="17"/>
      <c r="BD22" s="91"/>
      <c r="BE22" s="17"/>
      <c r="BF22" s="91"/>
      <c r="BG22" s="17"/>
      <c r="BH22" s="91"/>
      <c r="BI22" s="17"/>
      <c r="BJ22" s="91"/>
      <c r="BK22" s="17"/>
      <c r="BL22" s="91"/>
      <c r="BM22" s="17"/>
      <c r="BN22" s="91"/>
      <c r="BO22" s="17"/>
      <c r="BP22" s="91"/>
      <c r="BQ22" s="17"/>
      <c r="BR22" s="91"/>
      <c r="BS22" s="17"/>
      <c r="BT22" s="91"/>
      <c r="BU22" s="17"/>
      <c r="BV22" s="91"/>
      <c r="BW22" s="17"/>
      <c r="BX22" s="91"/>
      <c r="BY22" s="17"/>
      <c r="BZ22" s="91"/>
      <c r="CA22" s="17"/>
      <c r="CB22" s="91"/>
      <c r="CC22" s="16"/>
      <c r="CD22" s="91"/>
      <c r="CE22" s="17"/>
      <c r="CF22" s="91"/>
      <c r="CG22" s="17"/>
      <c r="CH22" s="91"/>
      <c r="CI22" s="17"/>
      <c r="CJ22" s="91"/>
      <c r="CK22" s="17"/>
      <c r="CL22" s="91"/>
      <c r="CM22" s="17"/>
      <c r="CN22" s="91"/>
      <c r="CO22" s="17"/>
      <c r="CP22" s="91"/>
      <c r="CQ22" s="17"/>
      <c r="CR22" s="91"/>
      <c r="CS22" s="17"/>
      <c r="CT22" s="91"/>
      <c r="CU22" s="17"/>
      <c r="CV22" s="91"/>
      <c r="CW22" s="17"/>
      <c r="CX22" s="91"/>
      <c r="CY22" s="17"/>
    </row>
    <row r="23" spans="1:103" ht="15.4" customHeight="1">
      <c r="A23" s="20" t="s">
        <v>780</v>
      </c>
      <c r="B23" s="54"/>
      <c r="C23" s="54"/>
      <c r="D23" s="91"/>
      <c r="E23" s="17"/>
      <c r="F23" s="91"/>
      <c r="G23" s="17"/>
      <c r="H23" s="91"/>
      <c r="I23" s="17"/>
      <c r="J23" s="91"/>
      <c r="K23" s="17"/>
      <c r="L23" s="91"/>
      <c r="M23" s="17"/>
      <c r="N23" s="91"/>
      <c r="O23" s="17"/>
      <c r="P23" s="91"/>
      <c r="Q23" s="17"/>
      <c r="R23" s="91"/>
      <c r="S23" s="17"/>
      <c r="T23" s="91"/>
      <c r="U23" s="17"/>
      <c r="V23" s="91"/>
      <c r="W23" s="17"/>
      <c r="X23" s="91"/>
      <c r="Y23" s="17"/>
      <c r="Z23" s="91"/>
      <c r="AA23" s="17"/>
      <c r="AB23" s="91"/>
      <c r="AC23" s="17"/>
      <c r="AD23" s="91"/>
      <c r="AE23" s="17"/>
      <c r="AF23" s="91"/>
      <c r="AG23" s="17"/>
      <c r="AH23" s="91"/>
      <c r="AI23" s="17"/>
      <c r="AJ23" s="91"/>
      <c r="AK23" s="17"/>
      <c r="AL23" s="91"/>
      <c r="AM23" s="17"/>
      <c r="AN23" s="91"/>
      <c r="AO23" s="17"/>
      <c r="AP23" s="91"/>
      <c r="AQ23" s="17"/>
      <c r="AR23" s="91"/>
      <c r="AS23" s="17"/>
      <c r="AT23" s="91"/>
      <c r="AU23" s="17"/>
      <c r="AV23" s="91"/>
      <c r="AW23" s="17"/>
      <c r="AX23" s="91"/>
      <c r="AY23" s="17"/>
      <c r="AZ23" s="91"/>
      <c r="BA23" s="17"/>
      <c r="BB23" s="91"/>
      <c r="BC23" s="17"/>
      <c r="BD23" s="91"/>
      <c r="BE23" s="17"/>
      <c r="BF23" s="91"/>
      <c r="BG23" s="17"/>
      <c r="BH23" s="91"/>
      <c r="BI23" s="17"/>
      <c r="BJ23" s="91"/>
      <c r="BK23" s="17"/>
      <c r="BL23" s="91"/>
      <c r="BM23" s="17"/>
      <c r="BN23" s="91"/>
      <c r="BO23" s="17"/>
      <c r="BP23" s="91"/>
      <c r="BQ23" s="17"/>
      <c r="BR23" s="91"/>
      <c r="BS23" s="17"/>
      <c r="BT23" s="91"/>
      <c r="BU23" s="17"/>
      <c r="BV23" s="91"/>
      <c r="BW23" s="17"/>
      <c r="BX23" s="91"/>
      <c r="BY23" s="17"/>
      <c r="BZ23" s="91"/>
      <c r="CA23" s="17"/>
      <c r="CB23" s="91"/>
      <c r="CC23" s="16"/>
      <c r="CD23" s="91"/>
      <c r="CE23" s="17"/>
      <c r="CF23" s="91"/>
      <c r="CG23" s="17"/>
      <c r="CH23" s="91"/>
      <c r="CI23" s="17"/>
      <c r="CJ23" s="91"/>
      <c r="CK23" s="17"/>
      <c r="CL23" s="91"/>
      <c r="CM23" s="17"/>
      <c r="CN23" s="91"/>
      <c r="CO23" s="17"/>
      <c r="CP23" s="91"/>
      <c r="CQ23" s="17"/>
      <c r="CR23" s="91"/>
      <c r="CS23" s="17"/>
      <c r="CT23" s="91"/>
      <c r="CU23" s="17"/>
      <c r="CV23" s="91"/>
      <c r="CW23" s="17"/>
      <c r="CX23" s="91"/>
      <c r="CY23" s="17"/>
    </row>
    <row r="24" spans="1:103" ht="15.4" customHeight="1">
      <c r="A24" s="20" t="s">
        <v>781</v>
      </c>
      <c r="B24" s="54"/>
      <c r="C24" s="54"/>
      <c r="D24" s="91"/>
      <c r="E24" s="17"/>
      <c r="F24" s="91"/>
      <c r="G24" s="17"/>
      <c r="H24" s="91"/>
      <c r="I24" s="17"/>
      <c r="J24" s="91"/>
      <c r="K24" s="17"/>
      <c r="L24" s="91"/>
      <c r="M24" s="17"/>
      <c r="N24" s="91"/>
      <c r="O24" s="17"/>
      <c r="P24" s="91"/>
      <c r="Q24" s="17"/>
      <c r="R24" s="91"/>
      <c r="S24" s="17"/>
      <c r="T24" s="91"/>
      <c r="U24" s="17"/>
      <c r="V24" s="91"/>
      <c r="W24" s="17"/>
      <c r="X24" s="91"/>
      <c r="Y24" s="17"/>
      <c r="Z24" s="91"/>
      <c r="AA24" s="17"/>
      <c r="AB24" s="91"/>
      <c r="AC24" s="17"/>
      <c r="AD24" s="91"/>
      <c r="AE24" s="17"/>
      <c r="AF24" s="91"/>
      <c r="AG24" s="17"/>
      <c r="AH24" s="91"/>
      <c r="AI24" s="17"/>
      <c r="AJ24" s="91"/>
      <c r="AK24" s="17"/>
      <c r="AL24" s="91"/>
      <c r="AM24" s="17"/>
      <c r="AN24" s="91"/>
      <c r="AO24" s="17"/>
      <c r="AP24" s="91"/>
      <c r="AQ24" s="17"/>
      <c r="AR24" s="91"/>
      <c r="AS24" s="17"/>
      <c r="AT24" s="91"/>
      <c r="AU24" s="17"/>
      <c r="AV24" s="91"/>
      <c r="AW24" s="17"/>
      <c r="AX24" s="91"/>
      <c r="AY24" s="17"/>
      <c r="AZ24" s="91"/>
      <c r="BA24" s="17"/>
      <c r="BB24" s="91"/>
      <c r="BC24" s="17"/>
      <c r="BD24" s="91"/>
      <c r="BE24" s="17"/>
      <c r="BF24" s="91"/>
      <c r="BG24" s="17"/>
      <c r="BH24" s="91"/>
      <c r="BI24" s="17"/>
      <c r="BJ24" s="91"/>
      <c r="BK24" s="17"/>
      <c r="BL24" s="91"/>
      <c r="BM24" s="17"/>
      <c r="BN24" s="91"/>
      <c r="BO24" s="17"/>
      <c r="BP24" s="91"/>
      <c r="BQ24" s="17"/>
      <c r="BR24" s="91"/>
      <c r="BS24" s="17"/>
      <c r="BT24" s="91"/>
      <c r="BU24" s="17"/>
      <c r="BV24" s="91"/>
      <c r="BW24" s="17"/>
      <c r="BX24" s="91"/>
      <c r="BY24" s="17"/>
      <c r="BZ24" s="91"/>
      <c r="CA24" s="17"/>
      <c r="CB24" s="91"/>
      <c r="CC24" s="16"/>
      <c r="CD24" s="91"/>
      <c r="CE24" s="17"/>
      <c r="CF24" s="91"/>
      <c r="CG24" s="17"/>
      <c r="CH24" s="91"/>
      <c r="CI24" s="17"/>
      <c r="CJ24" s="91"/>
      <c r="CK24" s="17"/>
      <c r="CL24" s="91"/>
      <c r="CM24" s="17"/>
      <c r="CN24" s="91"/>
      <c r="CO24" s="17"/>
      <c r="CP24" s="91"/>
      <c r="CQ24" s="17"/>
      <c r="CR24" s="91"/>
      <c r="CS24" s="17"/>
      <c r="CT24" s="91"/>
      <c r="CU24" s="17"/>
      <c r="CV24" s="91"/>
      <c r="CW24" s="17"/>
      <c r="CX24" s="91"/>
      <c r="CY24" s="17"/>
    </row>
    <row r="25" spans="1:103" ht="15.4" customHeight="1">
      <c r="A25" s="92" t="s">
        <v>782</v>
      </c>
      <c r="B25" s="210"/>
      <c r="C25" s="258"/>
      <c r="D25" s="93" t="str">
        <f>IF(DASHBOARD!$M$1+INT((COLUMN()-4)/2)=$B25,"◆ "&amp;TEXT($B25,"D MMM"),"")</f>
        <v/>
      </c>
      <c r="E25" s="17"/>
      <c r="F25" s="93" t="str">
        <f>IF(DASHBOARD!$M$1+INT((COLUMN()-4)/2)=$B25,"◆ "&amp;TEXT($B25,"D MMM"),"")</f>
        <v/>
      </c>
      <c r="G25" s="17"/>
      <c r="H25" s="93" t="str">
        <f>IF(DASHBOARD!$M$1+INT((COLUMN()-4)/2)=$B25,"◆ "&amp;TEXT($B25,"D MMM"),"")</f>
        <v/>
      </c>
      <c r="I25" s="17"/>
      <c r="J25" s="93" t="str">
        <f>IF(DASHBOARD!$M$1+INT((COLUMN()-4)/2)=$B25,"◆ "&amp;TEXT($B25,"D MMM"),"")</f>
        <v/>
      </c>
      <c r="K25" s="17"/>
      <c r="L25" s="93" t="str">
        <f>IF(DASHBOARD!$M$1+INT((COLUMN()-4)/2)=$B25,"◆ "&amp;TEXT($B25,"D MMM"),"")</f>
        <v/>
      </c>
      <c r="M25" s="17"/>
      <c r="N25" s="93" t="str">
        <f>IF(DASHBOARD!$M$1+INT((COLUMN()-4)/2)=$B25,"◆ "&amp;TEXT($B25,"D MMM"),"")</f>
        <v/>
      </c>
      <c r="O25" s="17"/>
      <c r="P25" s="93" t="str">
        <f>IF(DASHBOARD!$M$1+INT((COLUMN()-4)/2)=$B25,"◆ "&amp;TEXT($B25,"D MMM"),"")</f>
        <v/>
      </c>
      <c r="Q25" s="17"/>
      <c r="R25" s="93" t="str">
        <f>IF(DASHBOARD!$M$1+INT((COLUMN()-4)/2)=$B25,"◆ "&amp;TEXT($B25,"D MMM"),"")</f>
        <v/>
      </c>
      <c r="S25" s="17"/>
      <c r="T25" s="93" t="str">
        <f>IF(DASHBOARD!$M$1+INT((COLUMN()-4)/2)=$B25,"◆ "&amp;TEXT($B25,"D MMM"),"")</f>
        <v/>
      </c>
      <c r="U25" s="17"/>
      <c r="V25" s="93" t="str">
        <f>IF(DASHBOARD!$M$1+INT((COLUMN()-4)/2)=$B25,"◆ "&amp;TEXT($B25,"D MMM"),"")</f>
        <v/>
      </c>
      <c r="W25" s="17"/>
      <c r="X25" s="93" t="str">
        <f>IF(DASHBOARD!$M$1+INT((COLUMN()-4)/2)=$B25,"◆ "&amp;TEXT($B25,"D MMM"),"")</f>
        <v/>
      </c>
      <c r="Y25" s="17"/>
      <c r="Z25" s="93" t="str">
        <f>IF(DASHBOARD!$M$1+INT((COLUMN()-4)/2)=$B25,"◆ "&amp;TEXT($B25,"D MMM"),"")</f>
        <v/>
      </c>
      <c r="AA25" s="17"/>
      <c r="AB25" s="93" t="str">
        <f>IF(DASHBOARD!$M$1+INT((COLUMN()-4)/2)=$B25,"◆ "&amp;TEXT($B25,"D MMM"),"")</f>
        <v/>
      </c>
      <c r="AC25" s="17"/>
      <c r="AD25" s="93" t="str">
        <f>IF(DASHBOARD!$M$1+INT((COLUMN()-4)/2)=$B25,"◆ "&amp;TEXT($B25,"D MMM"),"")</f>
        <v/>
      </c>
      <c r="AE25" s="17"/>
      <c r="AF25" s="93" t="str">
        <f>IF(DASHBOARD!$M$1+INT((COLUMN()-4)/2)=$B25,"◆ "&amp;TEXT($B25,"D MMM"),"")</f>
        <v/>
      </c>
      <c r="AG25" s="17"/>
      <c r="AH25" s="93" t="str">
        <f>IF(DASHBOARD!$M$1+INT((COLUMN()-4)/2)=$B25,"◆ "&amp;TEXT($B25,"D MMM"),"")</f>
        <v/>
      </c>
      <c r="AI25" s="17"/>
      <c r="AJ25" s="93" t="str">
        <f>IF(DASHBOARD!$M$1+INT((COLUMN()-4)/2)=$B25,"◆ "&amp;TEXT($B25,"D MMM"),"")</f>
        <v/>
      </c>
      <c r="AK25" s="17"/>
      <c r="AL25" s="93" t="str">
        <f>IF(DASHBOARD!$M$1+INT((COLUMN()-4)/2)=$B25,"◆ "&amp;TEXT($B25,"D MMM"),"")</f>
        <v/>
      </c>
      <c r="AM25" s="17"/>
      <c r="AN25" s="93" t="str">
        <f>IF(DASHBOARD!$M$1+INT((COLUMN()-4)/2)=$B25,"◆ "&amp;TEXT($B25,"D MMM"),"")</f>
        <v/>
      </c>
      <c r="AO25" s="17"/>
      <c r="AP25" s="93" t="str">
        <f>IF(DASHBOARD!$M$1+INT((COLUMN()-4)/2)=$B25,"◆ "&amp;TEXT($B25,"D MMM"),"")</f>
        <v/>
      </c>
      <c r="AQ25" s="17"/>
      <c r="AR25" s="93" t="str">
        <f>IF(DASHBOARD!$M$1+INT((COLUMN()-4)/2)=$B25,"◆ "&amp;TEXT($B25,"D MMM"),"")</f>
        <v/>
      </c>
      <c r="AS25" s="17"/>
      <c r="AT25" s="93" t="str">
        <f>IF(DASHBOARD!$M$1+INT((COLUMN()-4)/2)=$B25,"◆ "&amp;TEXT($B25,"D MMM"),"")</f>
        <v/>
      </c>
      <c r="AU25" s="17"/>
      <c r="AV25" s="93" t="str">
        <f>IF(DASHBOARD!$M$1+INT((COLUMN()-4)/2)=$B25,"◆ "&amp;TEXT($B25,"D MMM"),"")</f>
        <v/>
      </c>
      <c r="AW25" s="17"/>
      <c r="AX25" s="93" t="str">
        <f>IF(DASHBOARD!$M$1+INT((COLUMN()-4)/2)=$B25,"◆ "&amp;TEXT($B25,"D MMM"),"")</f>
        <v/>
      </c>
      <c r="AY25" s="17"/>
      <c r="AZ25" s="93" t="str">
        <f>IF(DASHBOARD!$M$1+INT((COLUMN()-4)/2)=$B25,"◆ "&amp;TEXT($B25,"D MMM"),"")</f>
        <v/>
      </c>
      <c r="BA25" s="17"/>
      <c r="BB25" s="93" t="str">
        <f>IF(DASHBOARD!$M$1+INT((COLUMN()-4)/2)=$B25,"◆ "&amp;TEXT($B25,"D MMM"),"")</f>
        <v/>
      </c>
      <c r="BC25" s="17"/>
      <c r="BD25" s="93" t="str">
        <f>IF(DASHBOARD!$M$1+INT((COLUMN()-4)/2)=$B25,"◆ "&amp;TEXT($B25,"D MMM"),"")</f>
        <v/>
      </c>
      <c r="BE25" s="17"/>
      <c r="BF25" s="93" t="str">
        <f>IF(DASHBOARD!$M$1+INT((COLUMN()-4)/2)=$B25,"◆ "&amp;TEXT($B25,"D MMM"),"")</f>
        <v/>
      </c>
      <c r="BG25" s="17"/>
      <c r="BH25" s="93" t="str">
        <f>IF(DASHBOARD!$M$1+INT((COLUMN()-4)/2)=$B25,"◆ "&amp;TEXT($B25,"D MMM"),"")</f>
        <v/>
      </c>
      <c r="BI25" s="17"/>
      <c r="BJ25" s="93" t="str">
        <f>IF(DASHBOARD!$M$1+INT((COLUMN()-4)/2)=$B25,"◆ "&amp;TEXT($B25,"D MMM"),"")</f>
        <v/>
      </c>
      <c r="BK25" s="17"/>
      <c r="BL25" s="93" t="str">
        <f>IF(DASHBOARD!$M$1+INT((COLUMN()-4)/2)=$B25,"◆ "&amp;TEXT($B25,"D MMM"),"")</f>
        <v/>
      </c>
      <c r="BM25" s="17"/>
      <c r="BN25" s="93" t="str">
        <f>IF(DASHBOARD!$M$1+INT((COLUMN()-4)/2)=$B25,"◆ "&amp;TEXT($B25,"D MMM"),"")</f>
        <v/>
      </c>
      <c r="BO25" s="17"/>
      <c r="BP25" s="93" t="str">
        <f>IF(DASHBOARD!$M$1+INT((COLUMN()-4)/2)=$B25,"◆ "&amp;TEXT($B25,"D MMM"),"")</f>
        <v/>
      </c>
      <c r="BQ25" s="17"/>
      <c r="BR25" s="93" t="str">
        <f>IF(DASHBOARD!$M$1+INT((COLUMN()-4)/2)=$B25,"◆ "&amp;TEXT($B25,"D MMM"),"")</f>
        <v/>
      </c>
      <c r="BS25" s="17"/>
      <c r="BT25" s="93" t="str">
        <f>IF(DASHBOARD!$M$1+INT((COLUMN()-4)/2)=$B25,"◆ "&amp;TEXT($B25,"D MMM"),"")</f>
        <v/>
      </c>
      <c r="BU25" s="17"/>
      <c r="BV25" s="93" t="str">
        <f>IF(DASHBOARD!$M$1+INT((COLUMN()-4)/2)=$B25,"◆ "&amp;TEXT($B25,"D MMM"),"")</f>
        <v/>
      </c>
      <c r="BW25" s="17"/>
      <c r="BX25" s="93" t="str">
        <f>IF(DASHBOARD!$M$1+INT((COLUMN()-4)/2)=$B25,"◆ "&amp;TEXT($B25,"D MMM"),"")</f>
        <v/>
      </c>
      <c r="BY25" s="17"/>
      <c r="BZ25" s="93" t="str">
        <f>IF(DASHBOARD!$M$1+INT((COLUMN()-4)/2)=$B25,"◆ "&amp;TEXT($B25,"D MMM"),"")</f>
        <v/>
      </c>
      <c r="CA25" s="17"/>
      <c r="CB25" s="91"/>
      <c r="CC25" s="16"/>
      <c r="CD25" s="91"/>
      <c r="CE25" s="17"/>
      <c r="CF25" s="91"/>
      <c r="CG25" s="17"/>
      <c r="CH25" s="91"/>
      <c r="CI25" s="17"/>
      <c r="CJ25" s="91"/>
      <c r="CK25" s="17"/>
      <c r="CL25" s="91"/>
      <c r="CM25" s="17"/>
      <c r="CN25" s="91"/>
      <c r="CO25" s="17"/>
      <c r="CP25" s="91"/>
      <c r="CQ25" s="17"/>
      <c r="CR25" s="91"/>
      <c r="CS25" s="17"/>
      <c r="CT25" s="91"/>
      <c r="CU25" s="17"/>
      <c r="CV25" s="91"/>
      <c r="CW25" s="17"/>
      <c r="CX25" s="91"/>
      <c r="CY25" s="17"/>
    </row>
    <row r="26" spans="1:103" ht="15.4" customHeight="1">
      <c r="A26" s="205" t="s">
        <v>783</v>
      </c>
      <c r="B26" s="257"/>
      <c r="C26" s="258"/>
      <c r="D26" s="91"/>
      <c r="E26" s="17"/>
      <c r="F26" s="91"/>
      <c r="G26" s="17"/>
      <c r="H26" s="91"/>
      <c r="I26" s="17"/>
      <c r="J26" s="91"/>
      <c r="K26" s="17"/>
      <c r="L26" s="91"/>
      <c r="M26" s="17"/>
      <c r="N26" s="91"/>
      <c r="O26" s="17"/>
      <c r="P26" s="91"/>
      <c r="Q26" s="17"/>
      <c r="R26" s="91"/>
      <c r="S26" s="17"/>
      <c r="T26" s="91"/>
      <c r="U26" s="17"/>
      <c r="V26" s="91"/>
      <c r="W26" s="17"/>
      <c r="X26" s="91"/>
      <c r="Y26" s="17"/>
      <c r="Z26" s="91"/>
      <c r="AA26" s="17"/>
      <c r="AB26" s="91"/>
      <c r="AC26" s="17"/>
      <c r="AD26" s="91"/>
      <c r="AE26" s="17"/>
      <c r="AF26" s="91"/>
      <c r="AG26" s="17"/>
      <c r="AH26" s="91"/>
      <c r="AI26" s="17"/>
      <c r="AJ26" s="91"/>
      <c r="AK26" s="17"/>
      <c r="AL26" s="91"/>
      <c r="AM26" s="17"/>
      <c r="AN26" s="91"/>
      <c r="AO26" s="17"/>
      <c r="AP26" s="91"/>
      <c r="AQ26" s="17"/>
      <c r="AR26" s="91"/>
      <c r="AS26" s="17"/>
      <c r="AT26" s="91"/>
      <c r="AU26" s="17"/>
      <c r="AV26" s="91"/>
      <c r="AW26" s="17"/>
      <c r="AX26" s="91"/>
      <c r="AY26" s="17"/>
      <c r="AZ26" s="91"/>
      <c r="BA26" s="17"/>
      <c r="BB26" s="91"/>
      <c r="BC26" s="17"/>
      <c r="BD26" s="91"/>
      <c r="BE26" s="17"/>
      <c r="BF26" s="91"/>
      <c r="BG26" s="17"/>
      <c r="BH26" s="91"/>
      <c r="BI26" s="17"/>
      <c r="BJ26" s="91"/>
      <c r="BK26" s="17"/>
      <c r="BL26" s="91"/>
      <c r="BM26" s="17"/>
      <c r="BN26" s="91"/>
      <c r="BO26" s="17"/>
      <c r="BP26" s="91"/>
      <c r="BQ26" s="17"/>
      <c r="BR26" s="91"/>
      <c r="BS26" s="17"/>
      <c r="BT26" s="91"/>
      <c r="BU26" s="17"/>
      <c r="BV26" s="91"/>
      <c r="BW26" s="17"/>
      <c r="BX26" s="91"/>
      <c r="BY26" s="17"/>
      <c r="BZ26" s="91"/>
      <c r="CA26" s="17"/>
      <c r="CB26" s="91"/>
      <c r="CC26" s="16"/>
      <c r="CD26" s="91"/>
      <c r="CE26" s="17"/>
      <c r="CF26" s="91"/>
      <c r="CG26" s="17"/>
      <c r="CH26" s="91"/>
      <c r="CI26" s="17"/>
      <c r="CJ26" s="91"/>
      <c r="CK26" s="17"/>
      <c r="CL26" s="91"/>
      <c r="CM26" s="17"/>
      <c r="CN26" s="91"/>
      <c r="CO26" s="17"/>
      <c r="CP26" s="91"/>
      <c r="CQ26" s="17"/>
      <c r="CR26" s="91"/>
      <c r="CS26" s="17"/>
      <c r="CT26" s="91"/>
      <c r="CU26" s="17"/>
      <c r="CV26" s="91"/>
      <c r="CW26" s="17"/>
      <c r="CX26" s="91"/>
      <c r="CY26" s="17"/>
    </row>
    <row r="27" spans="1:103" ht="15.4" customHeight="1">
      <c r="A27" s="20" t="s">
        <v>784</v>
      </c>
      <c r="B27" s="54"/>
      <c r="C27" s="54"/>
      <c r="D27" s="91"/>
      <c r="E27" s="17"/>
      <c r="F27" s="91"/>
      <c r="G27" s="17"/>
      <c r="H27" s="91"/>
      <c r="I27" s="17"/>
      <c r="J27" s="91"/>
      <c r="K27" s="17"/>
      <c r="L27" s="91"/>
      <c r="M27" s="17"/>
      <c r="N27" s="91"/>
      <c r="O27" s="17"/>
      <c r="P27" s="91"/>
      <c r="Q27" s="17"/>
      <c r="R27" s="91"/>
      <c r="S27" s="17"/>
      <c r="T27" s="91"/>
      <c r="U27" s="17"/>
      <c r="V27" s="91"/>
      <c r="W27" s="17"/>
      <c r="X27" s="91"/>
      <c r="Y27" s="17"/>
      <c r="Z27" s="91"/>
      <c r="AA27" s="17"/>
      <c r="AB27" s="91"/>
      <c r="AC27" s="17"/>
      <c r="AD27" s="91"/>
      <c r="AE27" s="17"/>
      <c r="AF27" s="91"/>
      <c r="AG27" s="17"/>
      <c r="AH27" s="91"/>
      <c r="AI27" s="17"/>
      <c r="AJ27" s="91"/>
      <c r="AK27" s="17"/>
      <c r="AL27" s="91"/>
      <c r="AM27" s="17"/>
      <c r="AN27" s="91"/>
      <c r="AO27" s="17"/>
      <c r="AP27" s="91"/>
      <c r="AQ27" s="17"/>
      <c r="AR27" s="91"/>
      <c r="AS27" s="17"/>
      <c r="AT27" s="91"/>
      <c r="AU27" s="17"/>
      <c r="AV27" s="91"/>
      <c r="AW27" s="17"/>
      <c r="AX27" s="91"/>
      <c r="AY27" s="17"/>
      <c r="AZ27" s="91"/>
      <c r="BA27" s="17"/>
      <c r="BB27" s="91"/>
      <c r="BC27" s="17"/>
      <c r="BD27" s="91"/>
      <c r="BE27" s="17"/>
      <c r="BF27" s="91"/>
      <c r="BG27" s="17"/>
      <c r="BH27" s="91"/>
      <c r="BI27" s="17"/>
      <c r="BJ27" s="91"/>
      <c r="BK27" s="17"/>
      <c r="BL27" s="91"/>
      <c r="BM27" s="17"/>
      <c r="BN27" s="91"/>
      <c r="BO27" s="17"/>
      <c r="BP27" s="91"/>
      <c r="BQ27" s="17"/>
      <c r="BR27" s="91"/>
      <c r="BS27" s="17"/>
      <c r="BT27" s="91"/>
      <c r="BU27" s="17"/>
      <c r="BV27" s="91"/>
      <c r="BW27" s="17"/>
      <c r="BX27" s="91"/>
      <c r="BY27" s="17"/>
      <c r="BZ27" s="91"/>
      <c r="CA27" s="17"/>
      <c r="CB27" s="91"/>
      <c r="CC27" s="16"/>
      <c r="CD27" s="91"/>
      <c r="CE27" s="17"/>
      <c r="CF27" s="91"/>
      <c r="CG27" s="17"/>
      <c r="CH27" s="91"/>
      <c r="CI27" s="17"/>
      <c r="CJ27" s="91"/>
      <c r="CK27" s="17"/>
      <c r="CL27" s="91"/>
      <c r="CM27" s="17"/>
      <c r="CN27" s="91"/>
      <c r="CO27" s="17"/>
      <c r="CP27" s="91"/>
      <c r="CQ27" s="17"/>
      <c r="CR27" s="91"/>
      <c r="CS27" s="17"/>
      <c r="CT27" s="91"/>
      <c r="CU27" s="17"/>
      <c r="CV27" s="91"/>
      <c r="CW27" s="17"/>
      <c r="CX27" s="91"/>
      <c r="CY27" s="17"/>
    </row>
    <row r="28" spans="1:103" ht="15.4" customHeight="1">
      <c r="A28" s="20" t="s">
        <v>785</v>
      </c>
      <c r="B28" s="54"/>
      <c r="C28" s="54"/>
      <c r="D28" s="91"/>
      <c r="E28" s="17"/>
      <c r="F28" s="91"/>
      <c r="G28" s="17"/>
      <c r="H28" s="91"/>
      <c r="I28" s="17"/>
      <c r="J28" s="91"/>
      <c r="K28" s="17"/>
      <c r="L28" s="91"/>
      <c r="M28" s="17"/>
      <c r="N28" s="91"/>
      <c r="O28" s="17"/>
      <c r="P28" s="91"/>
      <c r="Q28" s="17"/>
      <c r="R28" s="91"/>
      <c r="S28" s="17"/>
      <c r="T28" s="91"/>
      <c r="U28" s="17"/>
      <c r="V28" s="91"/>
      <c r="W28" s="17"/>
      <c r="X28" s="91"/>
      <c r="Y28" s="17"/>
      <c r="Z28" s="91"/>
      <c r="AA28" s="17"/>
      <c r="AB28" s="91"/>
      <c r="AC28" s="17"/>
      <c r="AD28" s="91"/>
      <c r="AE28" s="17"/>
      <c r="AF28" s="91"/>
      <c r="AG28" s="17"/>
      <c r="AH28" s="91"/>
      <c r="AI28" s="17"/>
      <c r="AJ28" s="91"/>
      <c r="AK28" s="17"/>
      <c r="AL28" s="91"/>
      <c r="AM28" s="17"/>
      <c r="AN28" s="91"/>
      <c r="AO28" s="17"/>
      <c r="AP28" s="91"/>
      <c r="AQ28" s="17"/>
      <c r="AR28" s="91"/>
      <c r="AS28" s="17"/>
      <c r="AT28" s="91"/>
      <c r="AU28" s="17"/>
      <c r="AV28" s="91"/>
      <c r="AW28" s="17"/>
      <c r="AX28" s="91"/>
      <c r="AY28" s="17"/>
      <c r="AZ28" s="91"/>
      <c r="BA28" s="17"/>
      <c r="BB28" s="91"/>
      <c r="BC28" s="17"/>
      <c r="BD28" s="91"/>
      <c r="BE28" s="17"/>
      <c r="BF28" s="91"/>
      <c r="BG28" s="17"/>
      <c r="BH28" s="91"/>
      <c r="BI28" s="17"/>
      <c r="BJ28" s="91"/>
      <c r="BK28" s="17"/>
      <c r="BL28" s="91"/>
      <c r="BM28" s="17"/>
      <c r="BN28" s="91"/>
      <c r="BO28" s="17"/>
      <c r="BP28" s="91"/>
      <c r="BQ28" s="17"/>
      <c r="BR28" s="91"/>
      <c r="BS28" s="17"/>
      <c r="BT28" s="91"/>
      <c r="BU28" s="17"/>
      <c r="BV28" s="91"/>
      <c r="BW28" s="17"/>
      <c r="BX28" s="91"/>
      <c r="BY28" s="17"/>
      <c r="BZ28" s="91"/>
      <c r="CA28" s="17"/>
      <c r="CB28" s="91"/>
      <c r="CC28" s="16"/>
      <c r="CD28" s="91"/>
      <c r="CE28" s="17"/>
      <c r="CF28" s="91"/>
      <c r="CG28" s="17"/>
      <c r="CH28" s="91"/>
      <c r="CI28" s="17"/>
      <c r="CJ28" s="91"/>
      <c r="CK28" s="17"/>
      <c r="CL28" s="91"/>
      <c r="CM28" s="17"/>
      <c r="CN28" s="91"/>
      <c r="CO28" s="17"/>
      <c r="CP28" s="91"/>
      <c r="CQ28" s="17"/>
      <c r="CR28" s="91"/>
      <c r="CS28" s="17"/>
      <c r="CT28" s="91"/>
      <c r="CU28" s="17"/>
      <c r="CV28" s="91"/>
      <c r="CW28" s="17"/>
      <c r="CX28" s="91"/>
      <c r="CY28" s="17"/>
    </row>
    <row r="29" spans="1:103" ht="15.4" customHeight="1">
      <c r="A29" s="20" t="s">
        <v>786</v>
      </c>
      <c r="B29" s="54"/>
      <c r="C29" s="54"/>
      <c r="D29" s="91"/>
      <c r="E29" s="17"/>
      <c r="F29" s="91"/>
      <c r="G29" s="17"/>
      <c r="H29" s="91"/>
      <c r="I29" s="17"/>
      <c r="J29" s="91"/>
      <c r="K29" s="17"/>
      <c r="L29" s="91"/>
      <c r="M29" s="17"/>
      <c r="N29" s="91"/>
      <c r="O29" s="17"/>
      <c r="P29" s="91"/>
      <c r="Q29" s="17"/>
      <c r="R29" s="91"/>
      <c r="S29" s="17"/>
      <c r="T29" s="91"/>
      <c r="U29" s="17"/>
      <c r="V29" s="91"/>
      <c r="W29" s="17"/>
      <c r="X29" s="91"/>
      <c r="Y29" s="17"/>
      <c r="Z29" s="91"/>
      <c r="AA29" s="17"/>
      <c r="AB29" s="91"/>
      <c r="AC29" s="17"/>
      <c r="AD29" s="91"/>
      <c r="AE29" s="17"/>
      <c r="AF29" s="91"/>
      <c r="AG29" s="17"/>
      <c r="AH29" s="91"/>
      <c r="AI29" s="17"/>
      <c r="AJ29" s="91"/>
      <c r="AK29" s="17"/>
      <c r="AL29" s="91"/>
      <c r="AM29" s="17"/>
      <c r="AN29" s="91"/>
      <c r="AO29" s="17"/>
      <c r="AP29" s="91"/>
      <c r="AQ29" s="17"/>
      <c r="AR29" s="91"/>
      <c r="AS29" s="17"/>
      <c r="AT29" s="91"/>
      <c r="AU29" s="17"/>
      <c r="AV29" s="91"/>
      <c r="AW29" s="17"/>
      <c r="AX29" s="91"/>
      <c r="AY29" s="17"/>
      <c r="AZ29" s="91"/>
      <c r="BA29" s="17"/>
      <c r="BB29" s="91"/>
      <c r="BC29" s="17"/>
      <c r="BD29" s="91"/>
      <c r="BE29" s="17"/>
      <c r="BF29" s="91"/>
      <c r="BG29" s="17"/>
      <c r="BH29" s="91"/>
      <c r="BI29" s="17"/>
      <c r="BJ29" s="91"/>
      <c r="BK29" s="17"/>
      <c r="BL29" s="91"/>
      <c r="BM29" s="17"/>
      <c r="BN29" s="91"/>
      <c r="BO29" s="17"/>
      <c r="BP29" s="91"/>
      <c r="BQ29" s="17"/>
      <c r="BR29" s="91"/>
      <c r="BS29" s="17"/>
      <c r="BT29" s="91"/>
      <c r="BU29" s="17"/>
      <c r="BV29" s="91"/>
      <c r="BW29" s="17"/>
      <c r="BX29" s="91"/>
      <c r="BY29" s="17"/>
      <c r="BZ29" s="91"/>
      <c r="CA29" s="17"/>
      <c r="CB29" s="91"/>
      <c r="CC29" s="16"/>
      <c r="CD29" s="91"/>
      <c r="CE29" s="17"/>
      <c r="CF29" s="91"/>
      <c r="CG29" s="17"/>
      <c r="CH29" s="91"/>
      <c r="CI29" s="17"/>
      <c r="CJ29" s="91"/>
      <c r="CK29" s="17"/>
      <c r="CL29" s="91"/>
      <c r="CM29" s="17"/>
      <c r="CN29" s="91"/>
      <c r="CO29" s="17"/>
      <c r="CP29" s="91"/>
      <c r="CQ29" s="17"/>
      <c r="CR29" s="91"/>
      <c r="CS29" s="17"/>
      <c r="CT29" s="91"/>
      <c r="CU29" s="17"/>
      <c r="CV29" s="91"/>
      <c r="CW29" s="17"/>
      <c r="CX29" s="91"/>
      <c r="CY29" s="17"/>
    </row>
    <row r="30" spans="1:103" ht="15.4" customHeight="1">
      <c r="A30" s="20" t="s">
        <v>787</v>
      </c>
      <c r="B30" s="54"/>
      <c r="C30" s="54"/>
      <c r="D30" s="91"/>
      <c r="E30" s="17"/>
      <c r="F30" s="91"/>
      <c r="G30" s="17"/>
      <c r="H30" s="91"/>
      <c r="I30" s="17"/>
      <c r="J30" s="91"/>
      <c r="K30" s="17"/>
      <c r="L30" s="91"/>
      <c r="M30" s="17"/>
      <c r="N30" s="91"/>
      <c r="O30" s="17"/>
      <c r="P30" s="91"/>
      <c r="Q30" s="17"/>
      <c r="R30" s="91"/>
      <c r="S30" s="17"/>
      <c r="T30" s="91"/>
      <c r="U30" s="17"/>
      <c r="V30" s="91"/>
      <c r="W30" s="17"/>
      <c r="X30" s="91"/>
      <c r="Y30" s="17"/>
      <c r="Z30" s="91"/>
      <c r="AA30" s="17"/>
      <c r="AB30" s="91"/>
      <c r="AC30" s="17"/>
      <c r="AD30" s="91"/>
      <c r="AE30" s="17"/>
      <c r="AF30" s="91"/>
      <c r="AG30" s="17"/>
      <c r="AH30" s="91"/>
      <c r="AI30" s="17"/>
      <c r="AJ30" s="91"/>
      <c r="AK30" s="17"/>
      <c r="AL30" s="91"/>
      <c r="AM30" s="17"/>
      <c r="AN30" s="91"/>
      <c r="AO30" s="17"/>
      <c r="AP30" s="91"/>
      <c r="AQ30" s="17"/>
      <c r="AR30" s="91"/>
      <c r="AS30" s="17"/>
      <c r="AT30" s="91"/>
      <c r="AU30" s="17"/>
      <c r="AV30" s="91"/>
      <c r="AW30" s="17"/>
      <c r="AX30" s="91"/>
      <c r="AY30" s="17"/>
      <c r="AZ30" s="91"/>
      <c r="BA30" s="17"/>
      <c r="BB30" s="91"/>
      <c r="BC30" s="17"/>
      <c r="BD30" s="91"/>
      <c r="BE30" s="17"/>
      <c r="BF30" s="91"/>
      <c r="BG30" s="17"/>
      <c r="BH30" s="91"/>
      <c r="BI30" s="17"/>
      <c r="BJ30" s="91"/>
      <c r="BK30" s="17"/>
      <c r="BL30" s="91"/>
      <c r="BM30" s="17"/>
      <c r="BN30" s="91"/>
      <c r="BO30" s="17"/>
      <c r="BP30" s="91"/>
      <c r="BQ30" s="17"/>
      <c r="BR30" s="91"/>
      <c r="BS30" s="17"/>
      <c r="BT30" s="91"/>
      <c r="BU30" s="17"/>
      <c r="BV30" s="91"/>
      <c r="BW30" s="17"/>
      <c r="BX30" s="91"/>
      <c r="BY30" s="17"/>
      <c r="BZ30" s="91"/>
      <c r="CA30" s="17"/>
      <c r="CB30" s="91"/>
      <c r="CC30" s="16"/>
      <c r="CD30" s="91"/>
      <c r="CE30" s="17"/>
      <c r="CF30" s="91"/>
      <c r="CG30" s="17"/>
      <c r="CH30" s="91"/>
      <c r="CI30" s="17"/>
      <c r="CJ30" s="91"/>
      <c r="CK30" s="17"/>
      <c r="CL30" s="91"/>
      <c r="CM30" s="17"/>
      <c r="CN30" s="91"/>
      <c r="CO30" s="17"/>
      <c r="CP30" s="91"/>
      <c r="CQ30" s="17"/>
      <c r="CR30" s="91"/>
      <c r="CS30" s="17"/>
      <c r="CT30" s="91"/>
      <c r="CU30" s="17"/>
      <c r="CV30" s="91"/>
      <c r="CW30" s="17"/>
      <c r="CX30" s="91"/>
      <c r="CY30" s="17"/>
    </row>
    <row r="31" spans="1:103" ht="15.4" customHeight="1">
      <c r="A31" s="20" t="s">
        <v>788</v>
      </c>
      <c r="B31" s="54"/>
      <c r="C31" s="54"/>
      <c r="D31" s="91"/>
      <c r="E31" s="17"/>
      <c r="F31" s="91"/>
      <c r="G31" s="17"/>
      <c r="H31" s="91"/>
      <c r="I31" s="17"/>
      <c r="J31" s="91"/>
      <c r="K31" s="17"/>
      <c r="L31" s="91"/>
      <c r="M31" s="17"/>
      <c r="N31" s="91"/>
      <c r="O31" s="17"/>
      <c r="P31" s="91"/>
      <c r="Q31" s="17"/>
      <c r="R31" s="91"/>
      <c r="S31" s="17"/>
      <c r="T31" s="91"/>
      <c r="U31" s="17"/>
      <c r="V31" s="91"/>
      <c r="W31" s="17"/>
      <c r="X31" s="91"/>
      <c r="Y31" s="17"/>
      <c r="Z31" s="91"/>
      <c r="AA31" s="17"/>
      <c r="AB31" s="91"/>
      <c r="AC31" s="17"/>
      <c r="AD31" s="91"/>
      <c r="AE31" s="17"/>
      <c r="AF31" s="91"/>
      <c r="AG31" s="17"/>
      <c r="AH31" s="91"/>
      <c r="AI31" s="17"/>
      <c r="AJ31" s="91"/>
      <c r="AK31" s="17"/>
      <c r="AL31" s="91"/>
      <c r="AM31" s="17"/>
      <c r="AN31" s="91"/>
      <c r="AO31" s="17"/>
      <c r="AP31" s="91"/>
      <c r="AQ31" s="17"/>
      <c r="AR31" s="91"/>
      <c r="AS31" s="17"/>
      <c r="AT31" s="91"/>
      <c r="AU31" s="17"/>
      <c r="AV31" s="91"/>
      <c r="AW31" s="17"/>
      <c r="AX31" s="91"/>
      <c r="AY31" s="17"/>
      <c r="AZ31" s="91"/>
      <c r="BA31" s="17"/>
      <c r="BB31" s="91"/>
      <c r="BC31" s="17"/>
      <c r="BD31" s="91"/>
      <c r="BE31" s="17"/>
      <c r="BF31" s="91"/>
      <c r="BG31" s="17"/>
      <c r="BH31" s="91"/>
      <c r="BI31" s="17"/>
      <c r="BJ31" s="91"/>
      <c r="BK31" s="17"/>
      <c r="BL31" s="91"/>
      <c r="BM31" s="17"/>
      <c r="BN31" s="91"/>
      <c r="BO31" s="17"/>
      <c r="BP31" s="91"/>
      <c r="BQ31" s="17"/>
      <c r="BR31" s="91"/>
      <c r="BS31" s="17"/>
      <c r="BT31" s="91"/>
      <c r="BU31" s="17"/>
      <c r="BV31" s="91"/>
      <c r="BW31" s="17"/>
      <c r="BX31" s="91"/>
      <c r="BY31" s="17"/>
      <c r="BZ31" s="91"/>
      <c r="CA31" s="17"/>
      <c r="CB31" s="91"/>
      <c r="CC31" s="16"/>
      <c r="CD31" s="91"/>
      <c r="CE31" s="17"/>
      <c r="CF31" s="91"/>
      <c r="CG31" s="17"/>
      <c r="CH31" s="91"/>
      <c r="CI31" s="17"/>
      <c r="CJ31" s="91"/>
      <c r="CK31" s="17"/>
      <c r="CL31" s="91"/>
      <c r="CM31" s="17"/>
      <c r="CN31" s="91"/>
      <c r="CO31" s="17"/>
      <c r="CP31" s="91"/>
      <c r="CQ31" s="17"/>
      <c r="CR31" s="91"/>
      <c r="CS31" s="17"/>
      <c r="CT31" s="91"/>
      <c r="CU31" s="17"/>
      <c r="CV31" s="91"/>
      <c r="CW31" s="17"/>
      <c r="CX31" s="91"/>
      <c r="CY31" s="17"/>
    </row>
    <row r="32" spans="1:103" ht="15.4" customHeight="1">
      <c r="A32" s="20" t="s">
        <v>789</v>
      </c>
      <c r="B32" s="54"/>
      <c r="C32" s="54"/>
      <c r="D32" s="91"/>
      <c r="E32" s="17"/>
      <c r="F32" s="91"/>
      <c r="G32" s="17"/>
      <c r="H32" s="91"/>
      <c r="I32" s="17"/>
      <c r="J32" s="91"/>
      <c r="K32" s="17"/>
      <c r="L32" s="91"/>
      <c r="M32" s="17"/>
      <c r="N32" s="91"/>
      <c r="O32" s="17"/>
      <c r="P32" s="91"/>
      <c r="Q32" s="17"/>
      <c r="R32" s="91"/>
      <c r="S32" s="17"/>
      <c r="T32" s="91"/>
      <c r="U32" s="17"/>
      <c r="V32" s="91"/>
      <c r="W32" s="17"/>
      <c r="X32" s="91"/>
      <c r="Y32" s="17"/>
      <c r="Z32" s="91"/>
      <c r="AA32" s="17"/>
      <c r="AB32" s="91"/>
      <c r="AC32" s="17"/>
      <c r="AD32" s="91"/>
      <c r="AE32" s="17"/>
      <c r="AF32" s="91"/>
      <c r="AG32" s="17"/>
      <c r="AH32" s="91"/>
      <c r="AI32" s="17"/>
      <c r="AJ32" s="91"/>
      <c r="AK32" s="17"/>
      <c r="AL32" s="91"/>
      <c r="AM32" s="17"/>
      <c r="AN32" s="91"/>
      <c r="AO32" s="17"/>
      <c r="AP32" s="91"/>
      <c r="AQ32" s="17"/>
      <c r="AR32" s="91"/>
      <c r="AS32" s="17"/>
      <c r="AT32" s="91"/>
      <c r="AU32" s="17"/>
      <c r="AV32" s="91"/>
      <c r="AW32" s="17"/>
      <c r="AX32" s="91"/>
      <c r="AY32" s="17"/>
      <c r="AZ32" s="91"/>
      <c r="BA32" s="17"/>
      <c r="BB32" s="91"/>
      <c r="BC32" s="17"/>
      <c r="BD32" s="91"/>
      <c r="BE32" s="17"/>
      <c r="BF32" s="91"/>
      <c r="BG32" s="17"/>
      <c r="BH32" s="91"/>
      <c r="BI32" s="17"/>
      <c r="BJ32" s="91"/>
      <c r="BK32" s="17"/>
      <c r="BL32" s="91"/>
      <c r="BM32" s="17"/>
      <c r="BN32" s="91"/>
      <c r="BO32" s="17"/>
      <c r="BP32" s="91"/>
      <c r="BQ32" s="17"/>
      <c r="BR32" s="91"/>
      <c r="BS32" s="17"/>
      <c r="BT32" s="91"/>
      <c r="BU32" s="17"/>
      <c r="BV32" s="91"/>
      <c r="BW32" s="17"/>
      <c r="BX32" s="91"/>
      <c r="BY32" s="17"/>
      <c r="BZ32" s="91"/>
      <c r="CA32" s="17"/>
      <c r="CB32" s="91"/>
      <c r="CC32" s="16"/>
      <c r="CD32" s="91"/>
      <c r="CE32" s="17"/>
      <c r="CF32" s="91"/>
      <c r="CG32" s="17"/>
      <c r="CH32" s="91"/>
      <c r="CI32" s="17"/>
      <c r="CJ32" s="91"/>
      <c r="CK32" s="17"/>
      <c r="CL32" s="91"/>
      <c r="CM32" s="17"/>
      <c r="CN32" s="91"/>
      <c r="CO32" s="17"/>
      <c r="CP32" s="91"/>
      <c r="CQ32" s="17"/>
      <c r="CR32" s="91"/>
      <c r="CS32" s="17"/>
      <c r="CT32" s="91"/>
      <c r="CU32" s="17"/>
      <c r="CV32" s="91"/>
      <c r="CW32" s="17"/>
      <c r="CX32" s="91"/>
      <c r="CY32" s="17"/>
    </row>
    <row r="33" spans="1:103" ht="15.4" customHeight="1">
      <c r="A33" s="20" t="s">
        <v>790</v>
      </c>
      <c r="B33" s="213"/>
      <c r="C33" s="214"/>
      <c r="D33" s="91"/>
      <c r="E33" s="17"/>
      <c r="F33" s="91"/>
      <c r="G33" s="17"/>
      <c r="H33" s="91"/>
      <c r="I33" s="17"/>
      <c r="J33" s="91"/>
      <c r="K33" s="17"/>
      <c r="L33" s="91"/>
      <c r="M33" s="17"/>
      <c r="N33" s="91"/>
      <c r="O33" s="17"/>
      <c r="P33" s="91"/>
      <c r="Q33" s="17"/>
      <c r="R33" s="91"/>
      <c r="S33" s="17"/>
      <c r="T33" s="91"/>
      <c r="U33" s="17"/>
      <c r="V33" s="91"/>
      <c r="W33" s="17"/>
      <c r="X33" s="91"/>
      <c r="Y33" s="17"/>
      <c r="Z33" s="91"/>
      <c r="AA33" s="17"/>
      <c r="AB33" s="91"/>
      <c r="AC33" s="17"/>
      <c r="AD33" s="91"/>
      <c r="AE33" s="17"/>
      <c r="AF33" s="91"/>
      <c r="AG33" s="17"/>
      <c r="AH33" s="91"/>
      <c r="AI33" s="17"/>
      <c r="AJ33" s="91"/>
      <c r="AK33" s="17"/>
      <c r="AL33" s="91"/>
      <c r="AM33" s="17"/>
      <c r="AN33" s="91"/>
      <c r="AO33" s="17"/>
      <c r="AP33" s="91"/>
      <c r="AQ33" s="17"/>
      <c r="AR33" s="91"/>
      <c r="AS33" s="17"/>
      <c r="AT33" s="91"/>
      <c r="AU33" s="17"/>
      <c r="AV33" s="91"/>
      <c r="AW33" s="17"/>
      <c r="AX33" s="91"/>
      <c r="AY33" s="17"/>
      <c r="AZ33" s="91"/>
      <c r="BA33" s="17"/>
      <c r="BB33" s="91"/>
      <c r="BC33" s="17"/>
      <c r="BD33" s="91"/>
      <c r="BE33" s="17"/>
      <c r="BF33" s="91"/>
      <c r="BG33" s="17"/>
      <c r="BH33" s="91"/>
      <c r="BI33" s="17"/>
      <c r="BJ33" s="91"/>
      <c r="BK33" s="17"/>
      <c r="BL33" s="91"/>
      <c r="BM33" s="17"/>
      <c r="BN33" s="91"/>
      <c r="BO33" s="17"/>
      <c r="BP33" s="91"/>
      <c r="BQ33" s="17"/>
      <c r="BR33" s="91"/>
      <c r="BS33" s="17"/>
      <c r="BT33" s="91"/>
      <c r="BU33" s="17"/>
      <c r="BV33" s="91"/>
      <c r="BW33" s="17"/>
      <c r="BX33" s="91"/>
      <c r="BY33" s="17"/>
      <c r="BZ33" s="91"/>
      <c r="CA33" s="17"/>
      <c r="CB33" s="91"/>
      <c r="CC33" s="16"/>
      <c r="CD33" s="91"/>
      <c r="CE33" s="17"/>
      <c r="CF33" s="91"/>
      <c r="CG33" s="17"/>
      <c r="CH33" s="91"/>
      <c r="CI33" s="17"/>
      <c r="CJ33" s="91"/>
      <c r="CK33" s="17"/>
      <c r="CL33" s="91"/>
      <c r="CM33" s="17"/>
      <c r="CN33" s="91"/>
      <c r="CO33" s="17"/>
      <c r="CP33" s="91"/>
      <c r="CQ33" s="17"/>
      <c r="CR33" s="91"/>
      <c r="CS33" s="17"/>
      <c r="CT33" s="91"/>
      <c r="CU33" s="17"/>
      <c r="CV33" s="91"/>
      <c r="CW33" s="17"/>
      <c r="CX33" s="91"/>
      <c r="CY33" s="17"/>
    </row>
    <row r="34" spans="1:103" ht="15.4" customHeight="1">
      <c r="A34" s="20" t="s">
        <v>791</v>
      </c>
      <c r="B34" s="54"/>
      <c r="C34" s="54"/>
      <c r="D34" s="91"/>
      <c r="E34" s="17"/>
      <c r="F34" s="91"/>
      <c r="G34" s="17"/>
      <c r="H34" s="91"/>
      <c r="I34" s="17"/>
      <c r="J34" s="91"/>
      <c r="K34" s="17"/>
      <c r="L34" s="91"/>
      <c r="M34" s="17"/>
      <c r="N34" s="91"/>
      <c r="O34" s="17"/>
      <c r="P34" s="91"/>
      <c r="Q34" s="17"/>
      <c r="R34" s="91"/>
      <c r="S34" s="17"/>
      <c r="T34" s="91"/>
      <c r="U34" s="17"/>
      <c r="V34" s="91"/>
      <c r="W34" s="17"/>
      <c r="X34" s="91"/>
      <c r="Y34" s="17"/>
      <c r="Z34" s="91"/>
      <c r="AA34" s="17"/>
      <c r="AB34" s="91"/>
      <c r="AC34" s="17"/>
      <c r="AD34" s="91"/>
      <c r="AE34" s="17"/>
      <c r="AF34" s="91"/>
      <c r="AG34" s="17"/>
      <c r="AH34" s="91"/>
      <c r="AI34" s="17"/>
      <c r="AJ34" s="91"/>
      <c r="AK34" s="17"/>
      <c r="AL34" s="91"/>
      <c r="AM34" s="17"/>
      <c r="AN34" s="91"/>
      <c r="AO34" s="17"/>
      <c r="AP34" s="91"/>
      <c r="AQ34" s="17"/>
      <c r="AR34" s="91"/>
      <c r="AS34" s="17"/>
      <c r="AT34" s="91"/>
      <c r="AU34" s="17"/>
      <c r="AV34" s="91"/>
      <c r="AW34" s="17"/>
      <c r="AX34" s="91"/>
      <c r="AY34" s="17"/>
      <c r="AZ34" s="91"/>
      <c r="BA34" s="17"/>
      <c r="BB34" s="91"/>
      <c r="BC34" s="17"/>
      <c r="BD34" s="91"/>
      <c r="BE34" s="17"/>
      <c r="BF34" s="91"/>
      <c r="BG34" s="17"/>
      <c r="BH34" s="91"/>
      <c r="BI34" s="17"/>
      <c r="BJ34" s="91"/>
      <c r="BK34" s="17"/>
      <c r="BL34" s="91"/>
      <c r="BM34" s="17"/>
      <c r="BN34" s="91"/>
      <c r="BO34" s="17"/>
      <c r="BP34" s="91"/>
      <c r="BQ34" s="17"/>
      <c r="BR34" s="91"/>
      <c r="BS34" s="17"/>
      <c r="BT34" s="91"/>
      <c r="BU34" s="17"/>
      <c r="BV34" s="91"/>
      <c r="BW34" s="17"/>
      <c r="BX34" s="91"/>
      <c r="BY34" s="17"/>
      <c r="BZ34" s="91"/>
      <c r="CA34" s="17"/>
      <c r="CB34" s="91"/>
      <c r="CC34" s="16"/>
      <c r="CD34" s="91"/>
      <c r="CE34" s="17"/>
      <c r="CF34" s="91"/>
      <c r="CG34" s="17"/>
      <c r="CH34" s="91"/>
      <c r="CI34" s="17"/>
      <c r="CJ34" s="91"/>
      <c r="CK34" s="17"/>
      <c r="CL34" s="91"/>
      <c r="CM34" s="17"/>
      <c r="CN34" s="91"/>
      <c r="CO34" s="17"/>
      <c r="CP34" s="91"/>
      <c r="CQ34" s="17"/>
      <c r="CR34" s="91"/>
      <c r="CS34" s="17"/>
      <c r="CT34" s="91"/>
      <c r="CU34" s="17"/>
      <c r="CV34" s="91"/>
      <c r="CW34" s="17"/>
      <c r="CX34" s="91"/>
      <c r="CY34" s="17"/>
    </row>
    <row r="35" spans="1:103" ht="15.4" customHeight="1">
      <c r="A35" s="20" t="s">
        <v>792</v>
      </c>
      <c r="B35" s="213"/>
      <c r="C35" s="214"/>
      <c r="D35" s="91"/>
      <c r="E35" s="17"/>
      <c r="F35" s="91"/>
      <c r="G35" s="17"/>
      <c r="H35" s="91"/>
      <c r="I35" s="17"/>
      <c r="J35" s="91"/>
      <c r="K35" s="17"/>
      <c r="L35" s="91"/>
      <c r="M35" s="17"/>
      <c r="N35" s="91"/>
      <c r="O35" s="17"/>
      <c r="P35" s="91"/>
      <c r="Q35" s="17"/>
      <c r="R35" s="91"/>
      <c r="S35" s="17"/>
      <c r="T35" s="91"/>
      <c r="U35" s="17"/>
      <c r="V35" s="91"/>
      <c r="W35" s="17"/>
      <c r="X35" s="91"/>
      <c r="Y35" s="17"/>
      <c r="Z35" s="91"/>
      <c r="AA35" s="17"/>
      <c r="AB35" s="91"/>
      <c r="AC35" s="17"/>
      <c r="AD35" s="91"/>
      <c r="AE35" s="17"/>
      <c r="AF35" s="91"/>
      <c r="AG35" s="17"/>
      <c r="AH35" s="91"/>
      <c r="AI35" s="17"/>
      <c r="AJ35" s="91"/>
      <c r="AK35" s="17"/>
      <c r="AL35" s="91"/>
      <c r="AM35" s="17"/>
      <c r="AN35" s="91"/>
      <c r="AO35" s="17"/>
      <c r="AP35" s="91"/>
      <c r="AQ35" s="17"/>
      <c r="AR35" s="91"/>
      <c r="AS35" s="17"/>
      <c r="AT35" s="91"/>
      <c r="AU35" s="17"/>
      <c r="AV35" s="91"/>
      <c r="AW35" s="17"/>
      <c r="AX35" s="91"/>
      <c r="AY35" s="17"/>
      <c r="AZ35" s="91"/>
      <c r="BA35" s="17"/>
      <c r="BB35" s="91"/>
      <c r="BC35" s="17"/>
      <c r="BD35" s="91"/>
      <c r="BE35" s="17"/>
      <c r="BF35" s="91"/>
      <c r="BG35" s="17"/>
      <c r="BH35" s="91"/>
      <c r="BI35" s="17"/>
      <c r="BJ35" s="91"/>
      <c r="BK35" s="17"/>
      <c r="BL35" s="91"/>
      <c r="BM35" s="17"/>
      <c r="BN35" s="91"/>
      <c r="BO35" s="17"/>
      <c r="BP35" s="91"/>
      <c r="BQ35" s="17"/>
      <c r="BR35" s="91"/>
      <c r="BS35" s="17"/>
      <c r="BT35" s="91"/>
      <c r="BU35" s="17"/>
      <c r="BV35" s="91"/>
      <c r="BW35" s="17"/>
      <c r="BX35" s="91"/>
      <c r="BY35" s="17"/>
      <c r="BZ35" s="91"/>
      <c r="CA35" s="17"/>
      <c r="CB35" s="91"/>
      <c r="CC35" s="16"/>
      <c r="CD35" s="91"/>
      <c r="CE35" s="17"/>
      <c r="CF35" s="91"/>
      <c r="CG35" s="17"/>
      <c r="CH35" s="91"/>
      <c r="CI35" s="17"/>
      <c r="CJ35" s="91"/>
      <c r="CK35" s="17"/>
      <c r="CL35" s="91"/>
      <c r="CM35" s="17"/>
      <c r="CN35" s="91"/>
      <c r="CO35" s="17"/>
      <c r="CP35" s="91"/>
      <c r="CQ35" s="17"/>
      <c r="CR35" s="91"/>
      <c r="CS35" s="17"/>
      <c r="CT35" s="91"/>
      <c r="CU35" s="17"/>
      <c r="CV35" s="91"/>
      <c r="CW35" s="17"/>
      <c r="CX35" s="91"/>
      <c r="CY35" s="17"/>
    </row>
    <row r="36" spans="1:103" ht="15.4" customHeight="1">
      <c r="A36" s="205" t="s">
        <v>793</v>
      </c>
      <c r="B36" s="257"/>
      <c r="C36" s="258"/>
      <c r="D36" s="91"/>
      <c r="E36" s="17"/>
      <c r="F36" s="91"/>
      <c r="G36" s="17"/>
      <c r="H36" s="91"/>
      <c r="I36" s="17"/>
      <c r="J36" s="91"/>
      <c r="K36" s="17"/>
      <c r="L36" s="91"/>
      <c r="M36" s="17"/>
      <c r="N36" s="91"/>
      <c r="O36" s="17"/>
      <c r="P36" s="91"/>
      <c r="Q36" s="17"/>
      <c r="R36" s="91"/>
      <c r="S36" s="17"/>
      <c r="T36" s="91"/>
      <c r="U36" s="17"/>
      <c r="V36" s="91"/>
      <c r="W36" s="17"/>
      <c r="X36" s="91"/>
      <c r="Y36" s="17"/>
      <c r="Z36" s="91"/>
      <c r="AA36" s="17"/>
      <c r="AB36" s="91"/>
      <c r="AC36" s="17"/>
      <c r="AD36" s="91"/>
      <c r="AE36" s="17"/>
      <c r="AF36" s="91"/>
      <c r="AG36" s="17"/>
      <c r="AH36" s="91"/>
      <c r="AI36" s="17"/>
      <c r="AJ36" s="91"/>
      <c r="AK36" s="17"/>
      <c r="AL36" s="91"/>
      <c r="AM36" s="17"/>
      <c r="AN36" s="91"/>
      <c r="AO36" s="17"/>
      <c r="AP36" s="91"/>
      <c r="AQ36" s="17"/>
      <c r="AR36" s="91"/>
      <c r="AS36" s="17"/>
      <c r="AT36" s="91"/>
      <c r="AU36" s="17"/>
      <c r="AV36" s="91"/>
      <c r="AW36" s="17"/>
      <c r="AX36" s="91"/>
      <c r="AY36" s="17"/>
      <c r="AZ36" s="91"/>
      <c r="BA36" s="17"/>
      <c r="BB36" s="91"/>
      <c r="BC36" s="17"/>
      <c r="BD36" s="91"/>
      <c r="BE36" s="17"/>
      <c r="BF36" s="91"/>
      <c r="BG36" s="17"/>
      <c r="BH36" s="91"/>
      <c r="BI36" s="17"/>
      <c r="BJ36" s="91"/>
      <c r="BK36" s="17"/>
      <c r="BL36" s="91"/>
      <c r="BM36" s="17"/>
      <c r="BN36" s="91"/>
      <c r="BO36" s="17"/>
      <c r="BP36" s="91"/>
      <c r="BQ36" s="17"/>
      <c r="BR36" s="91"/>
      <c r="BS36" s="17"/>
      <c r="BT36" s="91"/>
      <c r="BU36" s="17"/>
      <c r="BV36" s="91"/>
      <c r="BW36" s="17"/>
      <c r="BX36" s="91"/>
      <c r="BY36" s="17"/>
      <c r="BZ36" s="91"/>
      <c r="CA36" s="17"/>
      <c r="CB36" s="91"/>
      <c r="CC36" s="16"/>
      <c r="CD36" s="91"/>
      <c r="CE36" s="17"/>
      <c r="CF36" s="91"/>
      <c r="CG36" s="17"/>
      <c r="CH36" s="91"/>
      <c r="CI36" s="17"/>
      <c r="CJ36" s="91"/>
      <c r="CK36" s="17"/>
      <c r="CL36" s="91"/>
      <c r="CM36" s="17"/>
      <c r="CN36" s="91"/>
      <c r="CO36" s="17"/>
      <c r="CP36" s="91"/>
      <c r="CQ36" s="17"/>
      <c r="CR36" s="91"/>
      <c r="CS36" s="17"/>
      <c r="CT36" s="91"/>
      <c r="CU36" s="17"/>
      <c r="CV36" s="91"/>
      <c r="CW36" s="17"/>
      <c r="CX36" s="91"/>
      <c r="CY36" s="17"/>
    </row>
    <row r="37" spans="1:103" ht="15.4" customHeight="1">
      <c r="A37" s="20" t="s">
        <v>794</v>
      </c>
      <c r="B37" s="54"/>
      <c r="C37" s="54"/>
      <c r="D37" s="91"/>
      <c r="E37" s="17"/>
      <c r="F37" s="91"/>
      <c r="G37" s="17"/>
      <c r="H37" s="91"/>
      <c r="I37" s="17"/>
      <c r="J37" s="91"/>
      <c r="K37" s="17"/>
      <c r="L37" s="91"/>
      <c r="M37" s="17"/>
      <c r="N37" s="91"/>
      <c r="O37" s="17"/>
      <c r="P37" s="91"/>
      <c r="Q37" s="17"/>
      <c r="R37" s="91"/>
      <c r="S37" s="17"/>
      <c r="T37" s="91"/>
      <c r="U37" s="17"/>
      <c r="V37" s="91"/>
      <c r="W37" s="17"/>
      <c r="X37" s="91"/>
      <c r="Y37" s="17"/>
      <c r="Z37" s="91"/>
      <c r="AA37" s="17"/>
      <c r="AB37" s="91"/>
      <c r="AC37" s="17"/>
      <c r="AD37" s="91"/>
      <c r="AE37" s="17"/>
      <c r="AF37" s="91"/>
      <c r="AG37" s="17"/>
      <c r="AH37" s="91"/>
      <c r="AI37" s="17"/>
      <c r="AJ37" s="91"/>
      <c r="AK37" s="17"/>
      <c r="AL37" s="91"/>
      <c r="AM37" s="17"/>
      <c r="AN37" s="91"/>
      <c r="AO37" s="17"/>
      <c r="AP37" s="91"/>
      <c r="AQ37" s="17"/>
      <c r="AR37" s="91"/>
      <c r="AS37" s="17"/>
      <c r="AT37" s="91"/>
      <c r="AU37" s="17"/>
      <c r="AV37" s="91"/>
      <c r="AW37" s="17"/>
      <c r="AX37" s="91"/>
      <c r="AY37" s="17"/>
      <c r="AZ37" s="91"/>
      <c r="BA37" s="17"/>
      <c r="BB37" s="91"/>
      <c r="BC37" s="17"/>
      <c r="BD37" s="91"/>
      <c r="BE37" s="17"/>
      <c r="BF37" s="91"/>
      <c r="BG37" s="17"/>
      <c r="BH37" s="91"/>
      <c r="BI37" s="17"/>
      <c r="BJ37" s="91"/>
      <c r="BK37" s="17"/>
      <c r="BL37" s="91"/>
      <c r="BM37" s="17"/>
      <c r="BN37" s="91"/>
      <c r="BO37" s="17"/>
      <c r="BP37" s="91"/>
      <c r="BQ37" s="17"/>
      <c r="BR37" s="91"/>
      <c r="BS37" s="17"/>
      <c r="BT37" s="91"/>
      <c r="BU37" s="17"/>
      <c r="BV37" s="91"/>
      <c r="BW37" s="17"/>
      <c r="BX37" s="91"/>
      <c r="BY37" s="17"/>
      <c r="BZ37" s="91"/>
      <c r="CA37" s="17"/>
      <c r="CB37" s="91"/>
      <c r="CC37" s="16"/>
      <c r="CD37" s="91"/>
      <c r="CE37" s="17"/>
      <c r="CF37" s="91"/>
      <c r="CG37" s="17"/>
      <c r="CH37" s="91"/>
      <c r="CI37" s="17"/>
      <c r="CJ37" s="91"/>
      <c r="CK37" s="17"/>
      <c r="CL37" s="91"/>
      <c r="CM37" s="17"/>
      <c r="CN37" s="91"/>
      <c r="CO37" s="17"/>
      <c r="CP37" s="91"/>
      <c r="CQ37" s="17"/>
      <c r="CR37" s="91"/>
      <c r="CS37" s="17"/>
      <c r="CT37" s="91"/>
      <c r="CU37" s="17"/>
      <c r="CV37" s="91"/>
      <c r="CW37" s="17"/>
      <c r="CX37" s="91"/>
      <c r="CY37" s="17"/>
    </row>
    <row r="38" spans="1:103" ht="15.4" customHeight="1">
      <c r="A38" s="20" t="s">
        <v>795</v>
      </c>
      <c r="B38" s="204">
        <v>46258</v>
      </c>
      <c r="C38" s="258"/>
      <c r="D38" s="91"/>
      <c r="E38" s="17"/>
      <c r="F38" s="91"/>
      <c r="G38" s="17"/>
      <c r="H38" s="91"/>
      <c r="I38" s="17"/>
      <c r="J38" s="91"/>
      <c r="K38" s="17"/>
      <c r="L38" s="91"/>
      <c r="M38" s="17"/>
      <c r="N38" s="91"/>
      <c r="O38" s="17"/>
      <c r="P38" s="91"/>
      <c r="Q38" s="17"/>
      <c r="R38" s="91"/>
      <c r="S38" s="17"/>
      <c r="T38" s="91"/>
      <c r="U38" s="17"/>
      <c r="V38" s="91"/>
      <c r="W38" s="17"/>
      <c r="X38" s="91"/>
      <c r="Y38" s="17"/>
      <c r="Z38" s="91"/>
      <c r="AA38" s="17"/>
      <c r="AB38" s="91"/>
      <c r="AC38" s="17"/>
      <c r="AD38" s="91"/>
      <c r="AE38" s="17"/>
      <c r="AF38" s="91"/>
      <c r="AG38" s="17"/>
      <c r="AH38" s="91"/>
      <c r="AI38" s="17"/>
      <c r="AJ38" s="91"/>
      <c r="AK38" s="17"/>
      <c r="AL38" s="91"/>
      <c r="AM38" s="17"/>
      <c r="AN38" s="91"/>
      <c r="AO38" s="17"/>
      <c r="AP38" s="91"/>
      <c r="AQ38" s="17"/>
      <c r="AR38" s="91"/>
      <c r="AS38" s="17"/>
      <c r="AT38" s="91"/>
      <c r="AU38" s="17"/>
      <c r="AV38" s="91"/>
      <c r="AW38" s="17"/>
      <c r="AX38" s="91"/>
      <c r="AY38" s="17"/>
      <c r="AZ38" s="91"/>
      <c r="BA38" s="17"/>
      <c r="BB38" s="91"/>
      <c r="BC38" s="17"/>
      <c r="BD38" s="91"/>
      <c r="BE38" s="17"/>
      <c r="BF38" s="91"/>
      <c r="BG38" s="17"/>
      <c r="BH38" s="91"/>
      <c r="BI38" s="17"/>
      <c r="BJ38" s="91"/>
      <c r="BK38" s="17"/>
      <c r="BL38" s="91"/>
      <c r="BM38" s="17"/>
      <c r="BN38" s="91"/>
      <c r="BO38" s="17"/>
      <c r="BP38" s="91"/>
      <c r="BQ38" s="17"/>
      <c r="BR38" s="91"/>
      <c r="BS38" s="17"/>
      <c r="BT38" s="91"/>
      <c r="BU38" s="17"/>
      <c r="BV38" s="91"/>
      <c r="BW38" s="17"/>
      <c r="BX38" s="91"/>
      <c r="BY38" s="17"/>
      <c r="BZ38" s="91"/>
      <c r="CA38" s="17"/>
      <c r="CB38" s="91"/>
      <c r="CC38" s="16"/>
      <c r="CD38" s="91"/>
      <c r="CE38" s="17"/>
      <c r="CF38" s="91"/>
      <c r="CG38" s="17"/>
      <c r="CH38" s="91"/>
      <c r="CI38" s="17"/>
      <c r="CJ38" s="91"/>
      <c r="CK38" s="17"/>
      <c r="CL38" s="91"/>
      <c r="CM38" s="17"/>
      <c r="CN38" s="91"/>
      <c r="CO38" s="17"/>
      <c r="CP38" s="91"/>
      <c r="CQ38" s="17"/>
      <c r="CR38" s="91"/>
      <c r="CS38" s="17"/>
      <c r="CT38" s="91"/>
      <c r="CU38" s="17"/>
      <c r="CV38" s="91"/>
      <c r="CW38" s="17"/>
      <c r="CX38" s="91"/>
      <c r="CY38" s="17"/>
    </row>
    <row r="40" spans="1:103" ht="15.95" customHeight="1">
      <c r="A40" s="184" t="s">
        <v>796</v>
      </c>
      <c r="B40" s="253"/>
      <c r="C40" s="253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</row>
    <row r="41" spans="1:103" ht="14.45" customHeight="1">
      <c r="A41" s="18" t="s">
        <v>797</v>
      </c>
      <c r="B41" s="209" t="str">
        <f>IF($B$19="","",$B$19)</f>
        <v/>
      </c>
      <c r="C41" s="256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</row>
    <row r="42" spans="1:103" ht="14.45" customHeight="1">
      <c r="A42" s="19" t="s">
        <v>798</v>
      </c>
      <c r="B42" s="212" t="str">
        <f>IF($B$23="","",$B$23)</f>
        <v/>
      </c>
      <c r="C42" s="256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</row>
    <row r="43" spans="1:103" ht="14.45" customHeight="1">
      <c r="A43" s="18" t="s">
        <v>799</v>
      </c>
      <c r="B43" s="209" t="str">
        <f>IF($C$23="","",$C$23)</f>
        <v/>
      </c>
      <c r="C43" s="256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</row>
    <row r="44" spans="1:103" ht="14.45" customHeight="1">
      <c r="A44" s="19" t="s">
        <v>800</v>
      </c>
      <c r="B44" s="212" t="str">
        <f>IF($B$18="","",$B$18)</f>
        <v/>
      </c>
      <c r="C44" s="256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</row>
    <row r="45" spans="1:103" ht="14.45" customHeight="1">
      <c r="A45" s="18" t="s">
        <v>801</v>
      </c>
      <c r="B45" s="209" t="str">
        <f>IF($B$32="","",$B$32)</f>
        <v/>
      </c>
      <c r="C45" s="256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</row>
    <row r="46" spans="1:103" ht="14.45" customHeight="1">
      <c r="A46" s="19" t="s">
        <v>802</v>
      </c>
      <c r="B46" s="212" t="str">
        <f>IF($C$28="","",$C$28)</f>
        <v/>
      </c>
      <c r="C46" s="256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</row>
    <row r="47" spans="1:103" ht="14.45" customHeight="1">
      <c r="A47" s="18" t="s">
        <v>803</v>
      </c>
      <c r="B47" s="209" t="str">
        <f>IF($B$37="","",$B$37)</f>
        <v/>
      </c>
      <c r="C47" s="256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</row>
    <row r="48" spans="1:103" ht="14.45" customHeight="1">
      <c r="A48" s="19" t="s">
        <v>804</v>
      </c>
      <c r="B48" s="212">
        <f>IF($B$38="","",$B$38)</f>
        <v>46258</v>
      </c>
      <c r="C48" s="256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</row>
  </sheetData>
  <mergeCells count="128">
    <mergeCell ref="CX3:CY3"/>
    <mergeCell ref="AB4:AC4"/>
    <mergeCell ref="R4:S4"/>
    <mergeCell ref="T4:U4"/>
    <mergeCell ref="F3:G3"/>
    <mergeCell ref="V4:W4"/>
    <mergeCell ref="BF3:BG3"/>
    <mergeCell ref="B48:C48"/>
    <mergeCell ref="BV4:BW4"/>
    <mergeCell ref="AN4:AO4"/>
    <mergeCell ref="BH3:BI3"/>
    <mergeCell ref="BX4:BY4"/>
    <mergeCell ref="BR3:BS3"/>
    <mergeCell ref="AR4:AS4"/>
    <mergeCell ref="AT4:AU4"/>
    <mergeCell ref="CT4:CU4"/>
    <mergeCell ref="BD4:BE4"/>
    <mergeCell ref="CV4:CW4"/>
    <mergeCell ref="BF4:BG4"/>
    <mergeCell ref="R3:S3"/>
    <mergeCell ref="A36:C36"/>
    <mergeCell ref="AR3:AS3"/>
    <mergeCell ref="AB3:AC3"/>
    <mergeCell ref="B7:C7"/>
    <mergeCell ref="B47:C47"/>
    <mergeCell ref="AH3:AI3"/>
    <mergeCell ref="CH3:CI3"/>
    <mergeCell ref="BB3:BC3"/>
    <mergeCell ref="CJ3:CK3"/>
    <mergeCell ref="CL3:CM3"/>
    <mergeCell ref="B46:C46"/>
    <mergeCell ref="CV3:CW3"/>
    <mergeCell ref="H4:I4"/>
    <mergeCell ref="B8:C8"/>
    <mergeCell ref="B12:C12"/>
    <mergeCell ref="B35:C35"/>
    <mergeCell ref="B33:C33"/>
    <mergeCell ref="B44:C44"/>
    <mergeCell ref="B19:C19"/>
    <mergeCell ref="D3:E3"/>
    <mergeCell ref="AX3:AY3"/>
    <mergeCell ref="P3:Q3"/>
    <mergeCell ref="AZ3:BA3"/>
    <mergeCell ref="B45:C45"/>
    <mergeCell ref="CD3:CE3"/>
    <mergeCell ref="T3:U3"/>
    <mergeCell ref="V3:W3"/>
    <mergeCell ref="AF3:AG3"/>
    <mergeCell ref="B43:C43"/>
    <mergeCell ref="AF4:AG4"/>
    <mergeCell ref="AH4:AI4"/>
    <mergeCell ref="BP4:BQ4"/>
    <mergeCell ref="CH4:CI4"/>
    <mergeCell ref="CJ4:CK4"/>
    <mergeCell ref="C3:C5"/>
    <mergeCell ref="B42:C42"/>
    <mergeCell ref="A20:C20"/>
    <mergeCell ref="CF3:CG3"/>
    <mergeCell ref="BN4:BO4"/>
    <mergeCell ref="AD4:AE4"/>
    <mergeCell ref="AV4:AW4"/>
    <mergeCell ref="N4:O4"/>
    <mergeCell ref="AX4:AY4"/>
    <mergeCell ref="P4:Q4"/>
    <mergeCell ref="F4:G4"/>
    <mergeCell ref="BH4:BI4"/>
    <mergeCell ref="CX4:CY4"/>
    <mergeCell ref="B41:C41"/>
    <mergeCell ref="AP4:AQ4"/>
    <mergeCell ref="B25:C25"/>
    <mergeCell ref="B3:B5"/>
    <mergeCell ref="X3:Y3"/>
    <mergeCell ref="Z3:AA3"/>
    <mergeCell ref="A13:C13"/>
    <mergeCell ref="AJ3:AK3"/>
    <mergeCell ref="AL3:AM3"/>
    <mergeCell ref="CN3:CO3"/>
    <mergeCell ref="A40:C40"/>
    <mergeCell ref="CP3:CQ3"/>
    <mergeCell ref="H3:I3"/>
    <mergeCell ref="X4:Y4"/>
    <mergeCell ref="J3:K3"/>
    <mergeCell ref="Z4:AA4"/>
    <mergeCell ref="BJ3:BK3"/>
    <mergeCell ref="BZ4:CA4"/>
    <mergeCell ref="BL3:BM3"/>
    <mergeCell ref="CB4:CC4"/>
    <mergeCell ref="BV3:BW3"/>
    <mergeCell ref="A3:A5"/>
    <mergeCell ref="BX3:BY3"/>
    <mergeCell ref="CP4:CQ4"/>
    <mergeCell ref="BJ4:BK4"/>
    <mergeCell ref="CT3:CU3"/>
    <mergeCell ref="BR4:BS4"/>
    <mergeCell ref="AJ4:AK4"/>
    <mergeCell ref="BT4:BU4"/>
    <mergeCell ref="AL4:AM4"/>
    <mergeCell ref="CL4:CM4"/>
    <mergeCell ref="CD4:CE4"/>
    <mergeCell ref="CN4:CO4"/>
    <mergeCell ref="CF4:CG4"/>
    <mergeCell ref="CR4:CS4"/>
    <mergeCell ref="BN3:BO3"/>
    <mergeCell ref="BP3:BQ3"/>
    <mergeCell ref="A1:C2"/>
    <mergeCell ref="BZ3:CA3"/>
    <mergeCell ref="CB3:CC3"/>
    <mergeCell ref="AZ4:BA4"/>
    <mergeCell ref="BT3:BU3"/>
    <mergeCell ref="BB4:BC4"/>
    <mergeCell ref="B38:C38"/>
    <mergeCell ref="J4:K4"/>
    <mergeCell ref="L4:M4"/>
    <mergeCell ref="BL4:BM4"/>
    <mergeCell ref="A6:C6"/>
    <mergeCell ref="D1:AP2"/>
    <mergeCell ref="AQ1:CY2"/>
    <mergeCell ref="AD3:AE3"/>
    <mergeCell ref="AN3:AO3"/>
    <mergeCell ref="AP3:AQ3"/>
    <mergeCell ref="A26:C26"/>
    <mergeCell ref="AT3:AU3"/>
    <mergeCell ref="BD3:BE3"/>
    <mergeCell ref="L3:M3"/>
    <mergeCell ref="N3:O3"/>
    <mergeCell ref="AV3:AW3"/>
    <mergeCell ref="CR3:CS3"/>
    <mergeCell ref="D4:E4"/>
  </mergeCells>
  <pageMargins left="0.75" right="0.75" top="1" bottom="1" header="0.5" footer="0.5"/>
  <pageSetup paperSize="8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stopIfTrue="1" id="{09E19360-1A3A-4CE5-B5D7-6CB27E9DEE2D}">
            <xm:f>(DASHBOARD!$M$1+INT((COLUMN()-4)/2))=INT($B$19)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D19:CY19</xm:sqref>
        </x14:conditionalFormatting>
        <x14:conditionalFormatting xmlns:xm="http://schemas.microsoft.com/office/excel/2006/main">
          <x14:cfRule type="expression" priority="12" stopIfTrue="1" id="{016BA8BA-6CF4-4E03-8C2E-637E966051E6}">
            <xm:f>(DASHBOARD!$M$1+INT((COLUMN()-4)/2))=INT($B$25)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D25:CY25</xm:sqref>
        </x14:conditionalFormatting>
        <x14:conditionalFormatting xmlns:xm="http://schemas.microsoft.com/office/excel/2006/main">
          <x14:cfRule type="expression" priority="13" stopIfTrue="1" id="{76ED7D1E-9417-4D2F-BB6D-CEB01EE20029}">
            <xm:f>AND(ISNUMBER($B6),(DASHBOARD!$M$1+(COLUMN()-4)/2)&gt;=(INT($B6)+IF(MOD($B6,1)&lt;0.5,0,0.5)),(DASHBOARD!$M$1+(COLUMN()-4)/2)&lt;(INT(IF(ISNUMBER($C6),$C6,$B6))+IF(MOD(IF(ISNUMBER($C6),$C6,$B6),1)=0,1,IF(MOD(IF(ISNUMBER($C6),$C6,$B6),1)&lt;=0.5,0.5,1))))</xm:f>
            <x14:dxf>
              <fill>
                <patternFill patternType="solid">
                  <fgColor rgb="FF2E7D32"/>
                  <bgColor rgb="FF2E7D32"/>
                </patternFill>
              </fill>
            </x14:dxf>
          </x14:cfRule>
          <x14:cfRule type="expression" priority="14" id="{7AD792E5-158E-42A4-8743-B01794672F3F}">
            <xm:f>AND(MOD(COLUMN(),2)=0,(DASHBOARD!$M$1+INT((COLUMN()-4)/2))=INT($B$19))</xm:f>
            <x14:dxf>
              <border>
                <left style="medium">
                  <color rgb="FFC62828"/>
                </left>
              </border>
            </x14:dxf>
          </x14:cfRule>
          <x14:cfRule type="expression" priority="15" id="{AD8073C6-487F-4F35-ADE2-8CC5AAD58574}">
            <xm:f>AND(MOD(COLUMN(),2)=1,(DASHBOARD!$M$1+INT((COLUMN()-4)/2))=INT($B$25))</xm:f>
            <x14:dxf>
              <border>
                <right style="medium">
                  <color rgb="FFE65100"/>
                </right>
              </border>
            </x14:dxf>
          </x14:cfRule>
          <x14:cfRule type="expression" priority="16" stopIfTrue="1" id="{F98BB95B-5DA4-4C6A-B876-81989583DCC7}">
            <xm:f>(DASHBOARD!$M$1+INT((COLUMN()-4)/2))&gt;DASHBOARD!$M$2</xm:f>
            <x14:dxf>
              <fill>
                <patternFill patternType="solid">
                  <fgColor rgb="FFFCFCFC"/>
                  <bgColor rgb="FFFCFCFC"/>
                </patternFill>
              </fill>
            </x14:dxf>
          </x14:cfRule>
          <x14:cfRule type="expression" priority="17" id="{231E5BCC-26CF-46B3-BA61-552FBB567D53}">
            <xm:f>(DASHBOARD!$M$1+INT((COLUMN()-4)/2))=TODAY()</xm:f>
            <x14:dxf>
              <fill>
                <patternFill patternType="solid">
                  <fgColor rgb="FFFFF8E1"/>
                  <bgColor rgb="FFFFF8E1"/>
                </patternFill>
              </fill>
            </x14:dxf>
          </x14:cfRule>
          <x14:cfRule type="expression" priority="18" id="{5505A40D-723C-44A8-9372-F276466E3561}">
            <xm:f>(DASHBOARD!$M$1+INT((COLUMN()-4)/2))=DASHBOARD!$M$2</xm:f>
            <x14:dxf>
              <fill>
                <patternFill patternType="solid">
                  <fgColor rgb="FFDCEDC8"/>
                  <bgColor rgb="FFDCEDC8"/>
                </patternFill>
              </fill>
            </x14:dxf>
          </x14:cfRule>
          <x14:cfRule type="expression" priority="19" id="{928F798B-0B55-48FA-A803-A4E660984C9B}">
            <xm:f>OR(WEEKDAY((DASHBOARD!$M$1+INT((COLUMN()-4)/2)),2)=5,WEEKDAY((DASHBOARD!$M$1+INT((COLUMN()-4)/2)),2)=6)</xm:f>
            <x14:dxf>
              <fill>
                <patternFill patternType="solid">
                  <fgColor rgb="FFF3F4F6"/>
                  <bgColor rgb="FFF3F4F6"/>
                </patternFill>
              </fill>
            </x14:dxf>
          </x14:cfRule>
          <xm:sqref>D6:CY38</xm:sqref>
        </x14:conditionalFormatting>
        <x14:conditionalFormatting xmlns:xm="http://schemas.microsoft.com/office/excel/2006/main">
          <x14:cfRule type="expression" priority="20" stopIfTrue="1" id="{CD9A608F-4761-40C9-8316-A5EA7AE43AE2}">
            <xm:f>(DASHBOARD!$M$1+INT((COLUMN()-4)/2))&gt;DASHBOARD!$M$2</xm:f>
            <x14:dxf>
              <fill>
                <patternFill patternType="solid">
                  <fgColor rgb="FFFFFFFF"/>
                  <bgColor rgb="FFFFFFFF"/>
                </patternFill>
              </fill>
            </x14:dxf>
          </x14:cfRule>
          <xm:sqref>D3:CY5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504"/>
  <sheetViews>
    <sheetView showGridLines="0" workbookViewId="0">
      <pane ySplit="3" topLeftCell="A4" activePane="bottomLeft" state="frozen"/>
      <selection pane="bottomLeft" activeCell="J5" sqref="J5"/>
      <selection activeCell="AC19" sqref="AC19"/>
    </sheetView>
  </sheetViews>
  <sheetFormatPr defaultRowHeight="15"/>
  <cols>
    <col min="1" max="1" width="7.28515625" customWidth="1"/>
    <col min="2" max="2" width="60" customWidth="1"/>
    <col min="3" max="3" width="12" customWidth="1"/>
    <col min="4" max="4" width="16" customWidth="1"/>
    <col min="5" max="5" width="18" customWidth="1"/>
    <col min="6" max="6" width="15" customWidth="1"/>
    <col min="7" max="7" width="13" customWidth="1"/>
    <col min="8" max="8" width="18" customWidth="1"/>
    <col min="9" max="9" width="13" customWidth="1"/>
    <col min="10" max="10" width="40" customWidth="1"/>
    <col min="80" max="103" width="0" hidden="1" customWidth="1"/>
  </cols>
  <sheetData>
    <row r="1" spans="1:10" ht="34.15" customHeight="1">
      <c r="A1" s="218" t="s">
        <v>805</v>
      </c>
      <c r="B1" s="253"/>
      <c r="C1" s="253"/>
      <c r="D1" s="253"/>
      <c r="E1" s="253"/>
      <c r="F1" s="217" t="str">
        <f>"🔧 "&amp;COUNTIFS(B4:B504,"&lt;&gt;",F4:F504,"Re-Installed")&amp;" / "&amp;COUNTIF(B4:B504,"&lt;&gt;")&amp;" Re-Installed ("&amp;TEXT(IFERROR(COUNTIFS(B4:B504,"&lt;&gt;",F4:F504,"Re-Installed")/COUNTIF(B4:B504,"&lt;&gt;"),0),"0%")&amp;")"</f>
        <v>🔧 0 / 0 Re-Installed (0%)</v>
      </c>
      <c r="G1" s="253"/>
      <c r="H1" s="253"/>
      <c r="I1" s="253"/>
      <c r="J1" s="253"/>
    </row>
    <row r="2" spans="1:10" ht="19.899999999999999" customHeight="1">
      <c r="A2" s="219" t="str">
        <f>IF(COUNTIF(B4:B504,"&lt;&gt;")=0,"Track every removed item — who removed it, under which WO, and reinstallation status","Open by area:   F/DECK "&amp;COUNTIFS(C4:C504,"FLIGHT DECK",F4:F504,"Open")&amp;"   ·   FWD "&amp;COUNTIFS(C4:C504,"FWD",F4:F504,"Open")&amp;"   ·   MID "&amp;COUNTIFS(C4:C504,"MID",F4:F504,"Open")&amp;"   ·   AFT "&amp;COUNTIFS(C4:C504,"AFT",F4:F504,"Open")&amp;"   ·   JOINT "&amp;COUNTIFS(C4:C504,"JOINT",F4:F504,"Open"))</f>
        <v>Track every removed item — who removed it, under which WO, and reinstallation status</v>
      </c>
      <c r="B2" s="253"/>
      <c r="C2" s="253"/>
      <c r="D2" s="253"/>
      <c r="E2" s="253"/>
      <c r="F2" s="220" t="str">
        <f>"⚠️ Still Open: "&amp;COUNTIFS(B4:B504,"&lt;&gt;",F4:F504,"Open")</f>
        <v>⚠️ Still Open: 0</v>
      </c>
      <c r="G2" s="253"/>
      <c r="H2" s="253"/>
      <c r="I2" s="253"/>
      <c r="J2" s="253"/>
    </row>
    <row r="3" spans="1:10" ht="31.5" customHeight="1">
      <c r="A3" s="94" t="s">
        <v>3</v>
      </c>
      <c r="B3" s="94" t="s">
        <v>806</v>
      </c>
      <c r="C3" s="94" t="s">
        <v>11</v>
      </c>
      <c r="D3" s="94" t="s">
        <v>807</v>
      </c>
      <c r="E3" s="94" t="s">
        <v>808</v>
      </c>
      <c r="F3" s="94" t="s">
        <v>5</v>
      </c>
      <c r="G3" s="94" t="s">
        <v>809</v>
      </c>
      <c r="H3" s="94" t="s">
        <v>810</v>
      </c>
      <c r="I3" s="94" t="s">
        <v>811</v>
      </c>
      <c r="J3" s="94" t="s">
        <v>9</v>
      </c>
    </row>
    <row r="4" spans="1:10" ht="15.6" customHeight="1">
      <c r="A4" s="4" t="str">
        <f t="shared" ref="A4:A67" si="0">IF(B4&lt;&gt;"",ROW()-3,"")</f>
        <v/>
      </c>
      <c r="B4" s="5"/>
      <c r="C4" s="6"/>
      <c r="D4" s="6"/>
      <c r="E4" s="5"/>
      <c r="F4" s="6"/>
      <c r="G4" s="7"/>
      <c r="H4" s="5"/>
      <c r="I4" s="7"/>
      <c r="J4" s="5"/>
    </row>
    <row r="5" spans="1:10" ht="15.6" customHeight="1">
      <c r="A5" s="4" t="str">
        <f t="shared" si="0"/>
        <v/>
      </c>
      <c r="B5" s="5"/>
      <c r="C5" s="6"/>
      <c r="D5" s="6"/>
      <c r="E5" s="5"/>
      <c r="F5" s="6"/>
      <c r="G5" s="7"/>
      <c r="H5" s="5"/>
      <c r="I5" s="7"/>
      <c r="J5" s="5"/>
    </row>
    <row r="6" spans="1:10" ht="15.6" customHeight="1">
      <c r="A6" s="4" t="str">
        <f t="shared" si="0"/>
        <v/>
      </c>
      <c r="B6" s="5"/>
      <c r="C6" s="6"/>
      <c r="D6" s="6"/>
      <c r="E6" s="5"/>
      <c r="F6" s="6"/>
      <c r="G6" s="7"/>
      <c r="H6" s="5"/>
      <c r="I6" s="7"/>
      <c r="J6" s="5"/>
    </row>
    <row r="7" spans="1:10" ht="15.6" customHeight="1">
      <c r="A7" s="4"/>
      <c r="B7" s="221"/>
      <c r="C7" s="222"/>
      <c r="D7" s="6"/>
      <c r="E7" s="5"/>
      <c r="F7" s="6"/>
      <c r="G7" s="7"/>
      <c r="H7" s="5"/>
      <c r="I7" s="7"/>
      <c r="J7" s="5"/>
    </row>
    <row r="8" spans="1:10" ht="15.6" customHeight="1">
      <c r="A8" s="4" t="str">
        <f t="shared" si="0"/>
        <v/>
      </c>
      <c r="B8" s="215"/>
      <c r="C8" s="216"/>
      <c r="D8" s="6"/>
      <c r="E8" s="5"/>
      <c r="F8" s="6"/>
      <c r="G8" s="7"/>
      <c r="H8" s="5"/>
      <c r="I8" s="7"/>
      <c r="J8" s="5"/>
    </row>
    <row r="9" spans="1:10" ht="15.6" customHeight="1">
      <c r="A9" s="4" t="str">
        <f t="shared" si="0"/>
        <v/>
      </c>
      <c r="B9" s="5"/>
      <c r="C9" s="6"/>
      <c r="D9" s="6"/>
      <c r="E9" s="5"/>
      <c r="F9" s="6"/>
      <c r="G9" s="7"/>
      <c r="H9" s="5"/>
      <c r="I9" s="7"/>
      <c r="J9" s="5"/>
    </row>
    <row r="10" spans="1:10" ht="15.6" customHeight="1">
      <c r="A10" s="4" t="str">
        <f t="shared" si="0"/>
        <v/>
      </c>
      <c r="B10" s="5"/>
      <c r="C10" s="6"/>
      <c r="D10" s="6"/>
      <c r="E10" s="5"/>
      <c r="F10" s="6"/>
      <c r="G10" s="7"/>
      <c r="H10" s="5"/>
      <c r="I10" s="7"/>
      <c r="J10" s="5"/>
    </row>
    <row r="11" spans="1:10" ht="15.6" customHeight="1">
      <c r="A11" s="4" t="str">
        <f t="shared" si="0"/>
        <v/>
      </c>
      <c r="B11" s="5"/>
      <c r="C11" s="6"/>
      <c r="D11" s="6"/>
      <c r="E11" s="5"/>
      <c r="F11" s="6"/>
      <c r="G11" s="7"/>
      <c r="H11" s="5"/>
      <c r="I11" s="7"/>
      <c r="J11" s="5"/>
    </row>
    <row r="12" spans="1:10" ht="15.6" customHeight="1">
      <c r="A12" s="4" t="str">
        <f t="shared" si="0"/>
        <v/>
      </c>
      <c r="B12" s="215"/>
      <c r="C12" s="216"/>
      <c r="D12" s="6"/>
      <c r="E12" s="5"/>
      <c r="F12" s="6"/>
      <c r="G12" s="7"/>
      <c r="H12" s="5"/>
      <c r="I12" s="7"/>
      <c r="J12" s="5"/>
    </row>
    <row r="13" spans="1:10" ht="15.6" customHeight="1">
      <c r="A13" s="4" t="str">
        <f t="shared" si="0"/>
        <v/>
      </c>
      <c r="B13" s="5"/>
      <c r="C13" s="6"/>
      <c r="D13" s="6"/>
      <c r="E13" s="5"/>
      <c r="F13" s="6"/>
      <c r="G13" s="7"/>
      <c r="H13" s="5"/>
      <c r="I13" s="7"/>
      <c r="J13" s="5"/>
    </row>
    <row r="14" spans="1:10" ht="15.6" customHeight="1">
      <c r="A14" s="4" t="str">
        <f t="shared" si="0"/>
        <v/>
      </c>
      <c r="B14" s="5"/>
      <c r="C14" s="6"/>
      <c r="D14" s="6"/>
      <c r="E14" s="5"/>
      <c r="F14" s="6"/>
      <c r="G14" s="7"/>
      <c r="H14" s="5"/>
      <c r="I14" s="7"/>
      <c r="J14" s="5"/>
    </row>
    <row r="15" spans="1:10" ht="15.6" customHeight="1">
      <c r="A15" s="4" t="str">
        <f t="shared" si="0"/>
        <v/>
      </c>
      <c r="B15" s="5"/>
      <c r="C15" s="6"/>
      <c r="D15" s="6"/>
      <c r="E15" s="5"/>
      <c r="F15" s="6"/>
      <c r="G15" s="7"/>
      <c r="H15" s="5"/>
      <c r="I15" s="7"/>
      <c r="J15" s="5"/>
    </row>
    <row r="16" spans="1:10" ht="15.6" customHeight="1">
      <c r="A16" s="4" t="str">
        <f t="shared" si="0"/>
        <v/>
      </c>
      <c r="B16" s="5"/>
      <c r="C16" s="6"/>
      <c r="D16" s="6"/>
      <c r="E16" s="5"/>
      <c r="F16" s="6"/>
      <c r="G16" s="7"/>
      <c r="H16" s="5"/>
      <c r="I16" s="7"/>
      <c r="J16" s="5"/>
    </row>
    <row r="17" spans="1:10" ht="15.6" customHeight="1">
      <c r="A17" s="4" t="str">
        <f t="shared" si="0"/>
        <v/>
      </c>
      <c r="B17" s="5"/>
      <c r="C17" s="6"/>
      <c r="D17" s="6"/>
      <c r="E17" s="5"/>
      <c r="F17" s="6"/>
      <c r="G17" s="7"/>
      <c r="H17" s="5"/>
      <c r="I17" s="7"/>
      <c r="J17" s="5"/>
    </row>
    <row r="18" spans="1:10" ht="15.6" customHeight="1">
      <c r="A18" s="4" t="str">
        <f t="shared" si="0"/>
        <v/>
      </c>
      <c r="B18" s="5"/>
      <c r="C18" s="6"/>
      <c r="D18" s="6"/>
      <c r="E18" s="5"/>
      <c r="F18" s="6"/>
      <c r="G18" s="7"/>
      <c r="H18" s="5"/>
      <c r="I18" s="7"/>
      <c r="J18" s="5"/>
    </row>
    <row r="19" spans="1:10" ht="15.6" customHeight="1">
      <c r="A19" s="4" t="str">
        <f t="shared" si="0"/>
        <v/>
      </c>
      <c r="B19" s="5"/>
      <c r="C19" s="6"/>
      <c r="D19" s="6"/>
      <c r="E19" s="5"/>
      <c r="F19" s="6"/>
      <c r="G19" s="7"/>
      <c r="H19" s="5"/>
      <c r="I19" s="7"/>
      <c r="J19" s="5"/>
    </row>
    <row r="20" spans="1:10" ht="15.6" customHeight="1">
      <c r="A20" s="4" t="str">
        <f t="shared" si="0"/>
        <v/>
      </c>
      <c r="B20" s="5"/>
      <c r="C20" s="6"/>
      <c r="D20" s="6"/>
      <c r="E20" s="5"/>
      <c r="F20" s="6"/>
      <c r="G20" s="7"/>
      <c r="H20" s="5"/>
      <c r="I20" s="7"/>
      <c r="J20" s="5"/>
    </row>
    <row r="21" spans="1:10" ht="15.6" customHeight="1">
      <c r="A21" s="4" t="str">
        <f t="shared" si="0"/>
        <v/>
      </c>
      <c r="B21" s="5"/>
      <c r="C21" s="6"/>
      <c r="D21" s="6"/>
      <c r="E21" s="5"/>
      <c r="F21" s="6"/>
      <c r="G21" s="7"/>
      <c r="H21" s="5"/>
      <c r="I21" s="7"/>
      <c r="J21" s="5"/>
    </row>
    <row r="22" spans="1:10" ht="15.6" customHeight="1">
      <c r="A22" s="4" t="str">
        <f t="shared" si="0"/>
        <v/>
      </c>
      <c r="B22" s="5"/>
      <c r="C22" s="6"/>
      <c r="D22" s="6"/>
      <c r="E22" s="5"/>
      <c r="F22" s="6"/>
      <c r="G22" s="7"/>
      <c r="H22" s="5"/>
      <c r="I22" s="7"/>
      <c r="J22" s="5"/>
    </row>
    <row r="23" spans="1:10" ht="15.6" customHeight="1">
      <c r="A23" s="4" t="str">
        <f t="shared" si="0"/>
        <v/>
      </c>
      <c r="B23" s="5"/>
      <c r="C23" s="6"/>
      <c r="D23" s="6"/>
      <c r="E23" s="5"/>
      <c r="F23" s="6"/>
      <c r="G23" s="7"/>
      <c r="H23" s="5"/>
      <c r="I23" s="7"/>
      <c r="J23" s="5"/>
    </row>
    <row r="24" spans="1:10" ht="15.6" customHeight="1">
      <c r="A24" s="4" t="str">
        <f t="shared" si="0"/>
        <v/>
      </c>
      <c r="B24" s="5"/>
      <c r="C24" s="6"/>
      <c r="D24" s="6"/>
      <c r="E24" s="5"/>
      <c r="F24" s="6"/>
      <c r="G24" s="7"/>
      <c r="H24" s="5"/>
      <c r="I24" s="7"/>
      <c r="J24" s="5"/>
    </row>
    <row r="25" spans="1:10" ht="15.6" customHeight="1">
      <c r="A25" s="4" t="str">
        <f t="shared" si="0"/>
        <v/>
      </c>
      <c r="B25" s="5"/>
      <c r="C25" s="6"/>
      <c r="D25" s="6"/>
      <c r="E25" s="5"/>
      <c r="F25" s="6"/>
      <c r="G25" s="7"/>
      <c r="H25" s="5"/>
      <c r="I25" s="7"/>
      <c r="J25" s="5"/>
    </row>
    <row r="26" spans="1:10" ht="15.6" customHeight="1">
      <c r="A26" s="4" t="str">
        <f t="shared" si="0"/>
        <v/>
      </c>
      <c r="B26" s="5"/>
      <c r="C26" s="6"/>
      <c r="D26" s="6"/>
      <c r="E26" s="5"/>
      <c r="F26" s="6"/>
      <c r="G26" s="7"/>
      <c r="H26" s="5"/>
      <c r="I26" s="7"/>
      <c r="J26" s="5"/>
    </row>
    <row r="27" spans="1:10" ht="15.6" customHeight="1">
      <c r="A27" s="4" t="str">
        <f t="shared" si="0"/>
        <v/>
      </c>
      <c r="B27" s="5"/>
      <c r="C27" s="6"/>
      <c r="D27" s="6"/>
      <c r="E27" s="5"/>
      <c r="F27" s="6"/>
      <c r="G27" s="7"/>
      <c r="H27" s="5"/>
      <c r="I27" s="7"/>
      <c r="J27" s="5"/>
    </row>
    <row r="28" spans="1:10" ht="15.6" customHeight="1">
      <c r="A28" s="4" t="str">
        <f t="shared" si="0"/>
        <v/>
      </c>
      <c r="B28" s="5"/>
      <c r="C28" s="6"/>
      <c r="D28" s="6"/>
      <c r="E28" s="5"/>
      <c r="F28" s="6"/>
      <c r="G28" s="7"/>
      <c r="H28" s="5"/>
      <c r="I28" s="7"/>
      <c r="J28" s="5"/>
    </row>
    <row r="29" spans="1:10" ht="15.6" customHeight="1">
      <c r="A29" s="4" t="str">
        <f t="shared" si="0"/>
        <v/>
      </c>
      <c r="B29" s="5"/>
      <c r="C29" s="6"/>
      <c r="D29" s="6"/>
      <c r="E29" s="5"/>
      <c r="F29" s="6"/>
      <c r="G29" s="7"/>
      <c r="H29" s="5"/>
      <c r="I29" s="7"/>
      <c r="J29" s="5"/>
    </row>
    <row r="30" spans="1:10" ht="15.6" customHeight="1">
      <c r="A30" s="4" t="str">
        <f t="shared" si="0"/>
        <v/>
      </c>
      <c r="B30" s="5"/>
      <c r="C30" s="6"/>
      <c r="D30" s="6"/>
      <c r="E30" s="5"/>
      <c r="F30" s="6"/>
      <c r="G30" s="7"/>
      <c r="H30" s="5"/>
      <c r="I30" s="7"/>
      <c r="J30" s="5"/>
    </row>
    <row r="31" spans="1:10" ht="15.6" customHeight="1">
      <c r="A31" s="4" t="str">
        <f t="shared" si="0"/>
        <v/>
      </c>
      <c r="B31" s="5"/>
      <c r="C31" s="6"/>
      <c r="D31" s="6"/>
      <c r="E31" s="5"/>
      <c r="F31" s="6"/>
      <c r="G31" s="7"/>
      <c r="H31" s="5"/>
      <c r="I31" s="7"/>
      <c r="J31" s="5"/>
    </row>
    <row r="32" spans="1:10" ht="15.6" customHeight="1">
      <c r="A32" s="4" t="str">
        <f t="shared" si="0"/>
        <v/>
      </c>
      <c r="B32" s="5"/>
      <c r="C32" s="6"/>
      <c r="D32" s="6"/>
      <c r="E32" s="5"/>
      <c r="F32" s="6"/>
      <c r="G32" s="7"/>
      <c r="H32" s="5"/>
      <c r="I32" s="7"/>
      <c r="J32" s="5"/>
    </row>
    <row r="33" spans="1:10" ht="15.6" customHeight="1">
      <c r="A33" s="4" t="str">
        <f t="shared" si="0"/>
        <v/>
      </c>
      <c r="B33" s="215"/>
      <c r="C33" s="216"/>
      <c r="D33" s="6"/>
      <c r="E33" s="5"/>
      <c r="F33" s="6"/>
      <c r="G33" s="7"/>
      <c r="H33" s="5"/>
      <c r="I33" s="7"/>
      <c r="J33" s="5"/>
    </row>
    <row r="34" spans="1:10" ht="15.6" customHeight="1">
      <c r="A34" s="4" t="str">
        <f t="shared" si="0"/>
        <v/>
      </c>
      <c r="B34" s="5"/>
      <c r="C34" s="6"/>
      <c r="D34" s="6"/>
      <c r="E34" s="5"/>
      <c r="F34" s="6"/>
      <c r="G34" s="7"/>
      <c r="H34" s="5"/>
      <c r="I34" s="7"/>
      <c r="J34" s="5"/>
    </row>
    <row r="35" spans="1:10" ht="15.6" customHeight="1">
      <c r="A35" s="4" t="str">
        <f t="shared" si="0"/>
        <v/>
      </c>
      <c r="B35" s="215"/>
      <c r="C35" s="216"/>
      <c r="D35" s="6"/>
      <c r="E35" s="5"/>
      <c r="F35" s="6"/>
      <c r="G35" s="7"/>
      <c r="H35" s="5"/>
      <c r="I35" s="7"/>
      <c r="J35" s="5"/>
    </row>
    <row r="36" spans="1:10" ht="15.6" customHeight="1">
      <c r="A36" s="4" t="str">
        <f t="shared" si="0"/>
        <v/>
      </c>
      <c r="B36" s="5"/>
      <c r="C36" s="6"/>
      <c r="D36" s="6"/>
      <c r="E36" s="5"/>
      <c r="F36" s="6"/>
      <c r="G36" s="7"/>
      <c r="H36" s="5"/>
      <c r="I36" s="7"/>
      <c r="J36" s="5"/>
    </row>
    <row r="37" spans="1:10" ht="15.6" customHeight="1">
      <c r="A37" s="4" t="str">
        <f t="shared" si="0"/>
        <v/>
      </c>
      <c r="B37" s="5"/>
      <c r="C37" s="6"/>
      <c r="D37" s="6"/>
      <c r="E37" s="5"/>
      <c r="F37" s="6"/>
      <c r="G37" s="7"/>
      <c r="H37" s="5"/>
      <c r="I37" s="7"/>
      <c r="J37" s="5"/>
    </row>
    <row r="38" spans="1:10" ht="15.6" customHeight="1">
      <c r="A38" s="4"/>
      <c r="B38" s="53"/>
      <c r="C38" s="6"/>
      <c r="D38" s="6"/>
      <c r="E38" s="5"/>
      <c r="F38" s="6"/>
      <c r="G38" s="7"/>
      <c r="H38" s="5"/>
      <c r="I38" s="7"/>
      <c r="J38" s="5"/>
    </row>
    <row r="39" spans="1:10" ht="15.6" customHeight="1">
      <c r="A39" s="4" t="str">
        <f t="shared" si="0"/>
        <v/>
      </c>
      <c r="B39" s="5"/>
      <c r="C39" s="6"/>
      <c r="D39" s="6"/>
      <c r="E39" s="5"/>
      <c r="F39" s="6"/>
      <c r="G39" s="7"/>
      <c r="H39" s="5"/>
      <c r="I39" s="7"/>
      <c r="J39" s="5"/>
    </row>
    <row r="40" spans="1:10" ht="15.6" customHeight="1">
      <c r="A40" s="4" t="str">
        <f t="shared" si="0"/>
        <v/>
      </c>
      <c r="B40" s="5"/>
      <c r="C40" s="6"/>
      <c r="D40" s="6"/>
      <c r="E40" s="5"/>
      <c r="F40" s="6"/>
      <c r="G40" s="7"/>
      <c r="H40" s="5"/>
      <c r="I40" s="7"/>
      <c r="J40" s="5"/>
    </row>
    <row r="41" spans="1:10" ht="15.6" customHeight="1">
      <c r="A41" s="4" t="str">
        <f t="shared" si="0"/>
        <v/>
      </c>
      <c r="B41" s="5"/>
      <c r="C41" s="6"/>
      <c r="D41" s="6"/>
      <c r="E41" s="5"/>
      <c r="F41" s="6"/>
      <c r="G41" s="7"/>
      <c r="H41" s="5"/>
      <c r="I41" s="7"/>
      <c r="J41" s="5"/>
    </row>
    <row r="42" spans="1:10" ht="15.6" customHeight="1">
      <c r="A42" s="4" t="str">
        <f t="shared" si="0"/>
        <v/>
      </c>
      <c r="B42" s="5"/>
      <c r="C42" s="6"/>
      <c r="D42" s="6"/>
      <c r="E42" s="5"/>
      <c r="F42" s="6"/>
      <c r="G42" s="7"/>
      <c r="H42" s="5"/>
      <c r="I42" s="7"/>
      <c r="J42" s="5"/>
    </row>
    <row r="43" spans="1:10" ht="15.6" customHeight="1">
      <c r="A43" s="4" t="str">
        <f t="shared" si="0"/>
        <v/>
      </c>
      <c r="B43" s="5"/>
      <c r="C43" s="6"/>
      <c r="D43" s="6"/>
      <c r="E43" s="5"/>
      <c r="F43" s="6"/>
      <c r="G43" s="7"/>
      <c r="H43" s="5"/>
      <c r="I43" s="7"/>
      <c r="J43" s="5"/>
    </row>
    <row r="44" spans="1:10" ht="15.6" customHeight="1">
      <c r="A44" s="4" t="str">
        <f t="shared" si="0"/>
        <v/>
      </c>
      <c r="B44" s="5"/>
      <c r="C44" s="6"/>
      <c r="D44" s="6"/>
      <c r="E44" s="5"/>
      <c r="F44" s="6"/>
      <c r="G44" s="7"/>
      <c r="H44" s="5"/>
      <c r="I44" s="7"/>
      <c r="J44" s="5"/>
    </row>
    <row r="45" spans="1:10" ht="15.6" customHeight="1">
      <c r="A45" s="4" t="str">
        <f t="shared" si="0"/>
        <v/>
      </c>
      <c r="B45" s="5"/>
      <c r="C45" s="6"/>
      <c r="D45" s="6"/>
      <c r="E45" s="5"/>
      <c r="F45" s="6"/>
      <c r="G45" s="7"/>
      <c r="H45" s="5"/>
      <c r="I45" s="7"/>
      <c r="J45" s="5"/>
    </row>
    <row r="46" spans="1:10" ht="15.6" customHeight="1">
      <c r="A46" s="4" t="str">
        <f t="shared" si="0"/>
        <v/>
      </c>
      <c r="B46" s="5"/>
      <c r="C46" s="6"/>
      <c r="D46" s="6"/>
      <c r="E46" s="5"/>
      <c r="F46" s="6"/>
      <c r="G46" s="7"/>
      <c r="H46" s="5"/>
      <c r="I46" s="7"/>
      <c r="J46" s="5"/>
    </row>
    <row r="47" spans="1:10" ht="15.6" customHeight="1">
      <c r="A47" s="4" t="str">
        <f t="shared" si="0"/>
        <v/>
      </c>
      <c r="B47" s="5"/>
      <c r="C47" s="6"/>
      <c r="D47" s="6"/>
      <c r="E47" s="5"/>
      <c r="F47" s="6"/>
      <c r="G47" s="7"/>
      <c r="H47" s="5"/>
      <c r="I47" s="7"/>
      <c r="J47" s="5"/>
    </row>
    <row r="48" spans="1:10" ht="15.6" customHeight="1">
      <c r="A48" s="4" t="str">
        <f t="shared" si="0"/>
        <v/>
      </c>
      <c r="B48" s="5"/>
      <c r="C48" s="6"/>
      <c r="D48" s="6"/>
      <c r="E48" s="5"/>
      <c r="F48" s="6"/>
      <c r="G48" s="7"/>
      <c r="H48" s="5"/>
      <c r="I48" s="7"/>
      <c r="J48" s="5"/>
    </row>
    <row r="49" spans="1:10" ht="15.6" customHeight="1">
      <c r="A49" s="4" t="str">
        <f t="shared" si="0"/>
        <v/>
      </c>
      <c r="B49" s="5"/>
      <c r="C49" s="6"/>
      <c r="D49" s="6"/>
      <c r="E49" s="5"/>
      <c r="F49" s="6"/>
      <c r="G49" s="7"/>
      <c r="H49" s="5"/>
      <c r="I49" s="7"/>
      <c r="J49" s="5"/>
    </row>
    <row r="50" spans="1:10" ht="15.6" customHeight="1">
      <c r="A50" s="4" t="str">
        <f t="shared" si="0"/>
        <v/>
      </c>
      <c r="B50" s="5"/>
      <c r="C50" s="6"/>
      <c r="D50" s="6"/>
      <c r="E50" s="5"/>
      <c r="F50" s="6"/>
      <c r="G50" s="7"/>
      <c r="H50" s="5"/>
      <c r="I50" s="7"/>
      <c r="J50" s="5"/>
    </row>
    <row r="51" spans="1:10" ht="15.6" customHeight="1">
      <c r="A51" s="4" t="str">
        <f t="shared" si="0"/>
        <v/>
      </c>
      <c r="B51" s="5"/>
      <c r="C51" s="6"/>
      <c r="D51" s="6"/>
      <c r="E51" s="5"/>
      <c r="F51" s="6"/>
      <c r="G51" s="7"/>
      <c r="H51" s="5"/>
      <c r="I51" s="7"/>
      <c r="J51" s="5"/>
    </row>
    <row r="52" spans="1:10" ht="15.6" customHeight="1">
      <c r="A52" s="4" t="str">
        <f t="shared" si="0"/>
        <v/>
      </c>
      <c r="B52" s="5"/>
      <c r="C52" s="6"/>
      <c r="D52" s="6"/>
      <c r="E52" s="5"/>
      <c r="F52" s="6"/>
      <c r="G52" s="7"/>
      <c r="H52" s="5"/>
      <c r="I52" s="7"/>
      <c r="J52" s="5"/>
    </row>
    <row r="53" spans="1:10" ht="15.6" customHeight="1">
      <c r="A53" s="4" t="str">
        <f t="shared" si="0"/>
        <v/>
      </c>
      <c r="B53" s="5"/>
      <c r="C53" s="6"/>
      <c r="D53" s="6"/>
      <c r="E53" s="5"/>
      <c r="F53" s="6"/>
      <c r="G53" s="7"/>
      <c r="H53" s="5"/>
      <c r="I53" s="7"/>
      <c r="J53" s="5"/>
    </row>
    <row r="54" spans="1:10" ht="15.6" customHeight="1">
      <c r="A54" s="4" t="str">
        <f t="shared" si="0"/>
        <v/>
      </c>
      <c r="B54" s="5"/>
      <c r="C54" s="6"/>
      <c r="D54" s="6"/>
      <c r="E54" s="5"/>
      <c r="F54" s="6"/>
      <c r="G54" s="7"/>
      <c r="H54" s="5"/>
      <c r="I54" s="7"/>
      <c r="J54" s="5"/>
    </row>
    <row r="55" spans="1:10" ht="15.6" customHeight="1">
      <c r="A55" s="4" t="str">
        <f t="shared" si="0"/>
        <v/>
      </c>
      <c r="B55" s="5"/>
      <c r="C55" s="6"/>
      <c r="D55" s="6"/>
      <c r="E55" s="5"/>
      <c r="F55" s="6"/>
      <c r="G55" s="7"/>
      <c r="H55" s="5"/>
      <c r="I55" s="7"/>
      <c r="J55" s="5"/>
    </row>
    <row r="56" spans="1:10" ht="15.6" customHeight="1">
      <c r="A56" s="4" t="str">
        <f t="shared" si="0"/>
        <v/>
      </c>
      <c r="B56" s="5"/>
      <c r="C56" s="6"/>
      <c r="D56" s="6"/>
      <c r="E56" s="5"/>
      <c r="F56" s="6"/>
      <c r="G56" s="7"/>
      <c r="H56" s="5"/>
      <c r="I56" s="7"/>
      <c r="J56" s="5"/>
    </row>
    <row r="57" spans="1:10" ht="15.6" customHeight="1">
      <c r="A57" s="4" t="str">
        <f t="shared" si="0"/>
        <v/>
      </c>
      <c r="B57" s="5"/>
      <c r="C57" s="6"/>
      <c r="D57" s="6"/>
      <c r="E57" s="5"/>
      <c r="F57" s="6"/>
      <c r="G57" s="7"/>
      <c r="H57" s="5"/>
      <c r="I57" s="7"/>
      <c r="J57" s="5"/>
    </row>
    <row r="58" spans="1:10" ht="15.6" customHeight="1">
      <c r="A58" s="4" t="str">
        <f t="shared" si="0"/>
        <v/>
      </c>
      <c r="B58" s="5"/>
      <c r="C58" s="6"/>
      <c r="D58" s="6"/>
      <c r="E58" s="5"/>
      <c r="F58" s="6"/>
      <c r="G58" s="7"/>
      <c r="H58" s="5"/>
      <c r="I58" s="7"/>
      <c r="J58" s="5"/>
    </row>
    <row r="59" spans="1:10" ht="15.6" customHeight="1">
      <c r="A59" s="4" t="str">
        <f t="shared" si="0"/>
        <v/>
      </c>
      <c r="B59" s="5"/>
      <c r="C59" s="6"/>
      <c r="D59" s="6"/>
      <c r="E59" s="5"/>
      <c r="F59" s="6"/>
      <c r="G59" s="7"/>
      <c r="H59" s="5"/>
      <c r="I59" s="7"/>
      <c r="J59" s="5"/>
    </row>
    <row r="60" spans="1:10" ht="15.6" customHeight="1">
      <c r="A60" s="4" t="str">
        <f t="shared" si="0"/>
        <v/>
      </c>
      <c r="B60" s="5"/>
      <c r="C60" s="6"/>
      <c r="D60" s="6"/>
      <c r="E60" s="5"/>
      <c r="F60" s="6"/>
      <c r="G60" s="7"/>
      <c r="H60" s="5"/>
      <c r="I60" s="7"/>
      <c r="J60" s="5"/>
    </row>
    <row r="61" spans="1:10" ht="15.6" customHeight="1">
      <c r="A61" s="4" t="str">
        <f t="shared" si="0"/>
        <v/>
      </c>
      <c r="B61" s="5"/>
      <c r="C61" s="6"/>
      <c r="D61" s="6"/>
      <c r="E61" s="5"/>
      <c r="F61" s="6"/>
      <c r="G61" s="7"/>
      <c r="H61" s="5"/>
      <c r="I61" s="7"/>
      <c r="J61" s="5"/>
    </row>
    <row r="62" spans="1:10" ht="15.6" customHeight="1">
      <c r="A62" s="4" t="str">
        <f t="shared" si="0"/>
        <v/>
      </c>
      <c r="B62" s="5"/>
      <c r="C62" s="6"/>
      <c r="D62" s="6"/>
      <c r="E62" s="5"/>
      <c r="F62" s="6"/>
      <c r="G62" s="7"/>
      <c r="H62" s="5"/>
      <c r="I62" s="7"/>
      <c r="J62" s="5"/>
    </row>
    <row r="63" spans="1:10" ht="15.6" customHeight="1">
      <c r="A63" s="4" t="str">
        <f t="shared" si="0"/>
        <v/>
      </c>
      <c r="B63" s="5"/>
      <c r="C63" s="6"/>
      <c r="D63" s="6"/>
      <c r="E63" s="5"/>
      <c r="F63" s="6"/>
      <c r="G63" s="7"/>
      <c r="H63" s="5"/>
      <c r="I63" s="7"/>
      <c r="J63" s="5"/>
    </row>
    <row r="64" spans="1:10" ht="15.6" customHeight="1">
      <c r="A64" s="4" t="str">
        <f t="shared" si="0"/>
        <v/>
      </c>
      <c r="B64" s="5"/>
      <c r="C64" s="6"/>
      <c r="D64" s="6"/>
      <c r="E64" s="5"/>
      <c r="F64" s="6"/>
      <c r="G64" s="7"/>
      <c r="H64" s="5"/>
      <c r="I64" s="7"/>
      <c r="J64" s="5"/>
    </row>
    <row r="65" spans="1:10" ht="15.6" customHeight="1">
      <c r="A65" s="4" t="str">
        <f t="shared" si="0"/>
        <v/>
      </c>
      <c r="B65" s="5"/>
      <c r="C65" s="6"/>
      <c r="D65" s="6"/>
      <c r="E65" s="5"/>
      <c r="F65" s="6"/>
      <c r="G65" s="7"/>
      <c r="H65" s="5"/>
      <c r="I65" s="7"/>
      <c r="J65" s="5"/>
    </row>
    <row r="66" spans="1:10" ht="15.6" customHeight="1">
      <c r="A66" s="4" t="str">
        <f t="shared" si="0"/>
        <v/>
      </c>
      <c r="B66" s="5"/>
      <c r="C66" s="6"/>
      <c r="D66" s="6"/>
      <c r="E66" s="5"/>
      <c r="F66" s="6"/>
      <c r="G66" s="7"/>
      <c r="H66" s="5"/>
      <c r="I66" s="7"/>
      <c r="J66" s="5"/>
    </row>
    <row r="67" spans="1:10" ht="15.6" customHeight="1">
      <c r="A67" s="4" t="str">
        <f t="shared" si="0"/>
        <v/>
      </c>
      <c r="B67" s="5"/>
      <c r="C67" s="6"/>
      <c r="D67" s="6"/>
      <c r="E67" s="5"/>
      <c r="F67" s="6"/>
      <c r="G67" s="7"/>
      <c r="H67" s="5"/>
      <c r="I67" s="7"/>
      <c r="J67" s="5"/>
    </row>
    <row r="68" spans="1:10" ht="15.6" customHeight="1">
      <c r="A68" s="4" t="str">
        <f t="shared" ref="A68:A131" si="1">IF(B68&lt;&gt;"",ROW()-3,"")</f>
        <v/>
      </c>
      <c r="B68" s="5"/>
      <c r="C68" s="6"/>
      <c r="D68" s="6"/>
      <c r="E68" s="5"/>
      <c r="F68" s="6"/>
      <c r="G68" s="7"/>
      <c r="H68" s="5"/>
      <c r="I68" s="7"/>
      <c r="J68" s="5"/>
    </row>
    <row r="69" spans="1:10" ht="15.6" customHeight="1">
      <c r="A69" s="4" t="str">
        <f t="shared" si="1"/>
        <v/>
      </c>
      <c r="B69" s="5"/>
      <c r="C69" s="6"/>
      <c r="D69" s="6"/>
      <c r="E69" s="5"/>
      <c r="F69" s="6"/>
      <c r="G69" s="7"/>
      <c r="H69" s="5"/>
      <c r="I69" s="7"/>
      <c r="J69" s="5"/>
    </row>
    <row r="70" spans="1:10" ht="15.6" customHeight="1">
      <c r="A70" s="4" t="str">
        <f t="shared" si="1"/>
        <v/>
      </c>
      <c r="B70" s="5"/>
      <c r="C70" s="6"/>
      <c r="D70" s="6"/>
      <c r="E70" s="5"/>
      <c r="F70" s="6"/>
      <c r="G70" s="7"/>
      <c r="H70" s="5"/>
      <c r="I70" s="7"/>
      <c r="J70" s="5"/>
    </row>
    <row r="71" spans="1:10" ht="15.6" customHeight="1">
      <c r="A71" s="4" t="str">
        <f t="shared" si="1"/>
        <v/>
      </c>
      <c r="B71" s="5"/>
      <c r="C71" s="6"/>
      <c r="D71" s="6"/>
      <c r="E71" s="5"/>
      <c r="F71" s="6"/>
      <c r="G71" s="7"/>
      <c r="H71" s="5"/>
      <c r="I71" s="7"/>
      <c r="J71" s="5"/>
    </row>
    <row r="72" spans="1:10" ht="15.6" customHeight="1">
      <c r="A72" s="4" t="str">
        <f t="shared" si="1"/>
        <v/>
      </c>
      <c r="B72" s="5"/>
      <c r="C72" s="6"/>
      <c r="D72" s="6"/>
      <c r="E72" s="5"/>
      <c r="F72" s="6"/>
      <c r="G72" s="7"/>
      <c r="H72" s="5"/>
      <c r="I72" s="7"/>
      <c r="J72" s="5"/>
    </row>
    <row r="73" spans="1:10" ht="15.6" customHeight="1">
      <c r="A73" s="4" t="str">
        <f t="shared" si="1"/>
        <v/>
      </c>
      <c r="B73" s="5"/>
      <c r="C73" s="6"/>
      <c r="D73" s="6"/>
      <c r="E73" s="5"/>
      <c r="F73" s="6"/>
      <c r="G73" s="7"/>
      <c r="H73" s="5"/>
      <c r="I73" s="7"/>
      <c r="J73" s="5"/>
    </row>
    <row r="74" spans="1:10" ht="15.6" customHeight="1">
      <c r="A74" s="4" t="str">
        <f t="shared" si="1"/>
        <v/>
      </c>
      <c r="B74" s="5"/>
      <c r="C74" s="6"/>
      <c r="D74" s="6"/>
      <c r="E74" s="5"/>
      <c r="F74" s="6"/>
      <c r="G74" s="7"/>
      <c r="H74" s="5"/>
      <c r="I74" s="7"/>
      <c r="J74" s="5"/>
    </row>
    <row r="75" spans="1:10" ht="15.6" customHeight="1">
      <c r="A75" s="4" t="str">
        <f t="shared" si="1"/>
        <v/>
      </c>
      <c r="B75" s="5"/>
      <c r="C75" s="6"/>
      <c r="D75" s="6"/>
      <c r="E75" s="5"/>
      <c r="F75" s="6"/>
      <c r="G75" s="7"/>
      <c r="H75" s="5"/>
      <c r="I75" s="7"/>
      <c r="J75" s="5"/>
    </row>
    <row r="76" spans="1:10" ht="15.6" customHeight="1">
      <c r="A76" s="4" t="str">
        <f t="shared" si="1"/>
        <v/>
      </c>
      <c r="B76" s="5"/>
      <c r="C76" s="6"/>
      <c r="D76" s="6"/>
      <c r="E76" s="5"/>
      <c r="F76" s="6"/>
      <c r="G76" s="7"/>
      <c r="H76" s="5"/>
      <c r="I76" s="7"/>
      <c r="J76" s="5"/>
    </row>
    <row r="77" spans="1:10" ht="15.6" customHeight="1">
      <c r="A77" s="4" t="str">
        <f t="shared" si="1"/>
        <v/>
      </c>
      <c r="B77" s="5"/>
      <c r="C77" s="6"/>
      <c r="D77" s="6"/>
      <c r="E77" s="5"/>
      <c r="F77" s="6"/>
      <c r="G77" s="7"/>
      <c r="H77" s="5"/>
      <c r="I77" s="7"/>
      <c r="J77" s="5"/>
    </row>
    <row r="78" spans="1:10" ht="15.6" customHeight="1">
      <c r="A78" s="4" t="str">
        <f t="shared" si="1"/>
        <v/>
      </c>
      <c r="B78" s="5"/>
      <c r="C78" s="6"/>
      <c r="D78" s="6"/>
      <c r="E78" s="5"/>
      <c r="F78" s="6"/>
      <c r="G78" s="7"/>
      <c r="H78" s="5"/>
      <c r="I78" s="7"/>
      <c r="J78" s="5"/>
    </row>
    <row r="79" spans="1:10" ht="15.6" customHeight="1">
      <c r="A79" s="4" t="str">
        <f t="shared" si="1"/>
        <v/>
      </c>
      <c r="B79" s="5"/>
      <c r="C79" s="6"/>
      <c r="D79" s="6"/>
      <c r="E79" s="5"/>
      <c r="F79" s="6"/>
      <c r="G79" s="7"/>
      <c r="H79" s="5"/>
      <c r="I79" s="7"/>
      <c r="J79" s="5"/>
    </row>
    <row r="80" spans="1:10" ht="15.6" customHeight="1">
      <c r="A80" s="4" t="str">
        <f t="shared" si="1"/>
        <v/>
      </c>
      <c r="B80" s="5"/>
      <c r="C80" s="6"/>
      <c r="D80" s="6"/>
      <c r="E80" s="5"/>
      <c r="F80" s="6"/>
      <c r="G80" s="7"/>
      <c r="H80" s="5"/>
      <c r="I80" s="7"/>
      <c r="J80" s="5"/>
    </row>
    <row r="81" spans="1:10" ht="15.6" customHeight="1">
      <c r="A81" s="4" t="str">
        <f t="shared" si="1"/>
        <v/>
      </c>
      <c r="B81" s="5"/>
      <c r="C81" s="6"/>
      <c r="D81" s="6"/>
      <c r="E81" s="5"/>
      <c r="F81" s="6"/>
      <c r="G81" s="7"/>
      <c r="H81" s="5"/>
      <c r="I81" s="7"/>
      <c r="J81" s="5"/>
    </row>
    <row r="82" spans="1:10" ht="15.6" customHeight="1">
      <c r="A82" s="4" t="str">
        <f t="shared" si="1"/>
        <v/>
      </c>
      <c r="B82" s="5"/>
      <c r="C82" s="6"/>
      <c r="D82" s="6"/>
      <c r="E82" s="5"/>
      <c r="F82" s="6"/>
      <c r="G82" s="7"/>
      <c r="H82" s="5"/>
      <c r="I82" s="7"/>
      <c r="J82" s="5"/>
    </row>
    <row r="83" spans="1:10" ht="15.6" customHeight="1">
      <c r="A83" s="4" t="str">
        <f t="shared" si="1"/>
        <v/>
      </c>
      <c r="B83" s="5"/>
      <c r="C83" s="6"/>
      <c r="D83" s="6"/>
      <c r="E83" s="5"/>
      <c r="F83" s="6"/>
      <c r="G83" s="7"/>
      <c r="H83" s="5"/>
      <c r="I83" s="7"/>
      <c r="J83" s="5"/>
    </row>
    <row r="84" spans="1:10" ht="15.6" customHeight="1">
      <c r="A84" s="4" t="str">
        <f t="shared" si="1"/>
        <v/>
      </c>
      <c r="B84" s="5"/>
      <c r="C84" s="6"/>
      <c r="D84" s="6"/>
      <c r="E84" s="5"/>
      <c r="F84" s="6"/>
      <c r="G84" s="7"/>
      <c r="H84" s="5"/>
      <c r="I84" s="7"/>
      <c r="J84" s="5"/>
    </row>
    <row r="85" spans="1:10" ht="15.6" customHeight="1">
      <c r="A85" s="4" t="str">
        <f t="shared" si="1"/>
        <v/>
      </c>
      <c r="B85" s="5"/>
      <c r="C85" s="6"/>
      <c r="D85" s="6"/>
      <c r="E85" s="5"/>
      <c r="F85" s="6"/>
      <c r="G85" s="7"/>
      <c r="H85" s="5"/>
      <c r="I85" s="7"/>
      <c r="J85" s="5"/>
    </row>
    <row r="86" spans="1:10" ht="15.6" customHeight="1">
      <c r="A86" s="4" t="str">
        <f t="shared" si="1"/>
        <v/>
      </c>
      <c r="B86" s="5"/>
      <c r="C86" s="6"/>
      <c r="D86" s="6"/>
      <c r="E86" s="5"/>
      <c r="F86" s="6"/>
      <c r="G86" s="7"/>
      <c r="H86" s="5"/>
      <c r="I86" s="7"/>
      <c r="J86" s="5"/>
    </row>
    <row r="87" spans="1:10" ht="15.6" customHeight="1">
      <c r="A87" s="4" t="str">
        <f t="shared" si="1"/>
        <v/>
      </c>
      <c r="B87" s="5"/>
      <c r="C87" s="6"/>
      <c r="D87" s="6"/>
      <c r="E87" s="5"/>
      <c r="F87" s="6"/>
      <c r="G87" s="7"/>
      <c r="H87" s="5"/>
      <c r="I87" s="7"/>
      <c r="J87" s="5"/>
    </row>
    <row r="88" spans="1:10" ht="15.6" customHeight="1">
      <c r="A88" s="4" t="str">
        <f t="shared" si="1"/>
        <v/>
      </c>
      <c r="B88" s="5"/>
      <c r="C88" s="6"/>
      <c r="D88" s="6"/>
      <c r="E88" s="5"/>
      <c r="F88" s="6"/>
      <c r="G88" s="7"/>
      <c r="H88" s="5"/>
      <c r="I88" s="7"/>
      <c r="J88" s="5"/>
    </row>
    <row r="89" spans="1:10" ht="15.6" customHeight="1">
      <c r="A89" s="4" t="str">
        <f t="shared" si="1"/>
        <v/>
      </c>
      <c r="B89" s="5"/>
      <c r="C89" s="6"/>
      <c r="D89" s="6"/>
      <c r="E89" s="5"/>
      <c r="F89" s="6"/>
      <c r="G89" s="7"/>
      <c r="H89" s="5"/>
      <c r="I89" s="7"/>
      <c r="J89" s="5"/>
    </row>
    <row r="90" spans="1:10" ht="15.6" customHeight="1">
      <c r="A90" s="4" t="str">
        <f t="shared" si="1"/>
        <v/>
      </c>
      <c r="B90" s="5"/>
      <c r="C90" s="6"/>
      <c r="D90" s="6"/>
      <c r="E90" s="5"/>
      <c r="F90" s="6"/>
      <c r="G90" s="7"/>
      <c r="H90" s="5"/>
      <c r="I90" s="7"/>
      <c r="J90" s="5"/>
    </row>
    <row r="91" spans="1:10" ht="15.6" customHeight="1">
      <c r="A91" s="4" t="str">
        <f t="shared" si="1"/>
        <v/>
      </c>
      <c r="B91" s="5"/>
      <c r="C91" s="6"/>
      <c r="D91" s="6"/>
      <c r="E91" s="5"/>
      <c r="F91" s="6"/>
      <c r="G91" s="7"/>
      <c r="H91" s="5"/>
      <c r="I91" s="7"/>
      <c r="J91" s="5"/>
    </row>
    <row r="92" spans="1:10" ht="15.6" customHeight="1">
      <c r="A92" s="4" t="str">
        <f t="shared" si="1"/>
        <v/>
      </c>
      <c r="B92" s="5"/>
      <c r="C92" s="6"/>
      <c r="D92" s="6"/>
      <c r="E92" s="5"/>
      <c r="F92" s="6"/>
      <c r="G92" s="7"/>
      <c r="H92" s="5"/>
      <c r="I92" s="7"/>
      <c r="J92" s="5"/>
    </row>
    <row r="93" spans="1:10" ht="15.6" customHeight="1">
      <c r="A93" s="4" t="str">
        <f t="shared" si="1"/>
        <v/>
      </c>
      <c r="B93" s="5"/>
      <c r="C93" s="6"/>
      <c r="D93" s="6"/>
      <c r="E93" s="5"/>
      <c r="F93" s="6"/>
      <c r="G93" s="7"/>
      <c r="H93" s="5"/>
      <c r="I93" s="7"/>
      <c r="J93" s="5"/>
    </row>
    <row r="94" spans="1:10" ht="15.6" customHeight="1">
      <c r="A94" s="4" t="str">
        <f t="shared" si="1"/>
        <v/>
      </c>
      <c r="B94" s="5"/>
      <c r="C94" s="6"/>
      <c r="D94" s="6"/>
      <c r="E94" s="5"/>
      <c r="F94" s="6"/>
      <c r="G94" s="7"/>
      <c r="H94" s="5"/>
      <c r="I94" s="7"/>
      <c r="J94" s="5"/>
    </row>
    <row r="95" spans="1:10" ht="15.6" customHeight="1">
      <c r="A95" s="4" t="str">
        <f t="shared" si="1"/>
        <v/>
      </c>
      <c r="B95" s="5"/>
      <c r="C95" s="6"/>
      <c r="D95" s="6"/>
      <c r="E95" s="5"/>
      <c r="F95" s="6"/>
      <c r="G95" s="7"/>
      <c r="H95" s="5"/>
      <c r="I95" s="7"/>
      <c r="J95" s="5"/>
    </row>
    <row r="96" spans="1:10" ht="15.6" customHeight="1">
      <c r="A96" s="4" t="str">
        <f t="shared" si="1"/>
        <v/>
      </c>
      <c r="B96" s="5"/>
      <c r="C96" s="6"/>
      <c r="D96" s="6"/>
      <c r="E96" s="5"/>
      <c r="F96" s="6"/>
      <c r="G96" s="7"/>
      <c r="H96" s="5"/>
      <c r="I96" s="7"/>
      <c r="J96" s="5"/>
    </row>
    <row r="97" spans="1:10" ht="15.6" customHeight="1">
      <c r="A97" s="4" t="str">
        <f t="shared" si="1"/>
        <v/>
      </c>
      <c r="B97" s="5"/>
      <c r="C97" s="6"/>
      <c r="D97" s="6"/>
      <c r="E97" s="5"/>
      <c r="F97" s="6"/>
      <c r="G97" s="7"/>
      <c r="H97" s="5"/>
      <c r="I97" s="7"/>
      <c r="J97" s="5"/>
    </row>
    <row r="98" spans="1:10" ht="15.6" customHeight="1">
      <c r="A98" s="4" t="str">
        <f t="shared" si="1"/>
        <v/>
      </c>
      <c r="B98" s="5"/>
      <c r="C98" s="6"/>
      <c r="D98" s="6"/>
      <c r="E98" s="5"/>
      <c r="F98" s="6"/>
      <c r="G98" s="7"/>
      <c r="H98" s="5"/>
      <c r="I98" s="7"/>
      <c r="J98" s="5"/>
    </row>
    <row r="99" spans="1:10" ht="15.6" customHeight="1">
      <c r="A99" s="4" t="str">
        <f t="shared" si="1"/>
        <v/>
      </c>
      <c r="B99" s="5"/>
      <c r="C99" s="6"/>
      <c r="D99" s="6"/>
      <c r="E99" s="5"/>
      <c r="F99" s="6"/>
      <c r="G99" s="7"/>
      <c r="H99" s="5"/>
      <c r="I99" s="7"/>
      <c r="J99" s="5"/>
    </row>
    <row r="100" spans="1:10" ht="15.6" customHeight="1">
      <c r="A100" s="4" t="str">
        <f t="shared" si="1"/>
        <v/>
      </c>
      <c r="B100" s="5"/>
      <c r="C100" s="6"/>
      <c r="D100" s="6"/>
      <c r="E100" s="5"/>
      <c r="F100" s="6"/>
      <c r="G100" s="7"/>
      <c r="H100" s="5"/>
      <c r="I100" s="7"/>
      <c r="J100" s="5"/>
    </row>
    <row r="101" spans="1:10" ht="15.6" customHeight="1">
      <c r="A101" s="4" t="str">
        <f t="shared" si="1"/>
        <v/>
      </c>
      <c r="B101" s="5"/>
      <c r="C101" s="6"/>
      <c r="D101" s="6"/>
      <c r="E101" s="5"/>
      <c r="F101" s="6"/>
      <c r="G101" s="7"/>
      <c r="H101" s="5"/>
      <c r="I101" s="7"/>
      <c r="J101" s="5"/>
    </row>
    <row r="102" spans="1:10" ht="15.6" customHeight="1">
      <c r="A102" s="4" t="str">
        <f t="shared" si="1"/>
        <v/>
      </c>
      <c r="B102" s="5"/>
      <c r="C102" s="6"/>
      <c r="D102" s="6"/>
      <c r="E102" s="5"/>
      <c r="F102" s="6"/>
      <c r="G102" s="7"/>
      <c r="H102" s="5"/>
      <c r="I102" s="7"/>
      <c r="J102" s="5"/>
    </row>
    <row r="103" spans="1:10" ht="15.6" customHeight="1">
      <c r="A103" s="4" t="str">
        <f t="shared" si="1"/>
        <v/>
      </c>
      <c r="B103" s="5"/>
      <c r="C103" s="6"/>
      <c r="D103" s="6"/>
      <c r="E103" s="5"/>
      <c r="F103" s="6"/>
      <c r="G103" s="7"/>
      <c r="H103" s="5"/>
      <c r="I103" s="7"/>
      <c r="J103" s="5"/>
    </row>
    <row r="104" spans="1:10" ht="15.6" customHeight="1">
      <c r="A104" s="4" t="str">
        <f t="shared" si="1"/>
        <v/>
      </c>
      <c r="B104" s="5"/>
      <c r="C104" s="6"/>
      <c r="D104" s="6"/>
      <c r="E104" s="5"/>
      <c r="F104" s="6"/>
      <c r="G104" s="7"/>
      <c r="H104" s="5"/>
      <c r="I104" s="7"/>
      <c r="J104" s="5"/>
    </row>
    <row r="105" spans="1:10" ht="15.6" customHeight="1">
      <c r="A105" s="4" t="str">
        <f t="shared" si="1"/>
        <v/>
      </c>
      <c r="B105" s="5"/>
      <c r="C105" s="6"/>
      <c r="D105" s="6"/>
      <c r="E105" s="5"/>
      <c r="F105" s="6"/>
      <c r="G105" s="7"/>
      <c r="H105" s="5"/>
      <c r="I105" s="7"/>
      <c r="J105" s="5"/>
    </row>
    <row r="106" spans="1:10" ht="15.6" customHeight="1">
      <c r="A106" s="4" t="str">
        <f t="shared" si="1"/>
        <v/>
      </c>
      <c r="B106" s="5"/>
      <c r="C106" s="6"/>
      <c r="D106" s="6"/>
      <c r="E106" s="5"/>
      <c r="F106" s="6"/>
      <c r="G106" s="7"/>
      <c r="H106" s="5"/>
      <c r="I106" s="7"/>
      <c r="J106" s="5"/>
    </row>
    <row r="107" spans="1:10" ht="15.6" customHeight="1">
      <c r="A107" s="4" t="str">
        <f t="shared" si="1"/>
        <v/>
      </c>
      <c r="B107" s="5"/>
      <c r="C107" s="6"/>
      <c r="D107" s="6"/>
      <c r="E107" s="5"/>
      <c r="F107" s="6"/>
      <c r="G107" s="7"/>
      <c r="H107" s="5"/>
      <c r="I107" s="7"/>
      <c r="J107" s="5"/>
    </row>
    <row r="108" spans="1:10" ht="15.6" customHeight="1">
      <c r="A108" s="4" t="str">
        <f t="shared" si="1"/>
        <v/>
      </c>
      <c r="B108" s="5"/>
      <c r="C108" s="6"/>
      <c r="D108" s="6"/>
      <c r="E108" s="5"/>
      <c r="F108" s="6"/>
      <c r="G108" s="7"/>
      <c r="H108" s="5"/>
      <c r="I108" s="7"/>
      <c r="J108" s="5"/>
    </row>
    <row r="109" spans="1:10" ht="15.6" customHeight="1">
      <c r="A109" s="4" t="str">
        <f t="shared" si="1"/>
        <v/>
      </c>
      <c r="B109" s="5"/>
      <c r="C109" s="6"/>
      <c r="D109" s="6"/>
      <c r="E109" s="5"/>
      <c r="F109" s="6"/>
      <c r="G109" s="7"/>
      <c r="H109" s="5"/>
      <c r="I109" s="7"/>
      <c r="J109" s="5"/>
    </row>
    <row r="110" spans="1:10" ht="15.6" customHeight="1">
      <c r="A110" s="4" t="str">
        <f t="shared" si="1"/>
        <v/>
      </c>
      <c r="B110" s="5"/>
      <c r="C110" s="6"/>
      <c r="D110" s="6"/>
      <c r="E110" s="5"/>
      <c r="F110" s="6"/>
      <c r="G110" s="7"/>
      <c r="H110" s="5"/>
      <c r="I110" s="7"/>
      <c r="J110" s="5"/>
    </row>
    <row r="111" spans="1:10" ht="15.6" customHeight="1">
      <c r="A111" s="4" t="str">
        <f t="shared" si="1"/>
        <v/>
      </c>
      <c r="B111" s="5"/>
      <c r="C111" s="6"/>
      <c r="D111" s="6"/>
      <c r="E111" s="5"/>
      <c r="F111" s="6"/>
      <c r="G111" s="7"/>
      <c r="H111" s="5"/>
      <c r="I111" s="7"/>
      <c r="J111" s="5"/>
    </row>
    <row r="112" spans="1:10" ht="15.6" customHeight="1">
      <c r="A112" s="4" t="str">
        <f t="shared" si="1"/>
        <v/>
      </c>
      <c r="B112" s="5"/>
      <c r="C112" s="6"/>
      <c r="D112" s="6"/>
      <c r="E112" s="5"/>
      <c r="F112" s="6"/>
      <c r="G112" s="7"/>
      <c r="H112" s="5"/>
      <c r="I112" s="7"/>
      <c r="J112" s="5"/>
    </row>
    <row r="113" spans="1:10" ht="15.6" customHeight="1">
      <c r="A113" s="4" t="str">
        <f t="shared" si="1"/>
        <v/>
      </c>
      <c r="B113" s="5"/>
      <c r="C113" s="6"/>
      <c r="D113" s="6"/>
      <c r="E113" s="5"/>
      <c r="F113" s="6"/>
      <c r="G113" s="7"/>
      <c r="H113" s="5"/>
      <c r="I113" s="7"/>
      <c r="J113" s="5"/>
    </row>
    <row r="114" spans="1:10" ht="15.6" customHeight="1">
      <c r="A114" s="4" t="str">
        <f t="shared" si="1"/>
        <v/>
      </c>
      <c r="B114" s="5"/>
      <c r="C114" s="6"/>
      <c r="D114" s="6"/>
      <c r="E114" s="5"/>
      <c r="F114" s="6"/>
      <c r="G114" s="7"/>
      <c r="H114" s="5"/>
      <c r="I114" s="7"/>
      <c r="J114" s="5"/>
    </row>
    <row r="115" spans="1:10" ht="15.6" customHeight="1">
      <c r="A115" s="4" t="str">
        <f t="shared" si="1"/>
        <v/>
      </c>
      <c r="B115" s="5"/>
      <c r="C115" s="6"/>
      <c r="D115" s="6"/>
      <c r="E115" s="5"/>
      <c r="F115" s="6"/>
      <c r="G115" s="7"/>
      <c r="H115" s="5"/>
      <c r="I115" s="7"/>
      <c r="J115" s="5"/>
    </row>
    <row r="116" spans="1:10" ht="15.6" customHeight="1">
      <c r="A116" s="4" t="str">
        <f t="shared" si="1"/>
        <v/>
      </c>
      <c r="B116" s="5"/>
      <c r="C116" s="6"/>
      <c r="D116" s="6"/>
      <c r="E116" s="5"/>
      <c r="F116" s="6"/>
      <c r="G116" s="7"/>
      <c r="H116" s="5"/>
      <c r="I116" s="7"/>
      <c r="J116" s="5"/>
    </row>
    <row r="117" spans="1:10" ht="15.6" customHeight="1">
      <c r="A117" s="4" t="str">
        <f t="shared" si="1"/>
        <v/>
      </c>
      <c r="B117" s="5"/>
      <c r="C117" s="6"/>
      <c r="D117" s="6"/>
      <c r="E117" s="5"/>
      <c r="F117" s="6"/>
      <c r="G117" s="7"/>
      <c r="H117" s="5"/>
      <c r="I117" s="7"/>
      <c r="J117" s="5"/>
    </row>
    <row r="118" spans="1:10" ht="15.6" customHeight="1">
      <c r="A118" s="4" t="str">
        <f t="shared" si="1"/>
        <v/>
      </c>
      <c r="B118" s="5"/>
      <c r="C118" s="6"/>
      <c r="D118" s="6"/>
      <c r="E118" s="5"/>
      <c r="F118" s="6"/>
      <c r="G118" s="7"/>
      <c r="H118" s="5"/>
      <c r="I118" s="7"/>
      <c r="J118" s="5"/>
    </row>
    <row r="119" spans="1:10" ht="15.6" customHeight="1">
      <c r="A119" s="4" t="str">
        <f t="shared" si="1"/>
        <v/>
      </c>
      <c r="B119" s="5"/>
      <c r="C119" s="6"/>
      <c r="D119" s="6"/>
      <c r="E119" s="5"/>
      <c r="F119" s="6"/>
      <c r="G119" s="7"/>
      <c r="H119" s="5"/>
      <c r="I119" s="7"/>
      <c r="J119" s="5"/>
    </row>
    <row r="120" spans="1:10" ht="15.6" customHeight="1">
      <c r="A120" s="4" t="str">
        <f t="shared" si="1"/>
        <v/>
      </c>
      <c r="B120" s="5"/>
      <c r="C120" s="6"/>
      <c r="D120" s="6"/>
      <c r="E120" s="5"/>
      <c r="F120" s="6"/>
      <c r="G120" s="7"/>
      <c r="H120" s="5"/>
      <c r="I120" s="7"/>
      <c r="J120" s="5"/>
    </row>
    <row r="121" spans="1:10" ht="15.6" customHeight="1">
      <c r="A121" s="4" t="str">
        <f t="shared" si="1"/>
        <v/>
      </c>
      <c r="B121" s="5"/>
      <c r="C121" s="6"/>
      <c r="D121" s="6"/>
      <c r="E121" s="5"/>
      <c r="F121" s="6"/>
      <c r="G121" s="7"/>
      <c r="H121" s="5"/>
      <c r="I121" s="7"/>
      <c r="J121" s="5"/>
    </row>
    <row r="122" spans="1:10" ht="15.6" customHeight="1">
      <c r="A122" s="4" t="str">
        <f t="shared" si="1"/>
        <v/>
      </c>
      <c r="B122" s="5"/>
      <c r="C122" s="6"/>
      <c r="D122" s="6"/>
      <c r="E122" s="5"/>
      <c r="F122" s="6"/>
      <c r="G122" s="7"/>
      <c r="H122" s="5"/>
      <c r="I122" s="7"/>
      <c r="J122" s="5"/>
    </row>
    <row r="123" spans="1:10" ht="15.6" customHeight="1">
      <c r="A123" s="4" t="str">
        <f t="shared" si="1"/>
        <v/>
      </c>
      <c r="B123" s="5"/>
      <c r="C123" s="6"/>
      <c r="D123" s="6"/>
      <c r="E123" s="5"/>
      <c r="F123" s="6"/>
      <c r="G123" s="7"/>
      <c r="H123" s="5"/>
      <c r="I123" s="7"/>
      <c r="J123" s="5"/>
    </row>
    <row r="124" spans="1:10" ht="15.6" customHeight="1">
      <c r="A124" s="4" t="str">
        <f t="shared" si="1"/>
        <v/>
      </c>
      <c r="B124" s="5"/>
      <c r="C124" s="6"/>
      <c r="D124" s="6"/>
      <c r="E124" s="5"/>
      <c r="F124" s="6"/>
      <c r="G124" s="7"/>
      <c r="H124" s="5"/>
      <c r="I124" s="7"/>
      <c r="J124" s="5"/>
    </row>
    <row r="125" spans="1:10" ht="15.6" customHeight="1">
      <c r="A125" s="4" t="str">
        <f t="shared" si="1"/>
        <v/>
      </c>
      <c r="B125" s="5"/>
      <c r="C125" s="6"/>
      <c r="D125" s="6"/>
      <c r="E125" s="5"/>
      <c r="F125" s="6"/>
      <c r="G125" s="7"/>
      <c r="H125" s="5"/>
      <c r="I125" s="7"/>
      <c r="J125" s="5"/>
    </row>
    <row r="126" spans="1:10" ht="15.6" customHeight="1">
      <c r="A126" s="4" t="str">
        <f t="shared" si="1"/>
        <v/>
      </c>
      <c r="B126" s="5"/>
      <c r="C126" s="6"/>
      <c r="D126" s="6"/>
      <c r="E126" s="5"/>
      <c r="F126" s="6"/>
      <c r="G126" s="7"/>
      <c r="H126" s="5"/>
      <c r="I126" s="7"/>
      <c r="J126" s="5"/>
    </row>
    <row r="127" spans="1:10" ht="15.6" customHeight="1">
      <c r="A127" s="4" t="str">
        <f t="shared" si="1"/>
        <v/>
      </c>
      <c r="B127" s="5"/>
      <c r="C127" s="6"/>
      <c r="D127" s="6"/>
      <c r="E127" s="5"/>
      <c r="F127" s="6"/>
      <c r="G127" s="7"/>
      <c r="H127" s="5"/>
      <c r="I127" s="7"/>
      <c r="J127" s="5"/>
    </row>
    <row r="128" spans="1:10" ht="15.6" customHeight="1">
      <c r="A128" s="4" t="str">
        <f t="shared" si="1"/>
        <v/>
      </c>
      <c r="B128" s="5"/>
      <c r="C128" s="6"/>
      <c r="D128" s="6"/>
      <c r="E128" s="5"/>
      <c r="F128" s="6"/>
      <c r="G128" s="7"/>
      <c r="H128" s="5"/>
      <c r="I128" s="7"/>
      <c r="J128" s="5"/>
    </row>
    <row r="129" spans="1:10" ht="15.6" customHeight="1">
      <c r="A129" s="4" t="str">
        <f t="shared" si="1"/>
        <v/>
      </c>
      <c r="B129" s="5"/>
      <c r="C129" s="6"/>
      <c r="D129" s="6"/>
      <c r="E129" s="5"/>
      <c r="F129" s="6"/>
      <c r="G129" s="7"/>
      <c r="H129" s="5"/>
      <c r="I129" s="7"/>
      <c r="J129" s="5"/>
    </row>
    <row r="130" spans="1:10" ht="15.6" customHeight="1">
      <c r="A130" s="4" t="str">
        <f t="shared" si="1"/>
        <v/>
      </c>
      <c r="B130" s="5"/>
      <c r="C130" s="6"/>
      <c r="D130" s="6"/>
      <c r="E130" s="5"/>
      <c r="F130" s="6"/>
      <c r="G130" s="7"/>
      <c r="H130" s="5"/>
      <c r="I130" s="7"/>
      <c r="J130" s="5"/>
    </row>
    <row r="131" spans="1:10" ht="15.6" customHeight="1">
      <c r="A131" s="4" t="str">
        <f t="shared" si="1"/>
        <v/>
      </c>
      <c r="B131" s="5"/>
      <c r="C131" s="6"/>
      <c r="D131" s="6"/>
      <c r="E131" s="5"/>
      <c r="F131" s="6"/>
      <c r="G131" s="7"/>
      <c r="H131" s="5"/>
      <c r="I131" s="7"/>
      <c r="J131" s="5"/>
    </row>
    <row r="132" spans="1:10" ht="15.6" customHeight="1">
      <c r="A132" s="4" t="str">
        <f t="shared" ref="A132:A195" si="2">IF(B132&lt;&gt;"",ROW()-3,"")</f>
        <v/>
      </c>
      <c r="B132" s="5"/>
      <c r="C132" s="6"/>
      <c r="D132" s="6"/>
      <c r="E132" s="5"/>
      <c r="F132" s="6"/>
      <c r="G132" s="7"/>
      <c r="H132" s="5"/>
      <c r="I132" s="7"/>
      <c r="J132" s="5"/>
    </row>
    <row r="133" spans="1:10" ht="15.6" customHeight="1">
      <c r="A133" s="4" t="str">
        <f t="shared" si="2"/>
        <v/>
      </c>
      <c r="B133" s="5"/>
      <c r="C133" s="6"/>
      <c r="D133" s="6"/>
      <c r="E133" s="5"/>
      <c r="F133" s="6"/>
      <c r="G133" s="7"/>
      <c r="H133" s="5"/>
      <c r="I133" s="7"/>
      <c r="J133" s="5"/>
    </row>
    <row r="134" spans="1:10" ht="15.6" customHeight="1">
      <c r="A134" s="4" t="str">
        <f t="shared" si="2"/>
        <v/>
      </c>
      <c r="B134" s="5"/>
      <c r="C134" s="6"/>
      <c r="D134" s="6"/>
      <c r="E134" s="5"/>
      <c r="F134" s="6"/>
      <c r="G134" s="7"/>
      <c r="H134" s="5"/>
      <c r="I134" s="7"/>
      <c r="J134" s="5"/>
    </row>
    <row r="135" spans="1:10" ht="15.6" customHeight="1">
      <c r="A135" s="4" t="str">
        <f t="shared" si="2"/>
        <v/>
      </c>
      <c r="B135" s="5"/>
      <c r="C135" s="6"/>
      <c r="D135" s="6"/>
      <c r="E135" s="5"/>
      <c r="F135" s="6"/>
      <c r="G135" s="7"/>
      <c r="H135" s="5"/>
      <c r="I135" s="7"/>
      <c r="J135" s="5"/>
    </row>
    <row r="136" spans="1:10" ht="15.6" customHeight="1">
      <c r="A136" s="4" t="str">
        <f t="shared" si="2"/>
        <v/>
      </c>
      <c r="B136" s="5"/>
      <c r="C136" s="6"/>
      <c r="D136" s="6"/>
      <c r="E136" s="5"/>
      <c r="F136" s="6"/>
      <c r="G136" s="7"/>
      <c r="H136" s="5"/>
      <c r="I136" s="7"/>
      <c r="J136" s="5"/>
    </row>
    <row r="137" spans="1:10" ht="15.6" customHeight="1">
      <c r="A137" s="4" t="str">
        <f t="shared" si="2"/>
        <v/>
      </c>
      <c r="B137" s="5"/>
      <c r="C137" s="6"/>
      <c r="D137" s="6"/>
      <c r="E137" s="5"/>
      <c r="F137" s="6"/>
      <c r="G137" s="7"/>
      <c r="H137" s="5"/>
      <c r="I137" s="7"/>
      <c r="J137" s="5"/>
    </row>
    <row r="138" spans="1:10" ht="15.6" customHeight="1">
      <c r="A138" s="4" t="str">
        <f t="shared" si="2"/>
        <v/>
      </c>
      <c r="B138" s="5"/>
      <c r="C138" s="6"/>
      <c r="D138" s="6"/>
      <c r="E138" s="5"/>
      <c r="F138" s="6"/>
      <c r="G138" s="7"/>
      <c r="H138" s="5"/>
      <c r="I138" s="7"/>
      <c r="J138" s="5"/>
    </row>
    <row r="139" spans="1:10" ht="15.6" customHeight="1">
      <c r="A139" s="4" t="str">
        <f t="shared" si="2"/>
        <v/>
      </c>
      <c r="B139" s="5"/>
      <c r="C139" s="6"/>
      <c r="D139" s="6"/>
      <c r="E139" s="5"/>
      <c r="F139" s="6"/>
      <c r="G139" s="7"/>
      <c r="H139" s="5"/>
      <c r="I139" s="7"/>
      <c r="J139" s="5"/>
    </row>
    <row r="140" spans="1:10" ht="15.6" customHeight="1">
      <c r="A140" s="4" t="str">
        <f t="shared" si="2"/>
        <v/>
      </c>
      <c r="B140" s="5"/>
      <c r="C140" s="6"/>
      <c r="D140" s="6"/>
      <c r="E140" s="5"/>
      <c r="F140" s="6"/>
      <c r="G140" s="7"/>
      <c r="H140" s="5"/>
      <c r="I140" s="7"/>
      <c r="J140" s="5"/>
    </row>
    <row r="141" spans="1:10" ht="15.6" customHeight="1">
      <c r="A141" s="4" t="str">
        <f t="shared" si="2"/>
        <v/>
      </c>
      <c r="B141" s="5"/>
      <c r="C141" s="6"/>
      <c r="D141" s="6"/>
      <c r="E141" s="5"/>
      <c r="F141" s="6"/>
      <c r="G141" s="7"/>
      <c r="H141" s="5"/>
      <c r="I141" s="7"/>
      <c r="J141" s="5"/>
    </row>
    <row r="142" spans="1:10" ht="15.6" customHeight="1">
      <c r="A142" s="4" t="str">
        <f t="shared" si="2"/>
        <v/>
      </c>
      <c r="B142" s="5"/>
      <c r="C142" s="6"/>
      <c r="D142" s="6"/>
      <c r="E142" s="5"/>
      <c r="F142" s="6"/>
      <c r="G142" s="7"/>
      <c r="H142" s="5"/>
      <c r="I142" s="7"/>
      <c r="J142" s="5"/>
    </row>
    <row r="143" spans="1:10" ht="15.6" customHeight="1">
      <c r="A143" s="4" t="str">
        <f t="shared" si="2"/>
        <v/>
      </c>
      <c r="B143" s="5"/>
      <c r="C143" s="6"/>
      <c r="D143" s="6"/>
      <c r="E143" s="5"/>
      <c r="F143" s="6"/>
      <c r="G143" s="7"/>
      <c r="H143" s="5"/>
      <c r="I143" s="7"/>
      <c r="J143" s="5"/>
    </row>
    <row r="144" spans="1:10" ht="15.6" customHeight="1">
      <c r="A144" s="4" t="str">
        <f t="shared" si="2"/>
        <v/>
      </c>
      <c r="B144" s="5"/>
      <c r="C144" s="6"/>
      <c r="D144" s="6"/>
      <c r="E144" s="5"/>
      <c r="F144" s="6"/>
      <c r="G144" s="7"/>
      <c r="H144" s="5"/>
      <c r="I144" s="7"/>
      <c r="J144" s="5"/>
    </row>
    <row r="145" spans="1:10" ht="15.6" customHeight="1">
      <c r="A145" s="4" t="str">
        <f t="shared" si="2"/>
        <v/>
      </c>
      <c r="B145" s="5"/>
      <c r="C145" s="6"/>
      <c r="D145" s="6"/>
      <c r="E145" s="5"/>
      <c r="F145" s="6"/>
      <c r="G145" s="7"/>
      <c r="H145" s="5"/>
      <c r="I145" s="7"/>
      <c r="J145" s="5"/>
    </row>
    <row r="146" spans="1:10" ht="15.6" customHeight="1">
      <c r="A146" s="4" t="str">
        <f t="shared" si="2"/>
        <v/>
      </c>
      <c r="B146" s="5"/>
      <c r="C146" s="6"/>
      <c r="D146" s="6"/>
      <c r="E146" s="5"/>
      <c r="F146" s="6"/>
      <c r="G146" s="7"/>
      <c r="H146" s="5"/>
      <c r="I146" s="7"/>
      <c r="J146" s="5"/>
    </row>
    <row r="147" spans="1:10" ht="15.6" customHeight="1">
      <c r="A147" s="4" t="str">
        <f t="shared" si="2"/>
        <v/>
      </c>
      <c r="B147" s="5"/>
      <c r="C147" s="6"/>
      <c r="D147" s="6"/>
      <c r="E147" s="5"/>
      <c r="F147" s="6"/>
      <c r="G147" s="7"/>
      <c r="H147" s="5"/>
      <c r="I147" s="7"/>
      <c r="J147" s="5"/>
    </row>
    <row r="148" spans="1:10" ht="15.6" customHeight="1">
      <c r="A148" s="4" t="str">
        <f t="shared" si="2"/>
        <v/>
      </c>
      <c r="B148" s="5"/>
      <c r="C148" s="6"/>
      <c r="D148" s="6"/>
      <c r="E148" s="5"/>
      <c r="F148" s="6"/>
      <c r="G148" s="7"/>
      <c r="H148" s="5"/>
      <c r="I148" s="7"/>
      <c r="J148" s="5"/>
    </row>
    <row r="149" spans="1:10" ht="15.6" customHeight="1">
      <c r="A149" s="4" t="str">
        <f t="shared" si="2"/>
        <v/>
      </c>
      <c r="B149" s="5"/>
      <c r="C149" s="6"/>
      <c r="D149" s="6"/>
      <c r="E149" s="5"/>
      <c r="F149" s="6"/>
      <c r="G149" s="7"/>
      <c r="H149" s="5"/>
      <c r="I149" s="7"/>
      <c r="J149" s="5"/>
    </row>
    <row r="150" spans="1:10" ht="15.6" customHeight="1">
      <c r="A150" s="4" t="str">
        <f t="shared" si="2"/>
        <v/>
      </c>
      <c r="B150" s="5"/>
      <c r="C150" s="6"/>
      <c r="D150" s="6"/>
      <c r="E150" s="5"/>
      <c r="F150" s="6"/>
      <c r="G150" s="7"/>
      <c r="H150" s="5"/>
      <c r="I150" s="7"/>
      <c r="J150" s="5"/>
    </row>
    <row r="151" spans="1:10" ht="15.6" customHeight="1">
      <c r="A151" s="4" t="str">
        <f t="shared" si="2"/>
        <v/>
      </c>
      <c r="B151" s="5"/>
      <c r="C151" s="6"/>
      <c r="D151" s="6"/>
      <c r="E151" s="5"/>
      <c r="F151" s="6"/>
      <c r="G151" s="7"/>
      <c r="H151" s="5"/>
      <c r="I151" s="7"/>
      <c r="J151" s="5"/>
    </row>
    <row r="152" spans="1:10" ht="15.6" customHeight="1">
      <c r="A152" s="4" t="str">
        <f t="shared" si="2"/>
        <v/>
      </c>
      <c r="B152" s="5"/>
      <c r="C152" s="6"/>
      <c r="D152" s="6"/>
      <c r="E152" s="5"/>
      <c r="F152" s="6"/>
      <c r="G152" s="7"/>
      <c r="H152" s="5"/>
      <c r="I152" s="7"/>
      <c r="J152" s="5"/>
    </row>
    <row r="153" spans="1:10" ht="15.6" customHeight="1">
      <c r="A153" s="4" t="str">
        <f t="shared" si="2"/>
        <v/>
      </c>
      <c r="B153" s="5"/>
      <c r="C153" s="6"/>
      <c r="D153" s="6"/>
      <c r="E153" s="5"/>
      <c r="F153" s="6"/>
      <c r="G153" s="7"/>
      <c r="H153" s="5"/>
      <c r="I153" s="7"/>
      <c r="J153" s="5"/>
    </row>
    <row r="154" spans="1:10" ht="15.6" customHeight="1">
      <c r="A154" s="4" t="str">
        <f t="shared" si="2"/>
        <v/>
      </c>
      <c r="B154" s="5"/>
      <c r="C154" s="6"/>
      <c r="D154" s="6"/>
      <c r="E154" s="5"/>
      <c r="F154" s="6"/>
      <c r="G154" s="7"/>
      <c r="H154" s="5"/>
      <c r="I154" s="7"/>
      <c r="J154" s="5"/>
    </row>
    <row r="155" spans="1:10" ht="15.6" customHeight="1">
      <c r="A155" s="4" t="str">
        <f t="shared" si="2"/>
        <v/>
      </c>
      <c r="B155" s="5"/>
      <c r="C155" s="6"/>
      <c r="D155" s="6"/>
      <c r="E155" s="5"/>
      <c r="F155" s="6"/>
      <c r="G155" s="7"/>
      <c r="H155" s="5"/>
      <c r="I155" s="7"/>
      <c r="J155" s="5"/>
    </row>
    <row r="156" spans="1:10" ht="15.6" customHeight="1">
      <c r="A156" s="4" t="str">
        <f t="shared" si="2"/>
        <v/>
      </c>
      <c r="B156" s="5"/>
      <c r="C156" s="6"/>
      <c r="D156" s="6"/>
      <c r="E156" s="5"/>
      <c r="F156" s="6"/>
      <c r="G156" s="7"/>
      <c r="H156" s="5"/>
      <c r="I156" s="7"/>
      <c r="J156" s="5"/>
    </row>
    <row r="157" spans="1:10" ht="15.6" customHeight="1">
      <c r="A157" s="4" t="str">
        <f t="shared" si="2"/>
        <v/>
      </c>
      <c r="B157" s="5"/>
      <c r="C157" s="6"/>
      <c r="D157" s="6"/>
      <c r="E157" s="5"/>
      <c r="F157" s="6"/>
      <c r="G157" s="7"/>
      <c r="H157" s="5"/>
      <c r="I157" s="7"/>
      <c r="J157" s="5"/>
    </row>
    <row r="158" spans="1:10" ht="15.6" customHeight="1">
      <c r="A158" s="4" t="str">
        <f t="shared" si="2"/>
        <v/>
      </c>
      <c r="B158" s="5"/>
      <c r="C158" s="6"/>
      <c r="D158" s="6"/>
      <c r="E158" s="5"/>
      <c r="F158" s="6"/>
      <c r="G158" s="7"/>
      <c r="H158" s="5"/>
      <c r="I158" s="7"/>
      <c r="J158" s="5"/>
    </row>
    <row r="159" spans="1:10" ht="15.6" customHeight="1">
      <c r="A159" s="4" t="str">
        <f t="shared" si="2"/>
        <v/>
      </c>
      <c r="B159" s="5"/>
      <c r="C159" s="6"/>
      <c r="D159" s="6"/>
      <c r="E159" s="5"/>
      <c r="F159" s="6"/>
      <c r="G159" s="7"/>
      <c r="H159" s="5"/>
      <c r="I159" s="7"/>
      <c r="J159" s="5"/>
    </row>
    <row r="160" spans="1:10" ht="15.6" customHeight="1">
      <c r="A160" s="4" t="str">
        <f t="shared" si="2"/>
        <v/>
      </c>
      <c r="B160" s="5"/>
      <c r="C160" s="6"/>
      <c r="D160" s="6"/>
      <c r="E160" s="5"/>
      <c r="F160" s="6"/>
      <c r="G160" s="7"/>
      <c r="H160" s="5"/>
      <c r="I160" s="7"/>
      <c r="J160" s="5"/>
    </row>
    <row r="161" spans="1:10" ht="15.6" customHeight="1">
      <c r="A161" s="4" t="str">
        <f t="shared" si="2"/>
        <v/>
      </c>
      <c r="B161" s="5"/>
      <c r="C161" s="6"/>
      <c r="D161" s="6"/>
      <c r="E161" s="5"/>
      <c r="F161" s="6"/>
      <c r="G161" s="7"/>
      <c r="H161" s="5"/>
      <c r="I161" s="7"/>
      <c r="J161" s="5"/>
    </row>
    <row r="162" spans="1:10" ht="15.6" customHeight="1">
      <c r="A162" s="4" t="str">
        <f t="shared" si="2"/>
        <v/>
      </c>
      <c r="B162" s="5"/>
      <c r="C162" s="6"/>
      <c r="D162" s="6"/>
      <c r="E162" s="5"/>
      <c r="F162" s="6"/>
      <c r="G162" s="7"/>
      <c r="H162" s="5"/>
      <c r="I162" s="7"/>
      <c r="J162" s="5"/>
    </row>
    <row r="163" spans="1:10" ht="15.6" customHeight="1">
      <c r="A163" s="4" t="str">
        <f t="shared" si="2"/>
        <v/>
      </c>
      <c r="B163" s="5"/>
      <c r="C163" s="6"/>
      <c r="D163" s="6"/>
      <c r="E163" s="5"/>
      <c r="F163" s="6"/>
      <c r="G163" s="7"/>
      <c r="H163" s="5"/>
      <c r="I163" s="7"/>
      <c r="J163" s="5"/>
    </row>
    <row r="164" spans="1:10" ht="15.6" customHeight="1">
      <c r="A164" s="4" t="str">
        <f t="shared" si="2"/>
        <v/>
      </c>
      <c r="B164" s="5"/>
      <c r="C164" s="6"/>
      <c r="D164" s="6"/>
      <c r="E164" s="5"/>
      <c r="F164" s="6"/>
      <c r="G164" s="7"/>
      <c r="H164" s="5"/>
      <c r="I164" s="7"/>
      <c r="J164" s="5"/>
    </row>
    <row r="165" spans="1:10" ht="15.6" customHeight="1">
      <c r="A165" s="4" t="str">
        <f t="shared" si="2"/>
        <v/>
      </c>
      <c r="B165" s="5"/>
      <c r="C165" s="6"/>
      <c r="D165" s="6"/>
      <c r="E165" s="5"/>
      <c r="F165" s="6"/>
      <c r="G165" s="7"/>
      <c r="H165" s="5"/>
      <c r="I165" s="7"/>
      <c r="J165" s="5"/>
    </row>
    <row r="166" spans="1:10" ht="15.6" customHeight="1">
      <c r="A166" s="4" t="str">
        <f t="shared" si="2"/>
        <v/>
      </c>
      <c r="B166" s="5"/>
      <c r="C166" s="6"/>
      <c r="D166" s="6"/>
      <c r="E166" s="5"/>
      <c r="F166" s="6"/>
      <c r="G166" s="7"/>
      <c r="H166" s="5"/>
      <c r="I166" s="7"/>
      <c r="J166" s="5"/>
    </row>
    <row r="167" spans="1:10" ht="15.6" customHeight="1">
      <c r="A167" s="4" t="str">
        <f t="shared" si="2"/>
        <v/>
      </c>
      <c r="B167" s="5"/>
      <c r="C167" s="6"/>
      <c r="D167" s="6"/>
      <c r="E167" s="5"/>
      <c r="F167" s="6"/>
      <c r="G167" s="7"/>
      <c r="H167" s="5"/>
      <c r="I167" s="7"/>
      <c r="J167" s="5"/>
    </row>
    <row r="168" spans="1:10" ht="15.6" customHeight="1">
      <c r="A168" s="4" t="str">
        <f t="shared" si="2"/>
        <v/>
      </c>
      <c r="B168" s="5"/>
      <c r="C168" s="6"/>
      <c r="D168" s="6"/>
      <c r="E168" s="5"/>
      <c r="F168" s="6"/>
      <c r="G168" s="7"/>
      <c r="H168" s="5"/>
      <c r="I168" s="7"/>
      <c r="J168" s="5"/>
    </row>
    <row r="169" spans="1:10" ht="15.6" customHeight="1">
      <c r="A169" s="4" t="str">
        <f t="shared" si="2"/>
        <v/>
      </c>
      <c r="B169" s="5"/>
      <c r="C169" s="6"/>
      <c r="D169" s="6"/>
      <c r="E169" s="5"/>
      <c r="F169" s="6"/>
      <c r="G169" s="7"/>
      <c r="H169" s="5"/>
      <c r="I169" s="7"/>
      <c r="J169" s="5"/>
    </row>
    <row r="170" spans="1:10" ht="15.6" customHeight="1">
      <c r="A170" s="4" t="str">
        <f t="shared" si="2"/>
        <v/>
      </c>
      <c r="B170" s="5"/>
      <c r="C170" s="6"/>
      <c r="D170" s="6"/>
      <c r="E170" s="5"/>
      <c r="F170" s="6"/>
      <c r="G170" s="7"/>
      <c r="H170" s="5"/>
      <c r="I170" s="7"/>
      <c r="J170" s="5"/>
    </row>
    <row r="171" spans="1:10" ht="15.6" customHeight="1">
      <c r="A171" s="4" t="str">
        <f t="shared" si="2"/>
        <v/>
      </c>
      <c r="B171" s="5"/>
      <c r="C171" s="6"/>
      <c r="D171" s="6"/>
      <c r="E171" s="5"/>
      <c r="F171" s="6"/>
      <c r="G171" s="7"/>
      <c r="H171" s="5"/>
      <c r="I171" s="7"/>
      <c r="J171" s="5"/>
    </row>
    <row r="172" spans="1:10" ht="15.6" customHeight="1">
      <c r="A172" s="4" t="str">
        <f t="shared" si="2"/>
        <v/>
      </c>
      <c r="B172" s="5"/>
      <c r="C172" s="6"/>
      <c r="D172" s="6"/>
      <c r="E172" s="5"/>
      <c r="F172" s="6"/>
      <c r="G172" s="7"/>
      <c r="H172" s="5"/>
      <c r="I172" s="7"/>
      <c r="J172" s="5"/>
    </row>
    <row r="173" spans="1:10" ht="15.6" customHeight="1">
      <c r="A173" s="4" t="str">
        <f t="shared" si="2"/>
        <v/>
      </c>
      <c r="B173" s="5"/>
      <c r="C173" s="6"/>
      <c r="D173" s="6"/>
      <c r="E173" s="5"/>
      <c r="F173" s="6"/>
      <c r="G173" s="7"/>
      <c r="H173" s="5"/>
      <c r="I173" s="7"/>
      <c r="J173" s="5"/>
    </row>
    <row r="174" spans="1:10" ht="15.6" customHeight="1">
      <c r="A174" s="4" t="str">
        <f t="shared" si="2"/>
        <v/>
      </c>
      <c r="B174" s="5"/>
      <c r="C174" s="6"/>
      <c r="D174" s="6"/>
      <c r="E174" s="5"/>
      <c r="F174" s="6"/>
      <c r="G174" s="7"/>
      <c r="H174" s="5"/>
      <c r="I174" s="7"/>
      <c r="J174" s="5"/>
    </row>
    <row r="175" spans="1:10" ht="15.6" customHeight="1">
      <c r="A175" s="4" t="str">
        <f t="shared" si="2"/>
        <v/>
      </c>
      <c r="B175" s="5"/>
      <c r="C175" s="6"/>
      <c r="D175" s="6"/>
      <c r="E175" s="5"/>
      <c r="F175" s="6"/>
      <c r="G175" s="7"/>
      <c r="H175" s="5"/>
      <c r="I175" s="7"/>
      <c r="J175" s="5"/>
    </row>
    <row r="176" spans="1:10" ht="15.6" customHeight="1">
      <c r="A176" s="4" t="str">
        <f t="shared" si="2"/>
        <v/>
      </c>
      <c r="B176" s="5"/>
      <c r="C176" s="6"/>
      <c r="D176" s="6"/>
      <c r="E176" s="5"/>
      <c r="F176" s="6"/>
      <c r="G176" s="7"/>
      <c r="H176" s="5"/>
      <c r="I176" s="7"/>
      <c r="J176" s="5"/>
    </row>
    <row r="177" spans="1:10" ht="15.6" customHeight="1">
      <c r="A177" s="4" t="str">
        <f t="shared" si="2"/>
        <v/>
      </c>
      <c r="B177" s="5"/>
      <c r="C177" s="6"/>
      <c r="D177" s="6"/>
      <c r="E177" s="5"/>
      <c r="F177" s="6"/>
      <c r="G177" s="7"/>
      <c r="H177" s="5"/>
      <c r="I177" s="7"/>
      <c r="J177" s="5"/>
    </row>
    <row r="178" spans="1:10" ht="15.6" customHeight="1">
      <c r="A178" s="4" t="str">
        <f t="shared" si="2"/>
        <v/>
      </c>
      <c r="B178" s="5"/>
      <c r="C178" s="6"/>
      <c r="D178" s="6"/>
      <c r="E178" s="5"/>
      <c r="F178" s="6"/>
      <c r="G178" s="7"/>
      <c r="H178" s="5"/>
      <c r="I178" s="7"/>
      <c r="J178" s="5"/>
    </row>
    <row r="179" spans="1:10" ht="15.6" customHeight="1">
      <c r="A179" s="4" t="str">
        <f t="shared" si="2"/>
        <v/>
      </c>
      <c r="B179" s="5"/>
      <c r="C179" s="6"/>
      <c r="D179" s="6"/>
      <c r="E179" s="5"/>
      <c r="F179" s="6"/>
      <c r="G179" s="7"/>
      <c r="H179" s="5"/>
      <c r="I179" s="7"/>
      <c r="J179" s="5"/>
    </row>
    <row r="180" spans="1:10" ht="15.6" customHeight="1">
      <c r="A180" s="4" t="str">
        <f t="shared" si="2"/>
        <v/>
      </c>
      <c r="B180" s="5"/>
      <c r="C180" s="6"/>
      <c r="D180" s="6"/>
      <c r="E180" s="5"/>
      <c r="F180" s="6"/>
      <c r="G180" s="7"/>
      <c r="H180" s="5"/>
      <c r="I180" s="7"/>
      <c r="J180" s="5"/>
    </row>
    <row r="181" spans="1:10" ht="15.6" customHeight="1">
      <c r="A181" s="4" t="str">
        <f t="shared" si="2"/>
        <v/>
      </c>
      <c r="B181" s="5"/>
      <c r="C181" s="6"/>
      <c r="D181" s="6"/>
      <c r="E181" s="5"/>
      <c r="F181" s="6"/>
      <c r="G181" s="7"/>
      <c r="H181" s="5"/>
      <c r="I181" s="7"/>
      <c r="J181" s="5"/>
    </row>
    <row r="182" spans="1:10" ht="15.6" customHeight="1">
      <c r="A182" s="4" t="str">
        <f t="shared" si="2"/>
        <v/>
      </c>
      <c r="B182" s="5"/>
      <c r="C182" s="6"/>
      <c r="D182" s="6"/>
      <c r="E182" s="5"/>
      <c r="F182" s="6"/>
      <c r="G182" s="7"/>
      <c r="H182" s="5"/>
      <c r="I182" s="7"/>
      <c r="J182" s="5"/>
    </row>
    <row r="183" spans="1:10" ht="15.6" customHeight="1">
      <c r="A183" s="4" t="str">
        <f t="shared" si="2"/>
        <v/>
      </c>
      <c r="B183" s="5"/>
      <c r="C183" s="6"/>
      <c r="D183" s="6"/>
      <c r="E183" s="5"/>
      <c r="F183" s="6"/>
      <c r="G183" s="7"/>
      <c r="H183" s="5"/>
      <c r="I183" s="7"/>
      <c r="J183" s="5"/>
    </row>
    <row r="184" spans="1:10" ht="15.6" customHeight="1">
      <c r="A184" s="4" t="str">
        <f t="shared" si="2"/>
        <v/>
      </c>
      <c r="B184" s="5"/>
      <c r="C184" s="6"/>
      <c r="D184" s="6"/>
      <c r="E184" s="5"/>
      <c r="F184" s="6"/>
      <c r="G184" s="7"/>
      <c r="H184" s="5"/>
      <c r="I184" s="7"/>
      <c r="J184" s="5"/>
    </row>
    <row r="185" spans="1:10" ht="15.6" customHeight="1">
      <c r="A185" s="4" t="str">
        <f t="shared" si="2"/>
        <v/>
      </c>
      <c r="B185" s="5"/>
      <c r="C185" s="6"/>
      <c r="D185" s="6"/>
      <c r="E185" s="5"/>
      <c r="F185" s="6"/>
      <c r="G185" s="7"/>
      <c r="H185" s="5"/>
      <c r="I185" s="7"/>
      <c r="J185" s="5"/>
    </row>
    <row r="186" spans="1:10" ht="15.6" customHeight="1">
      <c r="A186" s="4" t="str">
        <f t="shared" si="2"/>
        <v/>
      </c>
      <c r="B186" s="5"/>
      <c r="C186" s="6"/>
      <c r="D186" s="6"/>
      <c r="E186" s="5"/>
      <c r="F186" s="6"/>
      <c r="G186" s="7"/>
      <c r="H186" s="5"/>
      <c r="I186" s="7"/>
      <c r="J186" s="5"/>
    </row>
    <row r="187" spans="1:10" ht="15.6" customHeight="1">
      <c r="A187" s="4" t="str">
        <f t="shared" si="2"/>
        <v/>
      </c>
      <c r="B187" s="5"/>
      <c r="C187" s="6"/>
      <c r="D187" s="6"/>
      <c r="E187" s="5"/>
      <c r="F187" s="6"/>
      <c r="G187" s="7"/>
      <c r="H187" s="5"/>
      <c r="I187" s="7"/>
      <c r="J187" s="5"/>
    </row>
    <row r="188" spans="1:10" ht="15.6" customHeight="1">
      <c r="A188" s="4" t="str">
        <f t="shared" si="2"/>
        <v/>
      </c>
      <c r="B188" s="5"/>
      <c r="C188" s="6"/>
      <c r="D188" s="6"/>
      <c r="E188" s="5"/>
      <c r="F188" s="6"/>
      <c r="G188" s="7"/>
      <c r="H188" s="5"/>
      <c r="I188" s="7"/>
      <c r="J188" s="5"/>
    </row>
    <row r="189" spans="1:10" ht="15.6" customHeight="1">
      <c r="A189" s="4" t="str">
        <f t="shared" si="2"/>
        <v/>
      </c>
      <c r="B189" s="5"/>
      <c r="C189" s="6"/>
      <c r="D189" s="6"/>
      <c r="E189" s="5"/>
      <c r="F189" s="6"/>
      <c r="G189" s="7"/>
      <c r="H189" s="5"/>
      <c r="I189" s="7"/>
      <c r="J189" s="5"/>
    </row>
    <row r="190" spans="1:10" ht="15.6" customHeight="1">
      <c r="A190" s="4" t="str">
        <f t="shared" si="2"/>
        <v/>
      </c>
      <c r="B190" s="5"/>
      <c r="C190" s="6"/>
      <c r="D190" s="6"/>
      <c r="E190" s="5"/>
      <c r="F190" s="6"/>
      <c r="G190" s="7"/>
      <c r="H190" s="5"/>
      <c r="I190" s="7"/>
      <c r="J190" s="5"/>
    </row>
    <row r="191" spans="1:10" ht="15.6" customHeight="1">
      <c r="A191" s="4" t="str">
        <f t="shared" si="2"/>
        <v/>
      </c>
      <c r="B191" s="5"/>
      <c r="C191" s="6"/>
      <c r="D191" s="6"/>
      <c r="E191" s="5"/>
      <c r="F191" s="6"/>
      <c r="G191" s="7"/>
      <c r="H191" s="5"/>
      <c r="I191" s="7"/>
      <c r="J191" s="5"/>
    </row>
    <row r="192" spans="1:10" ht="15.6" customHeight="1">
      <c r="A192" s="4" t="str">
        <f t="shared" si="2"/>
        <v/>
      </c>
      <c r="B192" s="5"/>
      <c r="C192" s="6"/>
      <c r="D192" s="6"/>
      <c r="E192" s="5"/>
      <c r="F192" s="6"/>
      <c r="G192" s="7"/>
      <c r="H192" s="5"/>
      <c r="I192" s="7"/>
      <c r="J192" s="5"/>
    </row>
    <row r="193" spans="1:10" ht="15.6" customHeight="1">
      <c r="A193" s="4" t="str">
        <f t="shared" si="2"/>
        <v/>
      </c>
      <c r="B193" s="5"/>
      <c r="C193" s="6"/>
      <c r="D193" s="6"/>
      <c r="E193" s="5"/>
      <c r="F193" s="6"/>
      <c r="G193" s="7"/>
      <c r="H193" s="5"/>
      <c r="I193" s="7"/>
      <c r="J193" s="5"/>
    </row>
    <row r="194" spans="1:10" ht="15.6" customHeight="1">
      <c r="A194" s="4" t="str">
        <f t="shared" si="2"/>
        <v/>
      </c>
      <c r="B194" s="5"/>
      <c r="C194" s="6"/>
      <c r="D194" s="6"/>
      <c r="E194" s="5"/>
      <c r="F194" s="6"/>
      <c r="G194" s="7"/>
      <c r="H194" s="5"/>
      <c r="I194" s="7"/>
      <c r="J194" s="5"/>
    </row>
    <row r="195" spans="1:10" ht="15.6" customHeight="1">
      <c r="A195" s="4" t="str">
        <f t="shared" si="2"/>
        <v/>
      </c>
      <c r="B195" s="5"/>
      <c r="C195" s="6"/>
      <c r="D195" s="6"/>
      <c r="E195" s="5"/>
      <c r="F195" s="6"/>
      <c r="G195" s="7"/>
      <c r="H195" s="5"/>
      <c r="I195" s="7"/>
      <c r="J195" s="5"/>
    </row>
    <row r="196" spans="1:10" ht="15.6" customHeight="1">
      <c r="A196" s="4" t="str">
        <f t="shared" ref="A196:A259" si="3">IF(B196&lt;&gt;"",ROW()-3,"")</f>
        <v/>
      </c>
      <c r="B196" s="5"/>
      <c r="C196" s="6"/>
      <c r="D196" s="6"/>
      <c r="E196" s="5"/>
      <c r="F196" s="6"/>
      <c r="G196" s="7"/>
      <c r="H196" s="5"/>
      <c r="I196" s="7"/>
      <c r="J196" s="5"/>
    </row>
    <row r="197" spans="1:10" ht="15.6" customHeight="1">
      <c r="A197" s="4" t="str">
        <f t="shared" si="3"/>
        <v/>
      </c>
      <c r="B197" s="5"/>
      <c r="C197" s="6"/>
      <c r="D197" s="6"/>
      <c r="E197" s="5"/>
      <c r="F197" s="6"/>
      <c r="G197" s="7"/>
      <c r="H197" s="5"/>
      <c r="I197" s="7"/>
      <c r="J197" s="5"/>
    </row>
    <row r="198" spans="1:10" ht="15.6" customHeight="1">
      <c r="A198" s="4" t="str">
        <f t="shared" si="3"/>
        <v/>
      </c>
      <c r="B198" s="5"/>
      <c r="C198" s="6"/>
      <c r="D198" s="6"/>
      <c r="E198" s="5"/>
      <c r="F198" s="6"/>
      <c r="G198" s="7"/>
      <c r="H198" s="5"/>
      <c r="I198" s="7"/>
      <c r="J198" s="5"/>
    </row>
    <row r="199" spans="1:10" ht="15.6" customHeight="1">
      <c r="A199" s="4" t="str">
        <f t="shared" si="3"/>
        <v/>
      </c>
      <c r="B199" s="5"/>
      <c r="C199" s="6"/>
      <c r="D199" s="6"/>
      <c r="E199" s="5"/>
      <c r="F199" s="6"/>
      <c r="G199" s="7"/>
      <c r="H199" s="5"/>
      <c r="I199" s="7"/>
      <c r="J199" s="5"/>
    </row>
    <row r="200" spans="1:10" ht="15.6" customHeight="1">
      <c r="A200" s="4" t="str">
        <f t="shared" si="3"/>
        <v/>
      </c>
      <c r="B200" s="5"/>
      <c r="C200" s="6"/>
      <c r="D200" s="6"/>
      <c r="E200" s="5"/>
      <c r="F200" s="6"/>
      <c r="G200" s="7"/>
      <c r="H200" s="5"/>
      <c r="I200" s="7"/>
      <c r="J200" s="5"/>
    </row>
    <row r="201" spans="1:10" ht="15.6" customHeight="1">
      <c r="A201" s="4" t="str">
        <f t="shared" si="3"/>
        <v/>
      </c>
      <c r="B201" s="5"/>
      <c r="C201" s="6"/>
      <c r="D201" s="6"/>
      <c r="E201" s="5"/>
      <c r="F201" s="6"/>
      <c r="G201" s="7"/>
      <c r="H201" s="5"/>
      <c r="I201" s="7"/>
      <c r="J201" s="5"/>
    </row>
    <row r="202" spans="1:10" ht="15.6" customHeight="1">
      <c r="A202" s="4" t="str">
        <f t="shared" si="3"/>
        <v/>
      </c>
      <c r="B202" s="5"/>
      <c r="C202" s="6"/>
      <c r="D202" s="6"/>
      <c r="E202" s="5"/>
      <c r="F202" s="6"/>
      <c r="G202" s="7"/>
      <c r="H202" s="5"/>
      <c r="I202" s="7"/>
      <c r="J202" s="5"/>
    </row>
    <row r="203" spans="1:10" ht="15.6" customHeight="1">
      <c r="A203" s="4" t="str">
        <f t="shared" si="3"/>
        <v/>
      </c>
      <c r="B203" s="5"/>
      <c r="C203" s="6"/>
      <c r="D203" s="6"/>
      <c r="E203" s="5"/>
      <c r="F203" s="6"/>
      <c r="G203" s="7"/>
      <c r="H203" s="5"/>
      <c r="I203" s="7"/>
      <c r="J203" s="5"/>
    </row>
    <row r="204" spans="1:10" ht="15.6" customHeight="1">
      <c r="A204" s="4" t="str">
        <f t="shared" si="3"/>
        <v/>
      </c>
      <c r="B204" s="5"/>
      <c r="C204" s="6"/>
      <c r="D204" s="6"/>
      <c r="E204" s="5"/>
      <c r="F204" s="6"/>
      <c r="G204" s="7"/>
      <c r="H204" s="5"/>
      <c r="I204" s="7"/>
      <c r="J204" s="5"/>
    </row>
    <row r="205" spans="1:10" ht="15.6" customHeight="1">
      <c r="A205" s="4" t="str">
        <f t="shared" si="3"/>
        <v/>
      </c>
      <c r="B205" s="5"/>
      <c r="C205" s="6"/>
      <c r="D205" s="6"/>
      <c r="E205" s="5"/>
      <c r="F205" s="6"/>
      <c r="G205" s="7"/>
      <c r="H205" s="5"/>
      <c r="I205" s="7"/>
      <c r="J205" s="5"/>
    </row>
    <row r="206" spans="1:10" ht="15.6" customHeight="1">
      <c r="A206" s="4" t="str">
        <f t="shared" si="3"/>
        <v/>
      </c>
      <c r="B206" s="5"/>
      <c r="C206" s="6"/>
      <c r="D206" s="6"/>
      <c r="E206" s="5"/>
      <c r="F206" s="6"/>
      <c r="G206" s="7"/>
      <c r="H206" s="5"/>
      <c r="I206" s="7"/>
      <c r="J206" s="5"/>
    </row>
    <row r="207" spans="1:10" ht="15.6" customHeight="1">
      <c r="A207" s="4" t="str">
        <f t="shared" si="3"/>
        <v/>
      </c>
      <c r="B207" s="5"/>
      <c r="C207" s="6"/>
      <c r="D207" s="6"/>
      <c r="E207" s="5"/>
      <c r="F207" s="6"/>
      <c r="G207" s="7"/>
      <c r="H207" s="5"/>
      <c r="I207" s="7"/>
      <c r="J207" s="5"/>
    </row>
    <row r="208" spans="1:10" ht="15.6" customHeight="1">
      <c r="A208" s="4" t="str">
        <f t="shared" si="3"/>
        <v/>
      </c>
      <c r="B208" s="5"/>
      <c r="C208" s="6"/>
      <c r="D208" s="6"/>
      <c r="E208" s="5"/>
      <c r="F208" s="6"/>
      <c r="G208" s="7"/>
      <c r="H208" s="5"/>
      <c r="I208" s="7"/>
      <c r="J208" s="5"/>
    </row>
    <row r="209" spans="1:10" ht="15.6" customHeight="1">
      <c r="A209" s="4" t="str">
        <f t="shared" si="3"/>
        <v/>
      </c>
      <c r="B209" s="5"/>
      <c r="C209" s="6"/>
      <c r="D209" s="6"/>
      <c r="E209" s="5"/>
      <c r="F209" s="6"/>
      <c r="G209" s="7"/>
      <c r="H209" s="5"/>
      <c r="I209" s="7"/>
      <c r="J209" s="5"/>
    </row>
    <row r="210" spans="1:10" ht="15.6" customHeight="1">
      <c r="A210" s="4" t="str">
        <f t="shared" si="3"/>
        <v/>
      </c>
      <c r="B210" s="5"/>
      <c r="C210" s="6"/>
      <c r="D210" s="6"/>
      <c r="E210" s="5"/>
      <c r="F210" s="6"/>
      <c r="G210" s="7"/>
      <c r="H210" s="5"/>
      <c r="I210" s="7"/>
      <c r="J210" s="5"/>
    </row>
    <row r="211" spans="1:10" ht="15.6" customHeight="1">
      <c r="A211" s="4" t="str">
        <f t="shared" si="3"/>
        <v/>
      </c>
      <c r="B211" s="5"/>
      <c r="C211" s="6"/>
      <c r="D211" s="6"/>
      <c r="E211" s="5"/>
      <c r="F211" s="6"/>
      <c r="G211" s="7"/>
      <c r="H211" s="5"/>
      <c r="I211" s="7"/>
      <c r="J211" s="5"/>
    </row>
    <row r="212" spans="1:10" ht="15.6" customHeight="1">
      <c r="A212" s="4" t="str">
        <f t="shared" si="3"/>
        <v/>
      </c>
      <c r="B212" s="5"/>
      <c r="C212" s="6"/>
      <c r="D212" s="6"/>
      <c r="E212" s="5"/>
      <c r="F212" s="6"/>
      <c r="G212" s="7"/>
      <c r="H212" s="5"/>
      <c r="I212" s="7"/>
      <c r="J212" s="5"/>
    </row>
    <row r="213" spans="1:10" ht="15.6" customHeight="1">
      <c r="A213" s="4" t="str">
        <f t="shared" si="3"/>
        <v/>
      </c>
      <c r="B213" s="5"/>
      <c r="C213" s="6"/>
      <c r="D213" s="6"/>
      <c r="E213" s="5"/>
      <c r="F213" s="6"/>
      <c r="G213" s="7"/>
      <c r="H213" s="5"/>
      <c r="I213" s="7"/>
      <c r="J213" s="5"/>
    </row>
    <row r="214" spans="1:10" ht="15.6" customHeight="1">
      <c r="A214" s="4" t="str">
        <f t="shared" si="3"/>
        <v/>
      </c>
      <c r="B214" s="5"/>
      <c r="C214" s="6"/>
      <c r="D214" s="6"/>
      <c r="E214" s="5"/>
      <c r="F214" s="6"/>
      <c r="G214" s="7"/>
      <c r="H214" s="5"/>
      <c r="I214" s="7"/>
      <c r="J214" s="5"/>
    </row>
    <row r="215" spans="1:10" ht="15.6" customHeight="1">
      <c r="A215" s="4" t="str">
        <f t="shared" si="3"/>
        <v/>
      </c>
      <c r="B215" s="5"/>
      <c r="C215" s="6"/>
      <c r="D215" s="6"/>
      <c r="E215" s="5"/>
      <c r="F215" s="6"/>
      <c r="G215" s="7"/>
      <c r="H215" s="5"/>
      <c r="I215" s="7"/>
      <c r="J215" s="5"/>
    </row>
    <row r="216" spans="1:10" ht="15.6" customHeight="1">
      <c r="A216" s="4" t="str">
        <f t="shared" si="3"/>
        <v/>
      </c>
      <c r="B216" s="5"/>
      <c r="C216" s="6"/>
      <c r="D216" s="6"/>
      <c r="E216" s="5"/>
      <c r="F216" s="6"/>
      <c r="G216" s="7"/>
      <c r="H216" s="5"/>
      <c r="I216" s="7"/>
      <c r="J216" s="5"/>
    </row>
    <row r="217" spans="1:10" ht="15.6" customHeight="1">
      <c r="A217" s="4" t="str">
        <f t="shared" si="3"/>
        <v/>
      </c>
      <c r="B217" s="5"/>
      <c r="C217" s="6"/>
      <c r="D217" s="6"/>
      <c r="E217" s="5"/>
      <c r="F217" s="6"/>
      <c r="G217" s="7"/>
      <c r="H217" s="5"/>
      <c r="I217" s="7"/>
      <c r="J217" s="5"/>
    </row>
    <row r="218" spans="1:10" ht="15.6" customHeight="1">
      <c r="A218" s="4" t="str">
        <f t="shared" si="3"/>
        <v/>
      </c>
      <c r="B218" s="5"/>
      <c r="C218" s="6"/>
      <c r="D218" s="6"/>
      <c r="E218" s="5"/>
      <c r="F218" s="6"/>
      <c r="G218" s="7"/>
      <c r="H218" s="5"/>
      <c r="I218" s="7"/>
      <c r="J218" s="5"/>
    </row>
    <row r="219" spans="1:10" ht="15.6" customHeight="1">
      <c r="A219" s="4" t="str">
        <f t="shared" si="3"/>
        <v/>
      </c>
      <c r="B219" s="5"/>
      <c r="C219" s="6"/>
      <c r="D219" s="6"/>
      <c r="E219" s="5"/>
      <c r="F219" s="6"/>
      <c r="G219" s="7"/>
      <c r="H219" s="5"/>
      <c r="I219" s="7"/>
      <c r="J219" s="5"/>
    </row>
    <row r="220" spans="1:10" ht="15.6" customHeight="1">
      <c r="A220" s="4" t="str">
        <f t="shared" si="3"/>
        <v/>
      </c>
      <c r="B220" s="5"/>
      <c r="C220" s="6"/>
      <c r="D220" s="6"/>
      <c r="E220" s="5"/>
      <c r="F220" s="6"/>
      <c r="G220" s="7"/>
      <c r="H220" s="5"/>
      <c r="I220" s="7"/>
      <c r="J220" s="5"/>
    </row>
    <row r="221" spans="1:10" ht="15.6" customHeight="1">
      <c r="A221" s="4" t="str">
        <f t="shared" si="3"/>
        <v/>
      </c>
      <c r="B221" s="5"/>
      <c r="C221" s="6"/>
      <c r="D221" s="6"/>
      <c r="E221" s="5"/>
      <c r="F221" s="6"/>
      <c r="G221" s="7"/>
      <c r="H221" s="5"/>
      <c r="I221" s="7"/>
      <c r="J221" s="5"/>
    </row>
    <row r="222" spans="1:10" ht="15.6" customHeight="1">
      <c r="A222" s="4" t="str">
        <f t="shared" si="3"/>
        <v/>
      </c>
      <c r="B222" s="5"/>
      <c r="C222" s="6"/>
      <c r="D222" s="6"/>
      <c r="E222" s="5"/>
      <c r="F222" s="6"/>
      <c r="G222" s="7"/>
      <c r="H222" s="5"/>
      <c r="I222" s="7"/>
      <c r="J222" s="5"/>
    </row>
    <row r="223" spans="1:10" ht="15.6" customHeight="1">
      <c r="A223" s="4" t="str">
        <f t="shared" si="3"/>
        <v/>
      </c>
      <c r="B223" s="5"/>
      <c r="C223" s="6"/>
      <c r="D223" s="6"/>
      <c r="E223" s="5"/>
      <c r="F223" s="6"/>
      <c r="G223" s="7"/>
      <c r="H223" s="5"/>
      <c r="I223" s="7"/>
      <c r="J223" s="5"/>
    </row>
    <row r="224" spans="1:10" ht="15.6" customHeight="1">
      <c r="A224" s="4" t="str">
        <f t="shared" si="3"/>
        <v/>
      </c>
      <c r="B224" s="5"/>
      <c r="C224" s="6"/>
      <c r="D224" s="6"/>
      <c r="E224" s="5"/>
      <c r="F224" s="6"/>
      <c r="G224" s="7"/>
      <c r="H224" s="5"/>
      <c r="I224" s="7"/>
      <c r="J224" s="5"/>
    </row>
    <row r="225" spans="1:10" ht="15.6" customHeight="1">
      <c r="A225" s="4" t="str">
        <f t="shared" si="3"/>
        <v/>
      </c>
      <c r="B225" s="5"/>
      <c r="C225" s="6"/>
      <c r="D225" s="6"/>
      <c r="E225" s="5"/>
      <c r="F225" s="6"/>
      <c r="G225" s="7"/>
      <c r="H225" s="5"/>
      <c r="I225" s="7"/>
      <c r="J225" s="5"/>
    </row>
    <row r="226" spans="1:10" ht="15.6" customHeight="1">
      <c r="A226" s="4" t="str">
        <f t="shared" si="3"/>
        <v/>
      </c>
      <c r="B226" s="5"/>
      <c r="C226" s="6"/>
      <c r="D226" s="6"/>
      <c r="E226" s="5"/>
      <c r="F226" s="6"/>
      <c r="G226" s="7"/>
      <c r="H226" s="5"/>
      <c r="I226" s="7"/>
      <c r="J226" s="5"/>
    </row>
    <row r="227" spans="1:10" ht="15.6" customHeight="1">
      <c r="A227" s="4" t="str">
        <f t="shared" si="3"/>
        <v/>
      </c>
      <c r="B227" s="5"/>
      <c r="C227" s="6"/>
      <c r="D227" s="6"/>
      <c r="E227" s="5"/>
      <c r="F227" s="6"/>
      <c r="G227" s="7"/>
      <c r="H227" s="5"/>
      <c r="I227" s="7"/>
      <c r="J227" s="5"/>
    </row>
    <row r="228" spans="1:10" ht="15.6" customHeight="1">
      <c r="A228" s="4" t="str">
        <f t="shared" si="3"/>
        <v/>
      </c>
      <c r="B228" s="5"/>
      <c r="C228" s="6"/>
      <c r="D228" s="6"/>
      <c r="E228" s="5"/>
      <c r="F228" s="6"/>
      <c r="G228" s="7"/>
      <c r="H228" s="5"/>
      <c r="I228" s="7"/>
      <c r="J228" s="5"/>
    </row>
    <row r="229" spans="1:10" ht="15.6" customHeight="1">
      <c r="A229" s="4" t="str">
        <f t="shared" si="3"/>
        <v/>
      </c>
      <c r="B229" s="5"/>
      <c r="C229" s="6"/>
      <c r="D229" s="6"/>
      <c r="E229" s="5"/>
      <c r="F229" s="6"/>
      <c r="G229" s="7"/>
      <c r="H229" s="5"/>
      <c r="I229" s="7"/>
      <c r="J229" s="5"/>
    </row>
    <row r="230" spans="1:10" ht="15.6" customHeight="1">
      <c r="A230" s="4" t="str">
        <f t="shared" si="3"/>
        <v/>
      </c>
      <c r="B230" s="5"/>
      <c r="C230" s="6"/>
      <c r="D230" s="6"/>
      <c r="E230" s="5"/>
      <c r="F230" s="6"/>
      <c r="G230" s="7"/>
      <c r="H230" s="5"/>
      <c r="I230" s="7"/>
      <c r="J230" s="5"/>
    </row>
    <row r="231" spans="1:10" ht="15.6" customHeight="1">
      <c r="A231" s="4" t="str">
        <f t="shared" si="3"/>
        <v/>
      </c>
      <c r="B231" s="5"/>
      <c r="C231" s="6"/>
      <c r="D231" s="6"/>
      <c r="E231" s="5"/>
      <c r="F231" s="6"/>
      <c r="G231" s="7"/>
      <c r="H231" s="5"/>
      <c r="I231" s="7"/>
      <c r="J231" s="5"/>
    </row>
    <row r="232" spans="1:10" ht="15.6" customHeight="1">
      <c r="A232" s="4" t="str">
        <f t="shared" si="3"/>
        <v/>
      </c>
      <c r="B232" s="5"/>
      <c r="C232" s="6"/>
      <c r="D232" s="6"/>
      <c r="E232" s="5"/>
      <c r="F232" s="6"/>
      <c r="G232" s="7"/>
      <c r="H232" s="5"/>
      <c r="I232" s="7"/>
      <c r="J232" s="5"/>
    </row>
    <row r="233" spans="1:10" ht="15.6" customHeight="1">
      <c r="A233" s="4" t="str">
        <f t="shared" si="3"/>
        <v/>
      </c>
      <c r="B233" s="5"/>
      <c r="C233" s="6"/>
      <c r="D233" s="6"/>
      <c r="E233" s="5"/>
      <c r="F233" s="6"/>
      <c r="G233" s="7"/>
      <c r="H233" s="5"/>
      <c r="I233" s="7"/>
      <c r="J233" s="5"/>
    </row>
    <row r="234" spans="1:10" ht="15.6" customHeight="1">
      <c r="A234" s="4" t="str">
        <f t="shared" si="3"/>
        <v/>
      </c>
      <c r="B234" s="5"/>
      <c r="C234" s="6"/>
      <c r="D234" s="6"/>
      <c r="E234" s="5"/>
      <c r="F234" s="6"/>
      <c r="G234" s="7"/>
      <c r="H234" s="5"/>
      <c r="I234" s="7"/>
      <c r="J234" s="5"/>
    </row>
    <row r="235" spans="1:10" ht="15.6" customHeight="1">
      <c r="A235" s="4" t="str">
        <f t="shared" si="3"/>
        <v/>
      </c>
      <c r="B235" s="5"/>
      <c r="C235" s="6"/>
      <c r="D235" s="6"/>
      <c r="E235" s="5"/>
      <c r="F235" s="6"/>
      <c r="G235" s="7"/>
      <c r="H235" s="5"/>
      <c r="I235" s="7"/>
      <c r="J235" s="5"/>
    </row>
    <row r="236" spans="1:10" ht="15.6" customHeight="1">
      <c r="A236" s="4" t="str">
        <f t="shared" si="3"/>
        <v/>
      </c>
      <c r="B236" s="5"/>
      <c r="C236" s="6"/>
      <c r="D236" s="6"/>
      <c r="E236" s="5"/>
      <c r="F236" s="6"/>
      <c r="G236" s="7"/>
      <c r="H236" s="5"/>
      <c r="I236" s="7"/>
      <c r="J236" s="5"/>
    </row>
    <row r="237" spans="1:10" ht="15.6" customHeight="1">
      <c r="A237" s="4" t="str">
        <f t="shared" si="3"/>
        <v/>
      </c>
      <c r="B237" s="5"/>
      <c r="C237" s="6"/>
      <c r="D237" s="6"/>
      <c r="E237" s="5"/>
      <c r="F237" s="6"/>
      <c r="G237" s="7"/>
      <c r="H237" s="5"/>
      <c r="I237" s="7"/>
      <c r="J237" s="5"/>
    </row>
    <row r="238" spans="1:10" ht="15.6" customHeight="1">
      <c r="A238" s="4" t="str">
        <f t="shared" si="3"/>
        <v/>
      </c>
      <c r="B238" s="5"/>
      <c r="C238" s="6"/>
      <c r="D238" s="6"/>
      <c r="E238" s="5"/>
      <c r="F238" s="6"/>
      <c r="G238" s="7"/>
      <c r="H238" s="5"/>
      <c r="I238" s="7"/>
      <c r="J238" s="5"/>
    </row>
    <row r="239" spans="1:10" ht="15.6" customHeight="1">
      <c r="A239" s="4" t="str">
        <f t="shared" si="3"/>
        <v/>
      </c>
      <c r="B239" s="5"/>
      <c r="C239" s="6"/>
      <c r="D239" s="6"/>
      <c r="E239" s="5"/>
      <c r="F239" s="6"/>
      <c r="G239" s="7"/>
      <c r="H239" s="5"/>
      <c r="I239" s="7"/>
      <c r="J239" s="5"/>
    </row>
    <row r="240" spans="1:10" ht="15.6" customHeight="1">
      <c r="A240" s="4" t="str">
        <f t="shared" si="3"/>
        <v/>
      </c>
      <c r="B240" s="5"/>
      <c r="C240" s="6"/>
      <c r="D240" s="6"/>
      <c r="E240" s="5"/>
      <c r="F240" s="6"/>
      <c r="G240" s="7"/>
      <c r="H240" s="5"/>
      <c r="I240" s="7"/>
      <c r="J240" s="5"/>
    </row>
    <row r="241" spans="1:10" ht="15.6" customHeight="1">
      <c r="A241" s="4" t="str">
        <f t="shared" si="3"/>
        <v/>
      </c>
      <c r="B241" s="5"/>
      <c r="C241" s="6"/>
      <c r="D241" s="6"/>
      <c r="E241" s="5"/>
      <c r="F241" s="6"/>
      <c r="G241" s="7"/>
      <c r="H241" s="5"/>
      <c r="I241" s="7"/>
      <c r="J241" s="5"/>
    </row>
    <row r="242" spans="1:10" ht="15.6" customHeight="1">
      <c r="A242" s="4" t="str">
        <f t="shared" si="3"/>
        <v/>
      </c>
      <c r="B242" s="5"/>
      <c r="C242" s="6"/>
      <c r="D242" s="6"/>
      <c r="E242" s="5"/>
      <c r="F242" s="6"/>
      <c r="G242" s="7"/>
      <c r="H242" s="5"/>
      <c r="I242" s="7"/>
      <c r="J242" s="5"/>
    </row>
    <row r="243" spans="1:10" ht="15.6" customHeight="1">
      <c r="A243" s="4" t="str">
        <f t="shared" si="3"/>
        <v/>
      </c>
      <c r="B243" s="5"/>
      <c r="C243" s="6"/>
      <c r="D243" s="6"/>
      <c r="E243" s="5"/>
      <c r="F243" s="6"/>
      <c r="G243" s="7"/>
      <c r="H243" s="5"/>
      <c r="I243" s="7"/>
      <c r="J243" s="5"/>
    </row>
    <row r="244" spans="1:10" ht="15.6" customHeight="1">
      <c r="A244" s="4" t="str">
        <f t="shared" si="3"/>
        <v/>
      </c>
      <c r="B244" s="5"/>
      <c r="C244" s="6"/>
      <c r="D244" s="6"/>
      <c r="E244" s="5"/>
      <c r="F244" s="6"/>
      <c r="G244" s="7"/>
      <c r="H244" s="5"/>
      <c r="I244" s="7"/>
      <c r="J244" s="5"/>
    </row>
    <row r="245" spans="1:10" ht="15.6" customHeight="1">
      <c r="A245" s="4" t="str">
        <f t="shared" si="3"/>
        <v/>
      </c>
      <c r="B245" s="5"/>
      <c r="C245" s="6"/>
      <c r="D245" s="6"/>
      <c r="E245" s="5"/>
      <c r="F245" s="6"/>
      <c r="G245" s="7"/>
      <c r="H245" s="5"/>
      <c r="I245" s="7"/>
      <c r="J245" s="5"/>
    </row>
    <row r="246" spans="1:10" ht="15.6" customHeight="1">
      <c r="A246" s="4" t="str">
        <f t="shared" si="3"/>
        <v/>
      </c>
      <c r="B246" s="5"/>
      <c r="C246" s="6"/>
      <c r="D246" s="6"/>
      <c r="E246" s="5"/>
      <c r="F246" s="6"/>
      <c r="G246" s="7"/>
      <c r="H246" s="5"/>
      <c r="I246" s="7"/>
      <c r="J246" s="5"/>
    </row>
    <row r="247" spans="1:10" ht="15.6" customHeight="1">
      <c r="A247" s="4" t="str">
        <f t="shared" si="3"/>
        <v/>
      </c>
      <c r="B247" s="5"/>
      <c r="C247" s="6"/>
      <c r="D247" s="6"/>
      <c r="E247" s="5"/>
      <c r="F247" s="6"/>
      <c r="G247" s="7"/>
      <c r="H247" s="5"/>
      <c r="I247" s="7"/>
      <c r="J247" s="5"/>
    </row>
    <row r="248" spans="1:10" ht="15.6" customHeight="1">
      <c r="A248" s="4" t="str">
        <f t="shared" si="3"/>
        <v/>
      </c>
      <c r="B248" s="5"/>
      <c r="C248" s="6"/>
      <c r="D248" s="6"/>
      <c r="E248" s="5"/>
      <c r="F248" s="6"/>
      <c r="G248" s="7"/>
      <c r="H248" s="5"/>
      <c r="I248" s="7"/>
      <c r="J248" s="5"/>
    </row>
    <row r="249" spans="1:10" ht="15.6" customHeight="1">
      <c r="A249" s="4" t="str">
        <f t="shared" si="3"/>
        <v/>
      </c>
      <c r="B249" s="5"/>
      <c r="C249" s="6"/>
      <c r="D249" s="6"/>
      <c r="E249" s="5"/>
      <c r="F249" s="6"/>
      <c r="G249" s="7"/>
      <c r="H249" s="5"/>
      <c r="I249" s="7"/>
      <c r="J249" s="5"/>
    </row>
    <row r="250" spans="1:10" ht="15.6" customHeight="1">
      <c r="A250" s="4" t="str">
        <f t="shared" si="3"/>
        <v/>
      </c>
      <c r="B250" s="5"/>
      <c r="C250" s="6"/>
      <c r="D250" s="6"/>
      <c r="E250" s="5"/>
      <c r="F250" s="6"/>
      <c r="G250" s="7"/>
      <c r="H250" s="5"/>
      <c r="I250" s="7"/>
      <c r="J250" s="5"/>
    </row>
    <row r="251" spans="1:10" ht="15.6" customHeight="1">
      <c r="A251" s="4" t="str">
        <f t="shared" si="3"/>
        <v/>
      </c>
      <c r="B251" s="5"/>
      <c r="C251" s="6"/>
      <c r="D251" s="6"/>
      <c r="E251" s="5"/>
      <c r="F251" s="6"/>
      <c r="G251" s="7"/>
      <c r="H251" s="5"/>
      <c r="I251" s="7"/>
      <c r="J251" s="5"/>
    </row>
    <row r="252" spans="1:10" ht="15.6" customHeight="1">
      <c r="A252" s="4" t="str">
        <f t="shared" si="3"/>
        <v/>
      </c>
      <c r="B252" s="5"/>
      <c r="C252" s="6"/>
      <c r="D252" s="6"/>
      <c r="E252" s="5"/>
      <c r="F252" s="6"/>
      <c r="G252" s="7"/>
      <c r="H252" s="5"/>
      <c r="I252" s="7"/>
      <c r="J252" s="5"/>
    </row>
    <row r="253" spans="1:10" ht="15.6" customHeight="1">
      <c r="A253" s="4" t="str">
        <f t="shared" si="3"/>
        <v/>
      </c>
      <c r="B253" s="5"/>
      <c r="C253" s="6"/>
      <c r="D253" s="6"/>
      <c r="E253" s="5"/>
      <c r="F253" s="6"/>
      <c r="G253" s="7"/>
      <c r="H253" s="5"/>
      <c r="I253" s="7"/>
      <c r="J253" s="5"/>
    </row>
    <row r="254" spans="1:10" ht="15.6" customHeight="1">
      <c r="A254" s="4" t="str">
        <f t="shared" si="3"/>
        <v/>
      </c>
      <c r="B254" s="5"/>
      <c r="C254" s="6"/>
      <c r="D254" s="6"/>
      <c r="E254" s="5"/>
      <c r="F254" s="6"/>
      <c r="G254" s="7"/>
      <c r="H254" s="5"/>
      <c r="I254" s="7"/>
      <c r="J254" s="5"/>
    </row>
    <row r="255" spans="1:10" ht="15.6" customHeight="1">
      <c r="A255" s="4" t="str">
        <f t="shared" si="3"/>
        <v/>
      </c>
      <c r="B255" s="5"/>
      <c r="C255" s="6"/>
      <c r="D255" s="6"/>
      <c r="E255" s="5"/>
      <c r="F255" s="6"/>
      <c r="G255" s="7"/>
      <c r="H255" s="5"/>
      <c r="I255" s="7"/>
      <c r="J255" s="5"/>
    </row>
    <row r="256" spans="1:10" ht="15.6" customHeight="1">
      <c r="A256" s="4" t="str">
        <f t="shared" si="3"/>
        <v/>
      </c>
      <c r="B256" s="5"/>
      <c r="C256" s="6"/>
      <c r="D256" s="6"/>
      <c r="E256" s="5"/>
      <c r="F256" s="6"/>
      <c r="G256" s="7"/>
      <c r="H256" s="5"/>
      <c r="I256" s="7"/>
      <c r="J256" s="5"/>
    </row>
    <row r="257" spans="1:10" ht="15.6" customHeight="1">
      <c r="A257" s="4" t="str">
        <f t="shared" si="3"/>
        <v/>
      </c>
      <c r="B257" s="5"/>
      <c r="C257" s="6"/>
      <c r="D257" s="6"/>
      <c r="E257" s="5"/>
      <c r="F257" s="6"/>
      <c r="G257" s="7"/>
      <c r="H257" s="5"/>
      <c r="I257" s="7"/>
      <c r="J257" s="5"/>
    </row>
    <row r="258" spans="1:10" ht="15.6" customHeight="1">
      <c r="A258" s="4" t="str">
        <f t="shared" si="3"/>
        <v/>
      </c>
      <c r="B258" s="5"/>
      <c r="C258" s="6"/>
      <c r="D258" s="6"/>
      <c r="E258" s="5"/>
      <c r="F258" s="6"/>
      <c r="G258" s="7"/>
      <c r="H258" s="5"/>
      <c r="I258" s="7"/>
      <c r="J258" s="5"/>
    </row>
    <row r="259" spans="1:10" ht="15.6" customHeight="1">
      <c r="A259" s="4" t="str">
        <f t="shared" si="3"/>
        <v/>
      </c>
      <c r="B259" s="5"/>
      <c r="C259" s="6"/>
      <c r="D259" s="6"/>
      <c r="E259" s="5"/>
      <c r="F259" s="6"/>
      <c r="G259" s="7"/>
      <c r="H259" s="5"/>
      <c r="I259" s="7"/>
      <c r="J259" s="5"/>
    </row>
    <row r="260" spans="1:10" ht="15.6" customHeight="1">
      <c r="A260" s="4" t="str">
        <f t="shared" ref="A260:A323" si="4">IF(B260&lt;&gt;"",ROW()-3,"")</f>
        <v/>
      </c>
      <c r="B260" s="5"/>
      <c r="C260" s="6"/>
      <c r="D260" s="6"/>
      <c r="E260" s="5"/>
      <c r="F260" s="6"/>
      <c r="G260" s="7"/>
      <c r="H260" s="5"/>
      <c r="I260" s="7"/>
      <c r="J260" s="5"/>
    </row>
    <row r="261" spans="1:10" ht="15.6" customHeight="1">
      <c r="A261" s="4" t="str">
        <f t="shared" si="4"/>
        <v/>
      </c>
      <c r="B261" s="5"/>
      <c r="C261" s="6"/>
      <c r="D261" s="6"/>
      <c r="E261" s="5"/>
      <c r="F261" s="6"/>
      <c r="G261" s="7"/>
      <c r="H261" s="5"/>
      <c r="I261" s="7"/>
      <c r="J261" s="5"/>
    </row>
    <row r="262" spans="1:10" ht="15.6" customHeight="1">
      <c r="A262" s="4" t="str">
        <f t="shared" si="4"/>
        <v/>
      </c>
      <c r="B262" s="5"/>
      <c r="C262" s="6"/>
      <c r="D262" s="6"/>
      <c r="E262" s="5"/>
      <c r="F262" s="6"/>
      <c r="G262" s="7"/>
      <c r="H262" s="5"/>
      <c r="I262" s="7"/>
      <c r="J262" s="5"/>
    </row>
    <row r="263" spans="1:10" ht="15.6" customHeight="1">
      <c r="A263" s="4" t="str">
        <f t="shared" si="4"/>
        <v/>
      </c>
      <c r="B263" s="5"/>
      <c r="C263" s="6"/>
      <c r="D263" s="6"/>
      <c r="E263" s="5"/>
      <c r="F263" s="6"/>
      <c r="G263" s="7"/>
      <c r="H263" s="5"/>
      <c r="I263" s="7"/>
      <c r="J263" s="5"/>
    </row>
    <row r="264" spans="1:10" ht="15.6" customHeight="1">
      <c r="A264" s="4" t="str">
        <f t="shared" si="4"/>
        <v/>
      </c>
      <c r="B264" s="5"/>
      <c r="C264" s="6"/>
      <c r="D264" s="6"/>
      <c r="E264" s="5"/>
      <c r="F264" s="6"/>
      <c r="G264" s="7"/>
      <c r="H264" s="5"/>
      <c r="I264" s="7"/>
      <c r="J264" s="5"/>
    </row>
    <row r="265" spans="1:10" ht="15.6" customHeight="1">
      <c r="A265" s="4" t="str">
        <f t="shared" si="4"/>
        <v/>
      </c>
      <c r="B265" s="5"/>
      <c r="C265" s="6"/>
      <c r="D265" s="6"/>
      <c r="E265" s="5"/>
      <c r="F265" s="6"/>
      <c r="G265" s="7"/>
      <c r="H265" s="5"/>
      <c r="I265" s="7"/>
      <c r="J265" s="5"/>
    </row>
    <row r="266" spans="1:10" ht="15.6" customHeight="1">
      <c r="A266" s="4" t="str">
        <f t="shared" si="4"/>
        <v/>
      </c>
      <c r="B266" s="5"/>
      <c r="C266" s="6"/>
      <c r="D266" s="6"/>
      <c r="E266" s="5"/>
      <c r="F266" s="6"/>
      <c r="G266" s="7"/>
      <c r="H266" s="5"/>
      <c r="I266" s="7"/>
      <c r="J266" s="5"/>
    </row>
    <row r="267" spans="1:10" ht="15.6" customHeight="1">
      <c r="A267" s="4" t="str">
        <f t="shared" si="4"/>
        <v/>
      </c>
      <c r="B267" s="5"/>
      <c r="C267" s="6"/>
      <c r="D267" s="6"/>
      <c r="E267" s="5"/>
      <c r="F267" s="6"/>
      <c r="G267" s="7"/>
      <c r="H267" s="5"/>
      <c r="I267" s="7"/>
      <c r="J267" s="5"/>
    </row>
    <row r="268" spans="1:10" ht="15.6" customHeight="1">
      <c r="A268" s="4" t="str">
        <f t="shared" si="4"/>
        <v/>
      </c>
      <c r="B268" s="5"/>
      <c r="C268" s="6"/>
      <c r="D268" s="6"/>
      <c r="E268" s="5"/>
      <c r="F268" s="6"/>
      <c r="G268" s="7"/>
      <c r="H268" s="5"/>
      <c r="I268" s="7"/>
      <c r="J268" s="5"/>
    </row>
    <row r="269" spans="1:10" ht="15.6" customHeight="1">
      <c r="A269" s="4" t="str">
        <f t="shared" si="4"/>
        <v/>
      </c>
      <c r="B269" s="5"/>
      <c r="C269" s="6"/>
      <c r="D269" s="6"/>
      <c r="E269" s="5"/>
      <c r="F269" s="6"/>
      <c r="G269" s="7"/>
      <c r="H269" s="5"/>
      <c r="I269" s="7"/>
      <c r="J269" s="5"/>
    </row>
    <row r="270" spans="1:10" ht="15.6" customHeight="1">
      <c r="A270" s="4" t="str">
        <f t="shared" si="4"/>
        <v/>
      </c>
      <c r="B270" s="5"/>
      <c r="C270" s="6"/>
      <c r="D270" s="6"/>
      <c r="E270" s="5"/>
      <c r="F270" s="6"/>
      <c r="G270" s="7"/>
      <c r="H270" s="5"/>
      <c r="I270" s="7"/>
      <c r="J270" s="5"/>
    </row>
    <row r="271" spans="1:10" ht="15.6" customHeight="1">
      <c r="A271" s="4" t="str">
        <f t="shared" si="4"/>
        <v/>
      </c>
      <c r="B271" s="5"/>
      <c r="C271" s="6"/>
      <c r="D271" s="6"/>
      <c r="E271" s="5"/>
      <c r="F271" s="6"/>
      <c r="G271" s="7"/>
      <c r="H271" s="5"/>
      <c r="I271" s="7"/>
      <c r="J271" s="5"/>
    </row>
    <row r="272" spans="1:10" ht="15.6" customHeight="1">
      <c r="A272" s="4" t="str">
        <f t="shared" si="4"/>
        <v/>
      </c>
      <c r="B272" s="5"/>
      <c r="C272" s="6"/>
      <c r="D272" s="6"/>
      <c r="E272" s="5"/>
      <c r="F272" s="6"/>
      <c r="G272" s="7"/>
      <c r="H272" s="5"/>
      <c r="I272" s="7"/>
      <c r="J272" s="5"/>
    </row>
    <row r="273" spans="1:10" ht="15.6" customHeight="1">
      <c r="A273" s="4" t="str">
        <f t="shared" si="4"/>
        <v/>
      </c>
      <c r="B273" s="5"/>
      <c r="C273" s="6"/>
      <c r="D273" s="6"/>
      <c r="E273" s="5"/>
      <c r="F273" s="6"/>
      <c r="G273" s="7"/>
      <c r="H273" s="5"/>
      <c r="I273" s="7"/>
      <c r="J273" s="5"/>
    </row>
    <row r="274" spans="1:10" ht="15.6" customHeight="1">
      <c r="A274" s="4" t="str">
        <f t="shared" si="4"/>
        <v/>
      </c>
      <c r="B274" s="5"/>
      <c r="C274" s="6"/>
      <c r="D274" s="6"/>
      <c r="E274" s="5"/>
      <c r="F274" s="6"/>
      <c r="G274" s="7"/>
      <c r="H274" s="5"/>
      <c r="I274" s="7"/>
      <c r="J274" s="5"/>
    </row>
    <row r="275" spans="1:10" ht="15.6" customHeight="1">
      <c r="A275" s="4" t="str">
        <f t="shared" si="4"/>
        <v/>
      </c>
      <c r="B275" s="5"/>
      <c r="C275" s="6"/>
      <c r="D275" s="6"/>
      <c r="E275" s="5"/>
      <c r="F275" s="6"/>
      <c r="G275" s="7"/>
      <c r="H275" s="5"/>
      <c r="I275" s="7"/>
      <c r="J275" s="5"/>
    </row>
    <row r="276" spans="1:10" ht="15.6" customHeight="1">
      <c r="A276" s="4" t="str">
        <f t="shared" si="4"/>
        <v/>
      </c>
      <c r="B276" s="5"/>
      <c r="C276" s="6"/>
      <c r="D276" s="6"/>
      <c r="E276" s="5"/>
      <c r="F276" s="6"/>
      <c r="G276" s="7"/>
      <c r="H276" s="5"/>
      <c r="I276" s="7"/>
      <c r="J276" s="5"/>
    </row>
    <row r="277" spans="1:10" ht="15.6" customHeight="1">
      <c r="A277" s="4" t="str">
        <f t="shared" si="4"/>
        <v/>
      </c>
      <c r="B277" s="5"/>
      <c r="C277" s="6"/>
      <c r="D277" s="6"/>
      <c r="E277" s="5"/>
      <c r="F277" s="6"/>
      <c r="G277" s="7"/>
      <c r="H277" s="5"/>
      <c r="I277" s="7"/>
      <c r="J277" s="5"/>
    </row>
    <row r="278" spans="1:10" ht="15.6" customHeight="1">
      <c r="A278" s="4" t="str">
        <f t="shared" si="4"/>
        <v/>
      </c>
      <c r="B278" s="5"/>
      <c r="C278" s="6"/>
      <c r="D278" s="6"/>
      <c r="E278" s="5"/>
      <c r="F278" s="6"/>
      <c r="G278" s="7"/>
      <c r="H278" s="5"/>
      <c r="I278" s="7"/>
      <c r="J278" s="5"/>
    </row>
    <row r="279" spans="1:10" ht="15.6" customHeight="1">
      <c r="A279" s="4" t="str">
        <f t="shared" si="4"/>
        <v/>
      </c>
      <c r="B279" s="5"/>
      <c r="C279" s="6"/>
      <c r="D279" s="6"/>
      <c r="E279" s="5"/>
      <c r="F279" s="6"/>
      <c r="G279" s="7"/>
      <c r="H279" s="5"/>
      <c r="I279" s="7"/>
      <c r="J279" s="5"/>
    </row>
    <row r="280" spans="1:10" ht="15.6" customHeight="1">
      <c r="A280" s="4" t="str">
        <f t="shared" si="4"/>
        <v/>
      </c>
      <c r="B280" s="5"/>
      <c r="C280" s="6"/>
      <c r="D280" s="6"/>
      <c r="E280" s="5"/>
      <c r="F280" s="6"/>
      <c r="G280" s="7"/>
      <c r="H280" s="5"/>
      <c r="I280" s="7"/>
      <c r="J280" s="5"/>
    </row>
    <row r="281" spans="1:10" ht="15.6" customHeight="1">
      <c r="A281" s="4" t="str">
        <f t="shared" si="4"/>
        <v/>
      </c>
      <c r="B281" s="5"/>
      <c r="C281" s="6"/>
      <c r="D281" s="6"/>
      <c r="E281" s="5"/>
      <c r="F281" s="6"/>
      <c r="G281" s="7"/>
      <c r="H281" s="5"/>
      <c r="I281" s="7"/>
      <c r="J281" s="5"/>
    </row>
    <row r="282" spans="1:10" ht="15.6" customHeight="1">
      <c r="A282" s="4" t="str">
        <f t="shared" si="4"/>
        <v/>
      </c>
      <c r="B282" s="5"/>
      <c r="C282" s="6"/>
      <c r="D282" s="6"/>
      <c r="E282" s="5"/>
      <c r="F282" s="6"/>
      <c r="G282" s="7"/>
      <c r="H282" s="5"/>
      <c r="I282" s="7"/>
      <c r="J282" s="5"/>
    </row>
    <row r="283" spans="1:10" ht="15.6" customHeight="1">
      <c r="A283" s="4" t="str">
        <f t="shared" si="4"/>
        <v/>
      </c>
      <c r="B283" s="5"/>
      <c r="C283" s="6"/>
      <c r="D283" s="6"/>
      <c r="E283" s="5"/>
      <c r="F283" s="6"/>
      <c r="G283" s="7"/>
      <c r="H283" s="5"/>
      <c r="I283" s="7"/>
      <c r="J283" s="5"/>
    </row>
    <row r="284" spans="1:10" ht="15.6" customHeight="1">
      <c r="A284" s="4" t="str">
        <f t="shared" si="4"/>
        <v/>
      </c>
      <c r="B284" s="5"/>
      <c r="C284" s="6"/>
      <c r="D284" s="6"/>
      <c r="E284" s="5"/>
      <c r="F284" s="6"/>
      <c r="G284" s="7"/>
      <c r="H284" s="5"/>
      <c r="I284" s="7"/>
      <c r="J284" s="5"/>
    </row>
    <row r="285" spans="1:10" ht="15.6" customHeight="1">
      <c r="A285" s="4" t="str">
        <f t="shared" si="4"/>
        <v/>
      </c>
      <c r="B285" s="5"/>
      <c r="C285" s="6"/>
      <c r="D285" s="6"/>
      <c r="E285" s="5"/>
      <c r="F285" s="6"/>
      <c r="G285" s="7"/>
      <c r="H285" s="5"/>
      <c r="I285" s="7"/>
      <c r="J285" s="5"/>
    </row>
    <row r="286" spans="1:10" ht="15.6" customHeight="1">
      <c r="A286" s="4" t="str">
        <f t="shared" si="4"/>
        <v/>
      </c>
      <c r="B286" s="5"/>
      <c r="C286" s="6"/>
      <c r="D286" s="6"/>
      <c r="E286" s="5"/>
      <c r="F286" s="6"/>
      <c r="G286" s="7"/>
      <c r="H286" s="5"/>
      <c r="I286" s="7"/>
      <c r="J286" s="5"/>
    </row>
    <row r="287" spans="1:10" ht="15.6" customHeight="1">
      <c r="A287" s="4" t="str">
        <f t="shared" si="4"/>
        <v/>
      </c>
      <c r="B287" s="5"/>
      <c r="C287" s="6"/>
      <c r="D287" s="6"/>
      <c r="E287" s="5"/>
      <c r="F287" s="6"/>
      <c r="G287" s="7"/>
      <c r="H287" s="5"/>
      <c r="I287" s="7"/>
      <c r="J287" s="5"/>
    </row>
    <row r="288" spans="1:10" ht="15.6" customHeight="1">
      <c r="A288" s="4" t="str">
        <f t="shared" si="4"/>
        <v/>
      </c>
      <c r="B288" s="5"/>
      <c r="C288" s="6"/>
      <c r="D288" s="6"/>
      <c r="E288" s="5"/>
      <c r="F288" s="6"/>
      <c r="G288" s="7"/>
      <c r="H288" s="5"/>
      <c r="I288" s="7"/>
      <c r="J288" s="5"/>
    </row>
    <row r="289" spans="1:10" ht="15.6" customHeight="1">
      <c r="A289" s="4" t="str">
        <f t="shared" si="4"/>
        <v/>
      </c>
      <c r="B289" s="5"/>
      <c r="C289" s="6"/>
      <c r="D289" s="6"/>
      <c r="E289" s="5"/>
      <c r="F289" s="6"/>
      <c r="G289" s="7"/>
      <c r="H289" s="5"/>
      <c r="I289" s="7"/>
      <c r="J289" s="5"/>
    </row>
    <row r="290" spans="1:10" ht="15.6" customHeight="1">
      <c r="A290" s="4" t="str">
        <f t="shared" si="4"/>
        <v/>
      </c>
      <c r="B290" s="5"/>
      <c r="C290" s="6"/>
      <c r="D290" s="6"/>
      <c r="E290" s="5"/>
      <c r="F290" s="6"/>
      <c r="G290" s="7"/>
      <c r="H290" s="5"/>
      <c r="I290" s="7"/>
      <c r="J290" s="5"/>
    </row>
    <row r="291" spans="1:10" ht="15.6" customHeight="1">
      <c r="A291" s="4" t="str">
        <f t="shared" si="4"/>
        <v/>
      </c>
      <c r="B291" s="5"/>
      <c r="C291" s="6"/>
      <c r="D291" s="6"/>
      <c r="E291" s="5"/>
      <c r="F291" s="6"/>
      <c r="G291" s="7"/>
      <c r="H291" s="5"/>
      <c r="I291" s="7"/>
      <c r="J291" s="5"/>
    </row>
    <row r="292" spans="1:10" ht="15.6" customHeight="1">
      <c r="A292" s="4" t="str">
        <f t="shared" si="4"/>
        <v/>
      </c>
      <c r="B292" s="5"/>
      <c r="C292" s="6"/>
      <c r="D292" s="6"/>
      <c r="E292" s="5"/>
      <c r="F292" s="6"/>
      <c r="G292" s="7"/>
      <c r="H292" s="5"/>
      <c r="I292" s="7"/>
      <c r="J292" s="5"/>
    </row>
    <row r="293" spans="1:10" ht="15.6" customHeight="1">
      <c r="A293" s="4" t="str">
        <f t="shared" si="4"/>
        <v/>
      </c>
      <c r="B293" s="5"/>
      <c r="C293" s="6"/>
      <c r="D293" s="6"/>
      <c r="E293" s="5"/>
      <c r="F293" s="6"/>
      <c r="G293" s="7"/>
      <c r="H293" s="5"/>
      <c r="I293" s="7"/>
      <c r="J293" s="5"/>
    </row>
    <row r="294" spans="1:10" ht="15.6" customHeight="1">
      <c r="A294" s="4" t="str">
        <f t="shared" si="4"/>
        <v/>
      </c>
      <c r="B294" s="5"/>
      <c r="C294" s="6"/>
      <c r="D294" s="6"/>
      <c r="E294" s="5"/>
      <c r="F294" s="6"/>
      <c r="G294" s="7"/>
      <c r="H294" s="5"/>
      <c r="I294" s="7"/>
      <c r="J294" s="5"/>
    </row>
    <row r="295" spans="1:10" ht="15.6" customHeight="1">
      <c r="A295" s="4" t="str">
        <f t="shared" si="4"/>
        <v/>
      </c>
      <c r="B295" s="5"/>
      <c r="C295" s="6"/>
      <c r="D295" s="6"/>
      <c r="E295" s="5"/>
      <c r="F295" s="6"/>
      <c r="G295" s="7"/>
      <c r="H295" s="5"/>
      <c r="I295" s="7"/>
      <c r="J295" s="5"/>
    </row>
    <row r="296" spans="1:10" ht="15.6" customHeight="1">
      <c r="A296" s="4" t="str">
        <f t="shared" si="4"/>
        <v/>
      </c>
      <c r="B296" s="5"/>
      <c r="C296" s="6"/>
      <c r="D296" s="6"/>
      <c r="E296" s="5"/>
      <c r="F296" s="6"/>
      <c r="G296" s="7"/>
      <c r="H296" s="5"/>
      <c r="I296" s="7"/>
      <c r="J296" s="5"/>
    </row>
    <row r="297" spans="1:10" ht="15.6" customHeight="1">
      <c r="A297" s="4" t="str">
        <f t="shared" si="4"/>
        <v/>
      </c>
      <c r="B297" s="5"/>
      <c r="C297" s="6"/>
      <c r="D297" s="6"/>
      <c r="E297" s="5"/>
      <c r="F297" s="6"/>
      <c r="G297" s="7"/>
      <c r="H297" s="5"/>
      <c r="I297" s="7"/>
      <c r="J297" s="5"/>
    </row>
    <row r="298" spans="1:10" ht="15.6" customHeight="1">
      <c r="A298" s="4" t="str">
        <f t="shared" si="4"/>
        <v/>
      </c>
      <c r="B298" s="5"/>
      <c r="C298" s="6"/>
      <c r="D298" s="6"/>
      <c r="E298" s="5"/>
      <c r="F298" s="6"/>
      <c r="G298" s="7"/>
      <c r="H298" s="5"/>
      <c r="I298" s="7"/>
      <c r="J298" s="5"/>
    </row>
    <row r="299" spans="1:10" ht="15.6" customHeight="1">
      <c r="A299" s="4" t="str">
        <f t="shared" si="4"/>
        <v/>
      </c>
      <c r="B299" s="5"/>
      <c r="C299" s="6"/>
      <c r="D299" s="6"/>
      <c r="E299" s="5"/>
      <c r="F299" s="6"/>
      <c r="G299" s="7"/>
      <c r="H299" s="5"/>
      <c r="I299" s="7"/>
      <c r="J299" s="5"/>
    </row>
    <row r="300" spans="1:10" ht="15.6" customHeight="1">
      <c r="A300" s="4" t="str">
        <f t="shared" si="4"/>
        <v/>
      </c>
      <c r="B300" s="5"/>
      <c r="C300" s="6"/>
      <c r="D300" s="6"/>
      <c r="E300" s="5"/>
      <c r="F300" s="6"/>
      <c r="G300" s="7"/>
      <c r="H300" s="5"/>
      <c r="I300" s="7"/>
      <c r="J300" s="5"/>
    </row>
    <row r="301" spans="1:10" ht="15.6" customHeight="1">
      <c r="A301" s="4" t="str">
        <f t="shared" si="4"/>
        <v/>
      </c>
      <c r="B301" s="5"/>
      <c r="C301" s="6"/>
      <c r="D301" s="6"/>
      <c r="E301" s="5"/>
      <c r="F301" s="6"/>
      <c r="G301" s="7"/>
      <c r="H301" s="5"/>
      <c r="I301" s="7"/>
      <c r="J301" s="5"/>
    </row>
    <row r="302" spans="1:10" ht="15.6" customHeight="1">
      <c r="A302" s="4" t="str">
        <f t="shared" si="4"/>
        <v/>
      </c>
      <c r="B302" s="5"/>
      <c r="C302" s="6"/>
      <c r="D302" s="6"/>
      <c r="E302" s="5"/>
      <c r="F302" s="6"/>
      <c r="G302" s="7"/>
      <c r="H302" s="5"/>
      <c r="I302" s="7"/>
      <c r="J302" s="5"/>
    </row>
    <row r="303" spans="1:10" ht="15.6" customHeight="1">
      <c r="A303" s="4" t="str">
        <f t="shared" si="4"/>
        <v/>
      </c>
      <c r="B303" s="5"/>
      <c r="C303" s="6"/>
      <c r="D303" s="6"/>
      <c r="E303" s="5"/>
      <c r="F303" s="6"/>
      <c r="G303" s="7"/>
      <c r="H303" s="5"/>
      <c r="I303" s="7"/>
      <c r="J303" s="5"/>
    </row>
    <row r="304" spans="1:10" ht="15.6" customHeight="1">
      <c r="A304" s="4" t="str">
        <f t="shared" si="4"/>
        <v/>
      </c>
      <c r="B304" s="5"/>
      <c r="C304" s="6"/>
      <c r="D304" s="6"/>
      <c r="E304" s="5"/>
      <c r="F304" s="6"/>
      <c r="G304" s="7"/>
      <c r="H304" s="5"/>
      <c r="I304" s="7"/>
      <c r="J304" s="5"/>
    </row>
    <row r="305" spans="1:10" ht="15.6" customHeight="1">
      <c r="A305" s="4" t="str">
        <f t="shared" si="4"/>
        <v/>
      </c>
      <c r="B305" s="5"/>
      <c r="C305" s="6"/>
      <c r="D305" s="6"/>
      <c r="E305" s="5"/>
      <c r="F305" s="6"/>
      <c r="G305" s="7"/>
      <c r="H305" s="5"/>
      <c r="I305" s="7"/>
      <c r="J305" s="5"/>
    </row>
    <row r="306" spans="1:10" ht="15.6" customHeight="1">
      <c r="A306" s="4" t="str">
        <f t="shared" si="4"/>
        <v/>
      </c>
      <c r="B306" s="5"/>
      <c r="C306" s="6"/>
      <c r="D306" s="6"/>
      <c r="E306" s="5"/>
      <c r="F306" s="6"/>
      <c r="G306" s="7"/>
      <c r="H306" s="5"/>
      <c r="I306" s="7"/>
      <c r="J306" s="5"/>
    </row>
    <row r="307" spans="1:10" ht="15.6" customHeight="1">
      <c r="A307" s="4" t="str">
        <f t="shared" si="4"/>
        <v/>
      </c>
      <c r="B307" s="5"/>
      <c r="C307" s="6"/>
      <c r="D307" s="6"/>
      <c r="E307" s="5"/>
      <c r="F307" s="6"/>
      <c r="G307" s="7"/>
      <c r="H307" s="5"/>
      <c r="I307" s="7"/>
      <c r="J307" s="5"/>
    </row>
    <row r="308" spans="1:10" ht="15.6" customHeight="1">
      <c r="A308" s="4" t="str">
        <f t="shared" si="4"/>
        <v/>
      </c>
      <c r="B308" s="5"/>
      <c r="C308" s="6"/>
      <c r="D308" s="6"/>
      <c r="E308" s="5"/>
      <c r="F308" s="6"/>
      <c r="G308" s="7"/>
      <c r="H308" s="5"/>
      <c r="I308" s="7"/>
      <c r="J308" s="5"/>
    </row>
    <row r="309" spans="1:10" ht="15.6" customHeight="1">
      <c r="A309" s="4" t="str">
        <f t="shared" si="4"/>
        <v/>
      </c>
      <c r="B309" s="5"/>
      <c r="C309" s="6"/>
      <c r="D309" s="6"/>
      <c r="E309" s="5"/>
      <c r="F309" s="6"/>
      <c r="G309" s="7"/>
      <c r="H309" s="5"/>
      <c r="I309" s="7"/>
      <c r="J309" s="5"/>
    </row>
    <row r="310" spans="1:10" ht="15.6" customHeight="1">
      <c r="A310" s="4" t="str">
        <f t="shared" si="4"/>
        <v/>
      </c>
      <c r="B310" s="5"/>
      <c r="C310" s="6"/>
      <c r="D310" s="6"/>
      <c r="E310" s="5"/>
      <c r="F310" s="6"/>
      <c r="G310" s="7"/>
      <c r="H310" s="5"/>
      <c r="I310" s="7"/>
      <c r="J310" s="5"/>
    </row>
    <row r="311" spans="1:10" ht="15.6" customHeight="1">
      <c r="A311" s="4" t="str">
        <f t="shared" si="4"/>
        <v/>
      </c>
      <c r="B311" s="5"/>
      <c r="C311" s="6"/>
      <c r="D311" s="6"/>
      <c r="E311" s="5"/>
      <c r="F311" s="6"/>
      <c r="G311" s="7"/>
      <c r="H311" s="5"/>
      <c r="I311" s="7"/>
      <c r="J311" s="5"/>
    </row>
    <row r="312" spans="1:10" ht="15.6" customHeight="1">
      <c r="A312" s="4" t="str">
        <f t="shared" si="4"/>
        <v/>
      </c>
      <c r="B312" s="5"/>
      <c r="C312" s="6"/>
      <c r="D312" s="6"/>
      <c r="E312" s="5"/>
      <c r="F312" s="6"/>
      <c r="G312" s="7"/>
      <c r="H312" s="5"/>
      <c r="I312" s="7"/>
      <c r="J312" s="5"/>
    </row>
    <row r="313" spans="1:10" ht="15.6" customHeight="1">
      <c r="A313" s="4" t="str">
        <f t="shared" si="4"/>
        <v/>
      </c>
      <c r="B313" s="5"/>
      <c r="C313" s="6"/>
      <c r="D313" s="6"/>
      <c r="E313" s="5"/>
      <c r="F313" s="6"/>
      <c r="G313" s="7"/>
      <c r="H313" s="5"/>
      <c r="I313" s="7"/>
      <c r="J313" s="5"/>
    </row>
    <row r="314" spans="1:10" ht="15.6" customHeight="1">
      <c r="A314" s="4" t="str">
        <f t="shared" si="4"/>
        <v/>
      </c>
      <c r="B314" s="5"/>
      <c r="C314" s="6"/>
      <c r="D314" s="6"/>
      <c r="E314" s="5"/>
      <c r="F314" s="6"/>
      <c r="G314" s="7"/>
      <c r="H314" s="5"/>
      <c r="I314" s="7"/>
      <c r="J314" s="5"/>
    </row>
    <row r="315" spans="1:10" ht="15.6" customHeight="1">
      <c r="A315" s="4" t="str">
        <f t="shared" si="4"/>
        <v/>
      </c>
      <c r="B315" s="5"/>
      <c r="C315" s="6"/>
      <c r="D315" s="6"/>
      <c r="E315" s="5"/>
      <c r="F315" s="6"/>
      <c r="G315" s="7"/>
      <c r="H315" s="5"/>
      <c r="I315" s="7"/>
      <c r="J315" s="5"/>
    </row>
    <row r="316" spans="1:10" ht="15.6" customHeight="1">
      <c r="A316" s="4" t="str">
        <f t="shared" si="4"/>
        <v/>
      </c>
      <c r="B316" s="5"/>
      <c r="C316" s="6"/>
      <c r="D316" s="6"/>
      <c r="E316" s="5"/>
      <c r="F316" s="6"/>
      <c r="G316" s="7"/>
      <c r="H316" s="5"/>
      <c r="I316" s="7"/>
      <c r="J316" s="5"/>
    </row>
    <row r="317" spans="1:10" ht="15.6" customHeight="1">
      <c r="A317" s="4" t="str">
        <f t="shared" si="4"/>
        <v/>
      </c>
      <c r="B317" s="5"/>
      <c r="C317" s="6"/>
      <c r="D317" s="6"/>
      <c r="E317" s="5"/>
      <c r="F317" s="6"/>
      <c r="G317" s="7"/>
      <c r="H317" s="5"/>
      <c r="I317" s="7"/>
      <c r="J317" s="5"/>
    </row>
    <row r="318" spans="1:10" ht="15.6" customHeight="1">
      <c r="A318" s="4" t="str">
        <f t="shared" si="4"/>
        <v/>
      </c>
      <c r="B318" s="5"/>
      <c r="C318" s="6"/>
      <c r="D318" s="6"/>
      <c r="E318" s="5"/>
      <c r="F318" s="6"/>
      <c r="G318" s="7"/>
      <c r="H318" s="5"/>
      <c r="I318" s="7"/>
      <c r="J318" s="5"/>
    </row>
    <row r="319" spans="1:10" ht="15.6" customHeight="1">
      <c r="A319" s="4" t="str">
        <f t="shared" si="4"/>
        <v/>
      </c>
      <c r="B319" s="5"/>
      <c r="C319" s="6"/>
      <c r="D319" s="6"/>
      <c r="E319" s="5"/>
      <c r="F319" s="6"/>
      <c r="G319" s="7"/>
      <c r="H319" s="5"/>
      <c r="I319" s="7"/>
      <c r="J319" s="5"/>
    </row>
    <row r="320" spans="1:10" ht="15.6" customHeight="1">
      <c r="A320" s="4" t="str">
        <f t="shared" si="4"/>
        <v/>
      </c>
      <c r="B320" s="5"/>
      <c r="C320" s="6"/>
      <c r="D320" s="6"/>
      <c r="E320" s="5"/>
      <c r="F320" s="6"/>
      <c r="G320" s="7"/>
      <c r="H320" s="5"/>
      <c r="I320" s="7"/>
      <c r="J320" s="5"/>
    </row>
    <row r="321" spans="1:10" ht="15.6" customHeight="1">
      <c r="A321" s="4" t="str">
        <f t="shared" si="4"/>
        <v/>
      </c>
      <c r="B321" s="5"/>
      <c r="C321" s="6"/>
      <c r="D321" s="6"/>
      <c r="E321" s="5"/>
      <c r="F321" s="6"/>
      <c r="G321" s="7"/>
      <c r="H321" s="5"/>
      <c r="I321" s="7"/>
      <c r="J321" s="5"/>
    </row>
    <row r="322" spans="1:10" ht="15.6" customHeight="1">
      <c r="A322" s="4" t="str">
        <f t="shared" si="4"/>
        <v/>
      </c>
      <c r="B322" s="5"/>
      <c r="C322" s="6"/>
      <c r="D322" s="6"/>
      <c r="E322" s="5"/>
      <c r="F322" s="6"/>
      <c r="G322" s="7"/>
      <c r="H322" s="5"/>
      <c r="I322" s="7"/>
      <c r="J322" s="5"/>
    </row>
    <row r="323" spans="1:10" ht="15.6" customHeight="1">
      <c r="A323" s="4" t="str">
        <f t="shared" si="4"/>
        <v/>
      </c>
      <c r="B323" s="5"/>
      <c r="C323" s="6"/>
      <c r="D323" s="6"/>
      <c r="E323" s="5"/>
      <c r="F323" s="6"/>
      <c r="G323" s="7"/>
      <c r="H323" s="5"/>
      <c r="I323" s="7"/>
      <c r="J323" s="5"/>
    </row>
    <row r="324" spans="1:10" ht="15.6" customHeight="1">
      <c r="A324" s="4" t="str">
        <f t="shared" ref="A324:A387" si="5">IF(B324&lt;&gt;"",ROW()-3,"")</f>
        <v/>
      </c>
      <c r="B324" s="5"/>
      <c r="C324" s="6"/>
      <c r="D324" s="6"/>
      <c r="E324" s="5"/>
      <c r="F324" s="6"/>
      <c r="G324" s="7"/>
      <c r="H324" s="5"/>
      <c r="I324" s="7"/>
      <c r="J324" s="5"/>
    </row>
    <row r="325" spans="1:10" ht="15.6" customHeight="1">
      <c r="A325" s="4" t="str">
        <f t="shared" si="5"/>
        <v/>
      </c>
      <c r="B325" s="5"/>
      <c r="C325" s="6"/>
      <c r="D325" s="6"/>
      <c r="E325" s="5"/>
      <c r="F325" s="6"/>
      <c r="G325" s="7"/>
      <c r="H325" s="5"/>
      <c r="I325" s="7"/>
      <c r="J325" s="5"/>
    </row>
    <row r="326" spans="1:10" ht="15.6" customHeight="1">
      <c r="A326" s="4" t="str">
        <f t="shared" si="5"/>
        <v/>
      </c>
      <c r="B326" s="5"/>
      <c r="C326" s="6"/>
      <c r="D326" s="6"/>
      <c r="E326" s="5"/>
      <c r="F326" s="6"/>
      <c r="G326" s="7"/>
      <c r="H326" s="5"/>
      <c r="I326" s="7"/>
      <c r="J326" s="5"/>
    </row>
    <row r="327" spans="1:10" ht="15.6" customHeight="1">
      <c r="A327" s="4" t="str">
        <f t="shared" si="5"/>
        <v/>
      </c>
      <c r="B327" s="5"/>
      <c r="C327" s="6"/>
      <c r="D327" s="6"/>
      <c r="E327" s="5"/>
      <c r="F327" s="6"/>
      <c r="G327" s="7"/>
      <c r="H327" s="5"/>
      <c r="I327" s="7"/>
      <c r="J327" s="5"/>
    </row>
    <row r="328" spans="1:10" ht="15.6" customHeight="1">
      <c r="A328" s="4" t="str">
        <f t="shared" si="5"/>
        <v/>
      </c>
      <c r="B328" s="5"/>
      <c r="C328" s="6"/>
      <c r="D328" s="6"/>
      <c r="E328" s="5"/>
      <c r="F328" s="6"/>
      <c r="G328" s="7"/>
      <c r="H328" s="5"/>
      <c r="I328" s="7"/>
      <c r="J328" s="5"/>
    </row>
    <row r="329" spans="1:10" ht="15.6" customHeight="1">
      <c r="A329" s="4" t="str">
        <f t="shared" si="5"/>
        <v/>
      </c>
      <c r="B329" s="5"/>
      <c r="C329" s="6"/>
      <c r="D329" s="6"/>
      <c r="E329" s="5"/>
      <c r="F329" s="6"/>
      <c r="G329" s="7"/>
      <c r="H329" s="5"/>
      <c r="I329" s="7"/>
      <c r="J329" s="5"/>
    </row>
    <row r="330" spans="1:10" ht="15.6" customHeight="1">
      <c r="A330" s="4" t="str">
        <f t="shared" si="5"/>
        <v/>
      </c>
      <c r="B330" s="5"/>
      <c r="C330" s="6"/>
      <c r="D330" s="6"/>
      <c r="E330" s="5"/>
      <c r="F330" s="6"/>
      <c r="G330" s="7"/>
      <c r="H330" s="5"/>
      <c r="I330" s="7"/>
      <c r="J330" s="5"/>
    </row>
    <row r="331" spans="1:10" ht="15.6" customHeight="1">
      <c r="A331" s="4" t="str">
        <f t="shared" si="5"/>
        <v/>
      </c>
      <c r="B331" s="5"/>
      <c r="C331" s="6"/>
      <c r="D331" s="6"/>
      <c r="E331" s="5"/>
      <c r="F331" s="6"/>
      <c r="G331" s="7"/>
      <c r="H331" s="5"/>
      <c r="I331" s="7"/>
      <c r="J331" s="5"/>
    </row>
    <row r="332" spans="1:10" ht="15.6" customHeight="1">
      <c r="A332" s="4" t="str">
        <f t="shared" si="5"/>
        <v/>
      </c>
      <c r="B332" s="5"/>
      <c r="C332" s="6"/>
      <c r="D332" s="6"/>
      <c r="E332" s="5"/>
      <c r="F332" s="6"/>
      <c r="G332" s="7"/>
      <c r="H332" s="5"/>
      <c r="I332" s="7"/>
      <c r="J332" s="5"/>
    </row>
    <row r="333" spans="1:10" ht="15.6" customHeight="1">
      <c r="A333" s="4" t="str">
        <f t="shared" si="5"/>
        <v/>
      </c>
      <c r="B333" s="5"/>
      <c r="C333" s="6"/>
      <c r="D333" s="6"/>
      <c r="E333" s="5"/>
      <c r="F333" s="6"/>
      <c r="G333" s="7"/>
      <c r="H333" s="5"/>
      <c r="I333" s="7"/>
      <c r="J333" s="5"/>
    </row>
    <row r="334" spans="1:10" ht="15.6" customHeight="1">
      <c r="A334" s="4" t="str">
        <f t="shared" si="5"/>
        <v/>
      </c>
      <c r="B334" s="5"/>
      <c r="C334" s="6"/>
      <c r="D334" s="6"/>
      <c r="E334" s="5"/>
      <c r="F334" s="6"/>
      <c r="G334" s="7"/>
      <c r="H334" s="5"/>
      <c r="I334" s="7"/>
      <c r="J334" s="5"/>
    </row>
    <row r="335" spans="1:10" ht="15.6" customHeight="1">
      <c r="A335" s="4" t="str">
        <f t="shared" si="5"/>
        <v/>
      </c>
      <c r="B335" s="5"/>
      <c r="C335" s="6"/>
      <c r="D335" s="6"/>
      <c r="E335" s="5"/>
      <c r="F335" s="6"/>
      <c r="G335" s="7"/>
      <c r="H335" s="5"/>
      <c r="I335" s="7"/>
      <c r="J335" s="5"/>
    </row>
    <row r="336" spans="1:10" ht="15.6" customHeight="1">
      <c r="A336" s="4" t="str">
        <f t="shared" si="5"/>
        <v/>
      </c>
      <c r="B336" s="5"/>
      <c r="C336" s="6"/>
      <c r="D336" s="6"/>
      <c r="E336" s="5"/>
      <c r="F336" s="6"/>
      <c r="G336" s="7"/>
      <c r="H336" s="5"/>
      <c r="I336" s="7"/>
      <c r="J336" s="5"/>
    </row>
    <row r="337" spans="1:10" ht="15.6" customHeight="1">
      <c r="A337" s="4" t="str">
        <f t="shared" si="5"/>
        <v/>
      </c>
      <c r="B337" s="5"/>
      <c r="C337" s="6"/>
      <c r="D337" s="6"/>
      <c r="E337" s="5"/>
      <c r="F337" s="6"/>
      <c r="G337" s="7"/>
      <c r="H337" s="5"/>
      <c r="I337" s="7"/>
      <c r="J337" s="5"/>
    </row>
    <row r="338" spans="1:10" ht="15.6" customHeight="1">
      <c r="A338" s="4" t="str">
        <f t="shared" si="5"/>
        <v/>
      </c>
      <c r="B338" s="5"/>
      <c r="C338" s="6"/>
      <c r="D338" s="6"/>
      <c r="E338" s="5"/>
      <c r="F338" s="6"/>
      <c r="G338" s="7"/>
      <c r="H338" s="5"/>
      <c r="I338" s="7"/>
      <c r="J338" s="5"/>
    </row>
    <row r="339" spans="1:10" ht="15.6" customHeight="1">
      <c r="A339" s="4" t="str">
        <f t="shared" si="5"/>
        <v/>
      </c>
      <c r="B339" s="5"/>
      <c r="C339" s="6"/>
      <c r="D339" s="6"/>
      <c r="E339" s="5"/>
      <c r="F339" s="6"/>
      <c r="G339" s="7"/>
      <c r="H339" s="5"/>
      <c r="I339" s="7"/>
      <c r="J339" s="5"/>
    </row>
    <row r="340" spans="1:10" ht="15.6" customHeight="1">
      <c r="A340" s="4" t="str">
        <f t="shared" si="5"/>
        <v/>
      </c>
      <c r="B340" s="5"/>
      <c r="C340" s="6"/>
      <c r="D340" s="6"/>
      <c r="E340" s="5"/>
      <c r="F340" s="6"/>
      <c r="G340" s="7"/>
      <c r="H340" s="5"/>
      <c r="I340" s="7"/>
      <c r="J340" s="5"/>
    </row>
    <row r="341" spans="1:10" ht="15.6" customHeight="1">
      <c r="A341" s="4" t="str">
        <f t="shared" si="5"/>
        <v/>
      </c>
      <c r="B341" s="5"/>
      <c r="C341" s="6"/>
      <c r="D341" s="6"/>
      <c r="E341" s="5"/>
      <c r="F341" s="6"/>
      <c r="G341" s="7"/>
      <c r="H341" s="5"/>
      <c r="I341" s="7"/>
      <c r="J341" s="5"/>
    </row>
    <row r="342" spans="1:10" ht="15.6" customHeight="1">
      <c r="A342" s="4" t="str">
        <f t="shared" si="5"/>
        <v/>
      </c>
      <c r="B342" s="5"/>
      <c r="C342" s="6"/>
      <c r="D342" s="6"/>
      <c r="E342" s="5"/>
      <c r="F342" s="6"/>
      <c r="G342" s="7"/>
      <c r="H342" s="5"/>
      <c r="I342" s="7"/>
      <c r="J342" s="5"/>
    </row>
    <row r="343" spans="1:10" ht="15.6" customHeight="1">
      <c r="A343" s="4" t="str">
        <f t="shared" si="5"/>
        <v/>
      </c>
      <c r="B343" s="5"/>
      <c r="C343" s="6"/>
      <c r="D343" s="6"/>
      <c r="E343" s="5"/>
      <c r="F343" s="6"/>
      <c r="G343" s="7"/>
      <c r="H343" s="5"/>
      <c r="I343" s="7"/>
      <c r="J343" s="5"/>
    </row>
    <row r="344" spans="1:10" ht="15.6" customHeight="1">
      <c r="A344" s="4" t="str">
        <f t="shared" si="5"/>
        <v/>
      </c>
      <c r="B344" s="5"/>
      <c r="C344" s="6"/>
      <c r="D344" s="6"/>
      <c r="E344" s="5"/>
      <c r="F344" s="6"/>
      <c r="G344" s="7"/>
      <c r="H344" s="5"/>
      <c r="I344" s="7"/>
      <c r="J344" s="5"/>
    </row>
    <row r="345" spans="1:10" ht="15.6" customHeight="1">
      <c r="A345" s="4" t="str">
        <f t="shared" si="5"/>
        <v/>
      </c>
      <c r="B345" s="5"/>
      <c r="C345" s="6"/>
      <c r="D345" s="6"/>
      <c r="E345" s="5"/>
      <c r="F345" s="6"/>
      <c r="G345" s="7"/>
      <c r="H345" s="5"/>
      <c r="I345" s="7"/>
      <c r="J345" s="5"/>
    </row>
    <row r="346" spans="1:10" ht="15.6" customHeight="1">
      <c r="A346" s="4" t="str">
        <f t="shared" si="5"/>
        <v/>
      </c>
      <c r="B346" s="5"/>
      <c r="C346" s="6"/>
      <c r="D346" s="6"/>
      <c r="E346" s="5"/>
      <c r="F346" s="6"/>
      <c r="G346" s="7"/>
      <c r="H346" s="5"/>
      <c r="I346" s="7"/>
      <c r="J346" s="5"/>
    </row>
    <row r="347" spans="1:10" ht="15.6" customHeight="1">
      <c r="A347" s="4" t="str">
        <f t="shared" si="5"/>
        <v/>
      </c>
      <c r="B347" s="5"/>
      <c r="C347" s="6"/>
      <c r="D347" s="6"/>
      <c r="E347" s="5"/>
      <c r="F347" s="6"/>
      <c r="G347" s="7"/>
      <c r="H347" s="5"/>
      <c r="I347" s="7"/>
      <c r="J347" s="5"/>
    </row>
    <row r="348" spans="1:10" ht="15.6" customHeight="1">
      <c r="A348" s="4" t="str">
        <f t="shared" si="5"/>
        <v/>
      </c>
      <c r="B348" s="5"/>
      <c r="C348" s="6"/>
      <c r="D348" s="6"/>
      <c r="E348" s="5"/>
      <c r="F348" s="6"/>
      <c r="G348" s="7"/>
      <c r="H348" s="5"/>
      <c r="I348" s="7"/>
      <c r="J348" s="5"/>
    </row>
    <row r="349" spans="1:10" ht="15.6" customHeight="1">
      <c r="A349" s="4" t="str">
        <f t="shared" si="5"/>
        <v/>
      </c>
      <c r="B349" s="5"/>
      <c r="C349" s="6"/>
      <c r="D349" s="6"/>
      <c r="E349" s="5"/>
      <c r="F349" s="6"/>
      <c r="G349" s="7"/>
      <c r="H349" s="5"/>
      <c r="I349" s="7"/>
      <c r="J349" s="5"/>
    </row>
    <row r="350" spans="1:10" ht="15.6" customHeight="1">
      <c r="A350" s="4" t="str">
        <f t="shared" si="5"/>
        <v/>
      </c>
      <c r="B350" s="5"/>
      <c r="C350" s="6"/>
      <c r="D350" s="6"/>
      <c r="E350" s="5"/>
      <c r="F350" s="6"/>
      <c r="G350" s="7"/>
      <c r="H350" s="5"/>
      <c r="I350" s="7"/>
      <c r="J350" s="5"/>
    </row>
    <row r="351" spans="1:10" ht="15.6" customHeight="1">
      <c r="A351" s="4" t="str">
        <f t="shared" si="5"/>
        <v/>
      </c>
      <c r="B351" s="5"/>
      <c r="C351" s="6"/>
      <c r="D351" s="6"/>
      <c r="E351" s="5"/>
      <c r="F351" s="6"/>
      <c r="G351" s="7"/>
      <c r="H351" s="5"/>
      <c r="I351" s="7"/>
      <c r="J351" s="5"/>
    </row>
    <row r="352" spans="1:10" ht="15.6" customHeight="1">
      <c r="A352" s="4" t="str">
        <f t="shared" si="5"/>
        <v/>
      </c>
      <c r="B352" s="5"/>
      <c r="C352" s="6"/>
      <c r="D352" s="6"/>
      <c r="E352" s="5"/>
      <c r="F352" s="6"/>
      <c r="G352" s="7"/>
      <c r="H352" s="5"/>
      <c r="I352" s="7"/>
      <c r="J352" s="5"/>
    </row>
    <row r="353" spans="1:10" ht="15.6" customHeight="1">
      <c r="A353" s="4" t="str">
        <f t="shared" si="5"/>
        <v/>
      </c>
      <c r="B353" s="5"/>
      <c r="C353" s="6"/>
      <c r="D353" s="6"/>
      <c r="E353" s="5"/>
      <c r="F353" s="6"/>
      <c r="G353" s="7"/>
      <c r="H353" s="5"/>
      <c r="I353" s="7"/>
      <c r="J353" s="5"/>
    </row>
    <row r="354" spans="1:10" ht="15.6" customHeight="1">
      <c r="A354" s="4" t="str">
        <f t="shared" si="5"/>
        <v/>
      </c>
      <c r="B354" s="5"/>
      <c r="C354" s="6"/>
      <c r="D354" s="6"/>
      <c r="E354" s="5"/>
      <c r="F354" s="6"/>
      <c r="G354" s="7"/>
      <c r="H354" s="5"/>
      <c r="I354" s="7"/>
      <c r="J354" s="5"/>
    </row>
    <row r="355" spans="1:10" ht="15.6" customHeight="1">
      <c r="A355" s="4" t="str">
        <f t="shared" si="5"/>
        <v/>
      </c>
      <c r="B355" s="5"/>
      <c r="C355" s="6"/>
      <c r="D355" s="6"/>
      <c r="E355" s="5"/>
      <c r="F355" s="6"/>
      <c r="G355" s="7"/>
      <c r="H355" s="5"/>
      <c r="I355" s="7"/>
      <c r="J355" s="5"/>
    </row>
    <row r="356" spans="1:10" ht="15.6" customHeight="1">
      <c r="A356" s="4" t="str">
        <f t="shared" si="5"/>
        <v/>
      </c>
      <c r="B356" s="5"/>
      <c r="C356" s="6"/>
      <c r="D356" s="6"/>
      <c r="E356" s="5"/>
      <c r="F356" s="6"/>
      <c r="G356" s="7"/>
      <c r="H356" s="5"/>
      <c r="I356" s="7"/>
      <c r="J356" s="5"/>
    </row>
    <row r="357" spans="1:10" ht="15.6" customHeight="1">
      <c r="A357" s="4" t="str">
        <f t="shared" si="5"/>
        <v/>
      </c>
      <c r="B357" s="5"/>
      <c r="C357" s="6"/>
      <c r="D357" s="6"/>
      <c r="E357" s="5"/>
      <c r="F357" s="6"/>
      <c r="G357" s="7"/>
      <c r="H357" s="5"/>
      <c r="I357" s="7"/>
      <c r="J357" s="5"/>
    </row>
    <row r="358" spans="1:10" ht="15.6" customHeight="1">
      <c r="A358" s="4" t="str">
        <f t="shared" si="5"/>
        <v/>
      </c>
      <c r="B358" s="5"/>
      <c r="C358" s="6"/>
      <c r="D358" s="6"/>
      <c r="E358" s="5"/>
      <c r="F358" s="6"/>
      <c r="G358" s="7"/>
      <c r="H358" s="5"/>
      <c r="I358" s="7"/>
      <c r="J358" s="5"/>
    </row>
    <row r="359" spans="1:10" ht="15.6" customHeight="1">
      <c r="A359" s="4" t="str">
        <f t="shared" si="5"/>
        <v/>
      </c>
      <c r="B359" s="5"/>
      <c r="C359" s="6"/>
      <c r="D359" s="6"/>
      <c r="E359" s="5"/>
      <c r="F359" s="6"/>
      <c r="G359" s="7"/>
      <c r="H359" s="5"/>
      <c r="I359" s="7"/>
      <c r="J359" s="5"/>
    </row>
    <row r="360" spans="1:10" ht="15.6" customHeight="1">
      <c r="A360" s="4" t="str">
        <f t="shared" si="5"/>
        <v/>
      </c>
      <c r="B360" s="5"/>
      <c r="C360" s="6"/>
      <c r="D360" s="6"/>
      <c r="E360" s="5"/>
      <c r="F360" s="6"/>
      <c r="G360" s="7"/>
      <c r="H360" s="5"/>
      <c r="I360" s="7"/>
      <c r="J360" s="5"/>
    </row>
    <row r="361" spans="1:10" ht="15.6" customHeight="1">
      <c r="A361" s="4" t="str">
        <f t="shared" si="5"/>
        <v/>
      </c>
      <c r="B361" s="5"/>
      <c r="C361" s="6"/>
      <c r="D361" s="6"/>
      <c r="E361" s="5"/>
      <c r="F361" s="6"/>
      <c r="G361" s="7"/>
      <c r="H361" s="5"/>
      <c r="I361" s="7"/>
      <c r="J361" s="5"/>
    </row>
    <row r="362" spans="1:10" ht="15.6" customHeight="1">
      <c r="A362" s="4" t="str">
        <f t="shared" si="5"/>
        <v/>
      </c>
      <c r="B362" s="5"/>
      <c r="C362" s="6"/>
      <c r="D362" s="6"/>
      <c r="E362" s="5"/>
      <c r="F362" s="6"/>
      <c r="G362" s="7"/>
      <c r="H362" s="5"/>
      <c r="I362" s="7"/>
      <c r="J362" s="5"/>
    </row>
    <row r="363" spans="1:10" ht="15.6" customHeight="1">
      <c r="A363" s="4" t="str">
        <f t="shared" si="5"/>
        <v/>
      </c>
      <c r="B363" s="5"/>
      <c r="C363" s="6"/>
      <c r="D363" s="6"/>
      <c r="E363" s="5"/>
      <c r="F363" s="6"/>
      <c r="G363" s="7"/>
      <c r="H363" s="5"/>
      <c r="I363" s="7"/>
      <c r="J363" s="5"/>
    </row>
    <row r="364" spans="1:10" ht="15.6" customHeight="1">
      <c r="A364" s="4" t="str">
        <f t="shared" si="5"/>
        <v/>
      </c>
      <c r="B364" s="5"/>
      <c r="C364" s="6"/>
      <c r="D364" s="6"/>
      <c r="E364" s="5"/>
      <c r="F364" s="6"/>
      <c r="G364" s="7"/>
      <c r="H364" s="5"/>
      <c r="I364" s="7"/>
      <c r="J364" s="5"/>
    </row>
    <row r="365" spans="1:10" ht="15.6" customHeight="1">
      <c r="A365" s="4" t="str">
        <f t="shared" si="5"/>
        <v/>
      </c>
      <c r="B365" s="5"/>
      <c r="C365" s="6"/>
      <c r="D365" s="6"/>
      <c r="E365" s="5"/>
      <c r="F365" s="6"/>
      <c r="G365" s="7"/>
      <c r="H365" s="5"/>
      <c r="I365" s="7"/>
      <c r="J365" s="5"/>
    </row>
    <row r="366" spans="1:10" ht="15.6" customHeight="1">
      <c r="A366" s="4" t="str">
        <f t="shared" si="5"/>
        <v/>
      </c>
      <c r="B366" s="5"/>
      <c r="C366" s="6"/>
      <c r="D366" s="6"/>
      <c r="E366" s="5"/>
      <c r="F366" s="6"/>
      <c r="G366" s="7"/>
      <c r="H366" s="5"/>
      <c r="I366" s="7"/>
      <c r="J366" s="5"/>
    </row>
    <row r="367" spans="1:10" ht="15.6" customHeight="1">
      <c r="A367" s="4" t="str">
        <f t="shared" si="5"/>
        <v/>
      </c>
      <c r="B367" s="5"/>
      <c r="C367" s="6"/>
      <c r="D367" s="6"/>
      <c r="E367" s="5"/>
      <c r="F367" s="6"/>
      <c r="G367" s="7"/>
      <c r="H367" s="5"/>
      <c r="I367" s="7"/>
      <c r="J367" s="5"/>
    </row>
    <row r="368" spans="1:10" ht="15.6" customHeight="1">
      <c r="A368" s="4" t="str">
        <f t="shared" si="5"/>
        <v/>
      </c>
      <c r="B368" s="5"/>
      <c r="C368" s="6"/>
      <c r="D368" s="6"/>
      <c r="E368" s="5"/>
      <c r="F368" s="6"/>
      <c r="G368" s="7"/>
      <c r="H368" s="5"/>
      <c r="I368" s="7"/>
      <c r="J368" s="5"/>
    </row>
    <row r="369" spans="1:10" ht="15.6" customHeight="1">
      <c r="A369" s="4" t="str">
        <f t="shared" si="5"/>
        <v/>
      </c>
      <c r="B369" s="5"/>
      <c r="C369" s="6"/>
      <c r="D369" s="6"/>
      <c r="E369" s="5"/>
      <c r="F369" s="6"/>
      <c r="G369" s="7"/>
      <c r="H369" s="5"/>
      <c r="I369" s="7"/>
      <c r="J369" s="5"/>
    </row>
    <row r="370" spans="1:10" ht="15.6" customHeight="1">
      <c r="A370" s="4" t="str">
        <f t="shared" si="5"/>
        <v/>
      </c>
      <c r="B370" s="5"/>
      <c r="C370" s="6"/>
      <c r="D370" s="6"/>
      <c r="E370" s="5"/>
      <c r="F370" s="6"/>
      <c r="G370" s="7"/>
      <c r="H370" s="5"/>
      <c r="I370" s="7"/>
      <c r="J370" s="5"/>
    </row>
    <row r="371" spans="1:10" ht="15.6" customHeight="1">
      <c r="A371" s="4" t="str">
        <f t="shared" si="5"/>
        <v/>
      </c>
      <c r="B371" s="5"/>
      <c r="C371" s="6"/>
      <c r="D371" s="6"/>
      <c r="E371" s="5"/>
      <c r="F371" s="6"/>
      <c r="G371" s="7"/>
      <c r="H371" s="5"/>
      <c r="I371" s="7"/>
      <c r="J371" s="5"/>
    </row>
    <row r="372" spans="1:10" ht="15.6" customHeight="1">
      <c r="A372" s="4" t="str">
        <f t="shared" si="5"/>
        <v/>
      </c>
      <c r="B372" s="5"/>
      <c r="C372" s="6"/>
      <c r="D372" s="6"/>
      <c r="E372" s="5"/>
      <c r="F372" s="6"/>
      <c r="G372" s="7"/>
      <c r="H372" s="5"/>
      <c r="I372" s="7"/>
      <c r="J372" s="5"/>
    </row>
    <row r="373" spans="1:10" ht="15.6" customHeight="1">
      <c r="A373" s="4" t="str">
        <f t="shared" si="5"/>
        <v/>
      </c>
      <c r="B373" s="5"/>
      <c r="C373" s="6"/>
      <c r="D373" s="6"/>
      <c r="E373" s="5"/>
      <c r="F373" s="6"/>
      <c r="G373" s="7"/>
      <c r="H373" s="5"/>
      <c r="I373" s="7"/>
      <c r="J373" s="5"/>
    </row>
    <row r="374" spans="1:10" ht="15.6" customHeight="1">
      <c r="A374" s="4" t="str">
        <f t="shared" si="5"/>
        <v/>
      </c>
      <c r="B374" s="5"/>
      <c r="C374" s="6"/>
      <c r="D374" s="6"/>
      <c r="E374" s="5"/>
      <c r="F374" s="6"/>
      <c r="G374" s="7"/>
      <c r="H374" s="5"/>
      <c r="I374" s="7"/>
      <c r="J374" s="5"/>
    </row>
    <row r="375" spans="1:10" ht="15.6" customHeight="1">
      <c r="A375" s="4" t="str">
        <f t="shared" si="5"/>
        <v/>
      </c>
      <c r="B375" s="5"/>
      <c r="C375" s="6"/>
      <c r="D375" s="6"/>
      <c r="E375" s="5"/>
      <c r="F375" s="6"/>
      <c r="G375" s="7"/>
      <c r="H375" s="5"/>
      <c r="I375" s="7"/>
      <c r="J375" s="5"/>
    </row>
    <row r="376" spans="1:10" ht="15.6" customHeight="1">
      <c r="A376" s="4" t="str">
        <f t="shared" si="5"/>
        <v/>
      </c>
      <c r="B376" s="5"/>
      <c r="C376" s="6"/>
      <c r="D376" s="6"/>
      <c r="E376" s="5"/>
      <c r="F376" s="6"/>
      <c r="G376" s="7"/>
      <c r="H376" s="5"/>
      <c r="I376" s="7"/>
      <c r="J376" s="5"/>
    </row>
    <row r="377" spans="1:10" ht="15.6" customHeight="1">
      <c r="A377" s="4" t="str">
        <f t="shared" si="5"/>
        <v/>
      </c>
      <c r="B377" s="5"/>
      <c r="C377" s="6"/>
      <c r="D377" s="6"/>
      <c r="E377" s="5"/>
      <c r="F377" s="6"/>
      <c r="G377" s="7"/>
      <c r="H377" s="5"/>
      <c r="I377" s="7"/>
      <c r="J377" s="5"/>
    </row>
    <row r="378" spans="1:10" ht="15.6" customHeight="1">
      <c r="A378" s="4" t="str">
        <f t="shared" si="5"/>
        <v/>
      </c>
      <c r="B378" s="5"/>
      <c r="C378" s="6"/>
      <c r="D378" s="6"/>
      <c r="E378" s="5"/>
      <c r="F378" s="6"/>
      <c r="G378" s="7"/>
      <c r="H378" s="5"/>
      <c r="I378" s="7"/>
      <c r="J378" s="5"/>
    </row>
    <row r="379" spans="1:10" ht="15.6" customHeight="1">
      <c r="A379" s="4" t="str">
        <f t="shared" si="5"/>
        <v/>
      </c>
      <c r="B379" s="5"/>
      <c r="C379" s="6"/>
      <c r="D379" s="6"/>
      <c r="E379" s="5"/>
      <c r="F379" s="6"/>
      <c r="G379" s="7"/>
      <c r="H379" s="5"/>
      <c r="I379" s="7"/>
      <c r="J379" s="5"/>
    </row>
    <row r="380" spans="1:10" ht="15.6" customHeight="1">
      <c r="A380" s="4" t="str">
        <f t="shared" si="5"/>
        <v/>
      </c>
      <c r="B380" s="5"/>
      <c r="C380" s="6"/>
      <c r="D380" s="6"/>
      <c r="E380" s="5"/>
      <c r="F380" s="6"/>
      <c r="G380" s="7"/>
      <c r="H380" s="5"/>
      <c r="I380" s="7"/>
      <c r="J380" s="5"/>
    </row>
    <row r="381" spans="1:10" ht="15.6" customHeight="1">
      <c r="A381" s="4" t="str">
        <f t="shared" si="5"/>
        <v/>
      </c>
      <c r="B381" s="5"/>
      <c r="C381" s="6"/>
      <c r="D381" s="6"/>
      <c r="E381" s="5"/>
      <c r="F381" s="6"/>
      <c r="G381" s="7"/>
      <c r="H381" s="5"/>
      <c r="I381" s="7"/>
      <c r="J381" s="5"/>
    </row>
    <row r="382" spans="1:10" ht="15.6" customHeight="1">
      <c r="A382" s="4" t="str">
        <f t="shared" si="5"/>
        <v/>
      </c>
      <c r="B382" s="5"/>
      <c r="C382" s="6"/>
      <c r="D382" s="6"/>
      <c r="E382" s="5"/>
      <c r="F382" s="6"/>
      <c r="G382" s="7"/>
      <c r="H382" s="5"/>
      <c r="I382" s="7"/>
      <c r="J382" s="5"/>
    </row>
    <row r="383" spans="1:10" ht="15.6" customHeight="1">
      <c r="A383" s="4" t="str">
        <f t="shared" si="5"/>
        <v/>
      </c>
      <c r="B383" s="5"/>
      <c r="C383" s="6"/>
      <c r="D383" s="6"/>
      <c r="E383" s="5"/>
      <c r="F383" s="6"/>
      <c r="G383" s="7"/>
      <c r="H383" s="5"/>
      <c r="I383" s="7"/>
      <c r="J383" s="5"/>
    </row>
    <row r="384" spans="1:10" ht="15.6" customHeight="1">
      <c r="A384" s="4" t="str">
        <f t="shared" si="5"/>
        <v/>
      </c>
      <c r="B384" s="5"/>
      <c r="C384" s="6"/>
      <c r="D384" s="6"/>
      <c r="E384" s="5"/>
      <c r="F384" s="6"/>
      <c r="G384" s="7"/>
      <c r="H384" s="5"/>
      <c r="I384" s="7"/>
      <c r="J384" s="5"/>
    </row>
    <row r="385" spans="1:10" ht="15.6" customHeight="1">
      <c r="A385" s="4" t="str">
        <f t="shared" si="5"/>
        <v/>
      </c>
      <c r="B385" s="5"/>
      <c r="C385" s="6"/>
      <c r="D385" s="6"/>
      <c r="E385" s="5"/>
      <c r="F385" s="6"/>
      <c r="G385" s="7"/>
      <c r="H385" s="5"/>
      <c r="I385" s="7"/>
      <c r="J385" s="5"/>
    </row>
    <row r="386" spans="1:10" ht="15.6" customHeight="1">
      <c r="A386" s="4" t="str">
        <f t="shared" si="5"/>
        <v/>
      </c>
      <c r="B386" s="5"/>
      <c r="C386" s="6"/>
      <c r="D386" s="6"/>
      <c r="E386" s="5"/>
      <c r="F386" s="6"/>
      <c r="G386" s="7"/>
      <c r="H386" s="5"/>
      <c r="I386" s="7"/>
      <c r="J386" s="5"/>
    </row>
    <row r="387" spans="1:10" ht="15.6" customHeight="1">
      <c r="A387" s="4" t="str">
        <f t="shared" si="5"/>
        <v/>
      </c>
      <c r="B387" s="5"/>
      <c r="C387" s="6"/>
      <c r="D387" s="6"/>
      <c r="E387" s="5"/>
      <c r="F387" s="6"/>
      <c r="G387" s="7"/>
      <c r="H387" s="5"/>
      <c r="I387" s="7"/>
      <c r="J387" s="5"/>
    </row>
    <row r="388" spans="1:10" ht="15.6" customHeight="1">
      <c r="A388" s="4" t="str">
        <f t="shared" ref="A388:A451" si="6">IF(B388&lt;&gt;"",ROW()-3,"")</f>
        <v/>
      </c>
      <c r="B388" s="5"/>
      <c r="C388" s="6"/>
      <c r="D388" s="6"/>
      <c r="E388" s="5"/>
      <c r="F388" s="6"/>
      <c r="G388" s="7"/>
      <c r="H388" s="5"/>
      <c r="I388" s="7"/>
      <c r="J388" s="5"/>
    </row>
    <row r="389" spans="1:10" ht="15.6" customHeight="1">
      <c r="A389" s="4" t="str">
        <f t="shared" si="6"/>
        <v/>
      </c>
      <c r="B389" s="5"/>
      <c r="C389" s="6"/>
      <c r="D389" s="6"/>
      <c r="E389" s="5"/>
      <c r="F389" s="6"/>
      <c r="G389" s="7"/>
      <c r="H389" s="5"/>
      <c r="I389" s="7"/>
      <c r="J389" s="5"/>
    </row>
    <row r="390" spans="1:10" ht="15.6" customHeight="1">
      <c r="A390" s="4" t="str">
        <f t="shared" si="6"/>
        <v/>
      </c>
      <c r="B390" s="5"/>
      <c r="C390" s="6"/>
      <c r="D390" s="6"/>
      <c r="E390" s="5"/>
      <c r="F390" s="6"/>
      <c r="G390" s="7"/>
      <c r="H390" s="5"/>
      <c r="I390" s="7"/>
      <c r="J390" s="5"/>
    </row>
    <row r="391" spans="1:10" ht="15.6" customHeight="1">
      <c r="A391" s="4" t="str">
        <f t="shared" si="6"/>
        <v/>
      </c>
      <c r="B391" s="5"/>
      <c r="C391" s="6"/>
      <c r="D391" s="6"/>
      <c r="E391" s="5"/>
      <c r="F391" s="6"/>
      <c r="G391" s="7"/>
      <c r="H391" s="5"/>
      <c r="I391" s="7"/>
      <c r="J391" s="5"/>
    </row>
    <row r="392" spans="1:10" ht="15.6" customHeight="1">
      <c r="A392" s="4" t="str">
        <f t="shared" si="6"/>
        <v/>
      </c>
      <c r="B392" s="5"/>
      <c r="C392" s="6"/>
      <c r="D392" s="6"/>
      <c r="E392" s="5"/>
      <c r="F392" s="6"/>
      <c r="G392" s="7"/>
      <c r="H392" s="5"/>
      <c r="I392" s="7"/>
      <c r="J392" s="5"/>
    </row>
    <row r="393" spans="1:10" ht="15.6" customHeight="1">
      <c r="A393" s="4" t="str">
        <f t="shared" si="6"/>
        <v/>
      </c>
      <c r="B393" s="5"/>
      <c r="C393" s="6"/>
      <c r="D393" s="6"/>
      <c r="E393" s="5"/>
      <c r="F393" s="6"/>
      <c r="G393" s="7"/>
      <c r="H393" s="5"/>
      <c r="I393" s="7"/>
      <c r="J393" s="5"/>
    </row>
    <row r="394" spans="1:10" ht="15.6" customHeight="1">
      <c r="A394" s="4" t="str">
        <f t="shared" si="6"/>
        <v/>
      </c>
      <c r="B394" s="5"/>
      <c r="C394" s="6"/>
      <c r="D394" s="6"/>
      <c r="E394" s="5"/>
      <c r="F394" s="6"/>
      <c r="G394" s="7"/>
      <c r="H394" s="5"/>
      <c r="I394" s="7"/>
      <c r="J394" s="5"/>
    </row>
    <row r="395" spans="1:10" ht="15.6" customHeight="1">
      <c r="A395" s="4" t="str">
        <f t="shared" si="6"/>
        <v/>
      </c>
      <c r="B395" s="5"/>
      <c r="C395" s="6"/>
      <c r="D395" s="6"/>
      <c r="E395" s="5"/>
      <c r="F395" s="6"/>
      <c r="G395" s="7"/>
      <c r="H395" s="5"/>
      <c r="I395" s="7"/>
      <c r="J395" s="5"/>
    </row>
    <row r="396" spans="1:10" ht="15.6" customHeight="1">
      <c r="A396" s="4" t="str">
        <f t="shared" si="6"/>
        <v/>
      </c>
      <c r="B396" s="5"/>
      <c r="C396" s="6"/>
      <c r="D396" s="6"/>
      <c r="E396" s="5"/>
      <c r="F396" s="6"/>
      <c r="G396" s="7"/>
      <c r="H396" s="5"/>
      <c r="I396" s="7"/>
      <c r="J396" s="5"/>
    </row>
    <row r="397" spans="1:10" ht="15.6" customHeight="1">
      <c r="A397" s="4" t="str">
        <f t="shared" si="6"/>
        <v/>
      </c>
      <c r="B397" s="5"/>
      <c r="C397" s="6"/>
      <c r="D397" s="6"/>
      <c r="E397" s="5"/>
      <c r="F397" s="6"/>
      <c r="G397" s="7"/>
      <c r="H397" s="5"/>
      <c r="I397" s="7"/>
      <c r="J397" s="5"/>
    </row>
    <row r="398" spans="1:10" ht="15.6" customHeight="1">
      <c r="A398" s="4" t="str">
        <f t="shared" si="6"/>
        <v/>
      </c>
      <c r="B398" s="5"/>
      <c r="C398" s="6"/>
      <c r="D398" s="6"/>
      <c r="E398" s="5"/>
      <c r="F398" s="6"/>
      <c r="G398" s="7"/>
      <c r="H398" s="5"/>
      <c r="I398" s="7"/>
      <c r="J398" s="5"/>
    </row>
    <row r="399" spans="1:10" ht="15.6" customHeight="1">
      <c r="A399" s="4" t="str">
        <f t="shared" si="6"/>
        <v/>
      </c>
      <c r="B399" s="5"/>
      <c r="C399" s="6"/>
      <c r="D399" s="6"/>
      <c r="E399" s="5"/>
      <c r="F399" s="6"/>
      <c r="G399" s="7"/>
      <c r="H399" s="5"/>
      <c r="I399" s="7"/>
      <c r="J399" s="5"/>
    </row>
    <row r="400" spans="1:10" ht="15.6" customHeight="1">
      <c r="A400" s="4" t="str">
        <f t="shared" si="6"/>
        <v/>
      </c>
      <c r="B400" s="5"/>
      <c r="C400" s="6"/>
      <c r="D400" s="6"/>
      <c r="E400" s="5"/>
      <c r="F400" s="6"/>
      <c r="G400" s="7"/>
      <c r="H400" s="5"/>
      <c r="I400" s="7"/>
      <c r="J400" s="5"/>
    </row>
    <row r="401" spans="1:10" ht="15.6" customHeight="1">
      <c r="A401" s="4" t="str">
        <f t="shared" si="6"/>
        <v/>
      </c>
      <c r="B401" s="5"/>
      <c r="C401" s="6"/>
      <c r="D401" s="6"/>
      <c r="E401" s="5"/>
      <c r="F401" s="6"/>
      <c r="G401" s="7"/>
      <c r="H401" s="5"/>
      <c r="I401" s="7"/>
      <c r="J401" s="5"/>
    </row>
    <row r="402" spans="1:10" ht="15.6" customHeight="1">
      <c r="A402" s="4" t="str">
        <f t="shared" si="6"/>
        <v/>
      </c>
      <c r="B402" s="5"/>
      <c r="C402" s="6"/>
      <c r="D402" s="6"/>
      <c r="E402" s="5"/>
      <c r="F402" s="6"/>
      <c r="G402" s="7"/>
      <c r="H402" s="5"/>
      <c r="I402" s="7"/>
      <c r="J402" s="5"/>
    </row>
    <row r="403" spans="1:10" ht="15.6" customHeight="1">
      <c r="A403" s="4" t="str">
        <f t="shared" si="6"/>
        <v/>
      </c>
      <c r="B403" s="5"/>
      <c r="C403" s="6"/>
      <c r="D403" s="6"/>
      <c r="E403" s="5"/>
      <c r="F403" s="6"/>
      <c r="G403" s="7"/>
      <c r="H403" s="5"/>
      <c r="I403" s="7"/>
      <c r="J403" s="5"/>
    </row>
    <row r="404" spans="1:10" ht="15.6" customHeight="1">
      <c r="A404" s="4" t="str">
        <f t="shared" si="6"/>
        <v/>
      </c>
      <c r="B404" s="5"/>
      <c r="C404" s="6"/>
      <c r="D404" s="6"/>
      <c r="E404" s="5"/>
      <c r="F404" s="6"/>
      <c r="G404" s="7"/>
      <c r="H404" s="5"/>
      <c r="I404" s="7"/>
      <c r="J404" s="5"/>
    </row>
    <row r="405" spans="1:10" ht="15.6" customHeight="1">
      <c r="A405" s="4" t="str">
        <f t="shared" si="6"/>
        <v/>
      </c>
      <c r="B405" s="5"/>
      <c r="C405" s="6"/>
      <c r="D405" s="6"/>
      <c r="E405" s="5"/>
      <c r="F405" s="6"/>
      <c r="G405" s="7"/>
      <c r="H405" s="5"/>
      <c r="I405" s="7"/>
      <c r="J405" s="5"/>
    </row>
    <row r="406" spans="1:10" ht="15.6" customHeight="1">
      <c r="A406" s="4" t="str">
        <f t="shared" si="6"/>
        <v/>
      </c>
      <c r="B406" s="5"/>
      <c r="C406" s="6"/>
      <c r="D406" s="6"/>
      <c r="E406" s="5"/>
      <c r="F406" s="6"/>
      <c r="G406" s="7"/>
      <c r="H406" s="5"/>
      <c r="I406" s="7"/>
      <c r="J406" s="5"/>
    </row>
    <row r="407" spans="1:10" ht="15.6" customHeight="1">
      <c r="A407" s="4" t="str">
        <f t="shared" si="6"/>
        <v/>
      </c>
      <c r="B407" s="5"/>
      <c r="C407" s="6"/>
      <c r="D407" s="6"/>
      <c r="E407" s="5"/>
      <c r="F407" s="6"/>
      <c r="G407" s="7"/>
      <c r="H407" s="5"/>
      <c r="I407" s="7"/>
      <c r="J407" s="5"/>
    </row>
    <row r="408" spans="1:10" ht="15.6" customHeight="1">
      <c r="A408" s="4" t="str">
        <f t="shared" si="6"/>
        <v/>
      </c>
      <c r="B408" s="5"/>
      <c r="C408" s="6"/>
      <c r="D408" s="6"/>
      <c r="E408" s="5"/>
      <c r="F408" s="6"/>
      <c r="G408" s="7"/>
      <c r="H408" s="5"/>
      <c r="I408" s="7"/>
      <c r="J408" s="5"/>
    </row>
    <row r="409" spans="1:10" ht="15.6" customHeight="1">
      <c r="A409" s="4" t="str">
        <f t="shared" si="6"/>
        <v/>
      </c>
      <c r="B409" s="5"/>
      <c r="C409" s="6"/>
      <c r="D409" s="6"/>
      <c r="E409" s="5"/>
      <c r="F409" s="6"/>
      <c r="G409" s="7"/>
      <c r="H409" s="5"/>
      <c r="I409" s="7"/>
      <c r="J409" s="5"/>
    </row>
    <row r="410" spans="1:10" ht="15.6" customHeight="1">
      <c r="A410" s="4" t="str">
        <f t="shared" si="6"/>
        <v/>
      </c>
      <c r="B410" s="5"/>
      <c r="C410" s="6"/>
      <c r="D410" s="6"/>
      <c r="E410" s="5"/>
      <c r="F410" s="6"/>
      <c r="G410" s="7"/>
      <c r="H410" s="5"/>
      <c r="I410" s="7"/>
      <c r="J410" s="5"/>
    </row>
    <row r="411" spans="1:10" ht="15.6" customHeight="1">
      <c r="A411" s="4" t="str">
        <f t="shared" si="6"/>
        <v/>
      </c>
      <c r="B411" s="5"/>
      <c r="C411" s="6"/>
      <c r="D411" s="6"/>
      <c r="E411" s="5"/>
      <c r="F411" s="6"/>
      <c r="G411" s="7"/>
      <c r="H411" s="5"/>
      <c r="I411" s="7"/>
      <c r="J411" s="5"/>
    </row>
    <row r="412" spans="1:10" ht="15.6" customHeight="1">
      <c r="A412" s="4" t="str">
        <f t="shared" si="6"/>
        <v/>
      </c>
      <c r="B412" s="5"/>
      <c r="C412" s="6"/>
      <c r="D412" s="6"/>
      <c r="E412" s="5"/>
      <c r="F412" s="6"/>
      <c r="G412" s="7"/>
      <c r="H412" s="5"/>
      <c r="I412" s="7"/>
      <c r="J412" s="5"/>
    </row>
    <row r="413" spans="1:10" ht="15.6" customHeight="1">
      <c r="A413" s="4" t="str">
        <f t="shared" si="6"/>
        <v/>
      </c>
      <c r="B413" s="5"/>
      <c r="C413" s="6"/>
      <c r="D413" s="6"/>
      <c r="E413" s="5"/>
      <c r="F413" s="6"/>
      <c r="G413" s="7"/>
      <c r="H413" s="5"/>
      <c r="I413" s="7"/>
      <c r="J413" s="5"/>
    </row>
    <row r="414" spans="1:10" ht="15.6" customHeight="1">
      <c r="A414" s="4" t="str">
        <f t="shared" si="6"/>
        <v/>
      </c>
      <c r="B414" s="5"/>
      <c r="C414" s="6"/>
      <c r="D414" s="6"/>
      <c r="E414" s="5"/>
      <c r="F414" s="6"/>
      <c r="G414" s="7"/>
      <c r="H414" s="5"/>
      <c r="I414" s="7"/>
      <c r="J414" s="5"/>
    </row>
    <row r="415" spans="1:10" ht="15.6" customHeight="1">
      <c r="A415" s="4" t="str">
        <f t="shared" si="6"/>
        <v/>
      </c>
      <c r="B415" s="5"/>
      <c r="C415" s="6"/>
      <c r="D415" s="6"/>
      <c r="E415" s="5"/>
      <c r="F415" s="6"/>
      <c r="G415" s="7"/>
      <c r="H415" s="5"/>
      <c r="I415" s="7"/>
      <c r="J415" s="5"/>
    </row>
    <row r="416" spans="1:10" ht="15.6" customHeight="1">
      <c r="A416" s="4" t="str">
        <f t="shared" si="6"/>
        <v/>
      </c>
      <c r="B416" s="5"/>
      <c r="C416" s="6"/>
      <c r="D416" s="6"/>
      <c r="E416" s="5"/>
      <c r="F416" s="6"/>
      <c r="G416" s="7"/>
      <c r="H416" s="5"/>
      <c r="I416" s="7"/>
      <c r="J416" s="5"/>
    </row>
    <row r="417" spans="1:10" ht="15.6" customHeight="1">
      <c r="A417" s="4" t="str">
        <f t="shared" si="6"/>
        <v/>
      </c>
      <c r="B417" s="5"/>
      <c r="C417" s="6"/>
      <c r="D417" s="6"/>
      <c r="E417" s="5"/>
      <c r="F417" s="6"/>
      <c r="G417" s="7"/>
      <c r="H417" s="5"/>
      <c r="I417" s="7"/>
      <c r="J417" s="5"/>
    </row>
    <row r="418" spans="1:10" ht="15.6" customHeight="1">
      <c r="A418" s="4" t="str">
        <f t="shared" si="6"/>
        <v/>
      </c>
      <c r="B418" s="5"/>
      <c r="C418" s="6"/>
      <c r="D418" s="6"/>
      <c r="E418" s="5"/>
      <c r="F418" s="6"/>
      <c r="G418" s="7"/>
      <c r="H418" s="5"/>
      <c r="I418" s="7"/>
      <c r="J418" s="5"/>
    </row>
    <row r="419" spans="1:10" ht="15.6" customHeight="1">
      <c r="A419" s="4" t="str">
        <f t="shared" si="6"/>
        <v/>
      </c>
      <c r="B419" s="5"/>
      <c r="C419" s="6"/>
      <c r="D419" s="6"/>
      <c r="E419" s="5"/>
      <c r="F419" s="6"/>
      <c r="G419" s="7"/>
      <c r="H419" s="5"/>
      <c r="I419" s="7"/>
      <c r="J419" s="5"/>
    </row>
    <row r="420" spans="1:10" ht="15.6" customHeight="1">
      <c r="A420" s="4" t="str">
        <f t="shared" si="6"/>
        <v/>
      </c>
      <c r="B420" s="5"/>
      <c r="C420" s="6"/>
      <c r="D420" s="6"/>
      <c r="E420" s="5"/>
      <c r="F420" s="6"/>
      <c r="G420" s="7"/>
      <c r="H420" s="5"/>
      <c r="I420" s="7"/>
      <c r="J420" s="5"/>
    </row>
    <row r="421" spans="1:10" ht="15.6" customHeight="1">
      <c r="A421" s="4" t="str">
        <f t="shared" si="6"/>
        <v/>
      </c>
      <c r="B421" s="5"/>
      <c r="C421" s="6"/>
      <c r="D421" s="6"/>
      <c r="E421" s="5"/>
      <c r="F421" s="6"/>
      <c r="G421" s="7"/>
      <c r="H421" s="5"/>
      <c r="I421" s="7"/>
      <c r="J421" s="5"/>
    </row>
    <row r="422" spans="1:10" ht="15.6" customHeight="1">
      <c r="A422" s="4" t="str">
        <f t="shared" si="6"/>
        <v/>
      </c>
      <c r="B422" s="5"/>
      <c r="C422" s="6"/>
      <c r="D422" s="6"/>
      <c r="E422" s="5"/>
      <c r="F422" s="6"/>
      <c r="G422" s="7"/>
      <c r="H422" s="5"/>
      <c r="I422" s="7"/>
      <c r="J422" s="5"/>
    </row>
    <row r="423" spans="1:10" ht="15.6" customHeight="1">
      <c r="A423" s="4" t="str">
        <f t="shared" si="6"/>
        <v/>
      </c>
      <c r="B423" s="5"/>
      <c r="C423" s="6"/>
      <c r="D423" s="6"/>
      <c r="E423" s="5"/>
      <c r="F423" s="6"/>
      <c r="G423" s="7"/>
      <c r="H423" s="5"/>
      <c r="I423" s="7"/>
      <c r="J423" s="5"/>
    </row>
    <row r="424" spans="1:10" ht="15.6" customHeight="1">
      <c r="A424" s="4" t="str">
        <f t="shared" si="6"/>
        <v/>
      </c>
      <c r="B424" s="5"/>
      <c r="C424" s="6"/>
      <c r="D424" s="6"/>
      <c r="E424" s="5"/>
      <c r="F424" s="6"/>
      <c r="G424" s="7"/>
      <c r="H424" s="5"/>
      <c r="I424" s="7"/>
      <c r="J424" s="5"/>
    </row>
    <row r="425" spans="1:10" ht="15.6" customHeight="1">
      <c r="A425" s="4" t="str">
        <f t="shared" si="6"/>
        <v/>
      </c>
      <c r="B425" s="5"/>
      <c r="C425" s="6"/>
      <c r="D425" s="6"/>
      <c r="E425" s="5"/>
      <c r="F425" s="6"/>
      <c r="G425" s="7"/>
      <c r="H425" s="5"/>
      <c r="I425" s="7"/>
      <c r="J425" s="5"/>
    </row>
    <row r="426" spans="1:10" ht="15.6" customHeight="1">
      <c r="A426" s="4" t="str">
        <f t="shared" si="6"/>
        <v/>
      </c>
      <c r="B426" s="5"/>
      <c r="C426" s="6"/>
      <c r="D426" s="6"/>
      <c r="E426" s="5"/>
      <c r="F426" s="6"/>
      <c r="G426" s="7"/>
      <c r="H426" s="5"/>
      <c r="I426" s="7"/>
      <c r="J426" s="5"/>
    </row>
    <row r="427" spans="1:10" ht="15.6" customHeight="1">
      <c r="A427" s="4" t="str">
        <f t="shared" si="6"/>
        <v/>
      </c>
      <c r="B427" s="5"/>
      <c r="C427" s="6"/>
      <c r="D427" s="6"/>
      <c r="E427" s="5"/>
      <c r="F427" s="6"/>
      <c r="G427" s="7"/>
      <c r="H427" s="5"/>
      <c r="I427" s="7"/>
      <c r="J427" s="5"/>
    </row>
    <row r="428" spans="1:10" ht="15.6" customHeight="1">
      <c r="A428" s="4" t="str">
        <f t="shared" si="6"/>
        <v/>
      </c>
      <c r="B428" s="5"/>
      <c r="C428" s="6"/>
      <c r="D428" s="6"/>
      <c r="E428" s="5"/>
      <c r="F428" s="6"/>
      <c r="G428" s="7"/>
      <c r="H428" s="5"/>
      <c r="I428" s="7"/>
      <c r="J428" s="5"/>
    </row>
    <row r="429" spans="1:10" ht="15.6" customHeight="1">
      <c r="A429" s="4" t="str">
        <f t="shared" si="6"/>
        <v/>
      </c>
      <c r="B429" s="5"/>
      <c r="C429" s="6"/>
      <c r="D429" s="6"/>
      <c r="E429" s="5"/>
      <c r="F429" s="6"/>
      <c r="G429" s="7"/>
      <c r="H429" s="5"/>
      <c r="I429" s="7"/>
      <c r="J429" s="5"/>
    </row>
    <row r="430" spans="1:10" ht="15.6" customHeight="1">
      <c r="A430" s="4" t="str">
        <f t="shared" si="6"/>
        <v/>
      </c>
      <c r="B430" s="5"/>
      <c r="C430" s="6"/>
      <c r="D430" s="6"/>
      <c r="E430" s="5"/>
      <c r="F430" s="6"/>
      <c r="G430" s="7"/>
      <c r="H430" s="5"/>
      <c r="I430" s="7"/>
      <c r="J430" s="5"/>
    </row>
    <row r="431" spans="1:10" ht="15.6" customHeight="1">
      <c r="A431" s="4" t="str">
        <f t="shared" si="6"/>
        <v/>
      </c>
      <c r="B431" s="5"/>
      <c r="C431" s="6"/>
      <c r="D431" s="6"/>
      <c r="E431" s="5"/>
      <c r="F431" s="6"/>
      <c r="G431" s="7"/>
      <c r="H431" s="5"/>
      <c r="I431" s="7"/>
      <c r="J431" s="5"/>
    </row>
    <row r="432" spans="1:10" ht="15.6" customHeight="1">
      <c r="A432" s="4" t="str">
        <f t="shared" si="6"/>
        <v/>
      </c>
      <c r="B432" s="5"/>
      <c r="C432" s="6"/>
      <c r="D432" s="6"/>
      <c r="E432" s="5"/>
      <c r="F432" s="6"/>
      <c r="G432" s="7"/>
      <c r="H432" s="5"/>
      <c r="I432" s="7"/>
      <c r="J432" s="5"/>
    </row>
    <row r="433" spans="1:10" ht="15.6" customHeight="1">
      <c r="A433" s="4" t="str">
        <f t="shared" si="6"/>
        <v/>
      </c>
      <c r="B433" s="5"/>
      <c r="C433" s="6"/>
      <c r="D433" s="6"/>
      <c r="E433" s="5"/>
      <c r="F433" s="6"/>
      <c r="G433" s="7"/>
      <c r="H433" s="5"/>
      <c r="I433" s="7"/>
      <c r="J433" s="5"/>
    </row>
    <row r="434" spans="1:10" ht="15.6" customHeight="1">
      <c r="A434" s="4" t="str">
        <f t="shared" si="6"/>
        <v/>
      </c>
      <c r="B434" s="5"/>
      <c r="C434" s="6"/>
      <c r="D434" s="6"/>
      <c r="E434" s="5"/>
      <c r="F434" s="6"/>
      <c r="G434" s="7"/>
      <c r="H434" s="5"/>
      <c r="I434" s="7"/>
      <c r="J434" s="5"/>
    </row>
    <row r="435" spans="1:10" ht="15.6" customHeight="1">
      <c r="A435" s="4" t="str">
        <f t="shared" si="6"/>
        <v/>
      </c>
      <c r="B435" s="5"/>
      <c r="C435" s="6"/>
      <c r="D435" s="6"/>
      <c r="E435" s="5"/>
      <c r="F435" s="6"/>
      <c r="G435" s="7"/>
      <c r="H435" s="5"/>
      <c r="I435" s="7"/>
      <c r="J435" s="5"/>
    </row>
    <row r="436" spans="1:10" ht="15.6" customHeight="1">
      <c r="A436" s="4" t="str">
        <f t="shared" si="6"/>
        <v/>
      </c>
      <c r="B436" s="5"/>
      <c r="C436" s="6"/>
      <c r="D436" s="6"/>
      <c r="E436" s="5"/>
      <c r="F436" s="6"/>
      <c r="G436" s="7"/>
      <c r="H436" s="5"/>
      <c r="I436" s="7"/>
      <c r="J436" s="5"/>
    </row>
    <row r="437" spans="1:10" ht="15.6" customHeight="1">
      <c r="A437" s="4" t="str">
        <f t="shared" si="6"/>
        <v/>
      </c>
      <c r="B437" s="5"/>
      <c r="C437" s="6"/>
      <c r="D437" s="6"/>
      <c r="E437" s="5"/>
      <c r="F437" s="6"/>
      <c r="G437" s="7"/>
      <c r="H437" s="5"/>
      <c r="I437" s="7"/>
      <c r="J437" s="5"/>
    </row>
    <row r="438" spans="1:10" ht="15.6" customHeight="1">
      <c r="A438" s="4" t="str">
        <f t="shared" si="6"/>
        <v/>
      </c>
      <c r="B438" s="5"/>
      <c r="C438" s="6"/>
      <c r="D438" s="6"/>
      <c r="E438" s="5"/>
      <c r="F438" s="6"/>
      <c r="G438" s="7"/>
      <c r="H438" s="5"/>
      <c r="I438" s="7"/>
      <c r="J438" s="5"/>
    </row>
    <row r="439" spans="1:10" ht="15.6" customHeight="1">
      <c r="A439" s="4" t="str">
        <f t="shared" si="6"/>
        <v/>
      </c>
      <c r="B439" s="5"/>
      <c r="C439" s="6"/>
      <c r="D439" s="6"/>
      <c r="E439" s="5"/>
      <c r="F439" s="6"/>
      <c r="G439" s="7"/>
      <c r="H439" s="5"/>
      <c r="I439" s="7"/>
      <c r="J439" s="5"/>
    </row>
    <row r="440" spans="1:10" ht="15.6" customHeight="1">
      <c r="A440" s="4" t="str">
        <f t="shared" si="6"/>
        <v/>
      </c>
      <c r="B440" s="5"/>
      <c r="C440" s="6"/>
      <c r="D440" s="6"/>
      <c r="E440" s="5"/>
      <c r="F440" s="6"/>
      <c r="G440" s="7"/>
      <c r="H440" s="5"/>
      <c r="I440" s="7"/>
      <c r="J440" s="5"/>
    </row>
    <row r="441" spans="1:10" ht="15.6" customHeight="1">
      <c r="A441" s="4" t="str">
        <f t="shared" si="6"/>
        <v/>
      </c>
      <c r="B441" s="5"/>
      <c r="C441" s="6"/>
      <c r="D441" s="6"/>
      <c r="E441" s="5"/>
      <c r="F441" s="6"/>
      <c r="G441" s="7"/>
      <c r="H441" s="5"/>
      <c r="I441" s="7"/>
      <c r="J441" s="5"/>
    </row>
    <row r="442" spans="1:10" ht="15.6" customHeight="1">
      <c r="A442" s="4" t="str">
        <f t="shared" si="6"/>
        <v/>
      </c>
      <c r="B442" s="5"/>
      <c r="C442" s="6"/>
      <c r="D442" s="6"/>
      <c r="E442" s="5"/>
      <c r="F442" s="6"/>
      <c r="G442" s="7"/>
      <c r="H442" s="5"/>
      <c r="I442" s="7"/>
      <c r="J442" s="5"/>
    </row>
    <row r="443" spans="1:10" ht="15.6" customHeight="1">
      <c r="A443" s="4" t="str">
        <f t="shared" si="6"/>
        <v/>
      </c>
      <c r="B443" s="5"/>
      <c r="C443" s="6"/>
      <c r="D443" s="6"/>
      <c r="E443" s="5"/>
      <c r="F443" s="6"/>
      <c r="G443" s="7"/>
      <c r="H443" s="5"/>
      <c r="I443" s="7"/>
      <c r="J443" s="5"/>
    </row>
    <row r="444" spans="1:10" ht="15.6" customHeight="1">
      <c r="A444" s="4" t="str">
        <f t="shared" si="6"/>
        <v/>
      </c>
      <c r="B444" s="5"/>
      <c r="C444" s="6"/>
      <c r="D444" s="6"/>
      <c r="E444" s="5"/>
      <c r="F444" s="6"/>
      <c r="G444" s="7"/>
      <c r="H444" s="5"/>
      <c r="I444" s="7"/>
      <c r="J444" s="5"/>
    </row>
    <row r="445" spans="1:10" ht="15.6" customHeight="1">
      <c r="A445" s="4" t="str">
        <f t="shared" si="6"/>
        <v/>
      </c>
      <c r="B445" s="5"/>
      <c r="C445" s="6"/>
      <c r="D445" s="6"/>
      <c r="E445" s="5"/>
      <c r="F445" s="6"/>
      <c r="G445" s="7"/>
      <c r="H445" s="5"/>
      <c r="I445" s="7"/>
      <c r="J445" s="5"/>
    </row>
    <row r="446" spans="1:10" ht="15.6" customHeight="1">
      <c r="A446" s="4" t="str">
        <f t="shared" si="6"/>
        <v/>
      </c>
      <c r="B446" s="5"/>
      <c r="C446" s="6"/>
      <c r="D446" s="6"/>
      <c r="E446" s="5"/>
      <c r="F446" s="6"/>
      <c r="G446" s="7"/>
      <c r="H446" s="5"/>
      <c r="I446" s="7"/>
      <c r="J446" s="5"/>
    </row>
    <row r="447" spans="1:10" ht="15.6" customHeight="1">
      <c r="A447" s="4" t="str">
        <f t="shared" si="6"/>
        <v/>
      </c>
      <c r="B447" s="5"/>
      <c r="C447" s="6"/>
      <c r="D447" s="6"/>
      <c r="E447" s="5"/>
      <c r="F447" s="6"/>
      <c r="G447" s="7"/>
      <c r="H447" s="5"/>
      <c r="I447" s="7"/>
      <c r="J447" s="5"/>
    </row>
    <row r="448" spans="1:10" ht="15.6" customHeight="1">
      <c r="A448" s="4" t="str">
        <f t="shared" si="6"/>
        <v/>
      </c>
      <c r="B448" s="5"/>
      <c r="C448" s="6"/>
      <c r="D448" s="6"/>
      <c r="E448" s="5"/>
      <c r="F448" s="6"/>
      <c r="G448" s="7"/>
      <c r="H448" s="5"/>
      <c r="I448" s="7"/>
      <c r="J448" s="5"/>
    </row>
    <row r="449" spans="1:10" ht="15.6" customHeight="1">
      <c r="A449" s="4" t="str">
        <f t="shared" si="6"/>
        <v/>
      </c>
      <c r="B449" s="5"/>
      <c r="C449" s="6"/>
      <c r="D449" s="6"/>
      <c r="E449" s="5"/>
      <c r="F449" s="6"/>
      <c r="G449" s="7"/>
      <c r="H449" s="5"/>
      <c r="I449" s="7"/>
      <c r="J449" s="5"/>
    </row>
    <row r="450" spans="1:10" ht="15.6" customHeight="1">
      <c r="A450" s="4" t="str">
        <f t="shared" si="6"/>
        <v/>
      </c>
      <c r="B450" s="5"/>
      <c r="C450" s="6"/>
      <c r="D450" s="6"/>
      <c r="E450" s="5"/>
      <c r="F450" s="6"/>
      <c r="G450" s="7"/>
      <c r="H450" s="5"/>
      <c r="I450" s="7"/>
      <c r="J450" s="5"/>
    </row>
    <row r="451" spans="1:10" ht="15.6" customHeight="1">
      <c r="A451" s="4" t="str">
        <f t="shared" si="6"/>
        <v/>
      </c>
      <c r="B451" s="5"/>
      <c r="C451" s="6"/>
      <c r="D451" s="6"/>
      <c r="E451" s="5"/>
      <c r="F451" s="6"/>
      <c r="G451" s="7"/>
      <c r="H451" s="5"/>
      <c r="I451" s="7"/>
      <c r="J451" s="5"/>
    </row>
    <row r="452" spans="1:10" ht="15.6" customHeight="1">
      <c r="A452" s="4" t="str">
        <f t="shared" ref="A452:A515" si="7">IF(B452&lt;&gt;"",ROW()-3,"")</f>
        <v/>
      </c>
      <c r="B452" s="5"/>
      <c r="C452" s="6"/>
      <c r="D452" s="6"/>
      <c r="E452" s="5"/>
      <c r="F452" s="6"/>
      <c r="G452" s="7"/>
      <c r="H452" s="5"/>
      <c r="I452" s="7"/>
      <c r="J452" s="5"/>
    </row>
    <row r="453" spans="1:10" ht="15.6" customHeight="1">
      <c r="A453" s="4" t="str">
        <f t="shared" si="7"/>
        <v/>
      </c>
      <c r="B453" s="5"/>
      <c r="C453" s="6"/>
      <c r="D453" s="6"/>
      <c r="E453" s="5"/>
      <c r="F453" s="6"/>
      <c r="G453" s="7"/>
      <c r="H453" s="5"/>
      <c r="I453" s="7"/>
      <c r="J453" s="5"/>
    </row>
    <row r="454" spans="1:10" ht="15.6" customHeight="1">
      <c r="A454" s="4" t="str">
        <f t="shared" si="7"/>
        <v/>
      </c>
      <c r="B454" s="5"/>
      <c r="C454" s="6"/>
      <c r="D454" s="6"/>
      <c r="E454" s="5"/>
      <c r="F454" s="6"/>
      <c r="G454" s="7"/>
      <c r="H454" s="5"/>
      <c r="I454" s="7"/>
      <c r="J454" s="5"/>
    </row>
    <row r="455" spans="1:10" ht="15.6" customHeight="1">
      <c r="A455" s="4" t="str">
        <f t="shared" si="7"/>
        <v/>
      </c>
      <c r="B455" s="5"/>
      <c r="C455" s="6"/>
      <c r="D455" s="6"/>
      <c r="E455" s="5"/>
      <c r="F455" s="6"/>
      <c r="G455" s="7"/>
      <c r="H455" s="5"/>
      <c r="I455" s="7"/>
      <c r="J455" s="5"/>
    </row>
    <row r="456" spans="1:10" ht="15.6" customHeight="1">
      <c r="A456" s="4" t="str">
        <f t="shared" si="7"/>
        <v/>
      </c>
      <c r="B456" s="5"/>
      <c r="C456" s="6"/>
      <c r="D456" s="6"/>
      <c r="E456" s="5"/>
      <c r="F456" s="6"/>
      <c r="G456" s="7"/>
      <c r="H456" s="5"/>
      <c r="I456" s="7"/>
      <c r="J456" s="5"/>
    </row>
    <row r="457" spans="1:10" ht="15.6" customHeight="1">
      <c r="A457" s="4" t="str">
        <f t="shared" si="7"/>
        <v/>
      </c>
      <c r="B457" s="5"/>
      <c r="C457" s="6"/>
      <c r="D457" s="6"/>
      <c r="E457" s="5"/>
      <c r="F457" s="6"/>
      <c r="G457" s="7"/>
      <c r="H457" s="5"/>
      <c r="I457" s="7"/>
      <c r="J457" s="5"/>
    </row>
    <row r="458" spans="1:10" ht="15.6" customHeight="1">
      <c r="A458" s="4" t="str">
        <f t="shared" si="7"/>
        <v/>
      </c>
      <c r="B458" s="5"/>
      <c r="C458" s="6"/>
      <c r="D458" s="6"/>
      <c r="E458" s="5"/>
      <c r="F458" s="6"/>
      <c r="G458" s="7"/>
      <c r="H458" s="5"/>
      <c r="I458" s="7"/>
      <c r="J458" s="5"/>
    </row>
    <row r="459" spans="1:10" ht="15.6" customHeight="1">
      <c r="A459" s="4" t="str">
        <f t="shared" si="7"/>
        <v/>
      </c>
      <c r="B459" s="5"/>
      <c r="C459" s="6"/>
      <c r="D459" s="6"/>
      <c r="E459" s="5"/>
      <c r="F459" s="6"/>
      <c r="G459" s="7"/>
      <c r="H459" s="5"/>
      <c r="I459" s="7"/>
      <c r="J459" s="5"/>
    </row>
    <row r="460" spans="1:10" ht="15.6" customHeight="1">
      <c r="A460" s="4" t="str">
        <f t="shared" si="7"/>
        <v/>
      </c>
      <c r="B460" s="5"/>
      <c r="C460" s="6"/>
      <c r="D460" s="6"/>
      <c r="E460" s="5"/>
      <c r="F460" s="6"/>
      <c r="G460" s="7"/>
      <c r="H460" s="5"/>
      <c r="I460" s="7"/>
      <c r="J460" s="5"/>
    </row>
    <row r="461" spans="1:10" ht="15.6" customHeight="1">
      <c r="A461" s="4" t="str">
        <f t="shared" si="7"/>
        <v/>
      </c>
      <c r="B461" s="5"/>
      <c r="C461" s="6"/>
      <c r="D461" s="6"/>
      <c r="E461" s="5"/>
      <c r="F461" s="6"/>
      <c r="G461" s="7"/>
      <c r="H461" s="5"/>
      <c r="I461" s="7"/>
      <c r="J461" s="5"/>
    </row>
    <row r="462" spans="1:10" ht="15.6" customHeight="1">
      <c r="A462" s="4" t="str">
        <f t="shared" si="7"/>
        <v/>
      </c>
      <c r="B462" s="5"/>
      <c r="C462" s="6"/>
      <c r="D462" s="6"/>
      <c r="E462" s="5"/>
      <c r="F462" s="6"/>
      <c r="G462" s="7"/>
      <c r="H462" s="5"/>
      <c r="I462" s="7"/>
      <c r="J462" s="5"/>
    </row>
    <row r="463" spans="1:10" ht="15.6" customHeight="1">
      <c r="A463" s="4" t="str">
        <f t="shared" si="7"/>
        <v/>
      </c>
      <c r="B463" s="5"/>
      <c r="C463" s="6"/>
      <c r="D463" s="6"/>
      <c r="E463" s="5"/>
      <c r="F463" s="6"/>
      <c r="G463" s="7"/>
      <c r="H463" s="5"/>
      <c r="I463" s="7"/>
      <c r="J463" s="5"/>
    </row>
    <row r="464" spans="1:10" ht="15.6" customHeight="1">
      <c r="A464" s="4" t="str">
        <f t="shared" si="7"/>
        <v/>
      </c>
      <c r="B464" s="5"/>
      <c r="C464" s="6"/>
      <c r="D464" s="6"/>
      <c r="E464" s="5"/>
      <c r="F464" s="6"/>
      <c r="G464" s="7"/>
      <c r="H464" s="5"/>
      <c r="I464" s="7"/>
      <c r="J464" s="5"/>
    </row>
    <row r="465" spans="1:10" ht="15.6" customHeight="1">
      <c r="A465" s="4" t="str">
        <f t="shared" si="7"/>
        <v/>
      </c>
      <c r="B465" s="5"/>
      <c r="C465" s="6"/>
      <c r="D465" s="6"/>
      <c r="E465" s="5"/>
      <c r="F465" s="6"/>
      <c r="G465" s="7"/>
      <c r="H465" s="5"/>
      <c r="I465" s="7"/>
      <c r="J465" s="5"/>
    </row>
    <row r="466" spans="1:10" ht="15.6" customHeight="1">
      <c r="A466" s="4" t="str">
        <f t="shared" si="7"/>
        <v/>
      </c>
      <c r="B466" s="5"/>
      <c r="C466" s="6"/>
      <c r="D466" s="6"/>
      <c r="E466" s="5"/>
      <c r="F466" s="6"/>
      <c r="G466" s="7"/>
      <c r="H466" s="5"/>
      <c r="I466" s="7"/>
      <c r="J466" s="5"/>
    </row>
    <row r="467" spans="1:10" ht="15.6" customHeight="1">
      <c r="A467" s="4" t="str">
        <f t="shared" si="7"/>
        <v/>
      </c>
      <c r="B467" s="5"/>
      <c r="C467" s="6"/>
      <c r="D467" s="6"/>
      <c r="E467" s="5"/>
      <c r="F467" s="6"/>
      <c r="G467" s="7"/>
      <c r="H467" s="5"/>
      <c r="I467" s="7"/>
      <c r="J467" s="5"/>
    </row>
    <row r="468" spans="1:10" ht="15.6" customHeight="1">
      <c r="A468" s="4" t="str">
        <f t="shared" si="7"/>
        <v/>
      </c>
      <c r="B468" s="5"/>
      <c r="C468" s="6"/>
      <c r="D468" s="6"/>
      <c r="E468" s="5"/>
      <c r="F468" s="6"/>
      <c r="G468" s="7"/>
      <c r="H468" s="5"/>
      <c r="I468" s="7"/>
      <c r="J468" s="5"/>
    </row>
    <row r="469" spans="1:10" ht="15.6" customHeight="1">
      <c r="A469" s="4" t="str">
        <f t="shared" si="7"/>
        <v/>
      </c>
      <c r="B469" s="5"/>
      <c r="C469" s="6"/>
      <c r="D469" s="6"/>
      <c r="E469" s="5"/>
      <c r="F469" s="6"/>
      <c r="G469" s="7"/>
      <c r="H469" s="5"/>
      <c r="I469" s="7"/>
      <c r="J469" s="5"/>
    </row>
    <row r="470" spans="1:10" ht="15.6" customHeight="1">
      <c r="A470" s="4" t="str">
        <f t="shared" si="7"/>
        <v/>
      </c>
      <c r="B470" s="5"/>
      <c r="C470" s="6"/>
      <c r="D470" s="6"/>
      <c r="E470" s="5"/>
      <c r="F470" s="6"/>
      <c r="G470" s="7"/>
      <c r="H470" s="5"/>
      <c r="I470" s="7"/>
      <c r="J470" s="5"/>
    </row>
    <row r="471" spans="1:10" ht="15.6" customHeight="1">
      <c r="A471" s="4" t="str">
        <f t="shared" si="7"/>
        <v/>
      </c>
      <c r="B471" s="5"/>
      <c r="C471" s="6"/>
      <c r="D471" s="6"/>
      <c r="E471" s="5"/>
      <c r="F471" s="6"/>
      <c r="G471" s="7"/>
      <c r="H471" s="5"/>
      <c r="I471" s="7"/>
      <c r="J471" s="5"/>
    </row>
    <row r="472" spans="1:10" ht="15.6" customHeight="1">
      <c r="A472" s="4" t="str">
        <f t="shared" si="7"/>
        <v/>
      </c>
      <c r="B472" s="5"/>
      <c r="C472" s="6"/>
      <c r="D472" s="6"/>
      <c r="E472" s="5"/>
      <c r="F472" s="6"/>
      <c r="G472" s="7"/>
      <c r="H472" s="5"/>
      <c r="I472" s="7"/>
      <c r="J472" s="5"/>
    </row>
    <row r="473" spans="1:10" ht="15.6" customHeight="1">
      <c r="A473" s="4" t="str">
        <f t="shared" si="7"/>
        <v/>
      </c>
      <c r="B473" s="5"/>
      <c r="C473" s="6"/>
      <c r="D473" s="6"/>
      <c r="E473" s="5"/>
      <c r="F473" s="6"/>
      <c r="G473" s="7"/>
      <c r="H473" s="5"/>
      <c r="I473" s="7"/>
      <c r="J473" s="5"/>
    </row>
    <row r="474" spans="1:10" ht="15.6" customHeight="1">
      <c r="A474" s="4" t="str">
        <f t="shared" si="7"/>
        <v/>
      </c>
      <c r="B474" s="5"/>
      <c r="C474" s="6"/>
      <c r="D474" s="6"/>
      <c r="E474" s="5"/>
      <c r="F474" s="6"/>
      <c r="G474" s="7"/>
      <c r="H474" s="5"/>
      <c r="I474" s="7"/>
      <c r="J474" s="5"/>
    </row>
    <row r="475" spans="1:10" ht="15.6" customHeight="1">
      <c r="A475" s="4" t="str">
        <f t="shared" si="7"/>
        <v/>
      </c>
      <c r="B475" s="5"/>
      <c r="C475" s="6"/>
      <c r="D475" s="6"/>
      <c r="E475" s="5"/>
      <c r="F475" s="6"/>
      <c r="G475" s="7"/>
      <c r="H475" s="5"/>
      <c r="I475" s="7"/>
      <c r="J475" s="5"/>
    </row>
    <row r="476" spans="1:10" ht="15.6" customHeight="1">
      <c r="A476" s="4" t="str">
        <f t="shared" si="7"/>
        <v/>
      </c>
      <c r="B476" s="5"/>
      <c r="C476" s="6"/>
      <c r="D476" s="6"/>
      <c r="E476" s="5"/>
      <c r="F476" s="6"/>
      <c r="G476" s="7"/>
      <c r="H476" s="5"/>
      <c r="I476" s="7"/>
      <c r="J476" s="5"/>
    </row>
    <row r="477" spans="1:10" ht="15.6" customHeight="1">
      <c r="A477" s="4" t="str">
        <f t="shared" si="7"/>
        <v/>
      </c>
      <c r="B477" s="5"/>
      <c r="C477" s="6"/>
      <c r="D477" s="6"/>
      <c r="E477" s="5"/>
      <c r="F477" s="6"/>
      <c r="G477" s="7"/>
      <c r="H477" s="5"/>
      <c r="I477" s="7"/>
      <c r="J477" s="5"/>
    </row>
    <row r="478" spans="1:10" ht="15.6" customHeight="1">
      <c r="A478" s="4" t="str">
        <f t="shared" si="7"/>
        <v/>
      </c>
      <c r="B478" s="5"/>
      <c r="C478" s="6"/>
      <c r="D478" s="6"/>
      <c r="E478" s="5"/>
      <c r="F478" s="6"/>
      <c r="G478" s="7"/>
      <c r="H478" s="5"/>
      <c r="I478" s="7"/>
      <c r="J478" s="5"/>
    </row>
    <row r="479" spans="1:10" ht="15.6" customHeight="1">
      <c r="A479" s="4" t="str">
        <f t="shared" si="7"/>
        <v/>
      </c>
      <c r="B479" s="5"/>
      <c r="C479" s="6"/>
      <c r="D479" s="6"/>
      <c r="E479" s="5"/>
      <c r="F479" s="6"/>
      <c r="G479" s="7"/>
      <c r="H479" s="5"/>
      <c r="I479" s="7"/>
      <c r="J479" s="5"/>
    </row>
    <row r="480" spans="1:10" ht="15.6" customHeight="1">
      <c r="A480" s="4" t="str">
        <f t="shared" si="7"/>
        <v/>
      </c>
      <c r="B480" s="5"/>
      <c r="C480" s="6"/>
      <c r="D480" s="6"/>
      <c r="E480" s="5"/>
      <c r="F480" s="6"/>
      <c r="G480" s="7"/>
      <c r="H480" s="5"/>
      <c r="I480" s="7"/>
      <c r="J480" s="5"/>
    </row>
    <row r="481" spans="1:10" ht="15.6" customHeight="1">
      <c r="A481" s="4" t="str">
        <f t="shared" si="7"/>
        <v/>
      </c>
      <c r="B481" s="5"/>
      <c r="C481" s="6"/>
      <c r="D481" s="6"/>
      <c r="E481" s="5"/>
      <c r="F481" s="6"/>
      <c r="G481" s="7"/>
      <c r="H481" s="5"/>
      <c r="I481" s="7"/>
      <c r="J481" s="5"/>
    </row>
    <row r="482" spans="1:10" ht="15.6" customHeight="1">
      <c r="A482" s="4" t="str">
        <f t="shared" si="7"/>
        <v/>
      </c>
      <c r="B482" s="5"/>
      <c r="C482" s="6"/>
      <c r="D482" s="6"/>
      <c r="E482" s="5"/>
      <c r="F482" s="6"/>
      <c r="G482" s="7"/>
      <c r="H482" s="5"/>
      <c r="I482" s="7"/>
      <c r="J482" s="5"/>
    </row>
    <row r="483" spans="1:10" ht="15.6" customHeight="1">
      <c r="A483" s="4" t="str">
        <f t="shared" si="7"/>
        <v/>
      </c>
      <c r="B483" s="5"/>
      <c r="C483" s="6"/>
      <c r="D483" s="6"/>
      <c r="E483" s="5"/>
      <c r="F483" s="6"/>
      <c r="G483" s="7"/>
      <c r="H483" s="5"/>
      <c r="I483" s="7"/>
      <c r="J483" s="5"/>
    </row>
    <row r="484" spans="1:10" ht="15.6" customHeight="1">
      <c r="A484" s="4" t="str">
        <f t="shared" si="7"/>
        <v/>
      </c>
      <c r="B484" s="5"/>
      <c r="C484" s="6"/>
      <c r="D484" s="6"/>
      <c r="E484" s="5"/>
      <c r="F484" s="6"/>
      <c r="G484" s="7"/>
      <c r="H484" s="5"/>
      <c r="I484" s="7"/>
      <c r="J484" s="5"/>
    </row>
    <row r="485" spans="1:10" ht="15.6" customHeight="1">
      <c r="A485" s="4" t="str">
        <f t="shared" si="7"/>
        <v/>
      </c>
      <c r="B485" s="5"/>
      <c r="C485" s="6"/>
      <c r="D485" s="6"/>
      <c r="E485" s="5"/>
      <c r="F485" s="6"/>
      <c r="G485" s="7"/>
      <c r="H485" s="5"/>
      <c r="I485" s="7"/>
      <c r="J485" s="5"/>
    </row>
    <row r="486" spans="1:10" ht="15.6" customHeight="1">
      <c r="A486" s="4" t="str">
        <f t="shared" si="7"/>
        <v/>
      </c>
      <c r="B486" s="5"/>
      <c r="C486" s="6"/>
      <c r="D486" s="6"/>
      <c r="E486" s="5"/>
      <c r="F486" s="6"/>
      <c r="G486" s="7"/>
      <c r="H486" s="5"/>
      <c r="I486" s="7"/>
      <c r="J486" s="5"/>
    </row>
    <row r="487" spans="1:10" ht="15.6" customHeight="1">
      <c r="A487" s="4" t="str">
        <f t="shared" si="7"/>
        <v/>
      </c>
      <c r="B487" s="5"/>
      <c r="C487" s="6"/>
      <c r="D487" s="6"/>
      <c r="E487" s="5"/>
      <c r="F487" s="6"/>
      <c r="G487" s="7"/>
      <c r="H487" s="5"/>
      <c r="I487" s="7"/>
      <c r="J487" s="5"/>
    </row>
    <row r="488" spans="1:10" ht="15.6" customHeight="1">
      <c r="A488" s="4" t="str">
        <f t="shared" si="7"/>
        <v/>
      </c>
      <c r="B488" s="5"/>
      <c r="C488" s="6"/>
      <c r="D488" s="6"/>
      <c r="E488" s="5"/>
      <c r="F488" s="6"/>
      <c r="G488" s="7"/>
      <c r="H488" s="5"/>
      <c r="I488" s="7"/>
      <c r="J488" s="5"/>
    </row>
    <row r="489" spans="1:10" ht="15.6" customHeight="1">
      <c r="A489" s="4" t="str">
        <f t="shared" si="7"/>
        <v/>
      </c>
      <c r="B489" s="5"/>
      <c r="C489" s="6"/>
      <c r="D489" s="6"/>
      <c r="E489" s="5"/>
      <c r="F489" s="6"/>
      <c r="G489" s="7"/>
      <c r="H489" s="5"/>
      <c r="I489" s="7"/>
      <c r="J489" s="5"/>
    </row>
    <row r="490" spans="1:10" ht="15.6" customHeight="1">
      <c r="A490" s="4" t="str">
        <f t="shared" si="7"/>
        <v/>
      </c>
      <c r="B490" s="5"/>
      <c r="C490" s="6"/>
      <c r="D490" s="6"/>
      <c r="E490" s="5"/>
      <c r="F490" s="6"/>
      <c r="G490" s="7"/>
      <c r="H490" s="5"/>
      <c r="I490" s="7"/>
      <c r="J490" s="5"/>
    </row>
    <row r="491" spans="1:10" ht="15.6" customHeight="1">
      <c r="A491" s="4" t="str">
        <f t="shared" si="7"/>
        <v/>
      </c>
      <c r="B491" s="5"/>
      <c r="C491" s="6"/>
      <c r="D491" s="6"/>
      <c r="E491" s="5"/>
      <c r="F491" s="6"/>
      <c r="G491" s="7"/>
      <c r="H491" s="5"/>
      <c r="I491" s="7"/>
      <c r="J491" s="5"/>
    </row>
    <row r="492" spans="1:10" ht="15.6" customHeight="1">
      <c r="A492" s="4" t="str">
        <f t="shared" si="7"/>
        <v/>
      </c>
      <c r="B492" s="5"/>
      <c r="C492" s="6"/>
      <c r="D492" s="6"/>
      <c r="E492" s="5"/>
      <c r="F492" s="6"/>
      <c r="G492" s="7"/>
      <c r="H492" s="5"/>
      <c r="I492" s="7"/>
      <c r="J492" s="5"/>
    </row>
    <row r="493" spans="1:10" ht="15.6" customHeight="1">
      <c r="A493" s="4" t="str">
        <f t="shared" si="7"/>
        <v/>
      </c>
      <c r="B493" s="5"/>
      <c r="C493" s="6"/>
      <c r="D493" s="6"/>
      <c r="E493" s="5"/>
      <c r="F493" s="6"/>
      <c r="G493" s="7"/>
      <c r="H493" s="5"/>
      <c r="I493" s="7"/>
      <c r="J493" s="5"/>
    </row>
    <row r="494" spans="1:10" ht="15.6" customHeight="1">
      <c r="A494" s="4" t="str">
        <f t="shared" si="7"/>
        <v/>
      </c>
      <c r="B494" s="5"/>
      <c r="C494" s="6"/>
      <c r="D494" s="6"/>
      <c r="E494" s="5"/>
      <c r="F494" s="6"/>
      <c r="G494" s="7"/>
      <c r="H494" s="5"/>
      <c r="I494" s="7"/>
      <c r="J494" s="5"/>
    </row>
    <row r="495" spans="1:10" ht="15.6" customHeight="1">
      <c r="A495" s="4" t="str">
        <f t="shared" si="7"/>
        <v/>
      </c>
      <c r="B495" s="5"/>
      <c r="C495" s="6"/>
      <c r="D495" s="6"/>
      <c r="E495" s="5"/>
      <c r="F495" s="6"/>
      <c r="G495" s="7"/>
      <c r="H495" s="5"/>
      <c r="I495" s="7"/>
      <c r="J495" s="5"/>
    </row>
    <row r="496" spans="1:10" ht="15.6" customHeight="1">
      <c r="A496" s="4" t="str">
        <f t="shared" si="7"/>
        <v/>
      </c>
      <c r="B496" s="5"/>
      <c r="C496" s="6"/>
      <c r="D496" s="6"/>
      <c r="E496" s="5"/>
      <c r="F496" s="6"/>
      <c r="G496" s="7"/>
      <c r="H496" s="5"/>
      <c r="I496" s="7"/>
      <c r="J496" s="5"/>
    </row>
    <row r="497" spans="1:10" ht="15.6" customHeight="1">
      <c r="A497" s="4" t="str">
        <f t="shared" si="7"/>
        <v/>
      </c>
      <c r="B497" s="5"/>
      <c r="C497" s="6"/>
      <c r="D497" s="6"/>
      <c r="E497" s="5"/>
      <c r="F497" s="6"/>
      <c r="G497" s="7"/>
      <c r="H497" s="5"/>
      <c r="I497" s="7"/>
      <c r="J497" s="5"/>
    </row>
    <row r="498" spans="1:10" ht="15.6" customHeight="1">
      <c r="A498" s="4" t="str">
        <f t="shared" si="7"/>
        <v/>
      </c>
      <c r="B498" s="5"/>
      <c r="C498" s="6"/>
      <c r="D498" s="6"/>
      <c r="E498" s="5"/>
      <c r="F498" s="6"/>
      <c r="G498" s="7"/>
      <c r="H498" s="5"/>
      <c r="I498" s="7"/>
      <c r="J498" s="5"/>
    </row>
    <row r="499" spans="1:10" ht="15.6" customHeight="1">
      <c r="A499" s="4" t="str">
        <f t="shared" si="7"/>
        <v/>
      </c>
      <c r="B499" s="5"/>
      <c r="C499" s="6"/>
      <c r="D499" s="6"/>
      <c r="E499" s="5"/>
      <c r="F499" s="6"/>
      <c r="G499" s="7"/>
      <c r="H499" s="5"/>
      <c r="I499" s="7"/>
      <c r="J499" s="5"/>
    </row>
    <row r="500" spans="1:10" ht="15.6" customHeight="1">
      <c r="A500" s="4" t="str">
        <f t="shared" si="7"/>
        <v/>
      </c>
      <c r="B500" s="5"/>
      <c r="C500" s="6"/>
      <c r="D500" s="6"/>
      <c r="E500" s="5"/>
      <c r="F500" s="6"/>
      <c r="G500" s="7"/>
      <c r="H500" s="5"/>
      <c r="I500" s="7"/>
      <c r="J500" s="5"/>
    </row>
    <row r="501" spans="1:10" ht="15.6" customHeight="1">
      <c r="A501" s="4" t="str">
        <f t="shared" si="7"/>
        <v/>
      </c>
      <c r="B501" s="5"/>
      <c r="C501" s="6"/>
      <c r="D501" s="6"/>
      <c r="E501" s="5"/>
      <c r="F501" s="6"/>
      <c r="G501" s="7"/>
      <c r="H501" s="5"/>
      <c r="I501" s="7"/>
      <c r="J501" s="5"/>
    </row>
    <row r="502" spans="1:10" ht="15.6" customHeight="1">
      <c r="A502" s="4" t="str">
        <f t="shared" si="7"/>
        <v/>
      </c>
      <c r="B502" s="5"/>
      <c r="C502" s="6"/>
      <c r="D502" s="6"/>
      <c r="E502" s="5"/>
      <c r="F502" s="6"/>
      <c r="G502" s="7"/>
      <c r="H502" s="5"/>
      <c r="I502" s="7"/>
      <c r="J502" s="5"/>
    </row>
    <row r="503" spans="1:10" ht="15.6" customHeight="1">
      <c r="A503" s="4" t="str">
        <f t="shared" si="7"/>
        <v/>
      </c>
      <c r="B503" s="5"/>
      <c r="C503" s="6"/>
      <c r="D503" s="6"/>
      <c r="E503" s="5"/>
      <c r="F503" s="6"/>
      <c r="G503" s="7"/>
      <c r="H503" s="5"/>
      <c r="I503" s="7"/>
      <c r="J503" s="5"/>
    </row>
    <row r="504" spans="1:10" ht="15.6" customHeight="1">
      <c r="A504" s="4" t="str">
        <f t="shared" si="7"/>
        <v/>
      </c>
      <c r="B504" s="5"/>
      <c r="C504" s="6"/>
      <c r="D504" s="6"/>
      <c r="E504" s="5"/>
      <c r="F504" s="6"/>
      <c r="G504" s="7"/>
      <c r="H504" s="5"/>
      <c r="I504" s="7"/>
      <c r="J504" s="5"/>
    </row>
  </sheetData>
  <autoFilter ref="A3:J504" xr:uid="{00000000-0009-0000-0000-000003000000}"/>
  <mergeCells count="9">
    <mergeCell ref="B8:C8"/>
    <mergeCell ref="B12:C12"/>
    <mergeCell ref="B35:C35"/>
    <mergeCell ref="B33:C33"/>
    <mergeCell ref="F1:J1"/>
    <mergeCell ref="A1:E1"/>
    <mergeCell ref="A2:E2"/>
    <mergeCell ref="F2:J2"/>
    <mergeCell ref="B7:C7"/>
  </mergeCells>
  <conditionalFormatting sqref="A4:J6 A9:J11 A7:B8 D7:J8 A13:J32 A12:B12 D12:J12 A36:J504 A35:B35 D35:J35 A34:J34 A33:B33 D33:J33">
    <cfRule type="expression" dxfId="29" priority="1">
      <formula>AND($B4&lt;&gt;"",$F4="Open")</formula>
    </cfRule>
    <cfRule type="expression" dxfId="28" priority="2">
      <formula>AND($B4&lt;&gt;"",$F4="Re-Installed")</formula>
    </cfRule>
    <cfRule type="expression" dxfId="27" priority="3">
      <formula>AND($B4="",MOD(ROW(),2)=0)</formula>
    </cfRule>
  </conditionalFormatting>
  <conditionalFormatting sqref="C4:C6 C9:C11 C13:C32 C36:C504 C34">
    <cfRule type="cellIs" dxfId="26" priority="7" operator="equal">
      <formula>"FWD"</formula>
    </cfRule>
    <cfRule type="cellIs" dxfId="25" priority="8" operator="equal">
      <formula>"MID"</formula>
    </cfRule>
    <cfRule type="cellIs" dxfId="24" priority="9" operator="equal">
      <formula>"AFT"</formula>
    </cfRule>
    <cfRule type="cellIs" dxfId="23" priority="10" operator="equal">
      <formula>"JOINT"</formula>
    </cfRule>
    <cfRule type="cellIs" dxfId="22" priority="11" operator="equal">
      <formula>"FLIGHT DECK"</formula>
    </cfRule>
  </conditionalFormatting>
  <conditionalFormatting sqref="D4:D504">
    <cfRule type="expression" dxfId="21" priority="12">
      <formula>AND($B4&lt;&gt;"",$D4="")</formula>
    </cfRule>
  </conditionalFormatting>
  <conditionalFormatting sqref="F4:F504">
    <cfRule type="cellIs" dxfId="20" priority="4" operator="equal">
      <formula>"Open"</formula>
    </cfRule>
    <cfRule type="cellIs" dxfId="19" priority="5" operator="equal">
      <formula>"Re-Installed"</formula>
    </cfRule>
    <cfRule type="cellIs" dxfId="18" priority="6" operator="equal">
      <formula>"Partially"</formula>
    </cfRule>
  </conditionalFormatting>
  <dataValidations count="2">
    <dataValidation type="list" allowBlank="1" sqref="C4:C6 C9:C11 C36:C504 C13:C32 C34" xr:uid="{00000000-0002-0000-0300-000000000000}">
      <formula1>"FLIGHT DECK,FWD,MID,AFT,JOINT"</formula1>
    </dataValidation>
    <dataValidation type="list" allowBlank="1" sqref="F4:F504" xr:uid="{00000000-0002-0000-0300-000001000000}">
      <formula1>"Open,Re-Installed,Partially"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503"/>
  <sheetViews>
    <sheetView showGridLines="0" zoomScaleNormal="100" workbookViewId="0">
      <pane ySplit="3" topLeftCell="A87" activePane="bottomLeft" state="frozen"/>
      <selection pane="bottomLeft" activeCell="E144" sqref="E144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224" t="s">
        <v>812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</row>
    <row r="2" spans="1:11" ht="16.149999999999999" customHeight="1" thickBot="1">
      <c r="A2" s="223" t="s">
        <v>813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</row>
    <row r="3" spans="1:11" ht="27.75" customHeight="1" thickBot="1">
      <c r="A3" s="2" t="s">
        <v>814</v>
      </c>
      <c r="B3" s="2" t="s">
        <v>815</v>
      </c>
      <c r="C3" s="2" t="s">
        <v>4</v>
      </c>
      <c r="D3" s="2" t="s">
        <v>816</v>
      </c>
      <c r="E3" s="2" t="s">
        <v>817</v>
      </c>
      <c r="F3" s="2" t="s">
        <v>9</v>
      </c>
      <c r="G3" s="2" t="s">
        <v>818</v>
      </c>
      <c r="H3" s="2" t="s">
        <v>819</v>
      </c>
      <c r="I3" s="2" t="s">
        <v>820</v>
      </c>
      <c r="J3" s="2" t="s">
        <v>821</v>
      </c>
      <c r="K3" s="2" t="s">
        <v>822</v>
      </c>
    </row>
    <row r="4" spans="1:11" ht="18" customHeight="1">
      <c r="A4" s="95" t="str">
        <f t="shared" ref="A4:A67" si="0">IF(COUNTA(B4:G4)&gt;0,ROW()-3,"")</f>
        <v/>
      </c>
      <c r="B4" s="96"/>
      <c r="C4" s="58"/>
      <c r="D4" s="70"/>
      <c r="E4" s="97"/>
      <c r="F4" s="58"/>
      <c r="G4" s="70"/>
      <c r="H4" s="98" t="s">
        <v>823</v>
      </c>
      <c r="I4" s="68"/>
      <c r="J4" s="68"/>
      <c r="K4" s="68"/>
    </row>
    <row r="5" spans="1:11" ht="18" customHeight="1">
      <c r="A5" s="95" t="str">
        <f t="shared" si="0"/>
        <v/>
      </c>
      <c r="B5" s="96"/>
      <c r="C5" s="58"/>
      <c r="D5" s="70"/>
      <c r="E5" s="97"/>
      <c r="F5" s="58"/>
      <c r="G5" s="70"/>
      <c r="H5" s="98" t="s">
        <v>823</v>
      </c>
      <c r="I5" s="68"/>
      <c r="J5" s="68"/>
      <c r="K5" s="68"/>
    </row>
    <row r="6" spans="1:11" ht="18" customHeight="1">
      <c r="A6" s="95" t="str">
        <f t="shared" si="0"/>
        <v/>
      </c>
      <c r="B6" s="96"/>
      <c r="C6" s="58"/>
      <c r="D6" s="70"/>
      <c r="E6" s="97"/>
      <c r="F6" s="58"/>
      <c r="G6" s="70"/>
      <c r="H6" s="98" t="s">
        <v>823</v>
      </c>
      <c r="I6" s="68"/>
      <c r="J6" s="68"/>
      <c r="K6" s="68"/>
    </row>
    <row r="7" spans="1:11" ht="18" customHeight="1">
      <c r="A7" s="95" t="str">
        <f t="shared" si="0"/>
        <v/>
      </c>
      <c r="B7" s="96"/>
      <c r="C7" s="58"/>
      <c r="D7" s="70"/>
      <c r="E7" s="97"/>
      <c r="F7" s="58"/>
      <c r="G7" s="70"/>
      <c r="H7" s="98" t="s">
        <v>823</v>
      </c>
      <c r="I7" s="68"/>
      <c r="J7" s="68"/>
      <c r="K7" s="68"/>
    </row>
    <row r="8" spans="1:11" ht="18" customHeight="1">
      <c r="A8" s="95" t="str">
        <f t="shared" si="0"/>
        <v/>
      </c>
      <c r="B8" s="96"/>
      <c r="C8" s="58"/>
      <c r="D8" s="70"/>
      <c r="E8" s="97"/>
      <c r="F8" s="58"/>
      <c r="G8" s="70"/>
      <c r="H8" s="98" t="s">
        <v>823</v>
      </c>
      <c r="I8" s="68"/>
      <c r="J8" s="68"/>
      <c r="K8" s="68"/>
    </row>
    <row r="9" spans="1:11" ht="18" customHeight="1">
      <c r="A9" s="95" t="str">
        <f t="shared" si="0"/>
        <v/>
      </c>
      <c r="B9" s="96"/>
      <c r="C9" s="58"/>
      <c r="D9" s="70"/>
      <c r="E9" s="97"/>
      <c r="F9" s="58"/>
      <c r="G9" s="70"/>
      <c r="H9" s="98" t="s">
        <v>823</v>
      </c>
      <c r="I9" s="68"/>
      <c r="J9" s="68"/>
      <c r="K9" s="68"/>
    </row>
    <row r="10" spans="1:11" ht="18" customHeight="1">
      <c r="A10" s="95" t="str">
        <f t="shared" si="0"/>
        <v/>
      </c>
      <c r="B10" s="96"/>
      <c r="C10" s="58"/>
      <c r="D10" s="70"/>
      <c r="E10" s="97"/>
      <c r="F10" s="58"/>
      <c r="G10" s="70"/>
      <c r="H10" s="98" t="s">
        <v>823</v>
      </c>
      <c r="I10" s="68"/>
      <c r="J10" s="68"/>
      <c r="K10" s="68"/>
    </row>
    <row r="11" spans="1:11" ht="18" customHeight="1">
      <c r="A11" s="95" t="str">
        <f t="shared" si="0"/>
        <v/>
      </c>
      <c r="B11" s="96"/>
      <c r="C11" s="58"/>
      <c r="D11" s="70"/>
      <c r="E11" s="97"/>
      <c r="F11" s="58"/>
      <c r="G11" s="70"/>
      <c r="H11" s="98" t="s">
        <v>823</v>
      </c>
      <c r="I11" s="68"/>
      <c r="J11" s="68"/>
      <c r="K11" s="68"/>
    </row>
    <row r="12" spans="1:11" ht="18" customHeight="1">
      <c r="A12" s="95" t="str">
        <f t="shared" si="0"/>
        <v/>
      </c>
      <c r="B12" s="96"/>
      <c r="C12" s="58"/>
      <c r="D12" s="70"/>
      <c r="E12" s="97"/>
      <c r="F12" s="58"/>
      <c r="G12" s="70"/>
      <c r="H12" s="98" t="s">
        <v>823</v>
      </c>
      <c r="I12" s="68"/>
      <c r="J12" s="68"/>
      <c r="K12" s="68"/>
    </row>
    <row r="13" spans="1:11" ht="18" customHeight="1">
      <c r="A13" s="95" t="str">
        <f t="shared" si="0"/>
        <v/>
      </c>
      <c r="B13" s="96"/>
      <c r="C13" s="58"/>
      <c r="D13" s="70"/>
      <c r="E13" s="97"/>
      <c r="F13" s="58"/>
      <c r="G13" s="70"/>
      <c r="H13" s="98" t="s">
        <v>823</v>
      </c>
      <c r="I13" s="68"/>
      <c r="J13" s="68"/>
      <c r="K13" s="68"/>
    </row>
    <row r="14" spans="1:11" ht="18" customHeight="1">
      <c r="A14" s="95" t="str">
        <f t="shared" si="0"/>
        <v/>
      </c>
      <c r="B14" s="96"/>
      <c r="C14" s="58"/>
      <c r="D14" s="70"/>
      <c r="E14" s="97"/>
      <c r="F14" s="58"/>
      <c r="G14" s="70"/>
      <c r="H14" s="98" t="s">
        <v>823</v>
      </c>
      <c r="I14" s="68"/>
      <c r="J14" s="68"/>
      <c r="K14" s="68"/>
    </row>
    <row r="15" spans="1:11" ht="18" customHeight="1">
      <c r="A15" s="95" t="str">
        <f t="shared" si="0"/>
        <v/>
      </c>
      <c r="B15" s="96"/>
      <c r="C15" s="58"/>
      <c r="D15" s="70"/>
      <c r="E15" s="97"/>
      <c r="F15" s="58"/>
      <c r="G15" s="70"/>
      <c r="H15" s="98" t="s">
        <v>823</v>
      </c>
      <c r="I15" s="68"/>
      <c r="J15" s="68"/>
      <c r="K15" s="68"/>
    </row>
    <row r="16" spans="1:11" ht="18" customHeight="1">
      <c r="A16" s="95" t="str">
        <f t="shared" si="0"/>
        <v/>
      </c>
      <c r="B16" s="96"/>
      <c r="C16" s="58"/>
      <c r="D16" s="70"/>
      <c r="E16" s="97"/>
      <c r="F16" s="58"/>
      <c r="G16" s="70"/>
      <c r="H16" s="98" t="s">
        <v>823</v>
      </c>
      <c r="I16" s="68"/>
      <c r="J16" s="68"/>
      <c r="K16" s="68"/>
    </row>
    <row r="17" spans="1:11" ht="18" customHeight="1">
      <c r="A17" s="95" t="str">
        <f t="shared" si="0"/>
        <v/>
      </c>
      <c r="B17" s="96"/>
      <c r="C17" s="58"/>
      <c r="D17" s="70"/>
      <c r="E17" s="97"/>
      <c r="F17" s="58"/>
      <c r="G17" s="70"/>
      <c r="H17" s="98" t="s">
        <v>823</v>
      </c>
      <c r="I17" s="68"/>
      <c r="J17" s="68"/>
      <c r="K17" s="68"/>
    </row>
    <row r="18" spans="1:11" ht="18" customHeight="1">
      <c r="A18" s="95" t="str">
        <f t="shared" si="0"/>
        <v/>
      </c>
      <c r="B18" s="96"/>
      <c r="C18" s="58"/>
      <c r="D18" s="70"/>
      <c r="E18" s="97"/>
      <c r="F18" s="58"/>
      <c r="G18" s="70"/>
      <c r="H18" s="98" t="s">
        <v>823</v>
      </c>
      <c r="I18" s="68"/>
      <c r="J18" s="68"/>
      <c r="K18" s="68"/>
    </row>
    <row r="19" spans="1:11" ht="18" customHeight="1">
      <c r="A19" s="95" t="str">
        <f t="shared" si="0"/>
        <v/>
      </c>
      <c r="B19" s="96"/>
      <c r="C19" s="58"/>
      <c r="D19" s="70"/>
      <c r="E19" s="97"/>
      <c r="F19" s="58"/>
      <c r="G19" s="70"/>
      <c r="H19" s="98" t="s">
        <v>823</v>
      </c>
      <c r="I19" s="68"/>
      <c r="J19" s="68"/>
      <c r="K19" s="68"/>
    </row>
    <row r="20" spans="1:11" ht="18" customHeight="1">
      <c r="A20" s="95" t="str">
        <f t="shared" si="0"/>
        <v/>
      </c>
      <c r="B20" s="96"/>
      <c r="C20" s="58"/>
      <c r="D20" s="70"/>
      <c r="E20" s="97"/>
      <c r="F20" s="58"/>
      <c r="G20" s="70"/>
      <c r="H20" s="98" t="s">
        <v>823</v>
      </c>
      <c r="I20" s="68"/>
      <c r="J20" s="68"/>
      <c r="K20" s="68"/>
    </row>
    <row r="21" spans="1:11" ht="18" customHeight="1">
      <c r="A21" s="95" t="str">
        <f t="shared" si="0"/>
        <v/>
      </c>
      <c r="B21" s="96"/>
      <c r="C21" s="58"/>
      <c r="D21" s="70"/>
      <c r="E21" s="97"/>
      <c r="F21" s="58"/>
      <c r="G21" s="70"/>
      <c r="H21" s="98" t="s">
        <v>823</v>
      </c>
      <c r="I21" s="68"/>
      <c r="J21" s="68"/>
      <c r="K21" s="68"/>
    </row>
    <row r="22" spans="1:11" ht="18" customHeight="1">
      <c r="A22" s="95" t="str">
        <f t="shared" si="0"/>
        <v/>
      </c>
      <c r="B22" s="96"/>
      <c r="C22" s="58"/>
      <c r="D22" s="70"/>
      <c r="E22" s="97"/>
      <c r="F22" s="58"/>
      <c r="G22" s="70"/>
      <c r="H22" s="98" t="s">
        <v>823</v>
      </c>
      <c r="I22" s="68"/>
      <c r="J22" s="68"/>
      <c r="K22" s="68"/>
    </row>
    <row r="23" spans="1:11" ht="18" customHeight="1">
      <c r="A23" s="95" t="str">
        <f t="shared" si="0"/>
        <v/>
      </c>
      <c r="B23" s="96"/>
      <c r="C23" s="58"/>
      <c r="D23" s="70"/>
      <c r="E23" s="97"/>
      <c r="F23" s="58"/>
      <c r="G23" s="70"/>
      <c r="H23" s="98" t="s">
        <v>823</v>
      </c>
      <c r="I23" s="68"/>
      <c r="J23" s="68"/>
      <c r="K23" s="68"/>
    </row>
    <row r="24" spans="1:11" ht="18" customHeight="1">
      <c r="A24" s="95" t="str">
        <f t="shared" si="0"/>
        <v/>
      </c>
      <c r="B24" s="96"/>
      <c r="C24" s="58"/>
      <c r="D24" s="70"/>
      <c r="E24" s="97"/>
      <c r="F24" s="58"/>
      <c r="G24" s="70"/>
      <c r="H24" s="98" t="s">
        <v>823</v>
      </c>
      <c r="I24" s="68"/>
      <c r="J24" s="68"/>
      <c r="K24" s="68"/>
    </row>
    <row r="25" spans="1:11" ht="18" customHeight="1">
      <c r="A25" s="95" t="str">
        <f t="shared" si="0"/>
        <v/>
      </c>
      <c r="B25" s="96"/>
      <c r="C25" s="58"/>
      <c r="D25" s="70"/>
      <c r="E25" s="97"/>
      <c r="F25" s="58"/>
      <c r="G25" s="70"/>
      <c r="H25" s="98" t="s">
        <v>823</v>
      </c>
      <c r="I25" s="68"/>
      <c r="J25" s="68"/>
      <c r="K25" s="68"/>
    </row>
    <row r="26" spans="1:11" ht="18" customHeight="1">
      <c r="A26" s="95" t="str">
        <f t="shared" si="0"/>
        <v/>
      </c>
      <c r="B26" s="96"/>
      <c r="C26" s="58"/>
      <c r="D26" s="70"/>
      <c r="E26" s="97"/>
      <c r="F26" s="58"/>
      <c r="G26" s="70"/>
      <c r="H26" s="98" t="s">
        <v>823</v>
      </c>
      <c r="I26" s="68"/>
      <c r="J26" s="68"/>
      <c r="K26" s="68"/>
    </row>
    <row r="27" spans="1:11" ht="18" customHeight="1">
      <c r="A27" s="95" t="str">
        <f t="shared" si="0"/>
        <v/>
      </c>
      <c r="B27" s="96"/>
      <c r="C27" s="58"/>
      <c r="D27" s="70"/>
      <c r="E27" s="97"/>
      <c r="F27" s="58"/>
      <c r="G27" s="70"/>
      <c r="H27" s="98" t="s">
        <v>823</v>
      </c>
      <c r="I27" s="68"/>
      <c r="J27" s="68"/>
      <c r="K27" s="68"/>
    </row>
    <row r="28" spans="1:11" ht="18" customHeight="1">
      <c r="A28" s="95" t="str">
        <f t="shared" si="0"/>
        <v/>
      </c>
      <c r="B28" s="96"/>
      <c r="C28" s="58"/>
      <c r="D28" s="70"/>
      <c r="E28" s="97"/>
      <c r="F28" s="58"/>
      <c r="G28" s="70"/>
      <c r="H28" s="98" t="s">
        <v>823</v>
      </c>
      <c r="I28" s="68"/>
      <c r="J28" s="68"/>
      <c r="K28" s="68"/>
    </row>
    <row r="29" spans="1:11" ht="18" customHeight="1">
      <c r="A29" s="95" t="str">
        <f t="shared" si="0"/>
        <v/>
      </c>
      <c r="B29" s="96"/>
      <c r="C29" s="58"/>
      <c r="D29" s="70"/>
      <c r="E29" s="97"/>
      <c r="F29" s="58"/>
      <c r="G29" s="70"/>
      <c r="H29" s="98" t="s">
        <v>823</v>
      </c>
      <c r="I29" s="68"/>
      <c r="J29" s="68"/>
      <c r="K29" s="68"/>
    </row>
    <row r="30" spans="1:11" ht="18" customHeight="1">
      <c r="A30" s="95" t="str">
        <f t="shared" si="0"/>
        <v/>
      </c>
      <c r="B30" s="96"/>
      <c r="C30" s="58"/>
      <c r="D30" s="70"/>
      <c r="E30" s="97"/>
      <c r="F30" s="58"/>
      <c r="G30" s="70"/>
      <c r="H30" s="98" t="s">
        <v>823</v>
      </c>
      <c r="I30" s="68"/>
      <c r="J30" s="68"/>
      <c r="K30" s="68"/>
    </row>
    <row r="31" spans="1:11" ht="18" customHeight="1">
      <c r="A31" s="95" t="str">
        <f t="shared" si="0"/>
        <v/>
      </c>
      <c r="B31" s="96"/>
      <c r="C31" s="58"/>
      <c r="D31" s="70"/>
      <c r="E31" s="97"/>
      <c r="F31" s="58"/>
      <c r="G31" s="70"/>
      <c r="H31" s="98" t="s">
        <v>823</v>
      </c>
      <c r="I31" s="68"/>
      <c r="J31" s="68"/>
      <c r="K31" s="68"/>
    </row>
    <row r="32" spans="1:11" ht="18" customHeight="1">
      <c r="A32" s="95" t="str">
        <f t="shared" si="0"/>
        <v/>
      </c>
      <c r="B32" s="96"/>
      <c r="C32" s="58"/>
      <c r="D32" s="70"/>
      <c r="E32" s="97"/>
      <c r="F32" s="58"/>
      <c r="G32" s="70"/>
      <c r="H32" s="98" t="s">
        <v>823</v>
      </c>
      <c r="I32" s="68"/>
      <c r="J32" s="68"/>
      <c r="K32" s="68"/>
    </row>
    <row r="33" spans="1:11" ht="18" customHeight="1">
      <c r="A33" s="95" t="str">
        <f t="shared" si="0"/>
        <v/>
      </c>
      <c r="B33" s="96"/>
      <c r="C33" s="58"/>
      <c r="D33" s="70"/>
      <c r="E33" s="97"/>
      <c r="F33" s="58"/>
      <c r="G33" s="70"/>
      <c r="H33" s="98" t="s">
        <v>823</v>
      </c>
      <c r="I33" s="68"/>
      <c r="J33" s="68"/>
      <c r="K33" s="68"/>
    </row>
    <row r="34" spans="1:11" ht="18" customHeight="1">
      <c r="A34" s="95" t="str">
        <f t="shared" si="0"/>
        <v/>
      </c>
      <c r="B34" s="96"/>
      <c r="C34" s="58"/>
      <c r="D34" s="70"/>
      <c r="E34" s="97"/>
      <c r="F34" s="58"/>
      <c r="G34" s="70"/>
      <c r="H34" s="98" t="s">
        <v>823</v>
      </c>
      <c r="I34" s="68"/>
      <c r="J34" s="68"/>
      <c r="K34" s="68"/>
    </row>
    <row r="35" spans="1:11" ht="18" customHeight="1">
      <c r="A35" s="95" t="str">
        <f t="shared" si="0"/>
        <v/>
      </c>
      <c r="B35" s="96"/>
      <c r="C35" s="58"/>
      <c r="D35" s="70"/>
      <c r="E35" s="97"/>
      <c r="F35" s="58"/>
      <c r="G35" s="70"/>
      <c r="H35" s="98" t="s">
        <v>823</v>
      </c>
      <c r="I35" s="68"/>
      <c r="J35" s="68"/>
      <c r="K35" s="68"/>
    </row>
    <row r="36" spans="1:11" ht="18" customHeight="1">
      <c r="A36" s="95" t="str">
        <f t="shared" si="0"/>
        <v/>
      </c>
      <c r="B36" s="96"/>
      <c r="C36" s="58"/>
      <c r="D36" s="70"/>
      <c r="E36" s="97"/>
      <c r="F36" s="58"/>
      <c r="G36" s="70"/>
      <c r="H36" s="98" t="s">
        <v>823</v>
      </c>
      <c r="I36" s="68"/>
      <c r="J36" s="68"/>
      <c r="K36" s="68"/>
    </row>
    <row r="37" spans="1:11" ht="18" customHeight="1">
      <c r="A37" s="95" t="str">
        <f t="shared" si="0"/>
        <v/>
      </c>
      <c r="B37" s="96"/>
      <c r="C37" s="58"/>
      <c r="D37" s="70"/>
      <c r="E37" s="97"/>
      <c r="F37" s="58"/>
      <c r="G37" s="70"/>
      <c r="H37" s="98" t="s">
        <v>823</v>
      </c>
      <c r="I37" s="68"/>
      <c r="J37" s="68"/>
      <c r="K37" s="68"/>
    </row>
    <row r="38" spans="1:11" ht="18" customHeight="1">
      <c r="A38" s="95" t="str">
        <f t="shared" si="0"/>
        <v/>
      </c>
      <c r="B38" s="96"/>
      <c r="C38" s="58"/>
      <c r="D38" s="70"/>
      <c r="E38" s="97"/>
      <c r="F38" s="58"/>
      <c r="G38" s="70"/>
      <c r="H38" s="98" t="s">
        <v>823</v>
      </c>
      <c r="I38" s="68"/>
      <c r="J38" s="68"/>
      <c r="K38" s="68"/>
    </row>
    <row r="39" spans="1:11" ht="18" customHeight="1">
      <c r="A39" s="95" t="str">
        <f t="shared" si="0"/>
        <v/>
      </c>
      <c r="B39" s="96"/>
      <c r="C39" s="58"/>
      <c r="D39" s="70"/>
      <c r="E39" s="97"/>
      <c r="F39" s="58"/>
      <c r="G39" s="70"/>
      <c r="H39" s="98" t="s">
        <v>823</v>
      </c>
      <c r="I39" s="68"/>
      <c r="J39" s="68"/>
      <c r="K39" s="68"/>
    </row>
    <row r="40" spans="1:11" ht="18" customHeight="1">
      <c r="A40" s="95" t="str">
        <f t="shared" si="0"/>
        <v/>
      </c>
      <c r="B40" s="96"/>
      <c r="C40" s="58"/>
      <c r="D40" s="70"/>
      <c r="E40" s="97"/>
      <c r="F40" s="58"/>
      <c r="G40" s="70"/>
      <c r="H40" s="98" t="s">
        <v>823</v>
      </c>
      <c r="I40" s="68"/>
      <c r="J40" s="68"/>
      <c r="K40" s="68"/>
    </row>
    <row r="41" spans="1:11" ht="18" customHeight="1">
      <c r="A41" s="95" t="str">
        <f t="shared" si="0"/>
        <v/>
      </c>
      <c r="B41" s="96"/>
      <c r="C41" s="58"/>
      <c r="D41" s="70"/>
      <c r="E41" s="97"/>
      <c r="F41" s="58"/>
      <c r="G41" s="70"/>
      <c r="H41" s="98" t="s">
        <v>823</v>
      </c>
      <c r="I41" s="68"/>
      <c r="J41" s="68"/>
      <c r="K41" s="68"/>
    </row>
    <row r="42" spans="1:11" ht="18" customHeight="1">
      <c r="A42" s="95" t="str">
        <f t="shared" si="0"/>
        <v/>
      </c>
      <c r="B42" s="96"/>
      <c r="C42" s="58"/>
      <c r="D42" s="70"/>
      <c r="E42" s="97"/>
      <c r="F42" s="58"/>
      <c r="G42" s="70"/>
      <c r="H42" s="98" t="s">
        <v>823</v>
      </c>
      <c r="I42" s="68"/>
      <c r="J42" s="68"/>
      <c r="K42" s="68"/>
    </row>
    <row r="43" spans="1:11" ht="18" customHeight="1">
      <c r="A43" s="95" t="str">
        <f t="shared" si="0"/>
        <v/>
      </c>
      <c r="B43" s="96"/>
      <c r="C43" s="58"/>
      <c r="D43" s="70"/>
      <c r="E43" s="97"/>
      <c r="F43" s="58"/>
      <c r="G43" s="70"/>
      <c r="H43" s="98" t="s">
        <v>823</v>
      </c>
      <c r="I43" s="68"/>
      <c r="J43" s="68"/>
      <c r="K43" s="68"/>
    </row>
    <row r="44" spans="1:11" ht="18" customHeight="1">
      <c r="A44" s="95" t="str">
        <f t="shared" si="0"/>
        <v/>
      </c>
      <c r="B44" s="96"/>
      <c r="C44" s="58"/>
      <c r="D44" s="70"/>
      <c r="E44" s="97"/>
      <c r="F44" s="58"/>
      <c r="G44" s="70"/>
      <c r="H44" s="98" t="s">
        <v>823</v>
      </c>
      <c r="I44" s="68"/>
      <c r="J44" s="68"/>
      <c r="K44" s="68"/>
    </row>
    <row r="45" spans="1:11" ht="18" customHeight="1">
      <c r="A45" s="95" t="str">
        <f t="shared" si="0"/>
        <v/>
      </c>
      <c r="B45" s="96"/>
      <c r="C45" s="58"/>
      <c r="D45" s="70"/>
      <c r="E45" s="97"/>
      <c r="F45" s="58"/>
      <c r="G45" s="70"/>
      <c r="H45" s="98" t="s">
        <v>823</v>
      </c>
      <c r="I45" s="68"/>
      <c r="J45" s="68"/>
      <c r="K45" s="68"/>
    </row>
    <row r="46" spans="1:11" ht="18" customHeight="1">
      <c r="A46" s="95" t="str">
        <f t="shared" si="0"/>
        <v/>
      </c>
      <c r="B46" s="96"/>
      <c r="C46" s="58"/>
      <c r="D46" s="70"/>
      <c r="E46" s="97"/>
      <c r="F46" s="58"/>
      <c r="G46" s="70"/>
      <c r="H46" s="98" t="s">
        <v>823</v>
      </c>
      <c r="I46" s="68"/>
      <c r="J46" s="68"/>
      <c r="K46" s="68"/>
    </row>
    <row r="47" spans="1:11" ht="18" customHeight="1">
      <c r="A47" s="95" t="str">
        <f t="shared" si="0"/>
        <v/>
      </c>
      <c r="B47" s="96"/>
      <c r="C47" s="58"/>
      <c r="D47" s="70"/>
      <c r="E47" s="97"/>
      <c r="F47" s="58"/>
      <c r="G47" s="70"/>
      <c r="H47" s="98" t="s">
        <v>823</v>
      </c>
      <c r="I47" s="68"/>
      <c r="J47" s="68"/>
      <c r="K47" s="68"/>
    </row>
    <row r="48" spans="1:11" ht="18" customHeight="1">
      <c r="A48" s="95" t="str">
        <f t="shared" si="0"/>
        <v/>
      </c>
      <c r="B48" s="96"/>
      <c r="C48" s="58"/>
      <c r="D48" s="70"/>
      <c r="E48" s="97"/>
      <c r="F48" s="58"/>
      <c r="G48" s="70"/>
      <c r="H48" s="98" t="s">
        <v>823</v>
      </c>
      <c r="I48" s="68"/>
      <c r="J48" s="68"/>
      <c r="K48" s="68"/>
    </row>
    <row r="49" spans="1:11" ht="18" customHeight="1">
      <c r="A49" s="95" t="str">
        <f t="shared" si="0"/>
        <v/>
      </c>
      <c r="B49" s="96"/>
      <c r="C49" s="58"/>
      <c r="D49" s="70"/>
      <c r="E49" s="97"/>
      <c r="F49" s="58"/>
      <c r="G49" s="70"/>
      <c r="H49" s="98" t="s">
        <v>823</v>
      </c>
      <c r="I49" s="68"/>
      <c r="J49" s="68"/>
      <c r="K49" s="68"/>
    </row>
    <row r="50" spans="1:11" ht="18" customHeight="1">
      <c r="A50" s="95" t="str">
        <f t="shared" si="0"/>
        <v/>
      </c>
      <c r="B50" s="96"/>
      <c r="C50" s="58"/>
      <c r="D50" s="70"/>
      <c r="E50" s="97"/>
      <c r="F50" s="58"/>
      <c r="G50" s="70"/>
      <c r="H50" s="98" t="s">
        <v>823</v>
      </c>
      <c r="I50" s="68"/>
      <c r="J50" s="68"/>
      <c r="K50" s="68"/>
    </row>
    <row r="51" spans="1:11" ht="18" customHeight="1">
      <c r="A51" s="95" t="str">
        <f t="shared" si="0"/>
        <v/>
      </c>
      <c r="B51" s="96"/>
      <c r="C51" s="58"/>
      <c r="D51" s="70"/>
      <c r="E51" s="97"/>
      <c r="F51" s="58"/>
      <c r="G51" s="70"/>
      <c r="H51" s="98" t="s">
        <v>823</v>
      </c>
      <c r="I51" s="68"/>
      <c r="J51" s="68"/>
      <c r="K51" s="68"/>
    </row>
    <row r="52" spans="1:11" ht="18" customHeight="1">
      <c r="A52" s="95" t="str">
        <f t="shared" si="0"/>
        <v/>
      </c>
      <c r="B52" s="96"/>
      <c r="C52" s="58"/>
      <c r="D52" s="70"/>
      <c r="E52" s="97"/>
      <c r="F52" s="58"/>
      <c r="G52" s="70"/>
      <c r="H52" s="98" t="s">
        <v>823</v>
      </c>
      <c r="I52" s="68"/>
      <c r="J52" s="68"/>
      <c r="K52" s="68"/>
    </row>
    <row r="53" spans="1:11" ht="18" customHeight="1">
      <c r="A53" s="95" t="str">
        <f t="shared" si="0"/>
        <v/>
      </c>
      <c r="B53" s="96"/>
      <c r="C53" s="58"/>
      <c r="D53" s="70"/>
      <c r="E53" s="97"/>
      <c r="F53" s="58"/>
      <c r="G53" s="70"/>
      <c r="H53" s="98" t="s">
        <v>823</v>
      </c>
      <c r="I53" s="68"/>
      <c r="J53" s="68"/>
      <c r="K53" s="68"/>
    </row>
    <row r="54" spans="1:11" ht="18" customHeight="1">
      <c r="A54" s="95" t="str">
        <f t="shared" si="0"/>
        <v/>
      </c>
      <c r="B54" s="96"/>
      <c r="C54" s="58"/>
      <c r="D54" s="70"/>
      <c r="E54" s="97"/>
      <c r="F54" s="58"/>
      <c r="G54" s="70"/>
      <c r="H54" s="98" t="s">
        <v>823</v>
      </c>
      <c r="I54" s="68"/>
      <c r="J54" s="68"/>
      <c r="K54" s="68"/>
    </row>
    <row r="55" spans="1:11" ht="18" customHeight="1">
      <c r="A55" s="95" t="str">
        <f t="shared" si="0"/>
        <v/>
      </c>
      <c r="B55" s="96"/>
      <c r="C55" s="58"/>
      <c r="D55" s="70"/>
      <c r="E55" s="97"/>
      <c r="F55" s="58"/>
      <c r="G55" s="70"/>
      <c r="H55" s="98" t="s">
        <v>823</v>
      </c>
      <c r="I55" s="68"/>
      <c r="J55" s="68"/>
      <c r="K55" s="68"/>
    </row>
    <row r="56" spans="1:11" ht="18" customHeight="1">
      <c r="A56" s="95" t="str">
        <f t="shared" si="0"/>
        <v/>
      </c>
      <c r="B56" s="96"/>
      <c r="C56" s="58"/>
      <c r="D56" s="70"/>
      <c r="E56" s="97"/>
      <c r="F56" s="58"/>
      <c r="G56" s="70"/>
      <c r="H56" s="98" t="s">
        <v>823</v>
      </c>
      <c r="I56" s="68"/>
      <c r="J56" s="68"/>
      <c r="K56" s="68"/>
    </row>
    <row r="57" spans="1:11" ht="18" customHeight="1">
      <c r="A57" s="95" t="str">
        <f t="shared" si="0"/>
        <v/>
      </c>
      <c r="B57" s="96"/>
      <c r="C57" s="58"/>
      <c r="D57" s="70"/>
      <c r="E57" s="97"/>
      <c r="F57" s="58"/>
      <c r="G57" s="70"/>
      <c r="H57" s="98" t="s">
        <v>823</v>
      </c>
      <c r="I57" s="68"/>
      <c r="J57" s="68"/>
      <c r="K57" s="68"/>
    </row>
    <row r="58" spans="1:11" ht="18" customHeight="1">
      <c r="A58" s="95" t="str">
        <f t="shared" si="0"/>
        <v/>
      </c>
      <c r="B58" s="96"/>
      <c r="C58" s="58"/>
      <c r="D58" s="70"/>
      <c r="E58" s="97"/>
      <c r="F58" s="58"/>
      <c r="G58" s="70"/>
      <c r="H58" s="98" t="s">
        <v>823</v>
      </c>
      <c r="I58" s="68"/>
      <c r="J58" s="68"/>
      <c r="K58" s="68"/>
    </row>
    <row r="59" spans="1:11" ht="18" customHeight="1">
      <c r="A59" s="95" t="str">
        <f t="shared" si="0"/>
        <v/>
      </c>
      <c r="B59" s="96"/>
      <c r="C59" s="58"/>
      <c r="D59" s="70"/>
      <c r="E59" s="97"/>
      <c r="F59" s="58"/>
      <c r="G59" s="70"/>
      <c r="H59" s="98" t="s">
        <v>823</v>
      </c>
      <c r="I59" s="68"/>
      <c r="J59" s="68"/>
      <c r="K59" s="68"/>
    </row>
    <row r="60" spans="1:11" ht="18" customHeight="1">
      <c r="A60" s="95" t="str">
        <f t="shared" si="0"/>
        <v/>
      </c>
      <c r="B60" s="96"/>
      <c r="C60" s="58"/>
      <c r="D60" s="70"/>
      <c r="E60" s="97"/>
      <c r="F60" s="58"/>
      <c r="G60" s="70"/>
      <c r="H60" s="98" t="s">
        <v>823</v>
      </c>
      <c r="I60" s="68"/>
      <c r="J60" s="68"/>
      <c r="K60" s="68"/>
    </row>
    <row r="61" spans="1:11" ht="18" customHeight="1">
      <c r="A61" s="95" t="str">
        <f t="shared" si="0"/>
        <v/>
      </c>
      <c r="B61" s="96"/>
      <c r="C61" s="58"/>
      <c r="D61" s="70"/>
      <c r="E61" s="97"/>
      <c r="F61" s="58"/>
      <c r="G61" s="70"/>
      <c r="H61" s="98" t="s">
        <v>823</v>
      </c>
      <c r="I61" s="68"/>
      <c r="J61" s="68"/>
      <c r="K61" s="68"/>
    </row>
    <row r="62" spans="1:11" ht="18" customHeight="1">
      <c r="A62" s="95" t="str">
        <f t="shared" si="0"/>
        <v/>
      </c>
      <c r="B62" s="96"/>
      <c r="C62" s="58"/>
      <c r="D62" s="70"/>
      <c r="E62" s="97"/>
      <c r="F62" s="58"/>
      <c r="G62" s="70"/>
      <c r="H62" s="98" t="s">
        <v>823</v>
      </c>
      <c r="I62" s="68"/>
      <c r="J62" s="68"/>
      <c r="K62" s="68"/>
    </row>
    <row r="63" spans="1:11" ht="18" customHeight="1">
      <c r="A63" s="95" t="str">
        <f t="shared" si="0"/>
        <v/>
      </c>
      <c r="B63" s="96"/>
      <c r="C63" s="58"/>
      <c r="D63" s="70"/>
      <c r="E63" s="97"/>
      <c r="F63" s="58"/>
      <c r="G63" s="70"/>
      <c r="H63" s="98" t="s">
        <v>823</v>
      </c>
      <c r="I63" s="68"/>
      <c r="J63" s="68"/>
      <c r="K63" s="68"/>
    </row>
    <row r="64" spans="1:11" ht="18" customHeight="1">
      <c r="A64" s="95" t="str">
        <f t="shared" si="0"/>
        <v/>
      </c>
      <c r="B64" s="96"/>
      <c r="C64" s="58"/>
      <c r="D64" s="70"/>
      <c r="E64" s="97"/>
      <c r="F64" s="58"/>
      <c r="G64" s="70"/>
      <c r="H64" s="98" t="s">
        <v>823</v>
      </c>
      <c r="I64" s="68"/>
      <c r="J64" s="68"/>
      <c r="K64" s="68"/>
    </row>
    <row r="65" spans="1:11" ht="18" customHeight="1">
      <c r="A65" s="95" t="str">
        <f t="shared" si="0"/>
        <v/>
      </c>
      <c r="B65" s="96"/>
      <c r="C65" s="58"/>
      <c r="D65" s="70"/>
      <c r="E65" s="97"/>
      <c r="F65" s="58"/>
      <c r="G65" s="70"/>
      <c r="H65" s="98" t="s">
        <v>823</v>
      </c>
      <c r="I65" s="68"/>
      <c r="J65" s="68"/>
      <c r="K65" s="68"/>
    </row>
    <row r="66" spans="1:11" ht="18" customHeight="1">
      <c r="A66" s="95" t="str">
        <f t="shared" si="0"/>
        <v/>
      </c>
      <c r="B66" s="96"/>
      <c r="C66" s="58"/>
      <c r="D66" s="70"/>
      <c r="E66" s="97"/>
      <c r="F66" s="58"/>
      <c r="G66" s="70"/>
      <c r="H66" s="98" t="s">
        <v>823</v>
      </c>
      <c r="I66" s="68"/>
      <c r="J66" s="68"/>
      <c r="K66" s="68"/>
    </row>
    <row r="67" spans="1:11" ht="18" customHeight="1">
      <c r="A67" s="95" t="str">
        <f t="shared" si="0"/>
        <v/>
      </c>
      <c r="B67" s="96"/>
      <c r="C67" s="58"/>
      <c r="D67" s="70"/>
      <c r="E67" s="97"/>
      <c r="F67" s="58"/>
      <c r="G67" s="70"/>
      <c r="H67" s="98" t="s">
        <v>823</v>
      </c>
      <c r="I67" s="68"/>
      <c r="J67" s="68"/>
      <c r="K67" s="68"/>
    </row>
    <row r="68" spans="1:11" ht="18" customHeight="1">
      <c r="A68" s="95" t="str">
        <f t="shared" ref="A68:A131" si="1">IF(COUNTA(B68:G68)&gt;0,ROW()-3,"")</f>
        <v/>
      </c>
      <c r="B68" s="96"/>
      <c r="C68" s="58"/>
      <c r="D68" s="70"/>
      <c r="E68" s="97"/>
      <c r="F68" s="58"/>
      <c r="G68" s="70"/>
      <c r="H68" s="98" t="s">
        <v>823</v>
      </c>
      <c r="I68" s="68"/>
      <c r="J68" s="68"/>
      <c r="K68" s="68"/>
    </row>
    <row r="69" spans="1:11" ht="18" customHeight="1">
      <c r="A69" s="95" t="str">
        <f t="shared" si="1"/>
        <v/>
      </c>
      <c r="B69" s="96"/>
      <c r="C69" s="58"/>
      <c r="D69" s="70"/>
      <c r="E69" s="97"/>
      <c r="F69" s="58"/>
      <c r="G69" s="70"/>
      <c r="H69" s="98" t="s">
        <v>823</v>
      </c>
      <c r="I69" s="68"/>
      <c r="J69" s="68"/>
      <c r="K69" s="68"/>
    </row>
    <row r="70" spans="1:11" ht="18" customHeight="1">
      <c r="A70" s="95" t="str">
        <f t="shared" si="1"/>
        <v/>
      </c>
      <c r="B70" s="96"/>
      <c r="C70" s="58"/>
      <c r="D70" s="70"/>
      <c r="E70" s="97"/>
      <c r="F70" s="58"/>
      <c r="G70" s="70"/>
      <c r="H70" s="98" t="s">
        <v>823</v>
      </c>
      <c r="I70" s="68"/>
      <c r="J70" s="68"/>
      <c r="K70" s="68"/>
    </row>
    <row r="71" spans="1:11" ht="18" customHeight="1">
      <c r="A71" s="95" t="str">
        <f t="shared" si="1"/>
        <v/>
      </c>
      <c r="B71" s="96"/>
      <c r="C71" s="58"/>
      <c r="D71" s="70"/>
      <c r="E71" s="97"/>
      <c r="F71" s="58"/>
      <c r="G71" s="70"/>
      <c r="H71" s="98" t="s">
        <v>823</v>
      </c>
      <c r="I71" s="68"/>
      <c r="J71" s="68"/>
      <c r="K71" s="68"/>
    </row>
    <row r="72" spans="1:11" ht="18" customHeight="1">
      <c r="A72" s="95" t="str">
        <f t="shared" si="1"/>
        <v/>
      </c>
      <c r="B72" s="96"/>
      <c r="C72" s="58"/>
      <c r="D72" s="70"/>
      <c r="E72" s="97"/>
      <c r="F72" s="58"/>
      <c r="G72" s="70"/>
      <c r="H72" s="98" t="s">
        <v>823</v>
      </c>
      <c r="I72" s="68"/>
      <c r="J72" s="68"/>
      <c r="K72" s="68"/>
    </row>
    <row r="73" spans="1:11" ht="18" customHeight="1">
      <c r="A73" s="95" t="str">
        <f t="shared" si="1"/>
        <v/>
      </c>
      <c r="B73" s="96"/>
      <c r="C73" s="58"/>
      <c r="D73" s="70"/>
      <c r="E73" s="97"/>
      <c r="F73" s="58"/>
      <c r="G73" s="70"/>
      <c r="H73" s="98" t="s">
        <v>823</v>
      </c>
      <c r="I73" s="68"/>
      <c r="J73" s="68"/>
      <c r="K73" s="68"/>
    </row>
    <row r="74" spans="1:11" ht="18" customHeight="1">
      <c r="A74" s="95" t="str">
        <f t="shared" si="1"/>
        <v/>
      </c>
      <c r="B74" s="96"/>
      <c r="C74" s="58"/>
      <c r="D74" s="70"/>
      <c r="E74" s="97"/>
      <c r="F74" s="58"/>
      <c r="G74" s="70"/>
      <c r="H74" s="98" t="s">
        <v>823</v>
      </c>
      <c r="I74" s="68"/>
      <c r="J74" s="68"/>
      <c r="K74" s="68"/>
    </row>
    <row r="75" spans="1:11" ht="18" customHeight="1">
      <c r="A75" s="95" t="str">
        <f t="shared" si="1"/>
        <v/>
      </c>
      <c r="B75" s="96"/>
      <c r="C75" s="58"/>
      <c r="D75" s="70"/>
      <c r="E75" s="97"/>
      <c r="F75" s="58"/>
      <c r="G75" s="70"/>
      <c r="H75" s="98" t="s">
        <v>823</v>
      </c>
      <c r="I75" s="68"/>
      <c r="J75" s="68"/>
      <c r="K75" s="68"/>
    </row>
    <row r="76" spans="1:11" ht="18" customHeight="1">
      <c r="A76" s="95" t="str">
        <f t="shared" si="1"/>
        <v/>
      </c>
      <c r="B76" s="96"/>
      <c r="C76" s="58"/>
      <c r="D76" s="70"/>
      <c r="E76" s="97"/>
      <c r="F76" s="58"/>
      <c r="G76" s="70"/>
      <c r="H76" s="98" t="s">
        <v>823</v>
      </c>
      <c r="I76" s="68"/>
      <c r="J76" s="68"/>
      <c r="K76" s="68"/>
    </row>
    <row r="77" spans="1:11" ht="18" customHeight="1">
      <c r="A77" s="95" t="str">
        <f t="shared" si="1"/>
        <v/>
      </c>
      <c r="B77" s="96"/>
      <c r="C77" s="58"/>
      <c r="D77" s="70"/>
      <c r="E77" s="97"/>
      <c r="F77" s="58"/>
      <c r="G77" s="70"/>
      <c r="H77" s="98" t="s">
        <v>823</v>
      </c>
      <c r="I77" s="68"/>
      <c r="J77" s="68"/>
      <c r="K77" s="68"/>
    </row>
    <row r="78" spans="1:11" ht="18" customHeight="1">
      <c r="A78" s="95" t="str">
        <f t="shared" si="1"/>
        <v/>
      </c>
      <c r="B78" s="96"/>
      <c r="C78" s="58"/>
      <c r="D78" s="70"/>
      <c r="E78" s="97"/>
      <c r="F78" s="58"/>
      <c r="G78" s="70"/>
      <c r="H78" s="98" t="s">
        <v>823</v>
      </c>
      <c r="I78" s="68"/>
      <c r="J78" s="68"/>
      <c r="K78" s="68"/>
    </row>
    <row r="79" spans="1:11" ht="18" customHeight="1">
      <c r="A79" s="95" t="str">
        <f t="shared" si="1"/>
        <v/>
      </c>
      <c r="B79" s="96"/>
      <c r="C79" s="58"/>
      <c r="D79" s="70"/>
      <c r="E79" s="97"/>
      <c r="F79" s="58"/>
      <c r="G79" s="70"/>
      <c r="H79" s="98" t="s">
        <v>823</v>
      </c>
      <c r="I79" s="68"/>
      <c r="J79" s="68"/>
      <c r="K79" s="68"/>
    </row>
    <row r="80" spans="1:11" ht="18" customHeight="1">
      <c r="A80" s="95" t="str">
        <f t="shared" si="1"/>
        <v/>
      </c>
      <c r="B80" s="96"/>
      <c r="C80" s="58"/>
      <c r="D80" s="70"/>
      <c r="E80" s="97"/>
      <c r="F80" s="58"/>
      <c r="G80" s="70"/>
      <c r="H80" s="98" t="s">
        <v>823</v>
      </c>
      <c r="I80" s="68"/>
      <c r="J80" s="68"/>
      <c r="K80" s="68"/>
    </row>
    <row r="81" spans="1:11" ht="18" customHeight="1">
      <c r="A81" s="95" t="str">
        <f t="shared" si="1"/>
        <v/>
      </c>
      <c r="B81" s="96"/>
      <c r="C81" s="58"/>
      <c r="D81" s="70"/>
      <c r="E81" s="97"/>
      <c r="F81" s="58"/>
      <c r="G81" s="70"/>
      <c r="H81" s="98" t="s">
        <v>823</v>
      </c>
      <c r="I81" s="68"/>
      <c r="J81" s="68"/>
      <c r="K81" s="68"/>
    </row>
    <row r="82" spans="1:11" ht="18" customHeight="1">
      <c r="A82" s="95" t="str">
        <f t="shared" si="1"/>
        <v/>
      </c>
      <c r="B82" s="96"/>
      <c r="C82" s="58"/>
      <c r="D82" s="70"/>
      <c r="E82" s="97"/>
      <c r="F82" s="58"/>
      <c r="G82" s="70"/>
      <c r="H82" s="98" t="s">
        <v>823</v>
      </c>
      <c r="I82" s="68"/>
      <c r="J82" s="68"/>
      <c r="K82" s="68"/>
    </row>
    <row r="83" spans="1:11" ht="18" customHeight="1">
      <c r="A83" s="95" t="str">
        <f t="shared" si="1"/>
        <v/>
      </c>
      <c r="B83" s="96"/>
      <c r="C83" s="58"/>
      <c r="D83" s="70"/>
      <c r="E83" s="97"/>
      <c r="F83" s="58"/>
      <c r="G83" s="70"/>
      <c r="H83" s="98" t="s">
        <v>823</v>
      </c>
      <c r="I83" s="68"/>
      <c r="J83" s="68"/>
      <c r="K83" s="68"/>
    </row>
    <row r="84" spans="1:11" ht="18" customHeight="1">
      <c r="A84" s="95" t="str">
        <f t="shared" si="1"/>
        <v/>
      </c>
      <c r="B84" s="96"/>
      <c r="C84" s="58"/>
      <c r="D84" s="70"/>
      <c r="E84" s="97"/>
      <c r="F84" s="58"/>
      <c r="G84" s="70"/>
      <c r="H84" s="98" t="s">
        <v>823</v>
      </c>
      <c r="I84" s="68"/>
      <c r="J84" s="68"/>
      <c r="K84" s="68"/>
    </row>
    <row r="85" spans="1:11" ht="18" customHeight="1">
      <c r="A85" s="95" t="str">
        <f t="shared" si="1"/>
        <v/>
      </c>
      <c r="B85" s="96"/>
      <c r="C85" s="58"/>
      <c r="D85" s="70"/>
      <c r="E85" s="97"/>
      <c r="F85" s="58"/>
      <c r="G85" s="70"/>
      <c r="H85" s="98" t="s">
        <v>823</v>
      </c>
      <c r="I85" s="68"/>
      <c r="J85" s="68"/>
      <c r="K85" s="68"/>
    </row>
    <row r="86" spans="1:11" ht="18" customHeight="1">
      <c r="A86" s="95" t="str">
        <f t="shared" si="1"/>
        <v/>
      </c>
      <c r="B86" s="96"/>
      <c r="C86" s="58"/>
      <c r="D86" s="70"/>
      <c r="E86" s="97"/>
      <c r="F86" s="58"/>
      <c r="G86" s="70"/>
      <c r="H86" s="98" t="s">
        <v>823</v>
      </c>
      <c r="I86" s="68"/>
      <c r="J86" s="68"/>
      <c r="K86" s="68"/>
    </row>
    <row r="87" spans="1:11" ht="18" customHeight="1">
      <c r="A87" s="95" t="str">
        <f t="shared" si="1"/>
        <v/>
      </c>
      <c r="B87" s="96"/>
      <c r="C87" s="58"/>
      <c r="D87" s="70"/>
      <c r="E87" s="97"/>
      <c r="F87" s="58"/>
      <c r="G87" s="70"/>
      <c r="H87" s="98" t="s">
        <v>823</v>
      </c>
      <c r="I87" s="68"/>
      <c r="J87" s="68"/>
      <c r="K87" s="68"/>
    </row>
    <row r="88" spans="1:11" ht="18" customHeight="1">
      <c r="A88" s="95" t="str">
        <f t="shared" si="1"/>
        <v/>
      </c>
      <c r="B88" s="96"/>
      <c r="C88" s="58"/>
      <c r="D88" s="70"/>
      <c r="E88" s="97"/>
      <c r="F88" s="58"/>
      <c r="G88" s="70"/>
      <c r="H88" s="98" t="s">
        <v>823</v>
      </c>
      <c r="I88" s="68"/>
      <c r="J88" s="68"/>
      <c r="K88" s="68"/>
    </row>
    <row r="89" spans="1:11" ht="18" customHeight="1">
      <c r="A89" s="95" t="str">
        <f t="shared" si="1"/>
        <v/>
      </c>
      <c r="B89" s="96"/>
      <c r="C89" s="58"/>
      <c r="D89" s="70"/>
      <c r="E89" s="97"/>
      <c r="F89" s="58"/>
      <c r="G89" s="70"/>
      <c r="H89" s="98" t="s">
        <v>823</v>
      </c>
      <c r="I89" s="68"/>
      <c r="J89" s="68"/>
      <c r="K89" s="68"/>
    </row>
    <row r="90" spans="1:11" ht="18" customHeight="1">
      <c r="A90" s="95" t="str">
        <f t="shared" si="1"/>
        <v/>
      </c>
      <c r="B90" s="96"/>
      <c r="C90" s="58"/>
      <c r="D90" s="70"/>
      <c r="E90" s="97"/>
      <c r="F90" s="58"/>
      <c r="G90" s="70"/>
      <c r="H90" s="98" t="s">
        <v>823</v>
      </c>
      <c r="I90" s="68"/>
      <c r="J90" s="68"/>
      <c r="K90" s="68"/>
    </row>
    <row r="91" spans="1:11" ht="18" customHeight="1">
      <c r="A91" s="95" t="str">
        <f t="shared" si="1"/>
        <v/>
      </c>
      <c r="B91" s="96"/>
      <c r="C91" s="58"/>
      <c r="D91" s="70"/>
      <c r="E91" s="97"/>
      <c r="F91" s="58"/>
      <c r="G91" s="70"/>
      <c r="H91" s="98" t="s">
        <v>823</v>
      </c>
      <c r="I91" s="68"/>
      <c r="J91" s="68"/>
      <c r="K91" s="68"/>
    </row>
    <row r="92" spans="1:11" ht="18" customHeight="1">
      <c r="A92" s="95" t="str">
        <f t="shared" si="1"/>
        <v/>
      </c>
      <c r="B92" s="96"/>
      <c r="C92" s="58"/>
      <c r="D92" s="70"/>
      <c r="E92" s="97"/>
      <c r="F92" s="58"/>
      <c r="G92" s="70"/>
      <c r="H92" s="98" t="s">
        <v>823</v>
      </c>
      <c r="I92" s="68"/>
      <c r="J92" s="68"/>
      <c r="K92" s="68"/>
    </row>
    <row r="93" spans="1:11" ht="18" customHeight="1">
      <c r="A93" s="95" t="str">
        <f t="shared" si="1"/>
        <v/>
      </c>
      <c r="B93" s="96"/>
      <c r="C93" s="58"/>
      <c r="D93" s="70"/>
      <c r="E93" s="97"/>
      <c r="F93" s="58"/>
      <c r="G93" s="70"/>
      <c r="H93" s="98" t="s">
        <v>823</v>
      </c>
      <c r="I93" s="68"/>
      <c r="J93" s="68"/>
      <c r="K93" s="68"/>
    </row>
    <row r="94" spans="1:11" ht="18" customHeight="1">
      <c r="A94" s="95" t="str">
        <f t="shared" si="1"/>
        <v/>
      </c>
      <c r="B94" s="96"/>
      <c r="C94" s="58"/>
      <c r="D94" s="70"/>
      <c r="E94" s="97"/>
      <c r="F94" s="58"/>
      <c r="G94" s="70"/>
      <c r="H94" s="98" t="s">
        <v>823</v>
      </c>
      <c r="I94" s="68"/>
      <c r="J94" s="68"/>
      <c r="K94" s="68"/>
    </row>
    <row r="95" spans="1:11" ht="18" customHeight="1">
      <c r="A95" s="95" t="str">
        <f t="shared" si="1"/>
        <v/>
      </c>
      <c r="B95" s="96"/>
      <c r="C95" s="58"/>
      <c r="D95" s="70"/>
      <c r="E95" s="97"/>
      <c r="F95" s="58"/>
      <c r="G95" s="70"/>
      <c r="H95" s="98" t="s">
        <v>823</v>
      </c>
      <c r="I95" s="68"/>
      <c r="J95" s="68"/>
      <c r="K95" s="68"/>
    </row>
    <row r="96" spans="1:11" ht="18" customHeight="1">
      <c r="A96" s="95" t="str">
        <f t="shared" si="1"/>
        <v/>
      </c>
      <c r="B96" s="96"/>
      <c r="C96" s="58"/>
      <c r="D96" s="70"/>
      <c r="E96" s="97"/>
      <c r="F96" s="58"/>
      <c r="G96" s="70"/>
      <c r="H96" s="98" t="s">
        <v>823</v>
      </c>
      <c r="I96" s="68"/>
      <c r="J96" s="68"/>
      <c r="K96" s="68"/>
    </row>
    <row r="97" spans="1:11" ht="18" customHeight="1">
      <c r="A97" s="95" t="str">
        <f t="shared" si="1"/>
        <v/>
      </c>
      <c r="B97" s="96"/>
      <c r="C97" s="58"/>
      <c r="D97" s="70"/>
      <c r="E97" s="97"/>
      <c r="F97" s="58"/>
      <c r="G97" s="70"/>
      <c r="H97" s="98" t="s">
        <v>823</v>
      </c>
      <c r="I97" s="68"/>
      <c r="J97" s="68"/>
      <c r="K97" s="68"/>
    </row>
    <row r="98" spans="1:11" ht="18" customHeight="1">
      <c r="A98" s="95" t="str">
        <f t="shared" si="1"/>
        <v/>
      </c>
      <c r="B98" s="96"/>
      <c r="C98" s="58"/>
      <c r="D98" s="70"/>
      <c r="E98" s="97"/>
      <c r="F98" s="58"/>
      <c r="G98" s="70"/>
      <c r="H98" s="98" t="s">
        <v>823</v>
      </c>
      <c r="I98" s="68"/>
      <c r="J98" s="68"/>
      <c r="K98" s="68"/>
    </row>
    <row r="99" spans="1:11" ht="18" customHeight="1">
      <c r="A99" s="95" t="str">
        <f t="shared" si="1"/>
        <v/>
      </c>
      <c r="B99" s="96"/>
      <c r="C99" s="58"/>
      <c r="D99" s="70"/>
      <c r="E99" s="97"/>
      <c r="F99" s="58"/>
      <c r="G99" s="70"/>
      <c r="H99" s="98" t="s">
        <v>823</v>
      </c>
      <c r="I99" s="68"/>
      <c r="J99" s="68"/>
      <c r="K99" s="68"/>
    </row>
    <row r="100" spans="1:11" ht="18" customHeight="1">
      <c r="A100" s="95" t="str">
        <f t="shared" si="1"/>
        <v/>
      </c>
      <c r="B100" s="96"/>
      <c r="C100" s="58"/>
      <c r="D100" s="70"/>
      <c r="E100" s="97"/>
      <c r="F100" s="58"/>
      <c r="G100" s="70"/>
      <c r="H100" s="98" t="s">
        <v>823</v>
      </c>
      <c r="I100" s="68"/>
      <c r="J100" s="68"/>
      <c r="K100" s="68"/>
    </row>
    <row r="101" spans="1:11" ht="18" customHeight="1">
      <c r="A101" s="95" t="str">
        <f t="shared" si="1"/>
        <v/>
      </c>
      <c r="B101" s="96"/>
      <c r="C101" s="58"/>
      <c r="D101" s="70"/>
      <c r="E101" s="97"/>
      <c r="F101" s="58"/>
      <c r="G101" s="70"/>
      <c r="H101" s="98" t="s">
        <v>823</v>
      </c>
      <c r="I101" s="68"/>
      <c r="J101" s="68"/>
      <c r="K101" s="68"/>
    </row>
    <row r="102" spans="1:11" ht="18" customHeight="1">
      <c r="A102" s="95" t="str">
        <f t="shared" si="1"/>
        <v/>
      </c>
      <c r="B102" s="96"/>
      <c r="C102" s="58"/>
      <c r="D102" s="70"/>
      <c r="E102" s="97"/>
      <c r="F102" s="58"/>
      <c r="G102" s="70"/>
      <c r="H102" s="98" t="s">
        <v>823</v>
      </c>
      <c r="I102" s="68"/>
      <c r="J102" s="68"/>
      <c r="K102" s="68"/>
    </row>
    <row r="103" spans="1:11" ht="18" customHeight="1">
      <c r="A103" s="95" t="str">
        <f t="shared" si="1"/>
        <v/>
      </c>
      <c r="B103" s="96"/>
      <c r="C103" s="58"/>
      <c r="D103" s="70"/>
      <c r="E103" s="97"/>
      <c r="F103" s="58"/>
      <c r="G103" s="70"/>
      <c r="H103" s="98" t="s">
        <v>823</v>
      </c>
      <c r="I103" s="68"/>
      <c r="J103" s="68"/>
      <c r="K103" s="68"/>
    </row>
    <row r="104" spans="1:11" ht="18" customHeight="1">
      <c r="A104" s="95" t="str">
        <f t="shared" si="1"/>
        <v/>
      </c>
      <c r="B104" s="96"/>
      <c r="C104" s="58"/>
      <c r="D104" s="70"/>
      <c r="E104" s="97"/>
      <c r="F104" s="58"/>
      <c r="G104" s="70"/>
      <c r="H104" s="98" t="s">
        <v>823</v>
      </c>
      <c r="I104" s="68"/>
      <c r="J104" s="68"/>
      <c r="K104" s="68"/>
    </row>
    <row r="105" spans="1:11" ht="18" customHeight="1">
      <c r="A105" s="95" t="str">
        <f t="shared" si="1"/>
        <v/>
      </c>
      <c r="B105" s="96"/>
      <c r="C105" s="58"/>
      <c r="D105" s="70"/>
      <c r="E105" s="97"/>
      <c r="F105" s="58"/>
      <c r="G105" s="70"/>
      <c r="H105" s="98" t="s">
        <v>823</v>
      </c>
      <c r="I105" s="68"/>
      <c r="J105" s="68"/>
      <c r="K105" s="68"/>
    </row>
    <row r="106" spans="1:11" ht="18" customHeight="1">
      <c r="A106" s="95" t="str">
        <f t="shared" si="1"/>
        <v/>
      </c>
      <c r="B106" s="96"/>
      <c r="C106" s="58"/>
      <c r="D106" s="70"/>
      <c r="E106" s="97"/>
      <c r="F106" s="58"/>
      <c r="G106" s="70"/>
      <c r="H106" s="98" t="s">
        <v>823</v>
      </c>
      <c r="I106" s="68"/>
      <c r="J106" s="68"/>
      <c r="K106" s="68"/>
    </row>
    <row r="107" spans="1:11" ht="18" customHeight="1">
      <c r="A107" s="95" t="str">
        <f t="shared" si="1"/>
        <v/>
      </c>
      <c r="B107" s="96"/>
      <c r="C107" s="58"/>
      <c r="D107" s="70"/>
      <c r="E107" s="97"/>
      <c r="F107" s="58"/>
      <c r="G107" s="70"/>
      <c r="H107" s="98" t="s">
        <v>823</v>
      </c>
      <c r="I107" s="68"/>
      <c r="J107" s="68"/>
      <c r="K107" s="68"/>
    </row>
    <row r="108" spans="1:11" ht="18" customHeight="1">
      <c r="A108" s="95" t="str">
        <f t="shared" si="1"/>
        <v/>
      </c>
      <c r="B108" s="96"/>
      <c r="C108" s="58"/>
      <c r="D108" s="70"/>
      <c r="E108" s="97"/>
      <c r="F108" s="58"/>
      <c r="G108" s="70"/>
      <c r="H108" s="98" t="s">
        <v>823</v>
      </c>
      <c r="I108" s="68"/>
      <c r="J108" s="68"/>
      <c r="K108" s="68"/>
    </row>
    <row r="109" spans="1:11" ht="18" customHeight="1">
      <c r="A109" s="95" t="str">
        <f t="shared" si="1"/>
        <v/>
      </c>
      <c r="B109" s="96"/>
      <c r="C109" s="58"/>
      <c r="D109" s="70"/>
      <c r="E109" s="97"/>
      <c r="F109" s="58"/>
      <c r="G109" s="70"/>
      <c r="H109" s="98" t="s">
        <v>823</v>
      </c>
      <c r="I109" s="68"/>
      <c r="J109" s="68"/>
      <c r="K109" s="68"/>
    </row>
    <row r="110" spans="1:11" ht="18" customHeight="1">
      <c r="A110" s="95" t="str">
        <f t="shared" si="1"/>
        <v/>
      </c>
      <c r="B110" s="96"/>
      <c r="C110" s="58"/>
      <c r="D110" s="70"/>
      <c r="E110" s="97"/>
      <c r="F110" s="58"/>
      <c r="G110" s="70"/>
      <c r="H110" s="98" t="s">
        <v>823</v>
      </c>
      <c r="I110" s="68"/>
      <c r="J110" s="68"/>
      <c r="K110" s="68"/>
    </row>
    <row r="111" spans="1:11" ht="18" customHeight="1">
      <c r="A111" s="95" t="str">
        <f t="shared" si="1"/>
        <v/>
      </c>
      <c r="B111" s="96"/>
      <c r="C111" s="58"/>
      <c r="D111" s="70"/>
      <c r="E111" s="97"/>
      <c r="F111" s="58"/>
      <c r="G111" s="70"/>
      <c r="H111" s="98" t="s">
        <v>823</v>
      </c>
      <c r="I111" s="68"/>
      <c r="J111" s="68"/>
      <c r="K111" s="68"/>
    </row>
    <row r="112" spans="1:11" ht="18" customHeight="1">
      <c r="A112" s="95" t="str">
        <f t="shared" si="1"/>
        <v/>
      </c>
      <c r="B112" s="96"/>
      <c r="C112" s="58"/>
      <c r="D112" s="70"/>
      <c r="E112" s="97"/>
      <c r="F112" s="58"/>
      <c r="G112" s="70"/>
      <c r="H112" s="98" t="s">
        <v>823</v>
      </c>
      <c r="I112" s="68"/>
      <c r="J112" s="68"/>
      <c r="K112" s="68"/>
    </row>
    <row r="113" spans="1:11" ht="18" customHeight="1">
      <c r="A113" s="95" t="str">
        <f t="shared" si="1"/>
        <v/>
      </c>
      <c r="B113" s="96"/>
      <c r="C113" s="58"/>
      <c r="D113" s="70"/>
      <c r="E113" s="97"/>
      <c r="F113" s="58"/>
      <c r="G113" s="70"/>
      <c r="H113" s="98" t="s">
        <v>823</v>
      </c>
      <c r="I113" s="68"/>
      <c r="J113" s="68"/>
      <c r="K113" s="68"/>
    </row>
    <row r="114" spans="1:11" ht="18" customHeight="1">
      <c r="A114" s="95" t="str">
        <f t="shared" si="1"/>
        <v/>
      </c>
      <c r="B114" s="96"/>
      <c r="C114" s="58"/>
      <c r="D114" s="70"/>
      <c r="E114" s="97"/>
      <c r="F114" s="58"/>
      <c r="G114" s="70"/>
      <c r="H114" s="98" t="s">
        <v>823</v>
      </c>
      <c r="I114" s="68"/>
      <c r="J114" s="68"/>
      <c r="K114" s="68"/>
    </row>
    <row r="115" spans="1:11" ht="18" customHeight="1">
      <c r="A115" s="95" t="str">
        <f t="shared" si="1"/>
        <v/>
      </c>
      <c r="B115" s="96"/>
      <c r="C115" s="58"/>
      <c r="D115" s="70"/>
      <c r="E115" s="97"/>
      <c r="F115" s="58"/>
      <c r="G115" s="70"/>
      <c r="H115" s="98" t="s">
        <v>823</v>
      </c>
      <c r="I115" s="68"/>
      <c r="J115" s="68"/>
      <c r="K115" s="68"/>
    </row>
    <row r="116" spans="1:11" ht="18" customHeight="1">
      <c r="A116" s="95" t="str">
        <f t="shared" si="1"/>
        <v/>
      </c>
      <c r="B116" s="96"/>
      <c r="C116" s="58"/>
      <c r="D116" s="70"/>
      <c r="E116" s="97"/>
      <c r="F116" s="58"/>
      <c r="G116" s="70"/>
      <c r="H116" s="98" t="s">
        <v>823</v>
      </c>
      <c r="I116" s="68"/>
      <c r="J116" s="68"/>
      <c r="K116" s="68"/>
    </row>
    <row r="117" spans="1:11" ht="18" customHeight="1">
      <c r="A117" s="95" t="str">
        <f t="shared" si="1"/>
        <v/>
      </c>
      <c r="B117" s="96"/>
      <c r="C117" s="58"/>
      <c r="D117" s="70"/>
      <c r="E117" s="97"/>
      <c r="F117" s="58"/>
      <c r="G117" s="70"/>
      <c r="H117" s="98" t="s">
        <v>823</v>
      </c>
      <c r="I117" s="68"/>
      <c r="J117" s="68"/>
      <c r="K117" s="68"/>
    </row>
    <row r="118" spans="1:11" ht="18" customHeight="1">
      <c r="A118" s="95" t="str">
        <f t="shared" si="1"/>
        <v/>
      </c>
      <c r="B118" s="96"/>
      <c r="C118" s="58"/>
      <c r="D118" s="70"/>
      <c r="E118" s="97"/>
      <c r="F118" s="58"/>
      <c r="G118" s="70"/>
      <c r="H118" s="98" t="s">
        <v>823</v>
      </c>
      <c r="I118" s="68"/>
      <c r="J118" s="68"/>
      <c r="K118" s="68"/>
    </row>
    <row r="119" spans="1:11" ht="18" customHeight="1">
      <c r="A119" s="95" t="str">
        <f t="shared" si="1"/>
        <v/>
      </c>
      <c r="B119" s="96"/>
      <c r="C119" s="58"/>
      <c r="D119" s="70"/>
      <c r="E119" s="97"/>
      <c r="F119" s="58"/>
      <c r="G119" s="70"/>
      <c r="H119" s="98" t="s">
        <v>823</v>
      </c>
      <c r="I119" s="68"/>
      <c r="J119" s="68"/>
      <c r="K119" s="68"/>
    </row>
    <row r="120" spans="1:11" ht="18" customHeight="1">
      <c r="A120" s="95" t="str">
        <f t="shared" si="1"/>
        <v/>
      </c>
      <c r="B120" s="96"/>
      <c r="C120" s="58"/>
      <c r="D120" s="70"/>
      <c r="E120" s="97"/>
      <c r="F120" s="58"/>
      <c r="G120" s="70"/>
      <c r="H120" s="98" t="s">
        <v>823</v>
      </c>
      <c r="I120" s="68"/>
      <c r="J120" s="68"/>
      <c r="K120" s="68"/>
    </row>
    <row r="121" spans="1:11" ht="18" customHeight="1">
      <c r="A121" s="95" t="str">
        <f t="shared" si="1"/>
        <v/>
      </c>
      <c r="B121" s="96"/>
      <c r="C121" s="58"/>
      <c r="D121" s="70"/>
      <c r="E121" s="97"/>
      <c r="F121" s="58"/>
      <c r="G121" s="70"/>
      <c r="H121" s="98" t="s">
        <v>823</v>
      </c>
      <c r="I121" s="68"/>
      <c r="J121" s="68"/>
      <c r="K121" s="68"/>
    </row>
    <row r="122" spans="1:11" ht="18" customHeight="1">
      <c r="A122" s="95" t="str">
        <f t="shared" si="1"/>
        <v/>
      </c>
      <c r="B122" s="96"/>
      <c r="C122" s="58"/>
      <c r="D122" s="70"/>
      <c r="E122" s="97"/>
      <c r="F122" s="58"/>
      <c r="G122" s="70"/>
      <c r="H122" s="98" t="s">
        <v>823</v>
      </c>
      <c r="I122" s="68"/>
      <c r="J122" s="68"/>
      <c r="K122" s="68"/>
    </row>
    <row r="123" spans="1:11" ht="18" customHeight="1">
      <c r="A123" s="95" t="str">
        <f t="shared" si="1"/>
        <v/>
      </c>
      <c r="B123" s="96"/>
      <c r="C123" s="58"/>
      <c r="D123" s="70"/>
      <c r="E123" s="97"/>
      <c r="F123" s="58"/>
      <c r="G123" s="70"/>
      <c r="H123" s="98" t="s">
        <v>823</v>
      </c>
      <c r="I123" s="68"/>
      <c r="J123" s="68"/>
      <c r="K123" s="68"/>
    </row>
    <row r="124" spans="1:11" ht="18" customHeight="1">
      <c r="A124" s="95" t="str">
        <f t="shared" si="1"/>
        <v/>
      </c>
      <c r="B124" s="96"/>
      <c r="C124" s="58"/>
      <c r="D124" s="70"/>
      <c r="E124" s="97"/>
      <c r="F124" s="58"/>
      <c r="G124" s="70"/>
      <c r="H124" s="98" t="s">
        <v>823</v>
      </c>
      <c r="I124" s="68"/>
      <c r="J124" s="68"/>
      <c r="K124" s="68"/>
    </row>
    <row r="125" spans="1:11" ht="18" customHeight="1">
      <c r="A125" s="95" t="str">
        <f t="shared" si="1"/>
        <v/>
      </c>
      <c r="B125" s="96"/>
      <c r="C125" s="58"/>
      <c r="D125" s="70"/>
      <c r="E125" s="97"/>
      <c r="F125" s="58"/>
      <c r="G125" s="70"/>
      <c r="H125" s="98" t="s">
        <v>823</v>
      </c>
      <c r="I125" s="68"/>
      <c r="J125" s="68"/>
      <c r="K125" s="68"/>
    </row>
    <row r="126" spans="1:11" ht="18" customHeight="1">
      <c r="A126" s="95" t="str">
        <f t="shared" si="1"/>
        <v/>
      </c>
      <c r="B126" s="96"/>
      <c r="C126" s="58"/>
      <c r="D126" s="70"/>
      <c r="E126" s="97"/>
      <c r="F126" s="58"/>
      <c r="G126" s="70"/>
      <c r="H126" s="98" t="s">
        <v>823</v>
      </c>
      <c r="I126" s="68"/>
      <c r="J126" s="68"/>
      <c r="K126" s="68"/>
    </row>
    <row r="127" spans="1:11" ht="18" customHeight="1">
      <c r="A127" s="95" t="str">
        <f t="shared" si="1"/>
        <v/>
      </c>
      <c r="B127" s="96"/>
      <c r="C127" s="58"/>
      <c r="D127" s="70"/>
      <c r="E127" s="97"/>
      <c r="F127" s="58"/>
      <c r="G127" s="70"/>
      <c r="H127" s="98" t="s">
        <v>823</v>
      </c>
      <c r="I127" s="68"/>
      <c r="J127" s="68"/>
      <c r="K127" s="68"/>
    </row>
    <row r="128" spans="1:11" ht="18" customHeight="1">
      <c r="A128" s="95" t="str">
        <f t="shared" si="1"/>
        <v/>
      </c>
      <c r="B128" s="96"/>
      <c r="C128" s="58"/>
      <c r="D128" s="70"/>
      <c r="E128" s="97"/>
      <c r="F128" s="58"/>
      <c r="G128" s="70"/>
      <c r="H128" s="98" t="s">
        <v>823</v>
      </c>
      <c r="I128" s="68"/>
      <c r="J128" s="68"/>
      <c r="K128" s="68"/>
    </row>
    <row r="129" spans="1:11" ht="18" customHeight="1">
      <c r="A129" s="95" t="str">
        <f t="shared" si="1"/>
        <v/>
      </c>
      <c r="B129" s="96"/>
      <c r="C129" s="58"/>
      <c r="D129" s="70"/>
      <c r="E129" s="97"/>
      <c r="F129" s="58"/>
      <c r="G129" s="70"/>
      <c r="H129" s="98" t="s">
        <v>823</v>
      </c>
      <c r="I129" s="68"/>
      <c r="J129" s="68"/>
      <c r="K129" s="68"/>
    </row>
    <row r="130" spans="1:11" ht="18" customHeight="1">
      <c r="A130" s="95" t="str">
        <f t="shared" si="1"/>
        <v/>
      </c>
      <c r="B130" s="96"/>
      <c r="C130" s="58"/>
      <c r="D130" s="70"/>
      <c r="E130" s="97"/>
      <c r="F130" s="58"/>
      <c r="G130" s="70"/>
      <c r="H130" s="98" t="s">
        <v>823</v>
      </c>
      <c r="I130" s="68"/>
      <c r="J130" s="68"/>
      <c r="K130" s="68"/>
    </row>
    <row r="131" spans="1:11" ht="18" customHeight="1">
      <c r="A131" s="95" t="str">
        <f t="shared" si="1"/>
        <v/>
      </c>
      <c r="B131" s="96"/>
      <c r="C131" s="58"/>
      <c r="D131" s="70"/>
      <c r="E131" s="97"/>
      <c r="F131" s="58"/>
      <c r="G131" s="70"/>
      <c r="H131" s="98" t="s">
        <v>823</v>
      </c>
      <c r="I131" s="68"/>
      <c r="J131" s="68"/>
      <c r="K131" s="68"/>
    </row>
    <row r="132" spans="1:11" ht="18" customHeight="1">
      <c r="A132" s="95" t="str">
        <f t="shared" ref="A132:A195" si="2">IF(COUNTA(B132:G132)&gt;0,ROW()-3,"")</f>
        <v/>
      </c>
      <c r="B132" s="96"/>
      <c r="C132" s="58"/>
      <c r="D132" s="70"/>
      <c r="E132" s="97"/>
      <c r="F132" s="58"/>
      <c r="G132" s="70"/>
      <c r="H132" s="98" t="s">
        <v>823</v>
      </c>
      <c r="I132" s="68"/>
      <c r="J132" s="68"/>
      <c r="K132" s="68"/>
    </row>
    <row r="133" spans="1:11" ht="18" customHeight="1">
      <c r="A133" s="95" t="str">
        <f t="shared" si="2"/>
        <v/>
      </c>
      <c r="B133" s="96"/>
      <c r="C133" s="58"/>
      <c r="D133" s="70"/>
      <c r="E133" s="97"/>
      <c r="F133" s="58"/>
      <c r="G133" s="70"/>
      <c r="H133" s="98" t="s">
        <v>823</v>
      </c>
      <c r="I133" s="68"/>
      <c r="J133" s="68"/>
      <c r="K133" s="68"/>
    </row>
    <row r="134" spans="1:11" ht="18" customHeight="1">
      <c r="A134" s="95" t="str">
        <f t="shared" si="2"/>
        <v/>
      </c>
      <c r="B134" s="96"/>
      <c r="C134" s="58"/>
      <c r="D134" s="70"/>
      <c r="E134" s="97"/>
      <c r="F134" s="58"/>
      <c r="G134" s="70"/>
      <c r="H134" s="98" t="s">
        <v>823</v>
      </c>
      <c r="I134" s="68"/>
      <c r="J134" s="68"/>
      <c r="K134" s="68"/>
    </row>
    <row r="135" spans="1:11" ht="18" customHeight="1">
      <c r="A135" s="95" t="str">
        <f t="shared" si="2"/>
        <v/>
      </c>
      <c r="B135" s="96"/>
      <c r="C135" s="58"/>
      <c r="D135" s="70"/>
      <c r="E135" s="97"/>
      <c r="F135" s="58"/>
      <c r="G135" s="70"/>
      <c r="H135" s="98" t="s">
        <v>823</v>
      </c>
      <c r="I135" s="68"/>
      <c r="J135" s="68"/>
      <c r="K135" s="68"/>
    </row>
    <row r="136" spans="1:11" ht="18" customHeight="1">
      <c r="A136" s="95" t="str">
        <f t="shared" si="2"/>
        <v/>
      </c>
      <c r="B136" s="96"/>
      <c r="C136" s="58"/>
      <c r="D136" s="70"/>
      <c r="E136" s="97"/>
      <c r="F136" s="58"/>
      <c r="G136" s="70"/>
      <c r="H136" s="98" t="s">
        <v>823</v>
      </c>
      <c r="I136" s="68"/>
      <c r="J136" s="68"/>
      <c r="K136" s="68"/>
    </row>
    <row r="137" spans="1:11" ht="18" customHeight="1">
      <c r="A137" s="95" t="str">
        <f t="shared" si="2"/>
        <v/>
      </c>
      <c r="B137" s="96"/>
      <c r="C137" s="58"/>
      <c r="D137" s="70"/>
      <c r="E137" s="97"/>
      <c r="F137" s="58"/>
      <c r="G137" s="70"/>
      <c r="H137" s="98" t="s">
        <v>823</v>
      </c>
      <c r="I137" s="68"/>
      <c r="J137" s="68"/>
      <c r="K137" s="68"/>
    </row>
    <row r="138" spans="1:11" ht="18" customHeight="1">
      <c r="A138" s="95" t="str">
        <f t="shared" si="2"/>
        <v/>
      </c>
      <c r="B138" s="96"/>
      <c r="C138" s="58"/>
      <c r="D138" s="70"/>
      <c r="E138" s="97"/>
      <c r="F138" s="58"/>
      <c r="G138" s="70"/>
      <c r="H138" s="98" t="s">
        <v>823</v>
      </c>
      <c r="I138" s="68"/>
      <c r="J138" s="68"/>
      <c r="K138" s="68"/>
    </row>
    <row r="139" spans="1:11" ht="18" customHeight="1">
      <c r="A139" s="95" t="str">
        <f t="shared" si="2"/>
        <v/>
      </c>
      <c r="B139" s="96"/>
      <c r="C139" s="58"/>
      <c r="D139" s="70"/>
      <c r="E139" s="97"/>
      <c r="F139" s="58"/>
      <c r="G139" s="70"/>
      <c r="H139" s="98" t="s">
        <v>823</v>
      </c>
      <c r="I139" s="68"/>
      <c r="J139" s="68"/>
      <c r="K139" s="68"/>
    </row>
    <row r="140" spans="1:11" ht="18" customHeight="1">
      <c r="A140" s="95" t="str">
        <f t="shared" si="2"/>
        <v/>
      </c>
      <c r="B140" s="96"/>
      <c r="C140" s="58"/>
      <c r="D140" s="70"/>
      <c r="E140" s="97"/>
      <c r="F140" s="58"/>
      <c r="G140" s="70"/>
      <c r="H140" s="98" t="s">
        <v>823</v>
      </c>
      <c r="I140" s="68"/>
      <c r="J140" s="68"/>
      <c r="K140" s="68"/>
    </row>
    <row r="141" spans="1:11" ht="18" customHeight="1">
      <c r="A141" s="95" t="str">
        <f t="shared" si="2"/>
        <v/>
      </c>
      <c r="B141" s="96"/>
      <c r="C141" s="58"/>
      <c r="D141" s="70"/>
      <c r="E141" s="97"/>
      <c r="F141" s="58"/>
      <c r="G141" s="70"/>
      <c r="H141" s="98" t="s">
        <v>823</v>
      </c>
      <c r="I141" s="68"/>
      <c r="J141" s="68"/>
      <c r="K141" s="68"/>
    </row>
    <row r="142" spans="1:11" ht="18" customHeight="1">
      <c r="A142" s="95" t="str">
        <f t="shared" si="2"/>
        <v/>
      </c>
      <c r="B142" s="96"/>
      <c r="C142" s="58"/>
      <c r="D142" s="70"/>
      <c r="E142" s="97"/>
      <c r="F142" s="58"/>
      <c r="G142" s="70"/>
      <c r="H142" s="98" t="s">
        <v>823</v>
      </c>
      <c r="I142" s="68"/>
      <c r="J142" s="68"/>
      <c r="K142" s="68"/>
    </row>
    <row r="143" spans="1:11" ht="18" customHeight="1">
      <c r="A143" s="95" t="str">
        <f t="shared" si="2"/>
        <v/>
      </c>
      <c r="B143" s="96"/>
      <c r="C143" s="58"/>
      <c r="D143" s="70"/>
      <c r="E143" s="97"/>
      <c r="F143" s="58"/>
      <c r="G143" s="70"/>
      <c r="H143" s="98" t="s">
        <v>823</v>
      </c>
      <c r="I143" s="68"/>
      <c r="J143" s="68"/>
      <c r="K143" s="68"/>
    </row>
    <row r="144" spans="1:11" ht="18" customHeight="1">
      <c r="A144" s="95" t="str">
        <f t="shared" si="2"/>
        <v/>
      </c>
      <c r="B144" s="96"/>
      <c r="C144" s="58"/>
      <c r="D144" s="70"/>
      <c r="E144" s="97"/>
      <c r="F144" s="58"/>
      <c r="G144" s="70"/>
      <c r="H144" s="98" t="s">
        <v>823</v>
      </c>
      <c r="I144" s="68"/>
      <c r="J144" s="68"/>
      <c r="K144" s="68"/>
    </row>
    <row r="145" spans="1:11" ht="18" customHeight="1">
      <c r="A145" s="95" t="str">
        <f t="shared" si="2"/>
        <v/>
      </c>
      <c r="B145" s="96"/>
      <c r="C145" s="58"/>
      <c r="D145" s="70"/>
      <c r="E145" s="97"/>
      <c r="F145" s="58"/>
      <c r="G145" s="70"/>
      <c r="H145" s="98" t="s">
        <v>823</v>
      </c>
      <c r="I145" s="68"/>
      <c r="J145" s="68"/>
      <c r="K145" s="68"/>
    </row>
    <row r="146" spans="1:11" ht="18" customHeight="1">
      <c r="A146" s="95" t="str">
        <f t="shared" si="2"/>
        <v/>
      </c>
      <c r="B146" s="96"/>
      <c r="C146" s="58"/>
      <c r="D146" s="70"/>
      <c r="E146" s="97"/>
      <c r="F146" s="58"/>
      <c r="G146" s="70"/>
      <c r="H146" s="98" t="s">
        <v>823</v>
      </c>
      <c r="I146" s="68"/>
      <c r="J146" s="68"/>
      <c r="K146" s="68"/>
    </row>
    <row r="147" spans="1:11" ht="18" customHeight="1">
      <c r="A147" s="95" t="str">
        <f t="shared" si="2"/>
        <v/>
      </c>
      <c r="B147" s="96"/>
      <c r="C147" s="58"/>
      <c r="D147" s="70"/>
      <c r="E147" s="97"/>
      <c r="F147" s="58"/>
      <c r="G147" s="70"/>
      <c r="H147" s="98" t="s">
        <v>823</v>
      </c>
      <c r="I147" s="68"/>
      <c r="J147" s="68"/>
      <c r="K147" s="68"/>
    </row>
    <row r="148" spans="1:11" ht="18" customHeight="1">
      <c r="A148" s="95" t="str">
        <f t="shared" si="2"/>
        <v/>
      </c>
      <c r="B148" s="96"/>
      <c r="C148" s="58"/>
      <c r="D148" s="70"/>
      <c r="E148" s="97"/>
      <c r="F148" s="58"/>
      <c r="G148" s="70"/>
      <c r="H148" s="98" t="s">
        <v>823</v>
      </c>
      <c r="I148" s="68"/>
      <c r="J148" s="68"/>
      <c r="K148" s="68"/>
    </row>
    <row r="149" spans="1:11" ht="18" customHeight="1">
      <c r="A149" s="95" t="str">
        <f t="shared" si="2"/>
        <v/>
      </c>
      <c r="B149" s="96"/>
      <c r="C149" s="58"/>
      <c r="D149" s="70"/>
      <c r="E149" s="97"/>
      <c r="F149" s="58"/>
      <c r="G149" s="70"/>
      <c r="H149" s="98" t="s">
        <v>823</v>
      </c>
      <c r="I149" s="68"/>
      <c r="J149" s="68"/>
      <c r="K149" s="68"/>
    </row>
    <row r="150" spans="1:11" ht="18" customHeight="1">
      <c r="A150" s="95" t="str">
        <f t="shared" si="2"/>
        <v/>
      </c>
      <c r="B150" s="96"/>
      <c r="C150" s="58"/>
      <c r="D150" s="70"/>
      <c r="E150" s="97"/>
      <c r="F150" s="58"/>
      <c r="G150" s="70"/>
      <c r="H150" s="98" t="s">
        <v>823</v>
      </c>
      <c r="I150" s="68"/>
      <c r="J150" s="68"/>
      <c r="K150" s="68"/>
    </row>
    <row r="151" spans="1:11" ht="18" customHeight="1">
      <c r="A151" s="95" t="str">
        <f t="shared" si="2"/>
        <v/>
      </c>
      <c r="B151" s="96"/>
      <c r="C151" s="58"/>
      <c r="D151" s="70"/>
      <c r="E151" s="97"/>
      <c r="F151" s="58"/>
      <c r="G151" s="70"/>
      <c r="H151" s="98" t="s">
        <v>823</v>
      </c>
      <c r="I151" s="68"/>
      <c r="J151" s="68"/>
      <c r="K151" s="68"/>
    </row>
    <row r="152" spans="1:11" ht="18" customHeight="1">
      <c r="A152" s="95" t="str">
        <f t="shared" si="2"/>
        <v/>
      </c>
      <c r="B152" s="96"/>
      <c r="C152" s="58"/>
      <c r="D152" s="70"/>
      <c r="E152" s="97"/>
      <c r="F152" s="58"/>
      <c r="G152" s="70"/>
      <c r="H152" s="98" t="s">
        <v>823</v>
      </c>
      <c r="I152" s="68"/>
      <c r="J152" s="68"/>
      <c r="K152" s="68"/>
    </row>
    <row r="153" spans="1:11" ht="18" customHeight="1">
      <c r="A153" s="95" t="str">
        <f t="shared" si="2"/>
        <v/>
      </c>
      <c r="B153" s="96"/>
      <c r="C153" s="58"/>
      <c r="D153" s="70"/>
      <c r="E153" s="97"/>
      <c r="F153" s="58"/>
      <c r="G153" s="70"/>
      <c r="H153" s="98" t="s">
        <v>823</v>
      </c>
      <c r="I153" s="68"/>
      <c r="J153" s="68"/>
      <c r="K153" s="68"/>
    </row>
    <row r="154" spans="1:11" ht="18" customHeight="1">
      <c r="A154" s="95" t="str">
        <f t="shared" si="2"/>
        <v/>
      </c>
      <c r="B154" s="96"/>
      <c r="C154" s="58"/>
      <c r="D154" s="70"/>
      <c r="E154" s="97"/>
      <c r="F154" s="58"/>
      <c r="G154" s="70"/>
      <c r="H154" s="98" t="s">
        <v>823</v>
      </c>
      <c r="I154" s="68"/>
      <c r="J154" s="68"/>
      <c r="K154" s="68"/>
    </row>
    <row r="155" spans="1:11" ht="18" customHeight="1">
      <c r="A155" s="95" t="str">
        <f t="shared" si="2"/>
        <v/>
      </c>
      <c r="B155" s="96"/>
      <c r="C155" s="58"/>
      <c r="D155" s="70"/>
      <c r="E155" s="97"/>
      <c r="F155" s="58"/>
      <c r="G155" s="70"/>
      <c r="H155" s="98" t="s">
        <v>823</v>
      </c>
      <c r="I155" s="68"/>
      <c r="J155" s="68"/>
      <c r="K155" s="68"/>
    </row>
    <row r="156" spans="1:11" ht="18" customHeight="1">
      <c r="A156" s="95" t="str">
        <f t="shared" si="2"/>
        <v/>
      </c>
      <c r="B156" s="96"/>
      <c r="C156" s="58"/>
      <c r="D156" s="70"/>
      <c r="E156" s="97"/>
      <c r="F156" s="58"/>
      <c r="G156" s="70"/>
      <c r="H156" s="98" t="s">
        <v>823</v>
      </c>
      <c r="I156" s="68"/>
      <c r="J156" s="68"/>
      <c r="K156" s="68"/>
    </row>
    <row r="157" spans="1:11" ht="18" customHeight="1">
      <c r="A157" s="95" t="str">
        <f t="shared" si="2"/>
        <v/>
      </c>
      <c r="B157" s="96"/>
      <c r="C157" s="58"/>
      <c r="D157" s="70"/>
      <c r="E157" s="97"/>
      <c r="F157" s="58"/>
      <c r="G157" s="70"/>
      <c r="H157" s="98" t="s">
        <v>823</v>
      </c>
      <c r="I157" s="68"/>
      <c r="J157" s="68"/>
      <c r="K157" s="68"/>
    </row>
    <row r="158" spans="1:11" ht="18" customHeight="1">
      <c r="A158" s="95" t="str">
        <f t="shared" si="2"/>
        <v/>
      </c>
      <c r="B158" s="96"/>
      <c r="C158" s="58"/>
      <c r="D158" s="70"/>
      <c r="E158" s="97"/>
      <c r="F158" s="58"/>
      <c r="G158" s="70"/>
      <c r="H158" s="98" t="s">
        <v>823</v>
      </c>
      <c r="I158" s="68"/>
      <c r="J158" s="68"/>
      <c r="K158" s="68"/>
    </row>
    <row r="159" spans="1:11" ht="18" customHeight="1">
      <c r="A159" s="95" t="str">
        <f t="shared" si="2"/>
        <v/>
      </c>
      <c r="B159" s="96"/>
      <c r="C159" s="58"/>
      <c r="D159" s="70"/>
      <c r="E159" s="97"/>
      <c r="F159" s="58"/>
      <c r="G159" s="70"/>
      <c r="H159" s="98" t="s">
        <v>823</v>
      </c>
      <c r="I159" s="68"/>
      <c r="J159" s="68"/>
      <c r="K159" s="68"/>
    </row>
    <row r="160" spans="1:11" ht="18" customHeight="1">
      <c r="A160" s="95" t="str">
        <f t="shared" si="2"/>
        <v/>
      </c>
      <c r="B160" s="96"/>
      <c r="C160" s="58"/>
      <c r="D160" s="70"/>
      <c r="E160" s="97"/>
      <c r="F160" s="58"/>
      <c r="G160" s="70"/>
      <c r="H160" s="98" t="s">
        <v>823</v>
      </c>
      <c r="I160" s="68"/>
      <c r="J160" s="68"/>
      <c r="K160" s="68"/>
    </row>
    <row r="161" spans="1:11" ht="18" customHeight="1">
      <c r="A161" s="95" t="str">
        <f t="shared" si="2"/>
        <v/>
      </c>
      <c r="B161" s="96"/>
      <c r="C161" s="58"/>
      <c r="D161" s="70"/>
      <c r="E161" s="97"/>
      <c r="F161" s="58"/>
      <c r="G161" s="70"/>
      <c r="H161" s="98" t="s">
        <v>823</v>
      </c>
      <c r="I161" s="68"/>
      <c r="J161" s="68"/>
      <c r="K161" s="68"/>
    </row>
    <row r="162" spans="1:11" ht="18" customHeight="1">
      <c r="A162" s="95" t="str">
        <f t="shared" si="2"/>
        <v/>
      </c>
      <c r="B162" s="96"/>
      <c r="C162" s="58"/>
      <c r="D162" s="70"/>
      <c r="E162" s="97"/>
      <c r="F162" s="58"/>
      <c r="G162" s="70"/>
      <c r="H162" s="98" t="s">
        <v>823</v>
      </c>
      <c r="I162" s="68"/>
      <c r="J162" s="68"/>
      <c r="K162" s="68"/>
    </row>
    <row r="163" spans="1:11" ht="18" customHeight="1">
      <c r="A163" s="95" t="str">
        <f t="shared" si="2"/>
        <v/>
      </c>
      <c r="B163" s="96"/>
      <c r="C163" s="58"/>
      <c r="D163" s="70"/>
      <c r="E163" s="97"/>
      <c r="F163" s="58"/>
      <c r="G163" s="70"/>
      <c r="H163" s="98" t="s">
        <v>823</v>
      </c>
      <c r="I163" s="68"/>
      <c r="J163" s="68"/>
      <c r="K163" s="68"/>
    </row>
    <row r="164" spans="1:11" ht="18" customHeight="1">
      <c r="A164" s="95" t="str">
        <f t="shared" si="2"/>
        <v/>
      </c>
      <c r="B164" s="96"/>
      <c r="C164" s="58"/>
      <c r="D164" s="70"/>
      <c r="E164" s="97"/>
      <c r="F164" s="58"/>
      <c r="G164" s="70"/>
      <c r="H164" s="98" t="s">
        <v>823</v>
      </c>
      <c r="I164" s="68"/>
      <c r="J164" s="68"/>
      <c r="K164" s="68"/>
    </row>
    <row r="165" spans="1:11" ht="18" customHeight="1">
      <c r="A165" s="95" t="str">
        <f t="shared" si="2"/>
        <v/>
      </c>
      <c r="B165" s="96"/>
      <c r="C165" s="58"/>
      <c r="D165" s="70"/>
      <c r="E165" s="97"/>
      <c r="F165" s="58"/>
      <c r="G165" s="70"/>
      <c r="H165" s="98" t="s">
        <v>823</v>
      </c>
      <c r="I165" s="68"/>
      <c r="J165" s="68"/>
      <c r="K165" s="68"/>
    </row>
    <row r="166" spans="1:11" ht="18" customHeight="1">
      <c r="A166" s="95" t="str">
        <f t="shared" si="2"/>
        <v/>
      </c>
      <c r="B166" s="96"/>
      <c r="C166" s="58"/>
      <c r="D166" s="70"/>
      <c r="E166" s="97"/>
      <c r="F166" s="58"/>
      <c r="G166" s="70"/>
      <c r="H166" s="98" t="s">
        <v>823</v>
      </c>
      <c r="I166" s="68"/>
      <c r="J166" s="68"/>
      <c r="K166" s="68"/>
    </row>
    <row r="167" spans="1:11" ht="18" customHeight="1">
      <c r="A167" s="95" t="str">
        <f t="shared" si="2"/>
        <v/>
      </c>
      <c r="B167" s="96"/>
      <c r="C167" s="58"/>
      <c r="D167" s="70"/>
      <c r="E167" s="97"/>
      <c r="F167" s="58"/>
      <c r="G167" s="70"/>
      <c r="H167" s="98" t="s">
        <v>823</v>
      </c>
      <c r="I167" s="68"/>
      <c r="J167" s="68"/>
      <c r="K167" s="68"/>
    </row>
    <row r="168" spans="1:11" ht="18" customHeight="1">
      <c r="A168" s="95" t="str">
        <f t="shared" si="2"/>
        <v/>
      </c>
      <c r="B168" s="96"/>
      <c r="C168" s="58"/>
      <c r="D168" s="70"/>
      <c r="E168" s="97"/>
      <c r="F168" s="58"/>
      <c r="G168" s="70"/>
      <c r="H168" s="98" t="s">
        <v>823</v>
      </c>
      <c r="I168" s="68"/>
      <c r="J168" s="68"/>
      <c r="K168" s="68"/>
    </row>
    <row r="169" spans="1:11" ht="18" customHeight="1">
      <c r="A169" s="95" t="str">
        <f t="shared" si="2"/>
        <v/>
      </c>
      <c r="B169" s="96"/>
      <c r="C169" s="58"/>
      <c r="D169" s="70"/>
      <c r="E169" s="97"/>
      <c r="F169" s="58"/>
      <c r="G169" s="70"/>
      <c r="H169" s="98" t="s">
        <v>823</v>
      </c>
      <c r="I169" s="68"/>
      <c r="J169" s="68"/>
      <c r="K169" s="68"/>
    </row>
    <row r="170" spans="1:11" ht="18" customHeight="1">
      <c r="A170" s="95" t="str">
        <f t="shared" si="2"/>
        <v/>
      </c>
      <c r="B170" s="96"/>
      <c r="C170" s="58"/>
      <c r="D170" s="70"/>
      <c r="E170" s="97"/>
      <c r="F170" s="58"/>
      <c r="G170" s="70"/>
      <c r="H170" s="98" t="s">
        <v>823</v>
      </c>
      <c r="I170" s="68"/>
      <c r="J170" s="68"/>
      <c r="K170" s="68"/>
    </row>
    <row r="171" spans="1:11" ht="18" customHeight="1">
      <c r="A171" s="95" t="str">
        <f t="shared" si="2"/>
        <v/>
      </c>
      <c r="B171" s="96"/>
      <c r="C171" s="58"/>
      <c r="D171" s="70"/>
      <c r="E171" s="97"/>
      <c r="F171" s="58"/>
      <c r="G171" s="70"/>
      <c r="H171" s="98" t="s">
        <v>823</v>
      </c>
      <c r="I171" s="68"/>
      <c r="J171" s="68"/>
      <c r="K171" s="68"/>
    </row>
    <row r="172" spans="1:11" ht="18" customHeight="1">
      <c r="A172" s="95" t="str">
        <f t="shared" si="2"/>
        <v/>
      </c>
      <c r="B172" s="96"/>
      <c r="C172" s="58"/>
      <c r="D172" s="70"/>
      <c r="E172" s="97"/>
      <c r="F172" s="58"/>
      <c r="G172" s="70"/>
      <c r="H172" s="98" t="s">
        <v>823</v>
      </c>
      <c r="I172" s="68"/>
      <c r="J172" s="68"/>
      <c r="K172" s="68"/>
    </row>
    <row r="173" spans="1:11" ht="18" customHeight="1">
      <c r="A173" s="95" t="str">
        <f t="shared" si="2"/>
        <v/>
      </c>
      <c r="B173" s="96"/>
      <c r="C173" s="58"/>
      <c r="D173" s="70"/>
      <c r="E173" s="97"/>
      <c r="F173" s="58"/>
      <c r="G173" s="70"/>
      <c r="H173" s="98" t="s">
        <v>823</v>
      </c>
      <c r="I173" s="68"/>
      <c r="J173" s="68"/>
      <c r="K173" s="68"/>
    </row>
    <row r="174" spans="1:11" ht="18" customHeight="1">
      <c r="A174" s="95" t="str">
        <f t="shared" si="2"/>
        <v/>
      </c>
      <c r="B174" s="96"/>
      <c r="C174" s="58"/>
      <c r="D174" s="70"/>
      <c r="E174" s="97"/>
      <c r="F174" s="58"/>
      <c r="G174" s="70"/>
      <c r="H174" s="98" t="s">
        <v>823</v>
      </c>
      <c r="I174" s="68"/>
      <c r="J174" s="68"/>
      <c r="K174" s="68"/>
    </row>
    <row r="175" spans="1:11" ht="18" customHeight="1">
      <c r="A175" s="95" t="str">
        <f t="shared" si="2"/>
        <v/>
      </c>
      <c r="B175" s="96"/>
      <c r="C175" s="58"/>
      <c r="D175" s="70"/>
      <c r="E175" s="97"/>
      <c r="F175" s="58"/>
      <c r="G175" s="70"/>
      <c r="H175" s="98" t="s">
        <v>823</v>
      </c>
      <c r="I175" s="68"/>
      <c r="J175" s="68"/>
      <c r="K175" s="68"/>
    </row>
    <row r="176" spans="1:11" ht="18" customHeight="1">
      <c r="A176" s="95" t="str">
        <f t="shared" si="2"/>
        <v/>
      </c>
      <c r="B176" s="96"/>
      <c r="C176" s="58"/>
      <c r="D176" s="70"/>
      <c r="E176" s="97"/>
      <c r="F176" s="58"/>
      <c r="G176" s="70"/>
      <c r="H176" s="98" t="s">
        <v>823</v>
      </c>
      <c r="I176" s="68"/>
      <c r="J176" s="68"/>
      <c r="K176" s="68"/>
    </row>
    <row r="177" spans="1:11" ht="18" customHeight="1">
      <c r="A177" s="95" t="str">
        <f t="shared" si="2"/>
        <v/>
      </c>
      <c r="B177" s="96"/>
      <c r="C177" s="58"/>
      <c r="D177" s="70"/>
      <c r="E177" s="97"/>
      <c r="F177" s="58"/>
      <c r="G177" s="70"/>
      <c r="H177" s="98" t="s">
        <v>823</v>
      </c>
      <c r="I177" s="68"/>
      <c r="J177" s="68"/>
      <c r="K177" s="68"/>
    </row>
    <row r="178" spans="1:11" ht="18" customHeight="1">
      <c r="A178" s="95" t="str">
        <f t="shared" si="2"/>
        <v/>
      </c>
      <c r="B178" s="96"/>
      <c r="C178" s="58"/>
      <c r="D178" s="70"/>
      <c r="E178" s="97"/>
      <c r="F178" s="58"/>
      <c r="G178" s="70"/>
      <c r="H178" s="98" t="s">
        <v>823</v>
      </c>
      <c r="I178" s="68"/>
      <c r="J178" s="68"/>
      <c r="K178" s="68"/>
    </row>
    <row r="179" spans="1:11" ht="18" customHeight="1">
      <c r="A179" s="95" t="str">
        <f t="shared" si="2"/>
        <v/>
      </c>
      <c r="B179" s="96"/>
      <c r="C179" s="58"/>
      <c r="D179" s="70"/>
      <c r="E179" s="97"/>
      <c r="F179" s="58"/>
      <c r="G179" s="70"/>
      <c r="H179" s="98" t="s">
        <v>823</v>
      </c>
      <c r="I179" s="68"/>
      <c r="J179" s="68"/>
      <c r="K179" s="68"/>
    </row>
    <row r="180" spans="1:11" ht="18" customHeight="1">
      <c r="A180" s="95" t="str">
        <f t="shared" si="2"/>
        <v/>
      </c>
      <c r="B180" s="96"/>
      <c r="C180" s="58"/>
      <c r="D180" s="70"/>
      <c r="E180" s="97"/>
      <c r="F180" s="58"/>
      <c r="G180" s="70"/>
      <c r="H180" s="98" t="s">
        <v>823</v>
      </c>
      <c r="I180" s="68"/>
      <c r="J180" s="68"/>
      <c r="K180" s="68"/>
    </row>
    <row r="181" spans="1:11" ht="18" customHeight="1">
      <c r="A181" s="95" t="str">
        <f t="shared" si="2"/>
        <v/>
      </c>
      <c r="B181" s="96"/>
      <c r="C181" s="58"/>
      <c r="D181" s="70"/>
      <c r="E181" s="97"/>
      <c r="F181" s="58"/>
      <c r="G181" s="70"/>
      <c r="H181" s="98" t="s">
        <v>823</v>
      </c>
      <c r="I181" s="68"/>
      <c r="J181" s="68"/>
      <c r="K181" s="68"/>
    </row>
    <row r="182" spans="1:11" ht="18" customHeight="1">
      <c r="A182" s="95" t="str">
        <f t="shared" si="2"/>
        <v/>
      </c>
      <c r="B182" s="96"/>
      <c r="C182" s="58"/>
      <c r="D182" s="70"/>
      <c r="E182" s="97"/>
      <c r="F182" s="58"/>
      <c r="G182" s="70"/>
      <c r="H182" s="98" t="s">
        <v>823</v>
      </c>
      <c r="I182" s="68"/>
      <c r="J182" s="68"/>
      <c r="K182" s="68"/>
    </row>
    <row r="183" spans="1:11" ht="18" customHeight="1">
      <c r="A183" s="95" t="str">
        <f t="shared" si="2"/>
        <v/>
      </c>
      <c r="B183" s="96"/>
      <c r="C183" s="58"/>
      <c r="D183" s="70"/>
      <c r="E183" s="97"/>
      <c r="F183" s="58"/>
      <c r="G183" s="70"/>
      <c r="H183" s="98" t="s">
        <v>823</v>
      </c>
      <c r="I183" s="68"/>
      <c r="J183" s="68"/>
      <c r="K183" s="68"/>
    </row>
    <row r="184" spans="1:11" ht="18" customHeight="1">
      <c r="A184" s="95" t="str">
        <f t="shared" si="2"/>
        <v/>
      </c>
      <c r="B184" s="96"/>
      <c r="C184" s="58"/>
      <c r="D184" s="70"/>
      <c r="E184" s="97"/>
      <c r="F184" s="58"/>
      <c r="G184" s="70"/>
      <c r="H184" s="98" t="s">
        <v>823</v>
      </c>
      <c r="I184" s="68"/>
      <c r="J184" s="68"/>
      <c r="K184" s="68"/>
    </row>
    <row r="185" spans="1:11" ht="18" customHeight="1">
      <c r="A185" s="95" t="str">
        <f t="shared" si="2"/>
        <v/>
      </c>
      <c r="B185" s="96"/>
      <c r="C185" s="58"/>
      <c r="D185" s="70"/>
      <c r="E185" s="97"/>
      <c r="F185" s="58"/>
      <c r="G185" s="70"/>
      <c r="H185" s="98" t="s">
        <v>823</v>
      </c>
      <c r="I185" s="68"/>
      <c r="J185" s="68"/>
      <c r="K185" s="68"/>
    </row>
    <row r="186" spans="1:11" ht="18" customHeight="1">
      <c r="A186" s="95" t="str">
        <f t="shared" si="2"/>
        <v/>
      </c>
      <c r="B186" s="96"/>
      <c r="C186" s="58"/>
      <c r="D186" s="70"/>
      <c r="E186" s="97"/>
      <c r="F186" s="58"/>
      <c r="G186" s="70"/>
      <c r="H186" s="98" t="s">
        <v>823</v>
      </c>
      <c r="I186" s="68"/>
      <c r="J186" s="68"/>
      <c r="K186" s="68"/>
    </row>
    <row r="187" spans="1:11" ht="18" customHeight="1">
      <c r="A187" s="95" t="str">
        <f t="shared" si="2"/>
        <v/>
      </c>
      <c r="B187" s="96"/>
      <c r="C187" s="58"/>
      <c r="D187" s="70"/>
      <c r="E187" s="97"/>
      <c r="F187" s="58"/>
      <c r="G187" s="70"/>
      <c r="H187" s="98" t="s">
        <v>823</v>
      </c>
      <c r="I187" s="68"/>
      <c r="J187" s="68"/>
      <c r="K187" s="68"/>
    </row>
    <row r="188" spans="1:11" ht="18" customHeight="1">
      <c r="A188" s="95" t="str">
        <f t="shared" si="2"/>
        <v/>
      </c>
      <c r="B188" s="96"/>
      <c r="C188" s="58"/>
      <c r="D188" s="70"/>
      <c r="E188" s="97"/>
      <c r="F188" s="58"/>
      <c r="G188" s="70"/>
      <c r="H188" s="98" t="s">
        <v>823</v>
      </c>
      <c r="I188" s="68"/>
      <c r="J188" s="68"/>
      <c r="K188" s="68"/>
    </row>
    <row r="189" spans="1:11" ht="18" customHeight="1">
      <c r="A189" s="95" t="str">
        <f t="shared" si="2"/>
        <v/>
      </c>
      <c r="B189" s="96"/>
      <c r="C189" s="58"/>
      <c r="D189" s="70"/>
      <c r="E189" s="97"/>
      <c r="F189" s="58"/>
      <c r="G189" s="70"/>
      <c r="H189" s="98" t="s">
        <v>823</v>
      </c>
      <c r="I189" s="68"/>
      <c r="J189" s="68"/>
      <c r="K189" s="68"/>
    </row>
    <row r="190" spans="1:11" ht="18" customHeight="1">
      <c r="A190" s="95" t="str">
        <f t="shared" si="2"/>
        <v/>
      </c>
      <c r="B190" s="96"/>
      <c r="C190" s="58"/>
      <c r="D190" s="70"/>
      <c r="E190" s="97"/>
      <c r="F190" s="58"/>
      <c r="G190" s="70"/>
      <c r="H190" s="98" t="s">
        <v>823</v>
      </c>
      <c r="I190" s="68"/>
      <c r="J190" s="68"/>
      <c r="K190" s="68"/>
    </row>
    <row r="191" spans="1:11" ht="18" customHeight="1">
      <c r="A191" s="95" t="str">
        <f t="shared" si="2"/>
        <v/>
      </c>
      <c r="B191" s="96"/>
      <c r="C191" s="58"/>
      <c r="D191" s="70"/>
      <c r="E191" s="97"/>
      <c r="F191" s="58"/>
      <c r="G191" s="70"/>
      <c r="H191" s="98" t="s">
        <v>823</v>
      </c>
      <c r="I191" s="68"/>
      <c r="J191" s="68"/>
      <c r="K191" s="68"/>
    </row>
    <row r="192" spans="1:11" ht="18" customHeight="1">
      <c r="A192" s="95" t="str">
        <f t="shared" si="2"/>
        <v/>
      </c>
      <c r="B192" s="96"/>
      <c r="C192" s="58"/>
      <c r="D192" s="70"/>
      <c r="E192" s="97"/>
      <c r="F192" s="58"/>
      <c r="G192" s="70"/>
      <c r="H192" s="98" t="s">
        <v>823</v>
      </c>
      <c r="I192" s="68"/>
      <c r="J192" s="68"/>
      <c r="K192" s="68"/>
    </row>
    <row r="193" spans="1:11" ht="18" customHeight="1">
      <c r="A193" s="95" t="str">
        <f t="shared" si="2"/>
        <v/>
      </c>
      <c r="B193" s="96"/>
      <c r="C193" s="58"/>
      <c r="D193" s="70"/>
      <c r="E193" s="97"/>
      <c r="F193" s="58"/>
      <c r="G193" s="70"/>
      <c r="H193" s="98" t="s">
        <v>823</v>
      </c>
      <c r="I193" s="68"/>
      <c r="J193" s="68"/>
      <c r="K193" s="68"/>
    </row>
    <row r="194" spans="1:11" ht="18" customHeight="1">
      <c r="A194" s="95" t="str">
        <f t="shared" si="2"/>
        <v/>
      </c>
      <c r="B194" s="96"/>
      <c r="C194" s="58"/>
      <c r="D194" s="70"/>
      <c r="E194" s="97"/>
      <c r="F194" s="58"/>
      <c r="G194" s="70"/>
      <c r="H194" s="98" t="s">
        <v>823</v>
      </c>
      <c r="I194" s="68"/>
      <c r="J194" s="68"/>
      <c r="K194" s="68"/>
    </row>
    <row r="195" spans="1:11" ht="18" customHeight="1">
      <c r="A195" s="95" t="str">
        <f t="shared" si="2"/>
        <v/>
      </c>
      <c r="B195" s="96"/>
      <c r="C195" s="58"/>
      <c r="D195" s="70"/>
      <c r="E195" s="97"/>
      <c r="F195" s="58"/>
      <c r="G195" s="70"/>
      <c r="H195" s="98" t="s">
        <v>823</v>
      </c>
      <c r="I195" s="68"/>
      <c r="J195" s="68"/>
      <c r="K195" s="68"/>
    </row>
    <row r="196" spans="1:11" ht="18" customHeight="1">
      <c r="A196" s="95" t="str">
        <f t="shared" ref="A196:A259" si="3">IF(COUNTA(B196:G196)&gt;0,ROW()-3,"")</f>
        <v/>
      </c>
      <c r="B196" s="96"/>
      <c r="C196" s="58"/>
      <c r="D196" s="70"/>
      <c r="E196" s="97"/>
      <c r="F196" s="58"/>
      <c r="G196" s="70"/>
      <c r="H196" s="98" t="s">
        <v>823</v>
      </c>
      <c r="I196" s="68"/>
      <c r="J196" s="68"/>
      <c r="K196" s="68"/>
    </row>
    <row r="197" spans="1:11" ht="18" customHeight="1">
      <c r="A197" s="95" t="str">
        <f t="shared" si="3"/>
        <v/>
      </c>
      <c r="B197" s="96"/>
      <c r="C197" s="58"/>
      <c r="D197" s="70"/>
      <c r="E197" s="97"/>
      <c r="F197" s="58"/>
      <c r="G197" s="70"/>
      <c r="H197" s="98" t="s">
        <v>823</v>
      </c>
      <c r="I197" s="68"/>
      <c r="J197" s="68"/>
      <c r="K197" s="68"/>
    </row>
    <row r="198" spans="1:11" ht="18" customHeight="1">
      <c r="A198" s="95" t="str">
        <f t="shared" si="3"/>
        <v/>
      </c>
      <c r="B198" s="96"/>
      <c r="C198" s="58"/>
      <c r="D198" s="70"/>
      <c r="E198" s="97"/>
      <c r="F198" s="58"/>
      <c r="G198" s="70"/>
      <c r="H198" s="98" t="s">
        <v>823</v>
      </c>
      <c r="I198" s="68"/>
      <c r="J198" s="68"/>
      <c r="K198" s="68"/>
    </row>
    <row r="199" spans="1:11" ht="18" customHeight="1">
      <c r="A199" s="95" t="str">
        <f t="shared" si="3"/>
        <v/>
      </c>
      <c r="B199" s="96"/>
      <c r="C199" s="58"/>
      <c r="D199" s="70"/>
      <c r="E199" s="97"/>
      <c r="F199" s="58"/>
      <c r="G199" s="70"/>
      <c r="H199" s="98" t="s">
        <v>823</v>
      </c>
      <c r="I199" s="68"/>
      <c r="J199" s="68"/>
      <c r="K199" s="68"/>
    </row>
    <row r="200" spans="1:11" ht="18" customHeight="1">
      <c r="A200" s="95" t="str">
        <f t="shared" si="3"/>
        <v/>
      </c>
      <c r="B200" s="96"/>
      <c r="C200" s="58"/>
      <c r="D200" s="70"/>
      <c r="E200" s="97"/>
      <c r="F200" s="58"/>
      <c r="G200" s="70"/>
      <c r="H200" s="98" t="s">
        <v>823</v>
      </c>
      <c r="I200" s="68"/>
      <c r="J200" s="68"/>
      <c r="K200" s="68"/>
    </row>
    <row r="201" spans="1:11" ht="18" customHeight="1">
      <c r="A201" s="95" t="str">
        <f t="shared" si="3"/>
        <v/>
      </c>
      <c r="B201" s="96"/>
      <c r="C201" s="58"/>
      <c r="D201" s="70"/>
      <c r="E201" s="97"/>
      <c r="F201" s="58"/>
      <c r="G201" s="70"/>
      <c r="H201" s="98" t="s">
        <v>823</v>
      </c>
      <c r="I201" s="68"/>
      <c r="J201" s="68"/>
      <c r="K201" s="68"/>
    </row>
    <row r="202" spans="1:11" ht="18" customHeight="1">
      <c r="A202" s="95" t="str">
        <f t="shared" si="3"/>
        <v/>
      </c>
      <c r="B202" s="96"/>
      <c r="C202" s="58"/>
      <c r="D202" s="70"/>
      <c r="E202" s="97"/>
      <c r="F202" s="58"/>
      <c r="G202" s="70"/>
      <c r="H202" s="98" t="s">
        <v>823</v>
      </c>
      <c r="I202" s="68"/>
      <c r="J202" s="68"/>
      <c r="K202" s="68"/>
    </row>
    <row r="203" spans="1:11" ht="18" customHeight="1">
      <c r="A203" s="95" t="str">
        <f t="shared" si="3"/>
        <v/>
      </c>
      <c r="B203" s="96"/>
      <c r="C203" s="58"/>
      <c r="D203" s="70"/>
      <c r="E203" s="97"/>
      <c r="F203" s="58"/>
      <c r="G203" s="70"/>
      <c r="H203" s="98" t="s">
        <v>823</v>
      </c>
      <c r="I203" s="68"/>
      <c r="J203" s="68"/>
      <c r="K203" s="68"/>
    </row>
    <row r="204" spans="1:11" ht="18" customHeight="1">
      <c r="A204" s="95" t="str">
        <f t="shared" si="3"/>
        <v/>
      </c>
      <c r="B204" s="96"/>
      <c r="C204" s="58"/>
      <c r="D204" s="70"/>
      <c r="E204" s="97"/>
      <c r="F204" s="58"/>
      <c r="G204" s="70"/>
      <c r="H204" s="98" t="s">
        <v>823</v>
      </c>
      <c r="I204" s="68"/>
      <c r="J204" s="68"/>
      <c r="K204" s="68"/>
    </row>
    <row r="205" spans="1:11" ht="18" customHeight="1">
      <c r="A205" s="95" t="str">
        <f t="shared" si="3"/>
        <v/>
      </c>
      <c r="B205" s="96"/>
      <c r="C205" s="58"/>
      <c r="D205" s="70"/>
      <c r="E205" s="97"/>
      <c r="F205" s="58"/>
      <c r="G205" s="70"/>
      <c r="H205" s="98" t="s">
        <v>823</v>
      </c>
      <c r="I205" s="68"/>
      <c r="J205" s="68"/>
      <c r="K205" s="68"/>
    </row>
    <row r="206" spans="1:11" ht="18" customHeight="1">
      <c r="A206" s="95" t="str">
        <f t="shared" si="3"/>
        <v/>
      </c>
      <c r="B206" s="96"/>
      <c r="C206" s="58"/>
      <c r="D206" s="70"/>
      <c r="E206" s="97"/>
      <c r="F206" s="58"/>
      <c r="G206" s="70"/>
      <c r="H206" s="98" t="s">
        <v>823</v>
      </c>
      <c r="I206" s="68"/>
      <c r="J206" s="68"/>
      <c r="K206" s="68"/>
    </row>
    <row r="207" spans="1:11" ht="18" customHeight="1">
      <c r="A207" s="95" t="str">
        <f t="shared" si="3"/>
        <v/>
      </c>
      <c r="B207" s="96"/>
      <c r="C207" s="58"/>
      <c r="D207" s="70"/>
      <c r="E207" s="97"/>
      <c r="F207" s="58"/>
      <c r="G207" s="70"/>
      <c r="H207" s="98" t="s">
        <v>823</v>
      </c>
      <c r="I207" s="68"/>
      <c r="J207" s="68"/>
      <c r="K207" s="68"/>
    </row>
    <row r="208" spans="1:11" ht="18" customHeight="1">
      <c r="A208" s="95" t="str">
        <f t="shared" si="3"/>
        <v/>
      </c>
      <c r="B208" s="96"/>
      <c r="C208" s="58"/>
      <c r="D208" s="70"/>
      <c r="E208" s="97"/>
      <c r="F208" s="58"/>
      <c r="G208" s="70"/>
      <c r="H208" s="98" t="s">
        <v>823</v>
      </c>
      <c r="I208" s="68"/>
      <c r="J208" s="68"/>
      <c r="K208" s="68"/>
    </row>
    <row r="209" spans="1:11" ht="18" customHeight="1">
      <c r="A209" s="95" t="str">
        <f t="shared" si="3"/>
        <v/>
      </c>
      <c r="B209" s="96"/>
      <c r="C209" s="58"/>
      <c r="D209" s="70"/>
      <c r="E209" s="97"/>
      <c r="F209" s="58"/>
      <c r="G209" s="70"/>
      <c r="H209" s="98" t="s">
        <v>823</v>
      </c>
      <c r="I209" s="68"/>
      <c r="J209" s="68"/>
      <c r="K209" s="68"/>
    </row>
    <row r="210" spans="1:11" ht="18" customHeight="1">
      <c r="A210" s="95" t="str">
        <f t="shared" si="3"/>
        <v/>
      </c>
      <c r="B210" s="96"/>
      <c r="C210" s="58"/>
      <c r="D210" s="70"/>
      <c r="E210" s="97"/>
      <c r="F210" s="58"/>
      <c r="G210" s="70"/>
      <c r="H210" s="98" t="s">
        <v>823</v>
      </c>
      <c r="I210" s="68"/>
      <c r="J210" s="68"/>
      <c r="K210" s="68"/>
    </row>
    <row r="211" spans="1:11" ht="18" customHeight="1">
      <c r="A211" s="95" t="str">
        <f t="shared" si="3"/>
        <v/>
      </c>
      <c r="B211" s="96"/>
      <c r="C211" s="58"/>
      <c r="D211" s="70"/>
      <c r="E211" s="97"/>
      <c r="F211" s="58"/>
      <c r="G211" s="70"/>
      <c r="H211" s="98" t="s">
        <v>823</v>
      </c>
      <c r="I211" s="68"/>
      <c r="J211" s="68"/>
      <c r="K211" s="68"/>
    </row>
    <row r="212" spans="1:11" ht="18" customHeight="1">
      <c r="A212" s="95" t="str">
        <f t="shared" si="3"/>
        <v/>
      </c>
      <c r="B212" s="96"/>
      <c r="C212" s="58"/>
      <c r="D212" s="70"/>
      <c r="E212" s="97"/>
      <c r="F212" s="58"/>
      <c r="G212" s="70"/>
      <c r="H212" s="98" t="s">
        <v>823</v>
      </c>
      <c r="I212" s="68"/>
      <c r="J212" s="68"/>
      <c r="K212" s="68"/>
    </row>
    <row r="213" spans="1:11" ht="18" customHeight="1">
      <c r="A213" s="95" t="str">
        <f t="shared" si="3"/>
        <v/>
      </c>
      <c r="B213" s="96"/>
      <c r="C213" s="58"/>
      <c r="D213" s="70"/>
      <c r="E213" s="97"/>
      <c r="F213" s="58"/>
      <c r="G213" s="70"/>
      <c r="H213" s="98" t="s">
        <v>823</v>
      </c>
      <c r="I213" s="68"/>
      <c r="J213" s="68"/>
      <c r="K213" s="68"/>
    </row>
    <row r="214" spans="1:11" ht="18" customHeight="1">
      <c r="A214" s="95" t="str">
        <f t="shared" si="3"/>
        <v/>
      </c>
      <c r="B214" s="96"/>
      <c r="C214" s="58"/>
      <c r="D214" s="70"/>
      <c r="E214" s="97"/>
      <c r="F214" s="58"/>
      <c r="G214" s="70"/>
      <c r="H214" s="98" t="s">
        <v>823</v>
      </c>
      <c r="I214" s="68"/>
      <c r="J214" s="68"/>
      <c r="K214" s="68"/>
    </row>
    <row r="215" spans="1:11" ht="18" customHeight="1">
      <c r="A215" s="95" t="str">
        <f t="shared" si="3"/>
        <v/>
      </c>
      <c r="B215" s="96"/>
      <c r="C215" s="58"/>
      <c r="D215" s="70"/>
      <c r="E215" s="97"/>
      <c r="F215" s="58"/>
      <c r="G215" s="70"/>
      <c r="H215" s="98" t="s">
        <v>823</v>
      </c>
      <c r="I215" s="68"/>
      <c r="J215" s="68"/>
      <c r="K215" s="68"/>
    </row>
    <row r="216" spans="1:11" ht="18" customHeight="1">
      <c r="A216" s="95" t="str">
        <f t="shared" si="3"/>
        <v/>
      </c>
      <c r="B216" s="96"/>
      <c r="C216" s="58"/>
      <c r="D216" s="70"/>
      <c r="E216" s="97"/>
      <c r="F216" s="58"/>
      <c r="G216" s="70"/>
      <c r="H216" s="98" t="s">
        <v>823</v>
      </c>
      <c r="I216" s="68"/>
      <c r="J216" s="68"/>
      <c r="K216" s="68"/>
    </row>
    <row r="217" spans="1:11" ht="18" customHeight="1">
      <c r="A217" s="95" t="str">
        <f t="shared" si="3"/>
        <v/>
      </c>
      <c r="B217" s="96"/>
      <c r="C217" s="58"/>
      <c r="D217" s="70"/>
      <c r="E217" s="97"/>
      <c r="F217" s="58"/>
      <c r="G217" s="70"/>
      <c r="H217" s="98" t="s">
        <v>823</v>
      </c>
      <c r="I217" s="68"/>
      <c r="J217" s="68"/>
      <c r="K217" s="68"/>
    </row>
    <row r="218" spans="1:11" ht="18" customHeight="1">
      <c r="A218" s="95" t="str">
        <f t="shared" si="3"/>
        <v/>
      </c>
      <c r="B218" s="96"/>
      <c r="C218" s="58"/>
      <c r="D218" s="70"/>
      <c r="E218" s="97"/>
      <c r="F218" s="58"/>
      <c r="G218" s="70"/>
      <c r="H218" s="98" t="s">
        <v>823</v>
      </c>
      <c r="I218" s="68"/>
      <c r="J218" s="68"/>
      <c r="K218" s="68"/>
    </row>
    <row r="219" spans="1:11" ht="18" customHeight="1">
      <c r="A219" s="95" t="str">
        <f t="shared" si="3"/>
        <v/>
      </c>
      <c r="B219" s="96"/>
      <c r="C219" s="58"/>
      <c r="D219" s="70"/>
      <c r="E219" s="97"/>
      <c r="F219" s="58"/>
      <c r="G219" s="70"/>
      <c r="H219" s="98" t="s">
        <v>823</v>
      </c>
      <c r="I219" s="68"/>
      <c r="J219" s="68"/>
      <c r="K219" s="68"/>
    </row>
    <row r="220" spans="1:11" ht="18" customHeight="1">
      <c r="A220" s="95" t="str">
        <f t="shared" si="3"/>
        <v/>
      </c>
      <c r="B220" s="96"/>
      <c r="C220" s="58"/>
      <c r="D220" s="70"/>
      <c r="E220" s="97"/>
      <c r="F220" s="58"/>
      <c r="G220" s="70"/>
      <c r="H220" s="98" t="s">
        <v>823</v>
      </c>
      <c r="I220" s="68"/>
      <c r="J220" s="68"/>
      <c r="K220" s="68"/>
    </row>
    <row r="221" spans="1:11" ht="18" customHeight="1">
      <c r="A221" s="95" t="str">
        <f t="shared" si="3"/>
        <v/>
      </c>
      <c r="B221" s="96"/>
      <c r="C221" s="58"/>
      <c r="D221" s="70"/>
      <c r="E221" s="97"/>
      <c r="F221" s="58"/>
      <c r="G221" s="70"/>
      <c r="H221" s="98" t="s">
        <v>823</v>
      </c>
      <c r="I221" s="68"/>
      <c r="J221" s="68"/>
      <c r="K221" s="68"/>
    </row>
    <row r="222" spans="1:11" ht="18" customHeight="1">
      <c r="A222" s="95" t="str">
        <f t="shared" si="3"/>
        <v/>
      </c>
      <c r="B222" s="96"/>
      <c r="C222" s="58"/>
      <c r="D222" s="70"/>
      <c r="E222" s="97"/>
      <c r="F222" s="58"/>
      <c r="G222" s="70"/>
      <c r="H222" s="98" t="s">
        <v>823</v>
      </c>
      <c r="I222" s="68"/>
      <c r="J222" s="68"/>
      <c r="K222" s="68"/>
    </row>
    <row r="223" spans="1:11" ht="18" customHeight="1">
      <c r="A223" s="95" t="str">
        <f t="shared" si="3"/>
        <v/>
      </c>
      <c r="B223" s="96"/>
      <c r="C223" s="58"/>
      <c r="D223" s="70"/>
      <c r="E223" s="97"/>
      <c r="F223" s="58"/>
      <c r="G223" s="70"/>
      <c r="H223" s="98" t="s">
        <v>823</v>
      </c>
      <c r="I223" s="68"/>
      <c r="J223" s="68"/>
      <c r="K223" s="68"/>
    </row>
    <row r="224" spans="1:11" ht="18" customHeight="1">
      <c r="A224" s="95" t="str">
        <f t="shared" si="3"/>
        <v/>
      </c>
      <c r="B224" s="96"/>
      <c r="C224" s="58"/>
      <c r="D224" s="70"/>
      <c r="E224" s="97"/>
      <c r="F224" s="58"/>
      <c r="G224" s="70"/>
      <c r="H224" s="98" t="s">
        <v>823</v>
      </c>
      <c r="I224" s="68"/>
      <c r="J224" s="68"/>
      <c r="K224" s="68"/>
    </row>
    <row r="225" spans="1:11" ht="18" customHeight="1">
      <c r="A225" s="95" t="str">
        <f t="shared" si="3"/>
        <v/>
      </c>
      <c r="B225" s="96"/>
      <c r="C225" s="58"/>
      <c r="D225" s="70"/>
      <c r="E225" s="97"/>
      <c r="F225" s="58"/>
      <c r="G225" s="70"/>
      <c r="H225" s="98" t="s">
        <v>823</v>
      </c>
      <c r="I225" s="68"/>
      <c r="J225" s="68"/>
      <c r="K225" s="68"/>
    </row>
    <row r="226" spans="1:11" ht="18" customHeight="1">
      <c r="A226" s="95" t="str">
        <f t="shared" si="3"/>
        <v/>
      </c>
      <c r="B226" s="96"/>
      <c r="C226" s="58"/>
      <c r="D226" s="70"/>
      <c r="E226" s="97"/>
      <c r="F226" s="58"/>
      <c r="G226" s="70"/>
      <c r="H226" s="98" t="s">
        <v>823</v>
      </c>
      <c r="I226" s="68"/>
      <c r="J226" s="68"/>
      <c r="K226" s="68"/>
    </row>
    <row r="227" spans="1:11" ht="18" customHeight="1">
      <c r="A227" s="95" t="str">
        <f t="shared" si="3"/>
        <v/>
      </c>
      <c r="B227" s="96"/>
      <c r="C227" s="58"/>
      <c r="D227" s="70"/>
      <c r="E227" s="97"/>
      <c r="F227" s="58"/>
      <c r="G227" s="70"/>
      <c r="H227" s="98" t="s">
        <v>823</v>
      </c>
      <c r="I227" s="68"/>
      <c r="J227" s="68"/>
      <c r="K227" s="68"/>
    </row>
    <row r="228" spans="1:11" ht="18" customHeight="1">
      <c r="A228" s="95" t="str">
        <f t="shared" si="3"/>
        <v/>
      </c>
      <c r="B228" s="96"/>
      <c r="C228" s="58"/>
      <c r="D228" s="70"/>
      <c r="E228" s="97"/>
      <c r="F228" s="58"/>
      <c r="G228" s="70"/>
      <c r="H228" s="98" t="s">
        <v>823</v>
      </c>
      <c r="I228" s="68"/>
      <c r="J228" s="68"/>
      <c r="K228" s="68"/>
    </row>
    <row r="229" spans="1:11" ht="18" customHeight="1">
      <c r="A229" s="95" t="str">
        <f t="shared" si="3"/>
        <v/>
      </c>
      <c r="B229" s="96"/>
      <c r="C229" s="58"/>
      <c r="D229" s="70"/>
      <c r="E229" s="97"/>
      <c r="F229" s="58"/>
      <c r="G229" s="70"/>
      <c r="H229" s="98" t="s">
        <v>823</v>
      </c>
      <c r="I229" s="68"/>
      <c r="J229" s="68"/>
      <c r="K229" s="68"/>
    </row>
    <row r="230" spans="1:11" ht="18" customHeight="1">
      <c r="A230" s="95" t="str">
        <f t="shared" si="3"/>
        <v/>
      </c>
      <c r="B230" s="96"/>
      <c r="C230" s="58"/>
      <c r="D230" s="70"/>
      <c r="E230" s="97"/>
      <c r="F230" s="58"/>
      <c r="G230" s="70"/>
      <c r="H230" s="98" t="s">
        <v>823</v>
      </c>
      <c r="I230" s="68"/>
      <c r="J230" s="68"/>
      <c r="K230" s="68"/>
    </row>
    <row r="231" spans="1:11" ht="18" customHeight="1">
      <c r="A231" s="95" t="str">
        <f t="shared" si="3"/>
        <v/>
      </c>
      <c r="B231" s="96"/>
      <c r="C231" s="58"/>
      <c r="D231" s="70"/>
      <c r="E231" s="97"/>
      <c r="F231" s="58"/>
      <c r="G231" s="70"/>
      <c r="H231" s="98" t="s">
        <v>823</v>
      </c>
      <c r="I231" s="68"/>
      <c r="J231" s="68"/>
      <c r="K231" s="68"/>
    </row>
    <row r="232" spans="1:11" ht="18" customHeight="1">
      <c r="A232" s="95" t="str">
        <f t="shared" si="3"/>
        <v/>
      </c>
      <c r="B232" s="96"/>
      <c r="C232" s="58"/>
      <c r="D232" s="70"/>
      <c r="E232" s="97"/>
      <c r="F232" s="58"/>
      <c r="G232" s="70"/>
      <c r="H232" s="98" t="s">
        <v>823</v>
      </c>
      <c r="I232" s="68"/>
      <c r="J232" s="68"/>
      <c r="K232" s="68"/>
    </row>
    <row r="233" spans="1:11" ht="18" customHeight="1">
      <c r="A233" s="95" t="str">
        <f t="shared" si="3"/>
        <v/>
      </c>
      <c r="B233" s="96"/>
      <c r="C233" s="58"/>
      <c r="D233" s="70"/>
      <c r="E233" s="97"/>
      <c r="F233" s="58"/>
      <c r="G233" s="70"/>
      <c r="H233" s="98" t="s">
        <v>823</v>
      </c>
      <c r="I233" s="68"/>
      <c r="J233" s="68"/>
      <c r="K233" s="68"/>
    </row>
    <row r="234" spans="1:11" ht="18" customHeight="1">
      <c r="A234" s="95" t="str">
        <f t="shared" si="3"/>
        <v/>
      </c>
      <c r="B234" s="96"/>
      <c r="C234" s="58"/>
      <c r="D234" s="70"/>
      <c r="E234" s="97"/>
      <c r="F234" s="58"/>
      <c r="G234" s="70"/>
      <c r="H234" s="98" t="s">
        <v>823</v>
      </c>
      <c r="I234" s="68"/>
      <c r="J234" s="68"/>
      <c r="K234" s="68"/>
    </row>
    <row r="235" spans="1:11" ht="18" customHeight="1">
      <c r="A235" s="95" t="str">
        <f t="shared" si="3"/>
        <v/>
      </c>
      <c r="B235" s="96"/>
      <c r="C235" s="58"/>
      <c r="D235" s="70"/>
      <c r="E235" s="97"/>
      <c r="F235" s="58"/>
      <c r="G235" s="70"/>
      <c r="H235" s="98" t="s">
        <v>823</v>
      </c>
      <c r="I235" s="68"/>
      <c r="J235" s="68"/>
      <c r="K235" s="68"/>
    </row>
    <row r="236" spans="1:11" ht="18" customHeight="1">
      <c r="A236" s="95" t="str">
        <f t="shared" si="3"/>
        <v/>
      </c>
      <c r="B236" s="96"/>
      <c r="C236" s="58"/>
      <c r="D236" s="70"/>
      <c r="E236" s="97"/>
      <c r="F236" s="58"/>
      <c r="G236" s="70"/>
      <c r="H236" s="98" t="s">
        <v>823</v>
      </c>
      <c r="I236" s="68"/>
      <c r="J236" s="68"/>
      <c r="K236" s="68"/>
    </row>
    <row r="237" spans="1:11" ht="18" customHeight="1">
      <c r="A237" s="95" t="str">
        <f t="shared" si="3"/>
        <v/>
      </c>
      <c r="B237" s="96"/>
      <c r="C237" s="58"/>
      <c r="D237" s="70"/>
      <c r="E237" s="97"/>
      <c r="F237" s="58"/>
      <c r="G237" s="70"/>
      <c r="H237" s="98" t="s">
        <v>823</v>
      </c>
      <c r="I237" s="68"/>
      <c r="J237" s="68"/>
      <c r="K237" s="68"/>
    </row>
    <row r="238" spans="1:11" ht="18" customHeight="1">
      <c r="A238" s="95" t="str">
        <f t="shared" si="3"/>
        <v/>
      </c>
      <c r="B238" s="96"/>
      <c r="C238" s="58"/>
      <c r="D238" s="70"/>
      <c r="E238" s="97"/>
      <c r="F238" s="58"/>
      <c r="G238" s="70"/>
      <c r="H238" s="98" t="s">
        <v>823</v>
      </c>
      <c r="I238" s="68"/>
      <c r="J238" s="68"/>
      <c r="K238" s="68"/>
    </row>
    <row r="239" spans="1:11" ht="18" customHeight="1">
      <c r="A239" s="95" t="str">
        <f t="shared" si="3"/>
        <v/>
      </c>
      <c r="B239" s="96"/>
      <c r="C239" s="58"/>
      <c r="D239" s="70"/>
      <c r="E239" s="97"/>
      <c r="F239" s="58"/>
      <c r="G239" s="70"/>
      <c r="H239" s="98" t="s">
        <v>823</v>
      </c>
      <c r="I239" s="68"/>
      <c r="J239" s="68"/>
      <c r="K239" s="68"/>
    </row>
    <row r="240" spans="1:11" ht="18" customHeight="1">
      <c r="A240" s="95" t="str">
        <f t="shared" si="3"/>
        <v/>
      </c>
      <c r="B240" s="96"/>
      <c r="C240" s="58"/>
      <c r="D240" s="70"/>
      <c r="E240" s="97"/>
      <c r="F240" s="58"/>
      <c r="G240" s="70"/>
      <c r="H240" s="98" t="s">
        <v>823</v>
      </c>
      <c r="I240" s="68"/>
      <c r="J240" s="68"/>
      <c r="K240" s="68"/>
    </row>
    <row r="241" spans="1:11" ht="18" customHeight="1">
      <c r="A241" s="95" t="str">
        <f t="shared" si="3"/>
        <v/>
      </c>
      <c r="B241" s="96"/>
      <c r="C241" s="58"/>
      <c r="D241" s="70"/>
      <c r="E241" s="97"/>
      <c r="F241" s="58"/>
      <c r="G241" s="70"/>
      <c r="H241" s="98" t="s">
        <v>823</v>
      </c>
      <c r="I241" s="68"/>
      <c r="J241" s="68"/>
      <c r="K241" s="68"/>
    </row>
    <row r="242" spans="1:11" ht="18" customHeight="1">
      <c r="A242" s="95" t="str">
        <f t="shared" si="3"/>
        <v/>
      </c>
      <c r="B242" s="96"/>
      <c r="C242" s="58"/>
      <c r="D242" s="70"/>
      <c r="E242" s="97"/>
      <c r="F242" s="58"/>
      <c r="G242" s="70"/>
      <c r="H242" s="98" t="s">
        <v>823</v>
      </c>
      <c r="I242" s="68"/>
      <c r="J242" s="68"/>
      <c r="K242" s="68"/>
    </row>
    <row r="243" spans="1:11" ht="18" customHeight="1">
      <c r="A243" s="95" t="str">
        <f t="shared" si="3"/>
        <v/>
      </c>
      <c r="B243" s="96"/>
      <c r="C243" s="58"/>
      <c r="D243" s="70"/>
      <c r="E243" s="97"/>
      <c r="F243" s="58"/>
      <c r="G243" s="70"/>
      <c r="H243" s="98" t="s">
        <v>823</v>
      </c>
      <c r="I243" s="68"/>
      <c r="J243" s="68"/>
      <c r="K243" s="68"/>
    </row>
    <row r="244" spans="1:11" ht="18" customHeight="1">
      <c r="A244" s="95" t="str">
        <f t="shared" si="3"/>
        <v/>
      </c>
      <c r="B244" s="96"/>
      <c r="C244" s="58"/>
      <c r="D244" s="70"/>
      <c r="E244" s="97"/>
      <c r="F244" s="58"/>
      <c r="G244" s="70"/>
      <c r="H244" s="98" t="s">
        <v>823</v>
      </c>
      <c r="I244" s="68"/>
      <c r="J244" s="68"/>
      <c r="K244" s="68"/>
    </row>
    <row r="245" spans="1:11" ht="18" customHeight="1">
      <c r="A245" s="95" t="str">
        <f t="shared" si="3"/>
        <v/>
      </c>
      <c r="B245" s="96"/>
      <c r="C245" s="58"/>
      <c r="D245" s="70"/>
      <c r="E245" s="97"/>
      <c r="F245" s="58"/>
      <c r="G245" s="70"/>
      <c r="H245" s="98" t="s">
        <v>823</v>
      </c>
      <c r="I245" s="68"/>
      <c r="J245" s="68"/>
      <c r="K245" s="68"/>
    </row>
    <row r="246" spans="1:11" ht="18" customHeight="1">
      <c r="A246" s="95" t="str">
        <f t="shared" si="3"/>
        <v/>
      </c>
      <c r="B246" s="96"/>
      <c r="C246" s="58"/>
      <c r="D246" s="70"/>
      <c r="E246" s="97"/>
      <c r="F246" s="58"/>
      <c r="G246" s="70"/>
      <c r="H246" s="98" t="s">
        <v>823</v>
      </c>
      <c r="I246" s="68"/>
      <c r="J246" s="68"/>
      <c r="K246" s="68"/>
    </row>
    <row r="247" spans="1:11" ht="18" customHeight="1">
      <c r="A247" s="95" t="str">
        <f t="shared" si="3"/>
        <v/>
      </c>
      <c r="B247" s="96"/>
      <c r="C247" s="58"/>
      <c r="D247" s="70"/>
      <c r="E247" s="97"/>
      <c r="F247" s="58"/>
      <c r="G247" s="70"/>
      <c r="H247" s="98" t="s">
        <v>823</v>
      </c>
      <c r="I247" s="68"/>
      <c r="J247" s="68"/>
      <c r="K247" s="68"/>
    </row>
    <row r="248" spans="1:11" ht="18" customHeight="1">
      <c r="A248" s="95" t="str">
        <f t="shared" si="3"/>
        <v/>
      </c>
      <c r="B248" s="96"/>
      <c r="C248" s="58"/>
      <c r="D248" s="70"/>
      <c r="E248" s="97"/>
      <c r="F248" s="58"/>
      <c r="G248" s="70"/>
      <c r="H248" s="98" t="s">
        <v>823</v>
      </c>
      <c r="I248" s="68"/>
      <c r="J248" s="68"/>
      <c r="K248" s="68"/>
    </row>
    <row r="249" spans="1:11" ht="18" customHeight="1">
      <c r="A249" s="95" t="str">
        <f t="shared" si="3"/>
        <v/>
      </c>
      <c r="B249" s="96"/>
      <c r="C249" s="58"/>
      <c r="D249" s="70"/>
      <c r="E249" s="97"/>
      <c r="F249" s="58"/>
      <c r="G249" s="70"/>
      <c r="H249" s="98" t="s">
        <v>823</v>
      </c>
      <c r="I249" s="68"/>
      <c r="J249" s="68"/>
      <c r="K249" s="68"/>
    </row>
    <row r="250" spans="1:11" ht="18" customHeight="1">
      <c r="A250" s="95" t="str">
        <f t="shared" si="3"/>
        <v/>
      </c>
      <c r="B250" s="96"/>
      <c r="C250" s="58"/>
      <c r="D250" s="70"/>
      <c r="E250" s="97"/>
      <c r="F250" s="58"/>
      <c r="G250" s="70"/>
      <c r="H250" s="98" t="s">
        <v>823</v>
      </c>
      <c r="I250" s="68"/>
      <c r="J250" s="68"/>
      <c r="K250" s="68"/>
    </row>
    <row r="251" spans="1:11" ht="18" customHeight="1">
      <c r="A251" s="95" t="str">
        <f t="shared" si="3"/>
        <v/>
      </c>
      <c r="B251" s="96"/>
      <c r="C251" s="58"/>
      <c r="D251" s="70"/>
      <c r="E251" s="97"/>
      <c r="F251" s="58"/>
      <c r="G251" s="70"/>
      <c r="H251" s="98" t="s">
        <v>823</v>
      </c>
      <c r="I251" s="68"/>
      <c r="J251" s="68"/>
      <c r="K251" s="68"/>
    </row>
    <row r="252" spans="1:11" ht="18" customHeight="1">
      <c r="A252" s="95" t="str">
        <f t="shared" si="3"/>
        <v/>
      </c>
      <c r="B252" s="96"/>
      <c r="C252" s="58"/>
      <c r="D252" s="70"/>
      <c r="E252" s="97"/>
      <c r="F252" s="58"/>
      <c r="G252" s="70"/>
      <c r="H252" s="98" t="s">
        <v>823</v>
      </c>
      <c r="I252" s="68"/>
      <c r="J252" s="68"/>
      <c r="K252" s="68"/>
    </row>
    <row r="253" spans="1:11" ht="18" customHeight="1">
      <c r="A253" s="95" t="str">
        <f t="shared" si="3"/>
        <v/>
      </c>
      <c r="B253" s="96"/>
      <c r="C253" s="58"/>
      <c r="D253" s="70"/>
      <c r="E253" s="97"/>
      <c r="F253" s="58"/>
      <c r="G253" s="70"/>
      <c r="H253" s="98" t="s">
        <v>823</v>
      </c>
      <c r="I253" s="68"/>
      <c r="J253" s="68"/>
      <c r="K253" s="68"/>
    </row>
    <row r="254" spans="1:11" ht="18" customHeight="1">
      <c r="A254" s="95" t="str">
        <f t="shared" si="3"/>
        <v/>
      </c>
      <c r="B254" s="96"/>
      <c r="C254" s="58"/>
      <c r="D254" s="70"/>
      <c r="E254" s="97"/>
      <c r="F254" s="58"/>
      <c r="G254" s="70"/>
      <c r="H254" s="98" t="s">
        <v>823</v>
      </c>
      <c r="I254" s="68"/>
      <c r="J254" s="68"/>
      <c r="K254" s="68"/>
    </row>
    <row r="255" spans="1:11" ht="18" customHeight="1">
      <c r="A255" s="95" t="str">
        <f t="shared" si="3"/>
        <v/>
      </c>
      <c r="B255" s="96"/>
      <c r="C255" s="58"/>
      <c r="D255" s="70"/>
      <c r="E255" s="97"/>
      <c r="F255" s="58"/>
      <c r="G255" s="70"/>
      <c r="H255" s="98" t="s">
        <v>823</v>
      </c>
      <c r="I255" s="68"/>
      <c r="J255" s="68"/>
      <c r="K255" s="68"/>
    </row>
    <row r="256" spans="1:11" ht="18" customHeight="1">
      <c r="A256" s="95" t="str">
        <f t="shared" si="3"/>
        <v/>
      </c>
      <c r="B256" s="96"/>
      <c r="C256" s="58"/>
      <c r="D256" s="70"/>
      <c r="E256" s="97"/>
      <c r="F256" s="58"/>
      <c r="G256" s="70"/>
      <c r="H256" s="98" t="s">
        <v>823</v>
      </c>
      <c r="I256" s="68"/>
      <c r="J256" s="68"/>
      <c r="K256" s="68"/>
    </row>
    <row r="257" spans="1:11" ht="18" customHeight="1">
      <c r="A257" s="95" t="str">
        <f t="shared" si="3"/>
        <v/>
      </c>
      <c r="B257" s="96"/>
      <c r="C257" s="58"/>
      <c r="D257" s="70"/>
      <c r="E257" s="97"/>
      <c r="F257" s="58"/>
      <c r="G257" s="70"/>
      <c r="H257" s="98" t="s">
        <v>823</v>
      </c>
      <c r="I257" s="68"/>
      <c r="J257" s="68"/>
      <c r="K257" s="68"/>
    </row>
    <row r="258" spans="1:11" ht="18" customHeight="1">
      <c r="A258" s="95" t="str">
        <f t="shared" si="3"/>
        <v/>
      </c>
      <c r="B258" s="96"/>
      <c r="C258" s="58"/>
      <c r="D258" s="70"/>
      <c r="E258" s="97"/>
      <c r="F258" s="58"/>
      <c r="G258" s="70"/>
      <c r="H258" s="98" t="s">
        <v>823</v>
      </c>
      <c r="I258" s="68"/>
      <c r="J258" s="68"/>
      <c r="K258" s="68"/>
    </row>
    <row r="259" spans="1:11" ht="18" customHeight="1">
      <c r="A259" s="95" t="str">
        <f t="shared" si="3"/>
        <v/>
      </c>
      <c r="B259" s="96"/>
      <c r="C259" s="58"/>
      <c r="D259" s="70"/>
      <c r="E259" s="97"/>
      <c r="F259" s="58"/>
      <c r="G259" s="70"/>
      <c r="H259" s="98" t="s">
        <v>823</v>
      </c>
      <c r="I259" s="68"/>
      <c r="J259" s="68"/>
      <c r="K259" s="68"/>
    </row>
    <row r="260" spans="1:11" ht="18" customHeight="1">
      <c r="A260" s="95" t="str">
        <f t="shared" ref="A260:A323" si="4">IF(COUNTA(B260:G260)&gt;0,ROW()-3,"")</f>
        <v/>
      </c>
      <c r="B260" s="96"/>
      <c r="C260" s="58"/>
      <c r="D260" s="70"/>
      <c r="E260" s="97"/>
      <c r="F260" s="58"/>
      <c r="G260" s="70"/>
      <c r="H260" s="98" t="s">
        <v>823</v>
      </c>
      <c r="I260" s="68"/>
      <c r="J260" s="68"/>
      <c r="K260" s="68"/>
    </row>
    <row r="261" spans="1:11" ht="18" customHeight="1">
      <c r="A261" s="95" t="str">
        <f t="shared" si="4"/>
        <v/>
      </c>
      <c r="B261" s="96"/>
      <c r="C261" s="58"/>
      <c r="D261" s="70"/>
      <c r="E261" s="97"/>
      <c r="F261" s="58"/>
      <c r="G261" s="70"/>
      <c r="H261" s="98" t="s">
        <v>823</v>
      </c>
      <c r="I261" s="68"/>
      <c r="J261" s="68"/>
      <c r="K261" s="68"/>
    </row>
    <row r="262" spans="1:11" ht="18" customHeight="1">
      <c r="A262" s="95" t="str">
        <f t="shared" si="4"/>
        <v/>
      </c>
      <c r="B262" s="96"/>
      <c r="C262" s="58"/>
      <c r="D262" s="70"/>
      <c r="E262" s="97"/>
      <c r="F262" s="58"/>
      <c r="G262" s="70"/>
      <c r="H262" s="98" t="s">
        <v>823</v>
      </c>
      <c r="I262" s="68"/>
      <c r="J262" s="68"/>
      <c r="K262" s="68"/>
    </row>
    <row r="263" spans="1:11" ht="18" customHeight="1">
      <c r="A263" s="95" t="str">
        <f t="shared" si="4"/>
        <v/>
      </c>
      <c r="B263" s="96"/>
      <c r="C263" s="58"/>
      <c r="D263" s="70"/>
      <c r="E263" s="97"/>
      <c r="F263" s="58"/>
      <c r="G263" s="70"/>
      <c r="H263" s="98" t="s">
        <v>823</v>
      </c>
      <c r="I263" s="68"/>
      <c r="J263" s="68"/>
      <c r="K263" s="68"/>
    </row>
    <row r="264" spans="1:11" ht="18" customHeight="1">
      <c r="A264" s="95" t="str">
        <f t="shared" si="4"/>
        <v/>
      </c>
      <c r="B264" s="96"/>
      <c r="C264" s="58"/>
      <c r="D264" s="70"/>
      <c r="E264" s="97"/>
      <c r="F264" s="58"/>
      <c r="G264" s="70"/>
      <c r="H264" s="98" t="s">
        <v>823</v>
      </c>
      <c r="I264" s="68"/>
      <c r="J264" s="68"/>
      <c r="K264" s="68"/>
    </row>
    <row r="265" spans="1:11" ht="18" customHeight="1">
      <c r="A265" s="95" t="str">
        <f t="shared" si="4"/>
        <v/>
      </c>
      <c r="B265" s="96"/>
      <c r="C265" s="58"/>
      <c r="D265" s="70"/>
      <c r="E265" s="97"/>
      <c r="F265" s="58"/>
      <c r="G265" s="70"/>
      <c r="H265" s="98" t="s">
        <v>823</v>
      </c>
      <c r="I265" s="68"/>
      <c r="J265" s="68"/>
      <c r="K265" s="68"/>
    </row>
    <row r="266" spans="1:11" ht="18" customHeight="1">
      <c r="A266" s="95" t="str">
        <f t="shared" si="4"/>
        <v/>
      </c>
      <c r="B266" s="96"/>
      <c r="C266" s="58"/>
      <c r="D266" s="70"/>
      <c r="E266" s="97"/>
      <c r="F266" s="58"/>
      <c r="G266" s="70"/>
      <c r="H266" s="98" t="s">
        <v>823</v>
      </c>
      <c r="I266" s="68"/>
      <c r="J266" s="68"/>
      <c r="K266" s="68"/>
    </row>
    <row r="267" spans="1:11" ht="18" customHeight="1">
      <c r="A267" s="95" t="str">
        <f t="shared" si="4"/>
        <v/>
      </c>
      <c r="B267" s="96"/>
      <c r="C267" s="58"/>
      <c r="D267" s="70"/>
      <c r="E267" s="97"/>
      <c r="F267" s="58"/>
      <c r="G267" s="70"/>
      <c r="H267" s="98" t="s">
        <v>823</v>
      </c>
      <c r="I267" s="68"/>
      <c r="J267" s="68"/>
      <c r="K267" s="68"/>
    </row>
    <row r="268" spans="1:11" ht="18" customHeight="1">
      <c r="A268" s="95" t="str">
        <f t="shared" si="4"/>
        <v/>
      </c>
      <c r="B268" s="96"/>
      <c r="C268" s="58"/>
      <c r="D268" s="70"/>
      <c r="E268" s="97"/>
      <c r="F268" s="58"/>
      <c r="G268" s="70"/>
      <c r="H268" s="98" t="s">
        <v>823</v>
      </c>
      <c r="I268" s="68"/>
      <c r="J268" s="68"/>
      <c r="K268" s="68"/>
    </row>
    <row r="269" spans="1:11" ht="18" customHeight="1">
      <c r="A269" s="95" t="str">
        <f t="shared" si="4"/>
        <v/>
      </c>
      <c r="B269" s="96"/>
      <c r="C269" s="58"/>
      <c r="D269" s="70"/>
      <c r="E269" s="97"/>
      <c r="F269" s="58"/>
      <c r="G269" s="70"/>
      <c r="H269" s="98" t="s">
        <v>823</v>
      </c>
      <c r="I269" s="68"/>
      <c r="J269" s="68"/>
      <c r="K269" s="68"/>
    </row>
    <row r="270" spans="1:11" ht="18" customHeight="1">
      <c r="A270" s="95" t="str">
        <f t="shared" si="4"/>
        <v/>
      </c>
      <c r="B270" s="96"/>
      <c r="C270" s="58"/>
      <c r="D270" s="70"/>
      <c r="E270" s="97"/>
      <c r="F270" s="58"/>
      <c r="G270" s="70"/>
      <c r="H270" s="98" t="s">
        <v>823</v>
      </c>
      <c r="I270" s="68"/>
      <c r="J270" s="68"/>
      <c r="K270" s="68"/>
    </row>
    <row r="271" spans="1:11" ht="18" customHeight="1">
      <c r="A271" s="95" t="str">
        <f t="shared" si="4"/>
        <v/>
      </c>
      <c r="B271" s="96"/>
      <c r="C271" s="58"/>
      <c r="D271" s="70"/>
      <c r="E271" s="97"/>
      <c r="F271" s="58"/>
      <c r="G271" s="70"/>
      <c r="H271" s="98" t="s">
        <v>823</v>
      </c>
      <c r="I271" s="68"/>
      <c r="J271" s="68"/>
      <c r="K271" s="68"/>
    </row>
    <row r="272" spans="1:11" ht="18" customHeight="1">
      <c r="A272" s="95" t="str">
        <f t="shared" si="4"/>
        <v/>
      </c>
      <c r="B272" s="96"/>
      <c r="C272" s="58"/>
      <c r="D272" s="70"/>
      <c r="E272" s="97"/>
      <c r="F272" s="58"/>
      <c r="G272" s="70"/>
      <c r="H272" s="98" t="s">
        <v>823</v>
      </c>
      <c r="I272" s="68"/>
      <c r="J272" s="68"/>
      <c r="K272" s="68"/>
    </row>
    <row r="273" spans="1:11" ht="18" customHeight="1">
      <c r="A273" s="95" t="str">
        <f t="shared" si="4"/>
        <v/>
      </c>
      <c r="B273" s="96"/>
      <c r="C273" s="58"/>
      <c r="D273" s="70"/>
      <c r="E273" s="97"/>
      <c r="F273" s="58"/>
      <c r="G273" s="70"/>
      <c r="H273" s="98" t="s">
        <v>823</v>
      </c>
      <c r="I273" s="68"/>
      <c r="J273" s="68"/>
      <c r="K273" s="68"/>
    </row>
    <row r="274" spans="1:11" ht="18" customHeight="1">
      <c r="A274" s="95" t="str">
        <f t="shared" si="4"/>
        <v/>
      </c>
      <c r="B274" s="96"/>
      <c r="C274" s="58"/>
      <c r="D274" s="70"/>
      <c r="E274" s="97"/>
      <c r="F274" s="58"/>
      <c r="G274" s="70"/>
      <c r="H274" s="98" t="s">
        <v>823</v>
      </c>
      <c r="I274" s="68"/>
      <c r="J274" s="68"/>
      <c r="K274" s="68"/>
    </row>
    <row r="275" spans="1:11" ht="18" customHeight="1">
      <c r="A275" s="95" t="str">
        <f t="shared" si="4"/>
        <v/>
      </c>
      <c r="B275" s="96"/>
      <c r="C275" s="58"/>
      <c r="D275" s="70"/>
      <c r="E275" s="97"/>
      <c r="F275" s="58"/>
      <c r="G275" s="70"/>
      <c r="H275" s="98" t="s">
        <v>823</v>
      </c>
      <c r="I275" s="68"/>
      <c r="J275" s="68"/>
      <c r="K275" s="68"/>
    </row>
    <row r="276" spans="1:11" ht="18" customHeight="1">
      <c r="A276" s="95" t="str">
        <f t="shared" si="4"/>
        <v/>
      </c>
      <c r="B276" s="96"/>
      <c r="C276" s="58"/>
      <c r="D276" s="70"/>
      <c r="E276" s="97"/>
      <c r="F276" s="58"/>
      <c r="G276" s="70"/>
      <c r="H276" s="98" t="s">
        <v>823</v>
      </c>
      <c r="I276" s="68"/>
      <c r="J276" s="68"/>
      <c r="K276" s="68"/>
    </row>
    <row r="277" spans="1:11" ht="18" customHeight="1">
      <c r="A277" s="95" t="str">
        <f t="shared" si="4"/>
        <v/>
      </c>
      <c r="B277" s="96"/>
      <c r="C277" s="58"/>
      <c r="D277" s="70"/>
      <c r="E277" s="97"/>
      <c r="F277" s="58"/>
      <c r="G277" s="70"/>
      <c r="H277" s="98" t="s">
        <v>823</v>
      </c>
      <c r="I277" s="68"/>
      <c r="J277" s="68"/>
      <c r="K277" s="68"/>
    </row>
    <row r="278" spans="1:11" ht="18" customHeight="1">
      <c r="A278" s="95" t="str">
        <f t="shared" si="4"/>
        <v/>
      </c>
      <c r="B278" s="96"/>
      <c r="C278" s="58"/>
      <c r="D278" s="70"/>
      <c r="E278" s="97"/>
      <c r="F278" s="58"/>
      <c r="G278" s="70"/>
      <c r="H278" s="98" t="s">
        <v>823</v>
      </c>
      <c r="I278" s="68"/>
      <c r="J278" s="68"/>
      <c r="K278" s="68"/>
    </row>
    <row r="279" spans="1:11" ht="18" customHeight="1">
      <c r="A279" s="95" t="str">
        <f t="shared" si="4"/>
        <v/>
      </c>
      <c r="B279" s="96"/>
      <c r="C279" s="58"/>
      <c r="D279" s="70"/>
      <c r="E279" s="97"/>
      <c r="F279" s="58"/>
      <c r="G279" s="70"/>
      <c r="H279" s="98" t="s">
        <v>823</v>
      </c>
      <c r="I279" s="68"/>
      <c r="J279" s="68"/>
      <c r="K279" s="68"/>
    </row>
    <row r="280" spans="1:11" ht="18" customHeight="1">
      <c r="A280" s="95" t="str">
        <f t="shared" si="4"/>
        <v/>
      </c>
      <c r="B280" s="96"/>
      <c r="C280" s="58"/>
      <c r="D280" s="70"/>
      <c r="E280" s="97"/>
      <c r="F280" s="58"/>
      <c r="G280" s="70"/>
      <c r="H280" s="98" t="s">
        <v>823</v>
      </c>
      <c r="I280" s="68"/>
      <c r="J280" s="68"/>
      <c r="K280" s="68"/>
    </row>
    <row r="281" spans="1:11" ht="18" customHeight="1">
      <c r="A281" s="95" t="str">
        <f t="shared" si="4"/>
        <v/>
      </c>
      <c r="B281" s="96"/>
      <c r="C281" s="58"/>
      <c r="D281" s="70"/>
      <c r="E281" s="97"/>
      <c r="F281" s="58"/>
      <c r="G281" s="70"/>
      <c r="H281" s="98" t="s">
        <v>823</v>
      </c>
      <c r="I281" s="68"/>
      <c r="J281" s="68"/>
      <c r="K281" s="68"/>
    </row>
    <row r="282" spans="1:11" ht="18" customHeight="1">
      <c r="A282" s="95" t="str">
        <f t="shared" si="4"/>
        <v/>
      </c>
      <c r="B282" s="96"/>
      <c r="C282" s="58"/>
      <c r="D282" s="70"/>
      <c r="E282" s="97"/>
      <c r="F282" s="58"/>
      <c r="G282" s="70"/>
      <c r="H282" s="98" t="s">
        <v>823</v>
      </c>
      <c r="I282" s="68"/>
      <c r="J282" s="68"/>
      <c r="K282" s="68"/>
    </row>
    <row r="283" spans="1:11" ht="18" customHeight="1">
      <c r="A283" s="95" t="str">
        <f t="shared" si="4"/>
        <v/>
      </c>
      <c r="B283" s="96"/>
      <c r="C283" s="58"/>
      <c r="D283" s="70"/>
      <c r="E283" s="97"/>
      <c r="F283" s="58"/>
      <c r="G283" s="70"/>
      <c r="H283" s="98" t="s">
        <v>823</v>
      </c>
      <c r="I283" s="68"/>
      <c r="J283" s="68"/>
      <c r="K283" s="68"/>
    </row>
    <row r="284" spans="1:11" ht="18" customHeight="1">
      <c r="A284" s="95" t="str">
        <f t="shared" si="4"/>
        <v/>
      </c>
      <c r="B284" s="96"/>
      <c r="C284" s="58"/>
      <c r="D284" s="70"/>
      <c r="E284" s="97"/>
      <c r="F284" s="58"/>
      <c r="G284" s="70"/>
      <c r="H284" s="98" t="s">
        <v>823</v>
      </c>
      <c r="I284" s="68"/>
      <c r="J284" s="68"/>
      <c r="K284" s="68"/>
    </row>
    <row r="285" spans="1:11" ht="18" customHeight="1">
      <c r="A285" s="95" t="str">
        <f t="shared" si="4"/>
        <v/>
      </c>
      <c r="B285" s="96"/>
      <c r="C285" s="58"/>
      <c r="D285" s="70"/>
      <c r="E285" s="97"/>
      <c r="F285" s="58"/>
      <c r="G285" s="70"/>
      <c r="H285" s="98" t="s">
        <v>823</v>
      </c>
      <c r="I285" s="68"/>
      <c r="J285" s="68"/>
      <c r="K285" s="68"/>
    </row>
    <row r="286" spans="1:11" ht="18" customHeight="1">
      <c r="A286" s="95" t="str">
        <f t="shared" si="4"/>
        <v/>
      </c>
      <c r="B286" s="96"/>
      <c r="C286" s="58"/>
      <c r="D286" s="70"/>
      <c r="E286" s="97"/>
      <c r="F286" s="58"/>
      <c r="G286" s="70"/>
      <c r="H286" s="98" t="s">
        <v>823</v>
      </c>
      <c r="I286" s="68"/>
      <c r="J286" s="68"/>
      <c r="K286" s="68"/>
    </row>
    <row r="287" spans="1:11" ht="18" customHeight="1">
      <c r="A287" s="95" t="str">
        <f t="shared" si="4"/>
        <v/>
      </c>
      <c r="B287" s="96"/>
      <c r="C287" s="58"/>
      <c r="D287" s="70"/>
      <c r="E287" s="97"/>
      <c r="F287" s="58"/>
      <c r="G287" s="70"/>
      <c r="H287" s="98" t="s">
        <v>823</v>
      </c>
      <c r="I287" s="68"/>
      <c r="J287" s="68"/>
      <c r="K287" s="68"/>
    </row>
    <row r="288" spans="1:11" ht="18" customHeight="1">
      <c r="A288" s="95" t="str">
        <f t="shared" si="4"/>
        <v/>
      </c>
      <c r="B288" s="96"/>
      <c r="C288" s="58"/>
      <c r="D288" s="70"/>
      <c r="E288" s="97"/>
      <c r="F288" s="58"/>
      <c r="G288" s="70"/>
      <c r="H288" s="98" t="s">
        <v>823</v>
      </c>
      <c r="I288" s="68"/>
      <c r="J288" s="68"/>
      <c r="K288" s="68"/>
    </row>
    <row r="289" spans="1:11" ht="18" customHeight="1">
      <c r="A289" s="95" t="str">
        <f t="shared" si="4"/>
        <v/>
      </c>
      <c r="B289" s="96"/>
      <c r="C289" s="58"/>
      <c r="D289" s="70"/>
      <c r="E289" s="97"/>
      <c r="F289" s="58"/>
      <c r="G289" s="70"/>
      <c r="H289" s="98" t="s">
        <v>823</v>
      </c>
      <c r="I289" s="68"/>
      <c r="J289" s="68"/>
      <c r="K289" s="68"/>
    </row>
    <row r="290" spans="1:11" ht="18" customHeight="1">
      <c r="A290" s="95" t="str">
        <f t="shared" si="4"/>
        <v/>
      </c>
      <c r="B290" s="96"/>
      <c r="C290" s="58"/>
      <c r="D290" s="70"/>
      <c r="E290" s="97"/>
      <c r="F290" s="58"/>
      <c r="G290" s="70"/>
      <c r="H290" s="98" t="s">
        <v>823</v>
      </c>
      <c r="I290" s="68"/>
      <c r="J290" s="68"/>
      <c r="K290" s="68"/>
    </row>
    <row r="291" spans="1:11" ht="18" customHeight="1">
      <c r="A291" s="95" t="str">
        <f t="shared" si="4"/>
        <v/>
      </c>
      <c r="B291" s="96"/>
      <c r="C291" s="58"/>
      <c r="D291" s="70"/>
      <c r="E291" s="97"/>
      <c r="F291" s="58"/>
      <c r="G291" s="70"/>
      <c r="H291" s="98" t="s">
        <v>823</v>
      </c>
      <c r="I291" s="68"/>
      <c r="J291" s="68"/>
      <c r="K291" s="68"/>
    </row>
    <row r="292" spans="1:11" ht="18" customHeight="1">
      <c r="A292" s="95" t="str">
        <f t="shared" si="4"/>
        <v/>
      </c>
      <c r="B292" s="96"/>
      <c r="C292" s="58"/>
      <c r="D292" s="70"/>
      <c r="E292" s="97"/>
      <c r="F292" s="58"/>
      <c r="G292" s="70"/>
      <c r="H292" s="98" t="s">
        <v>823</v>
      </c>
      <c r="I292" s="68"/>
      <c r="J292" s="68"/>
      <c r="K292" s="68"/>
    </row>
    <row r="293" spans="1:11" ht="18" customHeight="1">
      <c r="A293" s="95" t="str">
        <f t="shared" si="4"/>
        <v/>
      </c>
      <c r="B293" s="96"/>
      <c r="C293" s="58"/>
      <c r="D293" s="70"/>
      <c r="E293" s="97"/>
      <c r="F293" s="58"/>
      <c r="G293" s="70"/>
      <c r="H293" s="98" t="s">
        <v>823</v>
      </c>
      <c r="I293" s="68"/>
      <c r="J293" s="68"/>
      <c r="K293" s="68"/>
    </row>
    <row r="294" spans="1:11" ht="18" customHeight="1">
      <c r="A294" s="95" t="str">
        <f t="shared" si="4"/>
        <v/>
      </c>
      <c r="B294" s="96"/>
      <c r="C294" s="58"/>
      <c r="D294" s="70"/>
      <c r="E294" s="97"/>
      <c r="F294" s="58"/>
      <c r="G294" s="70"/>
      <c r="H294" s="98" t="s">
        <v>823</v>
      </c>
      <c r="I294" s="68"/>
      <c r="J294" s="68"/>
      <c r="K294" s="68"/>
    </row>
    <row r="295" spans="1:11" ht="18" customHeight="1">
      <c r="A295" s="95" t="str">
        <f t="shared" si="4"/>
        <v/>
      </c>
      <c r="B295" s="96"/>
      <c r="C295" s="58"/>
      <c r="D295" s="70"/>
      <c r="E295" s="97"/>
      <c r="F295" s="58"/>
      <c r="G295" s="70"/>
      <c r="H295" s="98" t="s">
        <v>823</v>
      </c>
      <c r="I295" s="68"/>
      <c r="J295" s="68"/>
      <c r="K295" s="68"/>
    </row>
    <row r="296" spans="1:11" ht="18" customHeight="1">
      <c r="A296" s="95" t="str">
        <f t="shared" si="4"/>
        <v/>
      </c>
      <c r="B296" s="96"/>
      <c r="C296" s="58"/>
      <c r="D296" s="70"/>
      <c r="E296" s="97"/>
      <c r="F296" s="58"/>
      <c r="G296" s="70"/>
      <c r="H296" s="98" t="s">
        <v>823</v>
      </c>
      <c r="I296" s="68"/>
      <c r="J296" s="68"/>
      <c r="K296" s="68"/>
    </row>
    <row r="297" spans="1:11" ht="18" customHeight="1">
      <c r="A297" s="95" t="str">
        <f t="shared" si="4"/>
        <v/>
      </c>
      <c r="B297" s="96"/>
      <c r="C297" s="58"/>
      <c r="D297" s="70"/>
      <c r="E297" s="97"/>
      <c r="F297" s="58"/>
      <c r="G297" s="70"/>
      <c r="H297" s="98" t="s">
        <v>823</v>
      </c>
      <c r="I297" s="68"/>
      <c r="J297" s="68"/>
      <c r="K297" s="68"/>
    </row>
    <row r="298" spans="1:11" ht="18" customHeight="1">
      <c r="A298" s="95" t="str">
        <f t="shared" si="4"/>
        <v/>
      </c>
      <c r="B298" s="96"/>
      <c r="C298" s="58"/>
      <c r="D298" s="70"/>
      <c r="E298" s="97"/>
      <c r="F298" s="58"/>
      <c r="G298" s="70"/>
      <c r="H298" s="98" t="s">
        <v>823</v>
      </c>
      <c r="I298" s="68"/>
      <c r="J298" s="68"/>
      <c r="K298" s="68"/>
    </row>
    <row r="299" spans="1:11" ht="18" customHeight="1">
      <c r="A299" s="95" t="str">
        <f t="shared" si="4"/>
        <v/>
      </c>
      <c r="B299" s="96"/>
      <c r="C299" s="58"/>
      <c r="D299" s="70"/>
      <c r="E299" s="97"/>
      <c r="F299" s="58"/>
      <c r="G299" s="70"/>
      <c r="H299" s="98" t="s">
        <v>823</v>
      </c>
      <c r="I299" s="68"/>
      <c r="J299" s="68"/>
      <c r="K299" s="68"/>
    </row>
    <row r="300" spans="1:11" ht="18" customHeight="1">
      <c r="A300" s="95" t="str">
        <f t="shared" si="4"/>
        <v/>
      </c>
      <c r="B300" s="96"/>
      <c r="C300" s="58"/>
      <c r="D300" s="70"/>
      <c r="E300" s="97"/>
      <c r="F300" s="58"/>
      <c r="G300" s="70"/>
      <c r="H300" s="98" t="s">
        <v>823</v>
      </c>
      <c r="I300" s="68"/>
      <c r="J300" s="68"/>
      <c r="K300" s="68"/>
    </row>
    <row r="301" spans="1:11" ht="18" customHeight="1">
      <c r="A301" s="95" t="str">
        <f t="shared" si="4"/>
        <v/>
      </c>
      <c r="B301" s="96"/>
      <c r="C301" s="58"/>
      <c r="D301" s="70"/>
      <c r="E301" s="97"/>
      <c r="F301" s="58"/>
      <c r="G301" s="70"/>
      <c r="H301" s="98" t="s">
        <v>823</v>
      </c>
      <c r="I301" s="68"/>
      <c r="J301" s="68"/>
      <c r="K301" s="68"/>
    </row>
    <row r="302" spans="1:11" ht="18" customHeight="1">
      <c r="A302" s="95" t="str">
        <f t="shared" si="4"/>
        <v/>
      </c>
      <c r="B302" s="96"/>
      <c r="C302" s="58"/>
      <c r="D302" s="70"/>
      <c r="E302" s="97"/>
      <c r="F302" s="58"/>
      <c r="G302" s="70"/>
      <c r="H302" s="98" t="s">
        <v>823</v>
      </c>
      <c r="I302" s="68"/>
      <c r="J302" s="68"/>
      <c r="K302" s="68"/>
    </row>
    <row r="303" spans="1:11" ht="18" customHeight="1">
      <c r="A303" s="95" t="str">
        <f t="shared" si="4"/>
        <v/>
      </c>
      <c r="B303" s="96"/>
      <c r="C303" s="58"/>
      <c r="D303" s="70"/>
      <c r="E303" s="97"/>
      <c r="F303" s="58"/>
      <c r="G303" s="70"/>
      <c r="H303" s="98" t="s">
        <v>823</v>
      </c>
      <c r="I303" s="68"/>
      <c r="J303" s="68"/>
      <c r="K303" s="68"/>
    </row>
    <row r="304" spans="1:11" ht="18" customHeight="1">
      <c r="A304" s="95" t="str">
        <f t="shared" si="4"/>
        <v/>
      </c>
      <c r="B304" s="96"/>
      <c r="C304" s="58"/>
      <c r="D304" s="70"/>
      <c r="E304" s="97"/>
      <c r="F304" s="58"/>
      <c r="G304" s="70"/>
      <c r="H304" s="98" t="s">
        <v>823</v>
      </c>
      <c r="I304" s="68"/>
      <c r="J304" s="68"/>
      <c r="K304" s="68"/>
    </row>
    <row r="305" spans="1:11" ht="18" customHeight="1">
      <c r="A305" s="95" t="str">
        <f t="shared" si="4"/>
        <v/>
      </c>
      <c r="B305" s="96"/>
      <c r="C305" s="58"/>
      <c r="D305" s="70"/>
      <c r="E305" s="97"/>
      <c r="F305" s="58"/>
      <c r="G305" s="70"/>
      <c r="H305" s="98" t="s">
        <v>823</v>
      </c>
      <c r="I305" s="68"/>
      <c r="J305" s="68"/>
      <c r="K305" s="68"/>
    </row>
    <row r="306" spans="1:11" ht="18" customHeight="1">
      <c r="A306" s="95" t="str">
        <f t="shared" si="4"/>
        <v/>
      </c>
      <c r="B306" s="96"/>
      <c r="C306" s="58"/>
      <c r="D306" s="70"/>
      <c r="E306" s="97"/>
      <c r="F306" s="58"/>
      <c r="G306" s="70"/>
      <c r="H306" s="98" t="s">
        <v>823</v>
      </c>
      <c r="I306" s="68"/>
      <c r="J306" s="68"/>
      <c r="K306" s="68"/>
    </row>
    <row r="307" spans="1:11" ht="18" customHeight="1">
      <c r="A307" s="95" t="str">
        <f t="shared" si="4"/>
        <v/>
      </c>
      <c r="B307" s="96"/>
      <c r="C307" s="58"/>
      <c r="D307" s="70"/>
      <c r="E307" s="97"/>
      <c r="F307" s="58"/>
      <c r="G307" s="70"/>
      <c r="H307" s="98" t="s">
        <v>823</v>
      </c>
      <c r="I307" s="68"/>
      <c r="J307" s="68"/>
      <c r="K307" s="68"/>
    </row>
    <row r="308" spans="1:11" ht="18" customHeight="1">
      <c r="A308" s="95" t="str">
        <f t="shared" si="4"/>
        <v/>
      </c>
      <c r="B308" s="96"/>
      <c r="C308" s="58"/>
      <c r="D308" s="70"/>
      <c r="E308" s="97"/>
      <c r="F308" s="58"/>
      <c r="G308" s="70"/>
      <c r="H308" s="98" t="s">
        <v>823</v>
      </c>
      <c r="I308" s="68"/>
      <c r="J308" s="68"/>
      <c r="K308" s="68"/>
    </row>
    <row r="309" spans="1:11" ht="18" customHeight="1">
      <c r="A309" s="95" t="str">
        <f t="shared" si="4"/>
        <v/>
      </c>
      <c r="B309" s="96"/>
      <c r="C309" s="58"/>
      <c r="D309" s="70"/>
      <c r="E309" s="97"/>
      <c r="F309" s="58"/>
      <c r="G309" s="70"/>
      <c r="H309" s="98" t="s">
        <v>823</v>
      </c>
      <c r="I309" s="68"/>
      <c r="J309" s="68"/>
      <c r="K309" s="68"/>
    </row>
    <row r="310" spans="1:11" ht="18" customHeight="1">
      <c r="A310" s="95" t="str">
        <f t="shared" si="4"/>
        <v/>
      </c>
      <c r="B310" s="96"/>
      <c r="C310" s="58"/>
      <c r="D310" s="70"/>
      <c r="E310" s="97"/>
      <c r="F310" s="58"/>
      <c r="G310" s="70"/>
      <c r="H310" s="98" t="s">
        <v>823</v>
      </c>
      <c r="I310" s="68"/>
      <c r="J310" s="68"/>
      <c r="K310" s="68"/>
    </row>
    <row r="311" spans="1:11" ht="18" customHeight="1">
      <c r="A311" s="95" t="str">
        <f t="shared" si="4"/>
        <v/>
      </c>
      <c r="B311" s="96"/>
      <c r="C311" s="58"/>
      <c r="D311" s="70"/>
      <c r="E311" s="97"/>
      <c r="F311" s="58"/>
      <c r="G311" s="70"/>
      <c r="H311" s="98" t="s">
        <v>823</v>
      </c>
      <c r="I311" s="68"/>
      <c r="J311" s="68"/>
      <c r="K311" s="68"/>
    </row>
    <row r="312" spans="1:11" ht="18" customHeight="1">
      <c r="A312" s="95" t="str">
        <f t="shared" si="4"/>
        <v/>
      </c>
      <c r="B312" s="96"/>
      <c r="C312" s="58"/>
      <c r="D312" s="70"/>
      <c r="E312" s="97"/>
      <c r="F312" s="58"/>
      <c r="G312" s="70"/>
      <c r="H312" s="98" t="s">
        <v>823</v>
      </c>
      <c r="I312" s="68"/>
      <c r="J312" s="68"/>
      <c r="K312" s="68"/>
    </row>
    <row r="313" spans="1:11" ht="18" customHeight="1">
      <c r="A313" s="95" t="str">
        <f t="shared" si="4"/>
        <v/>
      </c>
      <c r="B313" s="96"/>
      <c r="C313" s="58"/>
      <c r="D313" s="70"/>
      <c r="E313" s="97"/>
      <c r="F313" s="58"/>
      <c r="G313" s="70"/>
      <c r="H313" s="98" t="s">
        <v>823</v>
      </c>
      <c r="I313" s="68"/>
      <c r="J313" s="68"/>
      <c r="K313" s="68"/>
    </row>
    <row r="314" spans="1:11" ht="18" customHeight="1">
      <c r="A314" s="95" t="str">
        <f t="shared" si="4"/>
        <v/>
      </c>
      <c r="B314" s="96"/>
      <c r="C314" s="58"/>
      <c r="D314" s="70"/>
      <c r="E314" s="97"/>
      <c r="F314" s="58"/>
      <c r="G314" s="70"/>
      <c r="H314" s="98" t="s">
        <v>823</v>
      </c>
      <c r="I314" s="68"/>
      <c r="J314" s="68"/>
      <c r="K314" s="68"/>
    </row>
    <row r="315" spans="1:11" ht="18" customHeight="1">
      <c r="A315" s="95" t="str">
        <f t="shared" si="4"/>
        <v/>
      </c>
      <c r="B315" s="96"/>
      <c r="C315" s="58"/>
      <c r="D315" s="70"/>
      <c r="E315" s="97"/>
      <c r="F315" s="58"/>
      <c r="G315" s="70"/>
      <c r="H315" s="98" t="s">
        <v>823</v>
      </c>
      <c r="I315" s="68"/>
      <c r="J315" s="68"/>
      <c r="K315" s="68"/>
    </row>
    <row r="316" spans="1:11" ht="18" customHeight="1">
      <c r="A316" s="95" t="str">
        <f t="shared" si="4"/>
        <v/>
      </c>
      <c r="B316" s="96"/>
      <c r="C316" s="58"/>
      <c r="D316" s="70"/>
      <c r="E316" s="97"/>
      <c r="F316" s="58"/>
      <c r="G316" s="70"/>
      <c r="H316" s="98" t="s">
        <v>823</v>
      </c>
      <c r="I316" s="68"/>
      <c r="J316" s="68"/>
      <c r="K316" s="68"/>
    </row>
    <row r="317" spans="1:11" ht="18" customHeight="1">
      <c r="A317" s="95" t="str">
        <f t="shared" si="4"/>
        <v/>
      </c>
      <c r="B317" s="96"/>
      <c r="C317" s="58"/>
      <c r="D317" s="70"/>
      <c r="E317" s="97"/>
      <c r="F317" s="58"/>
      <c r="G317" s="70"/>
      <c r="H317" s="98" t="s">
        <v>823</v>
      </c>
      <c r="I317" s="68"/>
      <c r="J317" s="68"/>
      <c r="K317" s="68"/>
    </row>
    <row r="318" spans="1:11" ht="18" customHeight="1">
      <c r="A318" s="95" t="str">
        <f t="shared" si="4"/>
        <v/>
      </c>
      <c r="B318" s="96"/>
      <c r="C318" s="58"/>
      <c r="D318" s="70"/>
      <c r="E318" s="97"/>
      <c r="F318" s="58"/>
      <c r="G318" s="70"/>
      <c r="H318" s="98" t="s">
        <v>823</v>
      </c>
      <c r="I318" s="68"/>
      <c r="J318" s="68"/>
      <c r="K318" s="68"/>
    </row>
    <row r="319" spans="1:11" ht="18" customHeight="1">
      <c r="A319" s="95" t="str">
        <f t="shared" si="4"/>
        <v/>
      </c>
      <c r="B319" s="96"/>
      <c r="C319" s="58"/>
      <c r="D319" s="70"/>
      <c r="E319" s="97"/>
      <c r="F319" s="58"/>
      <c r="G319" s="70"/>
      <c r="H319" s="98" t="s">
        <v>823</v>
      </c>
      <c r="I319" s="68"/>
      <c r="J319" s="68"/>
      <c r="K319" s="68"/>
    </row>
    <row r="320" spans="1:11" ht="18" customHeight="1">
      <c r="A320" s="95" t="str">
        <f t="shared" si="4"/>
        <v/>
      </c>
      <c r="B320" s="96"/>
      <c r="C320" s="58"/>
      <c r="D320" s="70"/>
      <c r="E320" s="97"/>
      <c r="F320" s="58"/>
      <c r="G320" s="70"/>
      <c r="H320" s="98" t="s">
        <v>823</v>
      </c>
      <c r="I320" s="68"/>
      <c r="J320" s="68"/>
      <c r="K320" s="68"/>
    </row>
    <row r="321" spans="1:11" ht="18" customHeight="1">
      <c r="A321" s="95" t="str">
        <f t="shared" si="4"/>
        <v/>
      </c>
      <c r="B321" s="96"/>
      <c r="C321" s="58"/>
      <c r="D321" s="70"/>
      <c r="E321" s="97"/>
      <c r="F321" s="58"/>
      <c r="G321" s="70"/>
      <c r="H321" s="98" t="s">
        <v>823</v>
      </c>
      <c r="I321" s="68"/>
      <c r="J321" s="68"/>
      <c r="K321" s="68"/>
    </row>
    <row r="322" spans="1:11" ht="18" customHeight="1">
      <c r="A322" s="95" t="str">
        <f t="shared" si="4"/>
        <v/>
      </c>
      <c r="B322" s="96"/>
      <c r="C322" s="58"/>
      <c r="D322" s="70"/>
      <c r="E322" s="97"/>
      <c r="F322" s="58"/>
      <c r="G322" s="70"/>
      <c r="H322" s="98" t="s">
        <v>823</v>
      </c>
      <c r="I322" s="68"/>
      <c r="J322" s="68"/>
      <c r="K322" s="68"/>
    </row>
    <row r="323" spans="1:11" ht="18" customHeight="1">
      <c r="A323" s="95" t="str">
        <f t="shared" si="4"/>
        <v/>
      </c>
      <c r="B323" s="96"/>
      <c r="C323" s="58"/>
      <c r="D323" s="70"/>
      <c r="E323" s="97"/>
      <c r="F323" s="58"/>
      <c r="G323" s="70"/>
      <c r="H323" s="98" t="s">
        <v>823</v>
      </c>
      <c r="I323" s="68"/>
      <c r="J323" s="68"/>
      <c r="K323" s="68"/>
    </row>
    <row r="324" spans="1:11" ht="18" customHeight="1">
      <c r="A324" s="95" t="str">
        <f t="shared" ref="A324:A387" si="5">IF(COUNTA(B324:G324)&gt;0,ROW()-3,"")</f>
        <v/>
      </c>
      <c r="B324" s="96"/>
      <c r="C324" s="58"/>
      <c r="D324" s="70"/>
      <c r="E324" s="97"/>
      <c r="F324" s="58"/>
      <c r="G324" s="70"/>
      <c r="H324" s="98" t="s">
        <v>823</v>
      </c>
      <c r="I324" s="68"/>
      <c r="J324" s="68"/>
      <c r="K324" s="68"/>
    </row>
    <row r="325" spans="1:11" ht="18" customHeight="1">
      <c r="A325" s="95" t="str">
        <f t="shared" si="5"/>
        <v/>
      </c>
      <c r="B325" s="96"/>
      <c r="C325" s="58"/>
      <c r="D325" s="70"/>
      <c r="E325" s="97"/>
      <c r="F325" s="58"/>
      <c r="G325" s="70"/>
      <c r="H325" s="98" t="s">
        <v>823</v>
      </c>
      <c r="I325" s="68"/>
      <c r="J325" s="68"/>
      <c r="K325" s="68"/>
    </row>
    <row r="326" spans="1:11" ht="18" customHeight="1">
      <c r="A326" s="95" t="str">
        <f t="shared" si="5"/>
        <v/>
      </c>
      <c r="B326" s="96"/>
      <c r="C326" s="58"/>
      <c r="D326" s="70"/>
      <c r="E326" s="97"/>
      <c r="F326" s="58"/>
      <c r="G326" s="70"/>
      <c r="H326" s="98" t="s">
        <v>823</v>
      </c>
      <c r="I326" s="68"/>
      <c r="J326" s="68"/>
      <c r="K326" s="68"/>
    </row>
    <row r="327" spans="1:11" ht="18" customHeight="1">
      <c r="A327" s="95" t="str">
        <f t="shared" si="5"/>
        <v/>
      </c>
      <c r="B327" s="96"/>
      <c r="C327" s="58"/>
      <c r="D327" s="70"/>
      <c r="E327" s="97"/>
      <c r="F327" s="58"/>
      <c r="G327" s="70"/>
      <c r="H327" s="98" t="s">
        <v>823</v>
      </c>
      <c r="I327" s="68"/>
      <c r="J327" s="68"/>
      <c r="K327" s="68"/>
    </row>
    <row r="328" spans="1:11" ht="18" customHeight="1">
      <c r="A328" s="95" t="str">
        <f t="shared" si="5"/>
        <v/>
      </c>
      <c r="B328" s="96"/>
      <c r="C328" s="58"/>
      <c r="D328" s="70"/>
      <c r="E328" s="97"/>
      <c r="F328" s="58"/>
      <c r="G328" s="70"/>
      <c r="H328" s="98" t="s">
        <v>823</v>
      </c>
      <c r="I328" s="68"/>
      <c r="J328" s="68"/>
      <c r="K328" s="68"/>
    </row>
    <row r="329" spans="1:11" ht="18" customHeight="1">
      <c r="A329" s="95" t="str">
        <f t="shared" si="5"/>
        <v/>
      </c>
      <c r="B329" s="96"/>
      <c r="C329" s="58"/>
      <c r="D329" s="70"/>
      <c r="E329" s="97"/>
      <c r="F329" s="58"/>
      <c r="G329" s="70"/>
      <c r="H329" s="98" t="s">
        <v>823</v>
      </c>
      <c r="I329" s="68"/>
      <c r="J329" s="68"/>
      <c r="K329" s="68"/>
    </row>
    <row r="330" spans="1:11" ht="18" customHeight="1">
      <c r="A330" s="95" t="str">
        <f t="shared" si="5"/>
        <v/>
      </c>
      <c r="B330" s="96"/>
      <c r="C330" s="58"/>
      <c r="D330" s="70"/>
      <c r="E330" s="97"/>
      <c r="F330" s="58"/>
      <c r="G330" s="70"/>
      <c r="H330" s="98" t="s">
        <v>823</v>
      </c>
      <c r="I330" s="68"/>
      <c r="J330" s="68"/>
      <c r="K330" s="68"/>
    </row>
    <row r="331" spans="1:11" ht="18" customHeight="1">
      <c r="A331" s="95" t="str">
        <f t="shared" si="5"/>
        <v/>
      </c>
      <c r="B331" s="96"/>
      <c r="C331" s="58"/>
      <c r="D331" s="70"/>
      <c r="E331" s="97"/>
      <c r="F331" s="58"/>
      <c r="G331" s="70"/>
      <c r="H331" s="98" t="s">
        <v>823</v>
      </c>
      <c r="I331" s="68"/>
      <c r="J331" s="68"/>
      <c r="K331" s="68"/>
    </row>
    <row r="332" spans="1:11" ht="18" customHeight="1">
      <c r="A332" s="95" t="str">
        <f t="shared" si="5"/>
        <v/>
      </c>
      <c r="B332" s="96"/>
      <c r="C332" s="58"/>
      <c r="D332" s="70"/>
      <c r="E332" s="97"/>
      <c r="F332" s="58"/>
      <c r="G332" s="70"/>
      <c r="H332" s="98" t="s">
        <v>823</v>
      </c>
      <c r="I332" s="68"/>
      <c r="J332" s="68"/>
      <c r="K332" s="68"/>
    </row>
    <row r="333" spans="1:11" ht="18" customHeight="1">
      <c r="A333" s="95" t="str">
        <f t="shared" si="5"/>
        <v/>
      </c>
      <c r="B333" s="96"/>
      <c r="C333" s="58"/>
      <c r="D333" s="70"/>
      <c r="E333" s="97"/>
      <c r="F333" s="58"/>
      <c r="G333" s="70"/>
      <c r="H333" s="98" t="s">
        <v>823</v>
      </c>
      <c r="I333" s="68"/>
      <c r="J333" s="68"/>
      <c r="K333" s="68"/>
    </row>
    <row r="334" spans="1:11" ht="18" customHeight="1">
      <c r="A334" s="95" t="str">
        <f t="shared" si="5"/>
        <v/>
      </c>
      <c r="B334" s="96"/>
      <c r="C334" s="58"/>
      <c r="D334" s="70"/>
      <c r="E334" s="97"/>
      <c r="F334" s="58"/>
      <c r="G334" s="70"/>
      <c r="H334" s="98" t="s">
        <v>823</v>
      </c>
      <c r="I334" s="68"/>
      <c r="J334" s="68"/>
      <c r="K334" s="68"/>
    </row>
    <row r="335" spans="1:11" ht="18" customHeight="1">
      <c r="A335" s="95" t="str">
        <f t="shared" si="5"/>
        <v/>
      </c>
      <c r="B335" s="96"/>
      <c r="C335" s="58"/>
      <c r="D335" s="70"/>
      <c r="E335" s="97"/>
      <c r="F335" s="58"/>
      <c r="G335" s="70"/>
      <c r="H335" s="98" t="s">
        <v>823</v>
      </c>
      <c r="I335" s="68"/>
      <c r="J335" s="68"/>
      <c r="K335" s="68"/>
    </row>
    <row r="336" spans="1:11" ht="18" customHeight="1">
      <c r="A336" s="95" t="str">
        <f t="shared" si="5"/>
        <v/>
      </c>
      <c r="B336" s="96"/>
      <c r="C336" s="58"/>
      <c r="D336" s="70"/>
      <c r="E336" s="97"/>
      <c r="F336" s="58"/>
      <c r="G336" s="70"/>
      <c r="H336" s="98" t="s">
        <v>823</v>
      </c>
      <c r="I336" s="68"/>
      <c r="J336" s="68"/>
      <c r="K336" s="68"/>
    </row>
    <row r="337" spans="1:11" ht="18" customHeight="1">
      <c r="A337" s="95" t="str">
        <f t="shared" si="5"/>
        <v/>
      </c>
      <c r="B337" s="96"/>
      <c r="C337" s="58"/>
      <c r="D337" s="70"/>
      <c r="E337" s="97"/>
      <c r="F337" s="58"/>
      <c r="G337" s="70"/>
      <c r="H337" s="98" t="s">
        <v>823</v>
      </c>
      <c r="I337" s="68"/>
      <c r="J337" s="68"/>
      <c r="K337" s="68"/>
    </row>
    <row r="338" spans="1:11" ht="18" customHeight="1">
      <c r="A338" s="95" t="str">
        <f t="shared" si="5"/>
        <v/>
      </c>
      <c r="B338" s="96"/>
      <c r="C338" s="58"/>
      <c r="D338" s="70"/>
      <c r="E338" s="97"/>
      <c r="F338" s="58"/>
      <c r="G338" s="70"/>
      <c r="H338" s="98" t="s">
        <v>823</v>
      </c>
      <c r="I338" s="68"/>
      <c r="J338" s="68"/>
      <c r="K338" s="68"/>
    </row>
    <row r="339" spans="1:11" ht="18" customHeight="1">
      <c r="A339" s="95" t="str">
        <f t="shared" si="5"/>
        <v/>
      </c>
      <c r="B339" s="96"/>
      <c r="C339" s="58"/>
      <c r="D339" s="70"/>
      <c r="E339" s="97"/>
      <c r="F339" s="58"/>
      <c r="G339" s="70"/>
      <c r="H339" s="98" t="s">
        <v>823</v>
      </c>
      <c r="I339" s="68"/>
      <c r="J339" s="68"/>
      <c r="K339" s="68"/>
    </row>
    <row r="340" spans="1:11" ht="18" customHeight="1">
      <c r="A340" s="95" t="str">
        <f t="shared" si="5"/>
        <v/>
      </c>
      <c r="B340" s="96"/>
      <c r="C340" s="58"/>
      <c r="D340" s="70"/>
      <c r="E340" s="97"/>
      <c r="F340" s="58"/>
      <c r="G340" s="70"/>
      <c r="H340" s="98" t="s">
        <v>823</v>
      </c>
      <c r="I340" s="68"/>
      <c r="J340" s="68"/>
      <c r="K340" s="68"/>
    </row>
    <row r="341" spans="1:11" ht="18" customHeight="1">
      <c r="A341" s="95" t="str">
        <f t="shared" si="5"/>
        <v/>
      </c>
      <c r="B341" s="96"/>
      <c r="C341" s="58"/>
      <c r="D341" s="70"/>
      <c r="E341" s="97"/>
      <c r="F341" s="58"/>
      <c r="G341" s="70"/>
      <c r="H341" s="98" t="s">
        <v>823</v>
      </c>
      <c r="I341" s="68"/>
      <c r="J341" s="68"/>
      <c r="K341" s="68"/>
    </row>
    <row r="342" spans="1:11" ht="18" customHeight="1">
      <c r="A342" s="95" t="str">
        <f t="shared" si="5"/>
        <v/>
      </c>
      <c r="B342" s="96"/>
      <c r="C342" s="58"/>
      <c r="D342" s="70"/>
      <c r="E342" s="97"/>
      <c r="F342" s="58"/>
      <c r="G342" s="70"/>
      <c r="H342" s="98" t="s">
        <v>823</v>
      </c>
      <c r="I342" s="68"/>
      <c r="J342" s="68"/>
      <c r="K342" s="68"/>
    </row>
    <row r="343" spans="1:11" ht="18" customHeight="1">
      <c r="A343" s="95" t="str">
        <f t="shared" si="5"/>
        <v/>
      </c>
      <c r="B343" s="96"/>
      <c r="C343" s="58"/>
      <c r="D343" s="70"/>
      <c r="E343" s="97"/>
      <c r="F343" s="58"/>
      <c r="G343" s="70"/>
      <c r="H343" s="98" t="s">
        <v>823</v>
      </c>
      <c r="I343" s="68"/>
      <c r="J343" s="68"/>
      <c r="K343" s="68"/>
    </row>
    <row r="344" spans="1:11" ht="18" customHeight="1">
      <c r="A344" s="95" t="str">
        <f t="shared" si="5"/>
        <v/>
      </c>
      <c r="B344" s="96"/>
      <c r="C344" s="58"/>
      <c r="D344" s="70"/>
      <c r="E344" s="97"/>
      <c r="F344" s="58"/>
      <c r="G344" s="70"/>
      <c r="H344" s="98" t="s">
        <v>823</v>
      </c>
      <c r="I344" s="68"/>
      <c r="J344" s="68"/>
      <c r="K344" s="68"/>
    </row>
    <row r="345" spans="1:11" ht="18" customHeight="1">
      <c r="A345" s="95" t="str">
        <f t="shared" si="5"/>
        <v/>
      </c>
      <c r="B345" s="96"/>
      <c r="C345" s="58"/>
      <c r="D345" s="70"/>
      <c r="E345" s="97"/>
      <c r="F345" s="58"/>
      <c r="G345" s="70"/>
      <c r="H345" s="98" t="s">
        <v>823</v>
      </c>
      <c r="I345" s="68"/>
      <c r="J345" s="68"/>
      <c r="K345" s="68"/>
    </row>
    <row r="346" spans="1:11" ht="18" customHeight="1">
      <c r="A346" s="95" t="str">
        <f t="shared" si="5"/>
        <v/>
      </c>
      <c r="B346" s="96"/>
      <c r="C346" s="58"/>
      <c r="D346" s="70"/>
      <c r="E346" s="97"/>
      <c r="F346" s="58"/>
      <c r="G346" s="70"/>
      <c r="H346" s="98" t="s">
        <v>823</v>
      </c>
      <c r="I346" s="68"/>
      <c r="J346" s="68"/>
      <c r="K346" s="68"/>
    </row>
    <row r="347" spans="1:11" ht="18" customHeight="1">
      <c r="A347" s="95" t="str">
        <f t="shared" si="5"/>
        <v/>
      </c>
      <c r="B347" s="96"/>
      <c r="C347" s="58"/>
      <c r="D347" s="70"/>
      <c r="E347" s="97"/>
      <c r="F347" s="58"/>
      <c r="G347" s="70"/>
      <c r="H347" s="98" t="s">
        <v>823</v>
      </c>
      <c r="I347" s="68"/>
      <c r="J347" s="68"/>
      <c r="K347" s="68"/>
    </row>
    <row r="348" spans="1:11" ht="18" customHeight="1">
      <c r="A348" s="95" t="str">
        <f t="shared" si="5"/>
        <v/>
      </c>
      <c r="B348" s="96"/>
      <c r="C348" s="58"/>
      <c r="D348" s="70"/>
      <c r="E348" s="97"/>
      <c r="F348" s="58"/>
      <c r="G348" s="70"/>
      <c r="H348" s="98" t="s">
        <v>823</v>
      </c>
      <c r="I348" s="68"/>
      <c r="J348" s="68"/>
      <c r="K348" s="68"/>
    </row>
    <row r="349" spans="1:11" ht="18" customHeight="1">
      <c r="A349" s="95" t="str">
        <f t="shared" si="5"/>
        <v/>
      </c>
      <c r="B349" s="96"/>
      <c r="C349" s="58"/>
      <c r="D349" s="70"/>
      <c r="E349" s="97"/>
      <c r="F349" s="58"/>
      <c r="G349" s="70"/>
      <c r="H349" s="98" t="s">
        <v>823</v>
      </c>
      <c r="I349" s="68"/>
      <c r="J349" s="68"/>
      <c r="K349" s="68"/>
    </row>
    <row r="350" spans="1:11" ht="18" customHeight="1">
      <c r="A350" s="95" t="str">
        <f t="shared" si="5"/>
        <v/>
      </c>
      <c r="B350" s="96"/>
      <c r="C350" s="58"/>
      <c r="D350" s="70"/>
      <c r="E350" s="97"/>
      <c r="F350" s="58"/>
      <c r="G350" s="70"/>
      <c r="H350" s="98" t="s">
        <v>823</v>
      </c>
      <c r="I350" s="68"/>
      <c r="J350" s="68"/>
      <c r="K350" s="68"/>
    </row>
    <row r="351" spans="1:11" ht="18" customHeight="1">
      <c r="A351" s="95" t="str">
        <f t="shared" si="5"/>
        <v/>
      </c>
      <c r="B351" s="96"/>
      <c r="C351" s="58"/>
      <c r="D351" s="70"/>
      <c r="E351" s="97"/>
      <c r="F351" s="58"/>
      <c r="G351" s="70"/>
      <c r="H351" s="98" t="s">
        <v>823</v>
      </c>
      <c r="I351" s="68"/>
      <c r="J351" s="68"/>
      <c r="K351" s="68"/>
    </row>
    <row r="352" spans="1:11" ht="18" customHeight="1">
      <c r="A352" s="95" t="str">
        <f t="shared" si="5"/>
        <v/>
      </c>
      <c r="B352" s="96"/>
      <c r="C352" s="58"/>
      <c r="D352" s="70"/>
      <c r="E352" s="97"/>
      <c r="F352" s="58"/>
      <c r="G352" s="70"/>
      <c r="H352" s="98" t="s">
        <v>823</v>
      </c>
      <c r="I352" s="68"/>
      <c r="J352" s="68"/>
      <c r="K352" s="68"/>
    </row>
    <row r="353" spans="1:11" ht="18" customHeight="1">
      <c r="A353" s="95" t="str">
        <f t="shared" si="5"/>
        <v/>
      </c>
      <c r="B353" s="96"/>
      <c r="C353" s="58"/>
      <c r="D353" s="70"/>
      <c r="E353" s="97"/>
      <c r="F353" s="58"/>
      <c r="G353" s="70"/>
      <c r="H353" s="98" t="s">
        <v>823</v>
      </c>
      <c r="I353" s="68"/>
      <c r="J353" s="68"/>
      <c r="K353" s="68"/>
    </row>
    <row r="354" spans="1:11" ht="18" customHeight="1">
      <c r="A354" s="95" t="str">
        <f t="shared" si="5"/>
        <v/>
      </c>
      <c r="B354" s="96"/>
      <c r="C354" s="58"/>
      <c r="D354" s="70"/>
      <c r="E354" s="97"/>
      <c r="F354" s="58"/>
      <c r="G354" s="70"/>
      <c r="H354" s="98" t="s">
        <v>823</v>
      </c>
      <c r="I354" s="68"/>
      <c r="J354" s="68"/>
      <c r="K354" s="68"/>
    </row>
    <row r="355" spans="1:11" ht="18" customHeight="1">
      <c r="A355" s="95" t="str">
        <f t="shared" si="5"/>
        <v/>
      </c>
      <c r="B355" s="96"/>
      <c r="C355" s="58"/>
      <c r="D355" s="70"/>
      <c r="E355" s="97"/>
      <c r="F355" s="58"/>
      <c r="G355" s="70"/>
      <c r="H355" s="98" t="s">
        <v>823</v>
      </c>
      <c r="I355" s="68"/>
      <c r="J355" s="68"/>
      <c r="K355" s="68"/>
    </row>
    <row r="356" spans="1:11" ht="18" customHeight="1">
      <c r="A356" s="95" t="str">
        <f t="shared" si="5"/>
        <v/>
      </c>
      <c r="B356" s="96"/>
      <c r="C356" s="58"/>
      <c r="D356" s="70"/>
      <c r="E356" s="97"/>
      <c r="F356" s="58"/>
      <c r="G356" s="70"/>
      <c r="H356" s="98" t="s">
        <v>823</v>
      </c>
      <c r="I356" s="68"/>
      <c r="J356" s="68"/>
      <c r="K356" s="68"/>
    </row>
    <row r="357" spans="1:11" ht="18" customHeight="1">
      <c r="A357" s="95" t="str">
        <f t="shared" si="5"/>
        <v/>
      </c>
      <c r="B357" s="96"/>
      <c r="C357" s="58"/>
      <c r="D357" s="70"/>
      <c r="E357" s="97"/>
      <c r="F357" s="58"/>
      <c r="G357" s="70"/>
      <c r="H357" s="98" t="s">
        <v>823</v>
      </c>
      <c r="I357" s="68"/>
      <c r="J357" s="68"/>
      <c r="K357" s="68"/>
    </row>
    <row r="358" spans="1:11" ht="18" customHeight="1">
      <c r="A358" s="95" t="str">
        <f t="shared" si="5"/>
        <v/>
      </c>
      <c r="B358" s="96"/>
      <c r="C358" s="58"/>
      <c r="D358" s="70"/>
      <c r="E358" s="97"/>
      <c r="F358" s="58"/>
      <c r="G358" s="70"/>
      <c r="H358" s="98" t="s">
        <v>823</v>
      </c>
      <c r="I358" s="68"/>
      <c r="J358" s="68"/>
      <c r="K358" s="68"/>
    </row>
    <row r="359" spans="1:11" ht="18" customHeight="1">
      <c r="A359" s="95" t="str">
        <f t="shared" si="5"/>
        <v/>
      </c>
      <c r="B359" s="96"/>
      <c r="C359" s="58"/>
      <c r="D359" s="70"/>
      <c r="E359" s="97"/>
      <c r="F359" s="58"/>
      <c r="G359" s="70"/>
      <c r="H359" s="98" t="s">
        <v>823</v>
      </c>
      <c r="I359" s="68"/>
      <c r="J359" s="68"/>
      <c r="K359" s="68"/>
    </row>
    <row r="360" spans="1:11" ht="18" customHeight="1">
      <c r="A360" s="95" t="str">
        <f t="shared" si="5"/>
        <v/>
      </c>
      <c r="B360" s="96"/>
      <c r="C360" s="58"/>
      <c r="D360" s="70"/>
      <c r="E360" s="97"/>
      <c r="F360" s="58"/>
      <c r="G360" s="70"/>
      <c r="H360" s="98" t="s">
        <v>823</v>
      </c>
      <c r="I360" s="68"/>
      <c r="J360" s="68"/>
      <c r="K360" s="68"/>
    </row>
    <row r="361" spans="1:11" ht="18" customHeight="1">
      <c r="A361" s="95" t="str">
        <f t="shared" si="5"/>
        <v/>
      </c>
      <c r="B361" s="96"/>
      <c r="C361" s="58"/>
      <c r="D361" s="70"/>
      <c r="E361" s="97"/>
      <c r="F361" s="58"/>
      <c r="G361" s="70"/>
      <c r="H361" s="98" t="s">
        <v>823</v>
      </c>
      <c r="I361" s="68"/>
      <c r="J361" s="68"/>
      <c r="K361" s="68"/>
    </row>
    <row r="362" spans="1:11" ht="18" customHeight="1">
      <c r="A362" s="95" t="str">
        <f t="shared" si="5"/>
        <v/>
      </c>
      <c r="B362" s="96"/>
      <c r="C362" s="58"/>
      <c r="D362" s="70"/>
      <c r="E362" s="97"/>
      <c r="F362" s="58"/>
      <c r="G362" s="70"/>
      <c r="H362" s="98" t="s">
        <v>823</v>
      </c>
      <c r="I362" s="68"/>
      <c r="J362" s="68"/>
      <c r="K362" s="68"/>
    </row>
    <row r="363" spans="1:11" ht="18" customHeight="1">
      <c r="A363" s="95" t="str">
        <f t="shared" si="5"/>
        <v/>
      </c>
      <c r="B363" s="96"/>
      <c r="C363" s="58"/>
      <c r="D363" s="70"/>
      <c r="E363" s="97"/>
      <c r="F363" s="58"/>
      <c r="G363" s="70"/>
      <c r="H363" s="98" t="s">
        <v>823</v>
      </c>
      <c r="I363" s="68"/>
      <c r="J363" s="68"/>
      <c r="K363" s="68"/>
    </row>
    <row r="364" spans="1:11" ht="18" customHeight="1">
      <c r="A364" s="95" t="str">
        <f t="shared" si="5"/>
        <v/>
      </c>
      <c r="B364" s="96"/>
      <c r="C364" s="58"/>
      <c r="D364" s="70"/>
      <c r="E364" s="97"/>
      <c r="F364" s="58"/>
      <c r="G364" s="70"/>
      <c r="H364" s="98" t="s">
        <v>823</v>
      </c>
      <c r="I364" s="68"/>
      <c r="J364" s="68"/>
      <c r="K364" s="68"/>
    </row>
    <row r="365" spans="1:11" ht="18" customHeight="1">
      <c r="A365" s="95" t="str">
        <f t="shared" si="5"/>
        <v/>
      </c>
      <c r="B365" s="96"/>
      <c r="C365" s="58"/>
      <c r="D365" s="70"/>
      <c r="E365" s="97"/>
      <c r="F365" s="58"/>
      <c r="G365" s="70"/>
      <c r="H365" s="98" t="s">
        <v>823</v>
      </c>
      <c r="I365" s="68"/>
      <c r="J365" s="68"/>
      <c r="K365" s="68"/>
    </row>
    <row r="366" spans="1:11" ht="18" customHeight="1">
      <c r="A366" s="95" t="str">
        <f t="shared" si="5"/>
        <v/>
      </c>
      <c r="B366" s="96"/>
      <c r="C366" s="58"/>
      <c r="D366" s="70"/>
      <c r="E366" s="97"/>
      <c r="F366" s="58"/>
      <c r="G366" s="70"/>
      <c r="H366" s="98" t="s">
        <v>823</v>
      </c>
      <c r="I366" s="68"/>
      <c r="J366" s="68"/>
      <c r="K366" s="68"/>
    </row>
    <row r="367" spans="1:11" ht="18" customHeight="1">
      <c r="A367" s="95" t="str">
        <f t="shared" si="5"/>
        <v/>
      </c>
      <c r="B367" s="96"/>
      <c r="C367" s="58"/>
      <c r="D367" s="70"/>
      <c r="E367" s="97"/>
      <c r="F367" s="58"/>
      <c r="G367" s="70"/>
      <c r="H367" s="98" t="s">
        <v>823</v>
      </c>
      <c r="I367" s="68"/>
      <c r="J367" s="68"/>
      <c r="K367" s="68"/>
    </row>
    <row r="368" spans="1:11" ht="18" customHeight="1">
      <c r="A368" s="95" t="str">
        <f t="shared" si="5"/>
        <v/>
      </c>
      <c r="B368" s="96"/>
      <c r="C368" s="58"/>
      <c r="D368" s="70"/>
      <c r="E368" s="97"/>
      <c r="F368" s="58"/>
      <c r="G368" s="70"/>
      <c r="H368" s="98" t="s">
        <v>823</v>
      </c>
      <c r="I368" s="68"/>
      <c r="J368" s="68"/>
      <c r="K368" s="68"/>
    </row>
    <row r="369" spans="1:11" ht="18" customHeight="1">
      <c r="A369" s="95" t="str">
        <f t="shared" si="5"/>
        <v/>
      </c>
      <c r="B369" s="96"/>
      <c r="C369" s="58"/>
      <c r="D369" s="70"/>
      <c r="E369" s="97"/>
      <c r="F369" s="58"/>
      <c r="G369" s="70"/>
      <c r="H369" s="98" t="s">
        <v>823</v>
      </c>
      <c r="I369" s="68"/>
      <c r="J369" s="68"/>
      <c r="K369" s="68"/>
    </row>
    <row r="370" spans="1:11" ht="18" customHeight="1">
      <c r="A370" s="95" t="str">
        <f t="shared" si="5"/>
        <v/>
      </c>
      <c r="B370" s="96"/>
      <c r="C370" s="58"/>
      <c r="D370" s="70"/>
      <c r="E370" s="97"/>
      <c r="F370" s="58"/>
      <c r="G370" s="70"/>
      <c r="H370" s="98" t="s">
        <v>823</v>
      </c>
      <c r="I370" s="68"/>
      <c r="J370" s="68"/>
      <c r="K370" s="68"/>
    </row>
    <row r="371" spans="1:11" ht="18" customHeight="1">
      <c r="A371" s="95" t="str">
        <f t="shared" si="5"/>
        <v/>
      </c>
      <c r="B371" s="96"/>
      <c r="C371" s="58"/>
      <c r="D371" s="70"/>
      <c r="E371" s="97"/>
      <c r="F371" s="58"/>
      <c r="G371" s="70"/>
      <c r="H371" s="98" t="s">
        <v>823</v>
      </c>
      <c r="I371" s="68"/>
      <c r="J371" s="68"/>
      <c r="K371" s="68"/>
    </row>
    <row r="372" spans="1:11" ht="18" customHeight="1">
      <c r="A372" s="95" t="str">
        <f t="shared" si="5"/>
        <v/>
      </c>
      <c r="B372" s="96"/>
      <c r="C372" s="58"/>
      <c r="D372" s="70"/>
      <c r="E372" s="97"/>
      <c r="F372" s="58"/>
      <c r="G372" s="70"/>
      <c r="H372" s="98" t="s">
        <v>823</v>
      </c>
      <c r="I372" s="68"/>
      <c r="J372" s="68"/>
      <c r="K372" s="68"/>
    </row>
    <row r="373" spans="1:11" ht="18" customHeight="1">
      <c r="A373" s="95" t="str">
        <f t="shared" si="5"/>
        <v/>
      </c>
      <c r="B373" s="96"/>
      <c r="C373" s="58"/>
      <c r="D373" s="70"/>
      <c r="E373" s="97"/>
      <c r="F373" s="58"/>
      <c r="G373" s="70"/>
      <c r="H373" s="98" t="s">
        <v>823</v>
      </c>
      <c r="I373" s="68"/>
      <c r="J373" s="68"/>
      <c r="K373" s="68"/>
    </row>
    <row r="374" spans="1:11" ht="18" customHeight="1">
      <c r="A374" s="95" t="str">
        <f t="shared" si="5"/>
        <v/>
      </c>
      <c r="B374" s="96"/>
      <c r="C374" s="58"/>
      <c r="D374" s="70"/>
      <c r="E374" s="97"/>
      <c r="F374" s="58"/>
      <c r="G374" s="70"/>
      <c r="H374" s="98" t="s">
        <v>823</v>
      </c>
      <c r="I374" s="68"/>
      <c r="J374" s="68"/>
      <c r="K374" s="68"/>
    </row>
    <row r="375" spans="1:11" ht="18" customHeight="1">
      <c r="A375" s="95" t="str">
        <f t="shared" si="5"/>
        <v/>
      </c>
      <c r="B375" s="96"/>
      <c r="C375" s="58"/>
      <c r="D375" s="70"/>
      <c r="E375" s="97"/>
      <c r="F375" s="58"/>
      <c r="G375" s="70"/>
      <c r="H375" s="98" t="s">
        <v>823</v>
      </c>
      <c r="I375" s="68"/>
      <c r="J375" s="68"/>
      <c r="K375" s="68"/>
    </row>
    <row r="376" spans="1:11" ht="18" customHeight="1">
      <c r="A376" s="95" t="str">
        <f t="shared" si="5"/>
        <v/>
      </c>
      <c r="B376" s="96"/>
      <c r="C376" s="58"/>
      <c r="D376" s="70"/>
      <c r="E376" s="97"/>
      <c r="F376" s="58"/>
      <c r="G376" s="70"/>
      <c r="H376" s="98" t="s">
        <v>823</v>
      </c>
      <c r="I376" s="68"/>
      <c r="J376" s="68"/>
      <c r="K376" s="68"/>
    </row>
    <row r="377" spans="1:11" ht="18" customHeight="1">
      <c r="A377" s="95" t="str">
        <f t="shared" si="5"/>
        <v/>
      </c>
      <c r="B377" s="96"/>
      <c r="C377" s="58"/>
      <c r="D377" s="70"/>
      <c r="E377" s="97"/>
      <c r="F377" s="58"/>
      <c r="G377" s="70"/>
      <c r="H377" s="98" t="s">
        <v>823</v>
      </c>
      <c r="I377" s="68"/>
      <c r="J377" s="68"/>
      <c r="K377" s="68"/>
    </row>
    <row r="378" spans="1:11" ht="18" customHeight="1">
      <c r="A378" s="95" t="str">
        <f t="shared" si="5"/>
        <v/>
      </c>
      <c r="B378" s="96"/>
      <c r="C378" s="58"/>
      <c r="D378" s="70"/>
      <c r="E378" s="97"/>
      <c r="F378" s="58"/>
      <c r="G378" s="70"/>
      <c r="H378" s="98" t="s">
        <v>823</v>
      </c>
      <c r="I378" s="68"/>
      <c r="J378" s="68"/>
      <c r="K378" s="68"/>
    </row>
    <row r="379" spans="1:11" ht="18" customHeight="1">
      <c r="A379" s="95" t="str">
        <f t="shared" si="5"/>
        <v/>
      </c>
      <c r="B379" s="96"/>
      <c r="C379" s="58"/>
      <c r="D379" s="70"/>
      <c r="E379" s="97"/>
      <c r="F379" s="58"/>
      <c r="G379" s="70"/>
      <c r="H379" s="98" t="s">
        <v>823</v>
      </c>
      <c r="I379" s="68"/>
      <c r="J379" s="68"/>
      <c r="K379" s="68"/>
    </row>
    <row r="380" spans="1:11" ht="18" customHeight="1">
      <c r="A380" s="95" t="str">
        <f t="shared" si="5"/>
        <v/>
      </c>
      <c r="B380" s="96"/>
      <c r="C380" s="58"/>
      <c r="D380" s="70"/>
      <c r="E380" s="97"/>
      <c r="F380" s="58"/>
      <c r="G380" s="70"/>
      <c r="H380" s="98" t="s">
        <v>823</v>
      </c>
      <c r="I380" s="68"/>
      <c r="J380" s="68"/>
      <c r="K380" s="68"/>
    </row>
    <row r="381" spans="1:11" ht="18" customHeight="1">
      <c r="A381" s="95" t="str">
        <f t="shared" si="5"/>
        <v/>
      </c>
      <c r="B381" s="96"/>
      <c r="C381" s="58"/>
      <c r="D381" s="70"/>
      <c r="E381" s="97"/>
      <c r="F381" s="58"/>
      <c r="G381" s="70"/>
      <c r="H381" s="98" t="s">
        <v>823</v>
      </c>
      <c r="I381" s="68"/>
      <c r="J381" s="68"/>
      <c r="K381" s="68"/>
    </row>
    <row r="382" spans="1:11" ht="18" customHeight="1">
      <c r="A382" s="95" t="str">
        <f t="shared" si="5"/>
        <v/>
      </c>
      <c r="B382" s="96"/>
      <c r="C382" s="58"/>
      <c r="D382" s="70"/>
      <c r="E382" s="97"/>
      <c r="F382" s="58"/>
      <c r="G382" s="70"/>
      <c r="H382" s="98" t="s">
        <v>823</v>
      </c>
      <c r="I382" s="68"/>
      <c r="J382" s="68"/>
      <c r="K382" s="68"/>
    </row>
    <row r="383" spans="1:11" ht="18" customHeight="1">
      <c r="A383" s="95" t="str">
        <f t="shared" si="5"/>
        <v/>
      </c>
      <c r="B383" s="96"/>
      <c r="C383" s="58"/>
      <c r="D383" s="70"/>
      <c r="E383" s="97"/>
      <c r="F383" s="58"/>
      <c r="G383" s="70"/>
      <c r="H383" s="98" t="s">
        <v>823</v>
      </c>
      <c r="I383" s="68"/>
      <c r="J383" s="68"/>
      <c r="K383" s="68"/>
    </row>
    <row r="384" spans="1:11" ht="18" customHeight="1">
      <c r="A384" s="95" t="str">
        <f t="shared" si="5"/>
        <v/>
      </c>
      <c r="B384" s="96"/>
      <c r="C384" s="58"/>
      <c r="D384" s="70"/>
      <c r="E384" s="97"/>
      <c r="F384" s="58"/>
      <c r="G384" s="70"/>
      <c r="H384" s="98" t="s">
        <v>823</v>
      </c>
      <c r="I384" s="68"/>
      <c r="J384" s="68"/>
      <c r="K384" s="68"/>
    </row>
    <row r="385" spans="1:11" ht="18" customHeight="1">
      <c r="A385" s="95" t="str">
        <f t="shared" si="5"/>
        <v/>
      </c>
      <c r="B385" s="96"/>
      <c r="C385" s="58"/>
      <c r="D385" s="70"/>
      <c r="E385" s="97"/>
      <c r="F385" s="58"/>
      <c r="G385" s="70"/>
      <c r="H385" s="98" t="s">
        <v>823</v>
      </c>
      <c r="I385" s="68"/>
      <c r="J385" s="68"/>
      <c r="K385" s="68"/>
    </row>
    <row r="386" spans="1:11" ht="18" customHeight="1">
      <c r="A386" s="95" t="str">
        <f t="shared" si="5"/>
        <v/>
      </c>
      <c r="B386" s="96"/>
      <c r="C386" s="58"/>
      <c r="D386" s="70"/>
      <c r="E386" s="97"/>
      <c r="F386" s="58"/>
      <c r="G386" s="70"/>
      <c r="H386" s="98" t="s">
        <v>823</v>
      </c>
      <c r="I386" s="68"/>
      <c r="J386" s="68"/>
      <c r="K386" s="68"/>
    </row>
    <row r="387" spans="1:11" ht="18" customHeight="1">
      <c r="A387" s="95" t="str">
        <f t="shared" si="5"/>
        <v/>
      </c>
      <c r="B387" s="96"/>
      <c r="C387" s="58"/>
      <c r="D387" s="70"/>
      <c r="E387" s="97"/>
      <c r="F387" s="58"/>
      <c r="G387" s="70"/>
      <c r="H387" s="98" t="s">
        <v>823</v>
      </c>
      <c r="I387" s="68"/>
      <c r="J387" s="68"/>
      <c r="K387" s="68"/>
    </row>
    <row r="388" spans="1:11" ht="18" customHeight="1">
      <c r="A388" s="95" t="str">
        <f t="shared" ref="A388:A451" si="6">IF(COUNTA(B388:G388)&gt;0,ROW()-3,"")</f>
        <v/>
      </c>
      <c r="B388" s="96"/>
      <c r="C388" s="58"/>
      <c r="D388" s="70"/>
      <c r="E388" s="97"/>
      <c r="F388" s="58"/>
      <c r="G388" s="70"/>
      <c r="H388" s="98" t="s">
        <v>823</v>
      </c>
      <c r="I388" s="68"/>
      <c r="J388" s="68"/>
      <c r="K388" s="68"/>
    </row>
    <row r="389" spans="1:11" ht="18" customHeight="1">
      <c r="A389" s="95" t="str">
        <f t="shared" si="6"/>
        <v/>
      </c>
      <c r="B389" s="96"/>
      <c r="C389" s="58"/>
      <c r="D389" s="70"/>
      <c r="E389" s="97"/>
      <c r="F389" s="58"/>
      <c r="G389" s="70"/>
      <c r="H389" s="98" t="s">
        <v>823</v>
      </c>
      <c r="I389" s="68"/>
      <c r="J389" s="68"/>
      <c r="K389" s="68"/>
    </row>
    <row r="390" spans="1:11" ht="18" customHeight="1">
      <c r="A390" s="95" t="str">
        <f t="shared" si="6"/>
        <v/>
      </c>
      <c r="B390" s="96"/>
      <c r="C390" s="58"/>
      <c r="D390" s="70"/>
      <c r="E390" s="97"/>
      <c r="F390" s="58"/>
      <c r="G390" s="70"/>
      <c r="H390" s="98" t="s">
        <v>823</v>
      </c>
      <c r="I390" s="68"/>
      <c r="J390" s="68"/>
      <c r="K390" s="68"/>
    </row>
    <row r="391" spans="1:11" ht="18" customHeight="1">
      <c r="A391" s="95" t="str">
        <f t="shared" si="6"/>
        <v/>
      </c>
      <c r="B391" s="96"/>
      <c r="C391" s="58"/>
      <c r="D391" s="70"/>
      <c r="E391" s="97"/>
      <c r="F391" s="58"/>
      <c r="G391" s="70"/>
      <c r="H391" s="98" t="s">
        <v>823</v>
      </c>
      <c r="I391" s="68"/>
      <c r="J391" s="68"/>
      <c r="K391" s="68"/>
    </row>
    <row r="392" spans="1:11" ht="18" customHeight="1">
      <c r="A392" s="95" t="str">
        <f t="shared" si="6"/>
        <v/>
      </c>
      <c r="B392" s="96"/>
      <c r="C392" s="58"/>
      <c r="D392" s="70"/>
      <c r="E392" s="97"/>
      <c r="F392" s="58"/>
      <c r="G392" s="70"/>
      <c r="H392" s="98" t="s">
        <v>823</v>
      </c>
      <c r="I392" s="68"/>
      <c r="J392" s="68"/>
      <c r="K392" s="68"/>
    </row>
    <row r="393" spans="1:11" ht="18" customHeight="1">
      <c r="A393" s="95" t="str">
        <f t="shared" si="6"/>
        <v/>
      </c>
      <c r="B393" s="96"/>
      <c r="C393" s="58"/>
      <c r="D393" s="70"/>
      <c r="E393" s="97"/>
      <c r="F393" s="58"/>
      <c r="G393" s="70"/>
      <c r="H393" s="98" t="s">
        <v>823</v>
      </c>
      <c r="I393" s="68"/>
      <c r="J393" s="68"/>
      <c r="K393" s="68"/>
    </row>
    <row r="394" spans="1:11" ht="18" customHeight="1">
      <c r="A394" s="95" t="str">
        <f t="shared" si="6"/>
        <v/>
      </c>
      <c r="B394" s="96"/>
      <c r="C394" s="58"/>
      <c r="D394" s="70"/>
      <c r="E394" s="97"/>
      <c r="F394" s="58"/>
      <c r="G394" s="70"/>
      <c r="H394" s="98" t="s">
        <v>823</v>
      </c>
      <c r="I394" s="68"/>
      <c r="J394" s="68"/>
      <c r="K394" s="68"/>
    </row>
    <row r="395" spans="1:11" ht="18" customHeight="1">
      <c r="A395" s="95" t="str">
        <f t="shared" si="6"/>
        <v/>
      </c>
      <c r="B395" s="96"/>
      <c r="C395" s="58"/>
      <c r="D395" s="70"/>
      <c r="E395" s="97"/>
      <c r="F395" s="58"/>
      <c r="G395" s="70"/>
      <c r="H395" s="98" t="s">
        <v>823</v>
      </c>
      <c r="I395" s="68"/>
      <c r="J395" s="68"/>
      <c r="K395" s="68"/>
    </row>
    <row r="396" spans="1:11" ht="18" customHeight="1">
      <c r="A396" s="95" t="str">
        <f t="shared" si="6"/>
        <v/>
      </c>
      <c r="B396" s="96"/>
      <c r="C396" s="58"/>
      <c r="D396" s="70"/>
      <c r="E396" s="97"/>
      <c r="F396" s="58"/>
      <c r="G396" s="70"/>
      <c r="H396" s="98" t="s">
        <v>823</v>
      </c>
      <c r="I396" s="68"/>
      <c r="J396" s="68"/>
      <c r="K396" s="68"/>
    </row>
    <row r="397" spans="1:11" ht="18" customHeight="1">
      <c r="A397" s="95" t="str">
        <f t="shared" si="6"/>
        <v/>
      </c>
      <c r="B397" s="96"/>
      <c r="C397" s="58"/>
      <c r="D397" s="70"/>
      <c r="E397" s="97"/>
      <c r="F397" s="58"/>
      <c r="G397" s="70"/>
      <c r="H397" s="98" t="s">
        <v>823</v>
      </c>
      <c r="I397" s="68"/>
      <c r="J397" s="68"/>
      <c r="K397" s="68"/>
    </row>
    <row r="398" spans="1:11" ht="18" customHeight="1">
      <c r="A398" s="95" t="str">
        <f t="shared" si="6"/>
        <v/>
      </c>
      <c r="B398" s="96"/>
      <c r="C398" s="58"/>
      <c r="D398" s="70"/>
      <c r="E398" s="97"/>
      <c r="F398" s="58"/>
      <c r="G398" s="70"/>
      <c r="H398" s="98" t="s">
        <v>823</v>
      </c>
      <c r="I398" s="68"/>
      <c r="J398" s="68"/>
      <c r="K398" s="68"/>
    </row>
    <row r="399" spans="1:11" ht="18" customHeight="1">
      <c r="A399" s="95" t="str">
        <f t="shared" si="6"/>
        <v/>
      </c>
      <c r="B399" s="96"/>
      <c r="C399" s="58"/>
      <c r="D399" s="70"/>
      <c r="E399" s="97"/>
      <c r="F399" s="58"/>
      <c r="G399" s="70"/>
      <c r="H399" s="98" t="s">
        <v>823</v>
      </c>
      <c r="I399" s="68"/>
      <c r="J399" s="68"/>
      <c r="K399" s="68"/>
    </row>
    <row r="400" spans="1:11" ht="18" customHeight="1">
      <c r="A400" s="95" t="str">
        <f t="shared" si="6"/>
        <v/>
      </c>
      <c r="B400" s="96"/>
      <c r="C400" s="58"/>
      <c r="D400" s="70"/>
      <c r="E400" s="97"/>
      <c r="F400" s="58"/>
      <c r="G400" s="70"/>
      <c r="H400" s="98" t="s">
        <v>823</v>
      </c>
      <c r="I400" s="68"/>
      <c r="J400" s="68"/>
      <c r="K400" s="68"/>
    </row>
    <row r="401" spans="1:11" ht="18" customHeight="1">
      <c r="A401" s="95" t="str">
        <f t="shared" si="6"/>
        <v/>
      </c>
      <c r="B401" s="96"/>
      <c r="C401" s="58"/>
      <c r="D401" s="70"/>
      <c r="E401" s="97"/>
      <c r="F401" s="58"/>
      <c r="G401" s="70"/>
      <c r="H401" s="98" t="s">
        <v>823</v>
      </c>
      <c r="I401" s="68"/>
      <c r="J401" s="68"/>
      <c r="K401" s="68"/>
    </row>
    <row r="402" spans="1:11" ht="18" customHeight="1">
      <c r="A402" s="95" t="str">
        <f t="shared" si="6"/>
        <v/>
      </c>
      <c r="B402" s="96"/>
      <c r="C402" s="58"/>
      <c r="D402" s="70"/>
      <c r="E402" s="97"/>
      <c r="F402" s="58"/>
      <c r="G402" s="70"/>
      <c r="H402" s="98" t="s">
        <v>823</v>
      </c>
      <c r="I402" s="68"/>
      <c r="J402" s="68"/>
      <c r="K402" s="68"/>
    </row>
    <row r="403" spans="1:11" ht="18" customHeight="1">
      <c r="A403" s="95" t="str">
        <f t="shared" si="6"/>
        <v/>
      </c>
      <c r="B403" s="96"/>
      <c r="C403" s="58"/>
      <c r="D403" s="70"/>
      <c r="E403" s="97"/>
      <c r="F403" s="58"/>
      <c r="G403" s="70"/>
      <c r="H403" s="98" t="s">
        <v>823</v>
      </c>
      <c r="I403" s="68"/>
      <c r="J403" s="68"/>
      <c r="K403" s="68"/>
    </row>
    <row r="404" spans="1:11" ht="18" customHeight="1">
      <c r="A404" s="95" t="str">
        <f t="shared" si="6"/>
        <v/>
      </c>
      <c r="B404" s="96"/>
      <c r="C404" s="58"/>
      <c r="D404" s="70"/>
      <c r="E404" s="97"/>
      <c r="F404" s="58"/>
      <c r="G404" s="70"/>
      <c r="H404" s="98" t="s">
        <v>823</v>
      </c>
      <c r="I404" s="68"/>
      <c r="J404" s="68"/>
      <c r="K404" s="68"/>
    </row>
    <row r="405" spans="1:11" ht="18" customHeight="1">
      <c r="A405" s="95" t="str">
        <f t="shared" si="6"/>
        <v/>
      </c>
      <c r="B405" s="96"/>
      <c r="C405" s="58"/>
      <c r="D405" s="70"/>
      <c r="E405" s="97"/>
      <c r="F405" s="58"/>
      <c r="G405" s="70"/>
      <c r="H405" s="98" t="s">
        <v>823</v>
      </c>
      <c r="I405" s="68"/>
      <c r="J405" s="68"/>
      <c r="K405" s="68"/>
    </row>
    <row r="406" spans="1:11" ht="18" customHeight="1">
      <c r="A406" s="95" t="str">
        <f t="shared" si="6"/>
        <v/>
      </c>
      <c r="B406" s="96"/>
      <c r="C406" s="58"/>
      <c r="D406" s="70"/>
      <c r="E406" s="97"/>
      <c r="F406" s="58"/>
      <c r="G406" s="70"/>
      <c r="H406" s="98" t="s">
        <v>823</v>
      </c>
      <c r="I406" s="68"/>
      <c r="J406" s="68"/>
      <c r="K406" s="68"/>
    </row>
    <row r="407" spans="1:11" ht="18" customHeight="1">
      <c r="A407" s="95" t="str">
        <f t="shared" si="6"/>
        <v/>
      </c>
      <c r="B407" s="96"/>
      <c r="C407" s="58"/>
      <c r="D407" s="70"/>
      <c r="E407" s="97"/>
      <c r="F407" s="58"/>
      <c r="G407" s="70"/>
      <c r="H407" s="98" t="s">
        <v>823</v>
      </c>
      <c r="I407" s="68"/>
      <c r="J407" s="68"/>
      <c r="K407" s="68"/>
    </row>
    <row r="408" spans="1:11" ht="18" customHeight="1">
      <c r="A408" s="95" t="str">
        <f t="shared" si="6"/>
        <v/>
      </c>
      <c r="B408" s="96"/>
      <c r="C408" s="58"/>
      <c r="D408" s="70"/>
      <c r="E408" s="97"/>
      <c r="F408" s="58"/>
      <c r="G408" s="70"/>
      <c r="H408" s="98" t="s">
        <v>823</v>
      </c>
      <c r="I408" s="68"/>
      <c r="J408" s="68"/>
      <c r="K408" s="68"/>
    </row>
    <row r="409" spans="1:11" ht="18" customHeight="1">
      <c r="A409" s="95" t="str">
        <f t="shared" si="6"/>
        <v/>
      </c>
      <c r="B409" s="96"/>
      <c r="C409" s="58"/>
      <c r="D409" s="70"/>
      <c r="E409" s="97"/>
      <c r="F409" s="58"/>
      <c r="G409" s="70"/>
      <c r="H409" s="98" t="s">
        <v>823</v>
      </c>
      <c r="I409" s="68"/>
      <c r="J409" s="68"/>
      <c r="K409" s="68"/>
    </row>
    <row r="410" spans="1:11" ht="18" customHeight="1">
      <c r="A410" s="95" t="str">
        <f t="shared" si="6"/>
        <v/>
      </c>
      <c r="B410" s="96"/>
      <c r="C410" s="58"/>
      <c r="D410" s="70"/>
      <c r="E410" s="97"/>
      <c r="F410" s="58"/>
      <c r="G410" s="70"/>
      <c r="H410" s="98" t="s">
        <v>823</v>
      </c>
      <c r="I410" s="68"/>
      <c r="J410" s="68"/>
      <c r="K410" s="68"/>
    </row>
    <row r="411" spans="1:11" ht="18" customHeight="1">
      <c r="A411" s="95" t="str">
        <f t="shared" si="6"/>
        <v/>
      </c>
      <c r="B411" s="96"/>
      <c r="C411" s="58"/>
      <c r="D411" s="70"/>
      <c r="E411" s="97"/>
      <c r="F411" s="58"/>
      <c r="G411" s="70"/>
      <c r="H411" s="98" t="s">
        <v>823</v>
      </c>
      <c r="I411" s="68"/>
      <c r="J411" s="68"/>
      <c r="K411" s="68"/>
    </row>
    <row r="412" spans="1:11" ht="18" customHeight="1">
      <c r="A412" s="95" t="str">
        <f t="shared" si="6"/>
        <v/>
      </c>
      <c r="B412" s="96"/>
      <c r="C412" s="58"/>
      <c r="D412" s="70"/>
      <c r="E412" s="97"/>
      <c r="F412" s="58"/>
      <c r="G412" s="70"/>
      <c r="H412" s="98" t="s">
        <v>823</v>
      </c>
      <c r="I412" s="68"/>
      <c r="J412" s="68"/>
      <c r="K412" s="68"/>
    </row>
    <row r="413" spans="1:11" ht="18" customHeight="1">
      <c r="A413" s="95" t="str">
        <f t="shared" si="6"/>
        <v/>
      </c>
      <c r="B413" s="96"/>
      <c r="C413" s="58"/>
      <c r="D413" s="70"/>
      <c r="E413" s="97"/>
      <c r="F413" s="58"/>
      <c r="G413" s="70"/>
      <c r="H413" s="98" t="s">
        <v>823</v>
      </c>
      <c r="I413" s="68"/>
      <c r="J413" s="68"/>
      <c r="K413" s="68"/>
    </row>
    <row r="414" spans="1:11" ht="18" customHeight="1">
      <c r="A414" s="95" t="str">
        <f t="shared" si="6"/>
        <v/>
      </c>
      <c r="B414" s="96"/>
      <c r="C414" s="58"/>
      <c r="D414" s="70"/>
      <c r="E414" s="97"/>
      <c r="F414" s="58"/>
      <c r="G414" s="70"/>
      <c r="H414" s="98" t="s">
        <v>823</v>
      </c>
      <c r="I414" s="68"/>
      <c r="J414" s="68"/>
      <c r="K414" s="68"/>
    </row>
    <row r="415" spans="1:11" ht="18" customHeight="1">
      <c r="A415" s="95" t="str">
        <f t="shared" si="6"/>
        <v/>
      </c>
      <c r="B415" s="96"/>
      <c r="C415" s="58"/>
      <c r="D415" s="70"/>
      <c r="E415" s="97"/>
      <c r="F415" s="58"/>
      <c r="G415" s="70"/>
      <c r="H415" s="98" t="s">
        <v>823</v>
      </c>
      <c r="I415" s="68"/>
      <c r="J415" s="68"/>
      <c r="K415" s="68"/>
    </row>
    <row r="416" spans="1:11" ht="18" customHeight="1">
      <c r="A416" s="95" t="str">
        <f t="shared" si="6"/>
        <v/>
      </c>
      <c r="B416" s="96"/>
      <c r="C416" s="58"/>
      <c r="D416" s="70"/>
      <c r="E416" s="97"/>
      <c r="F416" s="58"/>
      <c r="G416" s="70"/>
      <c r="H416" s="98" t="s">
        <v>823</v>
      </c>
      <c r="I416" s="68"/>
      <c r="J416" s="68"/>
      <c r="K416" s="68"/>
    </row>
    <row r="417" spans="1:11" ht="18" customHeight="1">
      <c r="A417" s="95" t="str">
        <f t="shared" si="6"/>
        <v/>
      </c>
      <c r="B417" s="96"/>
      <c r="C417" s="58"/>
      <c r="D417" s="70"/>
      <c r="E417" s="97"/>
      <c r="F417" s="58"/>
      <c r="G417" s="70"/>
      <c r="H417" s="98" t="s">
        <v>823</v>
      </c>
      <c r="I417" s="68"/>
      <c r="J417" s="68"/>
      <c r="K417" s="68"/>
    </row>
    <row r="418" spans="1:11" ht="18" customHeight="1">
      <c r="A418" s="95" t="str">
        <f t="shared" si="6"/>
        <v/>
      </c>
      <c r="B418" s="96"/>
      <c r="C418" s="58"/>
      <c r="D418" s="70"/>
      <c r="E418" s="97"/>
      <c r="F418" s="58"/>
      <c r="G418" s="70"/>
      <c r="H418" s="98" t="s">
        <v>823</v>
      </c>
      <c r="I418" s="68"/>
      <c r="J418" s="68"/>
      <c r="K418" s="68"/>
    </row>
    <row r="419" spans="1:11" ht="18" customHeight="1">
      <c r="A419" s="95" t="str">
        <f t="shared" si="6"/>
        <v/>
      </c>
      <c r="B419" s="96"/>
      <c r="C419" s="58"/>
      <c r="D419" s="70"/>
      <c r="E419" s="97"/>
      <c r="F419" s="58"/>
      <c r="G419" s="70"/>
      <c r="H419" s="98" t="s">
        <v>823</v>
      </c>
      <c r="I419" s="68"/>
      <c r="J419" s="68"/>
      <c r="K419" s="68"/>
    </row>
    <row r="420" spans="1:11" ht="18" customHeight="1">
      <c r="A420" s="95" t="str">
        <f t="shared" si="6"/>
        <v/>
      </c>
      <c r="B420" s="96"/>
      <c r="C420" s="58"/>
      <c r="D420" s="70"/>
      <c r="E420" s="97"/>
      <c r="F420" s="58"/>
      <c r="G420" s="70"/>
      <c r="H420" s="98" t="s">
        <v>823</v>
      </c>
      <c r="I420" s="68"/>
      <c r="J420" s="68"/>
      <c r="K420" s="68"/>
    </row>
    <row r="421" spans="1:11" ht="18" customHeight="1">
      <c r="A421" s="95" t="str">
        <f t="shared" si="6"/>
        <v/>
      </c>
      <c r="B421" s="96"/>
      <c r="C421" s="58"/>
      <c r="D421" s="70"/>
      <c r="E421" s="97"/>
      <c r="F421" s="58"/>
      <c r="G421" s="70"/>
      <c r="H421" s="98" t="s">
        <v>823</v>
      </c>
      <c r="I421" s="68"/>
      <c r="J421" s="68"/>
      <c r="K421" s="68"/>
    </row>
    <row r="422" spans="1:11" ht="18" customHeight="1">
      <c r="A422" s="95" t="str">
        <f t="shared" si="6"/>
        <v/>
      </c>
      <c r="B422" s="96"/>
      <c r="C422" s="58"/>
      <c r="D422" s="70"/>
      <c r="E422" s="97"/>
      <c r="F422" s="58"/>
      <c r="G422" s="70"/>
      <c r="H422" s="98" t="s">
        <v>823</v>
      </c>
      <c r="I422" s="68"/>
      <c r="J422" s="68"/>
      <c r="K422" s="68"/>
    </row>
    <row r="423" spans="1:11" ht="18" customHeight="1">
      <c r="A423" s="95" t="str">
        <f t="shared" si="6"/>
        <v/>
      </c>
      <c r="B423" s="96"/>
      <c r="C423" s="58"/>
      <c r="D423" s="70"/>
      <c r="E423" s="97"/>
      <c r="F423" s="58"/>
      <c r="G423" s="70"/>
      <c r="H423" s="98" t="s">
        <v>823</v>
      </c>
      <c r="I423" s="68"/>
      <c r="J423" s="68"/>
      <c r="K423" s="68"/>
    </row>
    <row r="424" spans="1:11" ht="18" customHeight="1">
      <c r="A424" s="95" t="str">
        <f t="shared" si="6"/>
        <v/>
      </c>
      <c r="B424" s="96"/>
      <c r="C424" s="58"/>
      <c r="D424" s="70"/>
      <c r="E424" s="97"/>
      <c r="F424" s="58"/>
      <c r="G424" s="70"/>
      <c r="H424" s="98" t="s">
        <v>823</v>
      </c>
      <c r="I424" s="68"/>
      <c r="J424" s="68"/>
      <c r="K424" s="68"/>
    </row>
    <row r="425" spans="1:11" ht="18" customHeight="1">
      <c r="A425" s="95" t="str">
        <f t="shared" si="6"/>
        <v/>
      </c>
      <c r="B425" s="96"/>
      <c r="C425" s="58"/>
      <c r="D425" s="70"/>
      <c r="E425" s="97"/>
      <c r="F425" s="58"/>
      <c r="G425" s="70"/>
      <c r="H425" s="98" t="s">
        <v>823</v>
      </c>
      <c r="I425" s="68"/>
      <c r="J425" s="68"/>
      <c r="K425" s="68"/>
    </row>
    <row r="426" spans="1:11" ht="18" customHeight="1">
      <c r="A426" s="95" t="str">
        <f t="shared" si="6"/>
        <v/>
      </c>
      <c r="B426" s="96"/>
      <c r="C426" s="58"/>
      <c r="D426" s="70"/>
      <c r="E426" s="97"/>
      <c r="F426" s="58"/>
      <c r="G426" s="70"/>
      <c r="H426" s="98" t="s">
        <v>823</v>
      </c>
      <c r="I426" s="68"/>
      <c r="J426" s="68"/>
      <c r="K426" s="68"/>
    </row>
    <row r="427" spans="1:11" ht="18" customHeight="1">
      <c r="A427" s="95" t="str">
        <f t="shared" si="6"/>
        <v/>
      </c>
      <c r="B427" s="96"/>
      <c r="C427" s="58"/>
      <c r="D427" s="70"/>
      <c r="E427" s="97"/>
      <c r="F427" s="58"/>
      <c r="G427" s="70"/>
      <c r="H427" s="98" t="s">
        <v>823</v>
      </c>
      <c r="I427" s="68"/>
      <c r="J427" s="68"/>
      <c r="K427" s="68"/>
    </row>
    <row r="428" spans="1:11" ht="18" customHeight="1">
      <c r="A428" s="95" t="str">
        <f t="shared" si="6"/>
        <v/>
      </c>
      <c r="B428" s="96"/>
      <c r="C428" s="58"/>
      <c r="D428" s="70"/>
      <c r="E428" s="97"/>
      <c r="F428" s="58"/>
      <c r="G428" s="70"/>
      <c r="H428" s="98" t="s">
        <v>823</v>
      </c>
      <c r="I428" s="68"/>
      <c r="J428" s="68"/>
      <c r="K428" s="68"/>
    </row>
    <row r="429" spans="1:11" ht="18" customHeight="1">
      <c r="A429" s="95" t="str">
        <f t="shared" si="6"/>
        <v/>
      </c>
      <c r="B429" s="96"/>
      <c r="C429" s="58"/>
      <c r="D429" s="70"/>
      <c r="E429" s="97"/>
      <c r="F429" s="58"/>
      <c r="G429" s="70"/>
      <c r="H429" s="98" t="s">
        <v>823</v>
      </c>
      <c r="I429" s="68"/>
      <c r="J429" s="68"/>
      <c r="K429" s="68"/>
    </row>
    <row r="430" spans="1:11" ht="18" customHeight="1">
      <c r="A430" s="95" t="str">
        <f t="shared" si="6"/>
        <v/>
      </c>
      <c r="B430" s="96"/>
      <c r="C430" s="58"/>
      <c r="D430" s="70"/>
      <c r="E430" s="97"/>
      <c r="F430" s="58"/>
      <c r="G430" s="70"/>
      <c r="H430" s="98" t="s">
        <v>823</v>
      </c>
      <c r="I430" s="68"/>
      <c r="J430" s="68"/>
      <c r="K430" s="68"/>
    </row>
    <row r="431" spans="1:11" ht="18" customHeight="1">
      <c r="A431" s="95" t="str">
        <f t="shared" si="6"/>
        <v/>
      </c>
      <c r="B431" s="96"/>
      <c r="C431" s="58"/>
      <c r="D431" s="70"/>
      <c r="E431" s="97"/>
      <c r="F431" s="58"/>
      <c r="G431" s="70"/>
      <c r="H431" s="98" t="s">
        <v>823</v>
      </c>
      <c r="I431" s="68"/>
      <c r="J431" s="68"/>
      <c r="K431" s="68"/>
    </row>
    <row r="432" spans="1:11" ht="18" customHeight="1">
      <c r="A432" s="95" t="str">
        <f t="shared" si="6"/>
        <v/>
      </c>
      <c r="B432" s="96"/>
      <c r="C432" s="58"/>
      <c r="D432" s="70"/>
      <c r="E432" s="97"/>
      <c r="F432" s="58"/>
      <c r="G432" s="70"/>
      <c r="H432" s="98" t="s">
        <v>823</v>
      </c>
      <c r="I432" s="68"/>
      <c r="J432" s="68"/>
      <c r="K432" s="68"/>
    </row>
    <row r="433" spans="1:11" ht="18" customHeight="1">
      <c r="A433" s="95" t="str">
        <f t="shared" si="6"/>
        <v/>
      </c>
      <c r="B433" s="96"/>
      <c r="C433" s="58"/>
      <c r="D433" s="70"/>
      <c r="E433" s="97"/>
      <c r="F433" s="58"/>
      <c r="G433" s="70"/>
      <c r="H433" s="98" t="s">
        <v>823</v>
      </c>
      <c r="I433" s="68"/>
      <c r="J433" s="68"/>
      <c r="K433" s="68"/>
    </row>
    <row r="434" spans="1:11" ht="18" customHeight="1">
      <c r="A434" s="95" t="str">
        <f t="shared" si="6"/>
        <v/>
      </c>
      <c r="B434" s="96"/>
      <c r="C434" s="58"/>
      <c r="D434" s="70"/>
      <c r="E434" s="97"/>
      <c r="F434" s="58"/>
      <c r="G434" s="70"/>
      <c r="H434" s="98" t="s">
        <v>823</v>
      </c>
      <c r="I434" s="68"/>
      <c r="J434" s="68"/>
      <c r="K434" s="68"/>
    </row>
    <row r="435" spans="1:11" ht="18" customHeight="1">
      <c r="A435" s="95" t="str">
        <f t="shared" si="6"/>
        <v/>
      </c>
      <c r="B435" s="96"/>
      <c r="C435" s="58"/>
      <c r="D435" s="70"/>
      <c r="E435" s="97"/>
      <c r="F435" s="58"/>
      <c r="G435" s="70"/>
      <c r="H435" s="98" t="s">
        <v>823</v>
      </c>
      <c r="I435" s="68"/>
      <c r="J435" s="68"/>
      <c r="K435" s="68"/>
    </row>
    <row r="436" spans="1:11" ht="18" customHeight="1">
      <c r="A436" s="95" t="str">
        <f t="shared" si="6"/>
        <v/>
      </c>
      <c r="B436" s="96"/>
      <c r="C436" s="58"/>
      <c r="D436" s="70"/>
      <c r="E436" s="97"/>
      <c r="F436" s="58"/>
      <c r="G436" s="70"/>
      <c r="H436" s="98" t="s">
        <v>823</v>
      </c>
      <c r="I436" s="68"/>
      <c r="J436" s="68"/>
      <c r="K436" s="68"/>
    </row>
    <row r="437" spans="1:11" ht="18" customHeight="1">
      <c r="A437" s="95" t="str">
        <f t="shared" si="6"/>
        <v/>
      </c>
      <c r="B437" s="96"/>
      <c r="C437" s="58"/>
      <c r="D437" s="70"/>
      <c r="E437" s="97"/>
      <c r="F437" s="58"/>
      <c r="G437" s="70"/>
      <c r="H437" s="98" t="s">
        <v>823</v>
      </c>
      <c r="I437" s="68"/>
      <c r="J437" s="68"/>
      <c r="K437" s="68"/>
    </row>
    <row r="438" spans="1:11" ht="18" customHeight="1">
      <c r="A438" s="95" t="str">
        <f t="shared" si="6"/>
        <v/>
      </c>
      <c r="B438" s="96"/>
      <c r="C438" s="58"/>
      <c r="D438" s="70"/>
      <c r="E438" s="97"/>
      <c r="F438" s="58"/>
      <c r="G438" s="70"/>
      <c r="H438" s="98" t="s">
        <v>823</v>
      </c>
      <c r="I438" s="68"/>
      <c r="J438" s="68"/>
      <c r="K438" s="68"/>
    </row>
    <row r="439" spans="1:11" ht="18" customHeight="1">
      <c r="A439" s="95" t="str">
        <f t="shared" si="6"/>
        <v/>
      </c>
      <c r="B439" s="96"/>
      <c r="C439" s="58"/>
      <c r="D439" s="70"/>
      <c r="E439" s="97"/>
      <c r="F439" s="58"/>
      <c r="G439" s="70"/>
      <c r="H439" s="98" t="s">
        <v>823</v>
      </c>
      <c r="I439" s="68"/>
      <c r="J439" s="68"/>
      <c r="K439" s="68"/>
    </row>
    <row r="440" spans="1:11" ht="18" customHeight="1">
      <c r="A440" s="95" t="str">
        <f t="shared" si="6"/>
        <v/>
      </c>
      <c r="B440" s="96"/>
      <c r="C440" s="58"/>
      <c r="D440" s="70"/>
      <c r="E440" s="97"/>
      <c r="F440" s="58"/>
      <c r="G440" s="70"/>
      <c r="H440" s="98" t="s">
        <v>823</v>
      </c>
      <c r="I440" s="68"/>
      <c r="J440" s="68"/>
      <c r="K440" s="68"/>
    </row>
    <row r="441" spans="1:11" ht="18" customHeight="1">
      <c r="A441" s="95" t="str">
        <f t="shared" si="6"/>
        <v/>
      </c>
      <c r="B441" s="96"/>
      <c r="C441" s="58"/>
      <c r="D441" s="70"/>
      <c r="E441" s="97"/>
      <c r="F441" s="58"/>
      <c r="G441" s="70"/>
      <c r="H441" s="98" t="s">
        <v>823</v>
      </c>
      <c r="I441" s="68"/>
      <c r="J441" s="68"/>
      <c r="K441" s="68"/>
    </row>
    <row r="442" spans="1:11" ht="18" customHeight="1">
      <c r="A442" s="95" t="str">
        <f t="shared" si="6"/>
        <v/>
      </c>
      <c r="B442" s="96"/>
      <c r="C442" s="58"/>
      <c r="D442" s="70"/>
      <c r="E442" s="97"/>
      <c r="F442" s="58"/>
      <c r="G442" s="70"/>
      <c r="H442" s="98" t="s">
        <v>823</v>
      </c>
      <c r="I442" s="68"/>
      <c r="J442" s="68"/>
      <c r="K442" s="68"/>
    </row>
    <row r="443" spans="1:11" ht="18" customHeight="1">
      <c r="A443" s="95" t="str">
        <f t="shared" si="6"/>
        <v/>
      </c>
      <c r="B443" s="96"/>
      <c r="C443" s="58"/>
      <c r="D443" s="70"/>
      <c r="E443" s="97"/>
      <c r="F443" s="58"/>
      <c r="G443" s="70"/>
      <c r="H443" s="98" t="s">
        <v>823</v>
      </c>
      <c r="I443" s="68"/>
      <c r="J443" s="68"/>
      <c r="K443" s="68"/>
    </row>
    <row r="444" spans="1:11" ht="18" customHeight="1">
      <c r="A444" s="95" t="str">
        <f t="shared" si="6"/>
        <v/>
      </c>
      <c r="B444" s="96"/>
      <c r="C444" s="58"/>
      <c r="D444" s="70"/>
      <c r="E444" s="97"/>
      <c r="F444" s="58"/>
      <c r="G444" s="70"/>
      <c r="H444" s="98" t="s">
        <v>823</v>
      </c>
      <c r="I444" s="68"/>
      <c r="J444" s="68"/>
      <c r="K444" s="68"/>
    </row>
    <row r="445" spans="1:11" ht="18" customHeight="1">
      <c r="A445" s="95" t="str">
        <f t="shared" si="6"/>
        <v/>
      </c>
      <c r="B445" s="96"/>
      <c r="C445" s="58"/>
      <c r="D445" s="70"/>
      <c r="E445" s="97"/>
      <c r="F445" s="58"/>
      <c r="G445" s="70"/>
      <c r="H445" s="98" t="s">
        <v>823</v>
      </c>
      <c r="I445" s="68"/>
      <c r="J445" s="68"/>
      <c r="K445" s="68"/>
    </row>
    <row r="446" spans="1:11" ht="18" customHeight="1">
      <c r="A446" s="95" t="str">
        <f t="shared" si="6"/>
        <v/>
      </c>
      <c r="B446" s="96"/>
      <c r="C446" s="58"/>
      <c r="D446" s="70"/>
      <c r="E446" s="97"/>
      <c r="F446" s="58"/>
      <c r="G446" s="70"/>
      <c r="H446" s="98" t="s">
        <v>823</v>
      </c>
      <c r="I446" s="68"/>
      <c r="J446" s="68"/>
      <c r="K446" s="68"/>
    </row>
    <row r="447" spans="1:11" ht="18" customHeight="1">
      <c r="A447" s="95" t="str">
        <f t="shared" si="6"/>
        <v/>
      </c>
      <c r="B447" s="96"/>
      <c r="C447" s="58"/>
      <c r="D447" s="70"/>
      <c r="E447" s="97"/>
      <c r="F447" s="58"/>
      <c r="G447" s="70"/>
      <c r="H447" s="98" t="s">
        <v>823</v>
      </c>
      <c r="I447" s="68"/>
      <c r="J447" s="68"/>
      <c r="K447" s="68"/>
    </row>
    <row r="448" spans="1:11" ht="18" customHeight="1">
      <c r="A448" s="95" t="str">
        <f t="shared" si="6"/>
        <v/>
      </c>
      <c r="B448" s="96"/>
      <c r="C448" s="58"/>
      <c r="D448" s="70"/>
      <c r="E448" s="97"/>
      <c r="F448" s="58"/>
      <c r="G448" s="70"/>
      <c r="H448" s="98" t="s">
        <v>823</v>
      </c>
      <c r="I448" s="68"/>
      <c r="J448" s="68"/>
      <c r="K448" s="68"/>
    </row>
    <row r="449" spans="1:11" ht="18" customHeight="1">
      <c r="A449" s="95" t="str">
        <f t="shared" si="6"/>
        <v/>
      </c>
      <c r="B449" s="96"/>
      <c r="C449" s="58"/>
      <c r="D449" s="70"/>
      <c r="E449" s="97"/>
      <c r="F449" s="58"/>
      <c r="G449" s="70"/>
      <c r="H449" s="98" t="s">
        <v>823</v>
      </c>
      <c r="I449" s="68"/>
      <c r="J449" s="68"/>
      <c r="K449" s="68"/>
    </row>
    <row r="450" spans="1:11" ht="18" customHeight="1">
      <c r="A450" s="95" t="str">
        <f t="shared" si="6"/>
        <v/>
      </c>
      <c r="B450" s="96"/>
      <c r="C450" s="58"/>
      <c r="D450" s="70"/>
      <c r="E450" s="97"/>
      <c r="F450" s="58"/>
      <c r="G450" s="70"/>
      <c r="H450" s="98" t="s">
        <v>823</v>
      </c>
      <c r="I450" s="68"/>
      <c r="J450" s="68"/>
      <c r="K450" s="68"/>
    </row>
    <row r="451" spans="1:11" ht="18" customHeight="1">
      <c r="A451" s="95" t="str">
        <f t="shared" si="6"/>
        <v/>
      </c>
      <c r="B451" s="96"/>
      <c r="C451" s="58"/>
      <c r="D451" s="70"/>
      <c r="E451" s="97"/>
      <c r="F451" s="58"/>
      <c r="G451" s="70"/>
      <c r="H451" s="98" t="s">
        <v>823</v>
      </c>
      <c r="I451" s="68"/>
      <c r="J451" s="68"/>
      <c r="K451" s="68"/>
    </row>
    <row r="452" spans="1:11" ht="18" customHeight="1">
      <c r="A452" s="95" t="str">
        <f t="shared" ref="A452:A515" si="7">IF(COUNTA(B452:G452)&gt;0,ROW()-3,"")</f>
        <v/>
      </c>
      <c r="B452" s="96"/>
      <c r="C452" s="58"/>
      <c r="D452" s="70"/>
      <c r="E452" s="97"/>
      <c r="F452" s="58"/>
      <c r="G452" s="70"/>
      <c r="H452" s="98" t="s">
        <v>823</v>
      </c>
      <c r="I452" s="68"/>
      <c r="J452" s="68"/>
      <c r="K452" s="68"/>
    </row>
    <row r="453" spans="1:11" ht="18" customHeight="1">
      <c r="A453" s="95" t="str">
        <f t="shared" si="7"/>
        <v/>
      </c>
      <c r="B453" s="96"/>
      <c r="C453" s="58"/>
      <c r="D453" s="70"/>
      <c r="E453" s="97"/>
      <c r="F453" s="58"/>
      <c r="G453" s="70"/>
      <c r="H453" s="98" t="s">
        <v>823</v>
      </c>
      <c r="I453" s="68"/>
      <c r="J453" s="68"/>
      <c r="K453" s="68"/>
    </row>
    <row r="454" spans="1:11" ht="18" customHeight="1">
      <c r="A454" s="95" t="str">
        <f t="shared" si="7"/>
        <v/>
      </c>
      <c r="B454" s="96"/>
      <c r="C454" s="58"/>
      <c r="D454" s="70"/>
      <c r="E454" s="97"/>
      <c r="F454" s="58"/>
      <c r="G454" s="70"/>
      <c r="H454" s="98" t="s">
        <v>823</v>
      </c>
      <c r="I454" s="68"/>
      <c r="J454" s="68"/>
      <c r="K454" s="68"/>
    </row>
    <row r="455" spans="1:11" ht="18" customHeight="1">
      <c r="A455" s="95" t="str">
        <f t="shared" si="7"/>
        <v/>
      </c>
      <c r="B455" s="96"/>
      <c r="C455" s="58"/>
      <c r="D455" s="70"/>
      <c r="E455" s="97"/>
      <c r="F455" s="58"/>
      <c r="G455" s="70"/>
      <c r="H455" s="98" t="s">
        <v>823</v>
      </c>
      <c r="I455" s="68"/>
      <c r="J455" s="68"/>
      <c r="K455" s="68"/>
    </row>
    <row r="456" spans="1:11" ht="18" customHeight="1">
      <c r="A456" s="95" t="str">
        <f t="shared" si="7"/>
        <v/>
      </c>
      <c r="B456" s="96"/>
      <c r="C456" s="58"/>
      <c r="D456" s="70"/>
      <c r="E456" s="97"/>
      <c r="F456" s="58"/>
      <c r="G456" s="70"/>
      <c r="H456" s="98" t="s">
        <v>823</v>
      </c>
      <c r="I456" s="68"/>
      <c r="J456" s="68"/>
      <c r="K456" s="68"/>
    </row>
    <row r="457" spans="1:11" ht="18" customHeight="1">
      <c r="A457" s="95" t="str">
        <f t="shared" si="7"/>
        <v/>
      </c>
      <c r="B457" s="96"/>
      <c r="C457" s="58"/>
      <c r="D457" s="70"/>
      <c r="E457" s="97"/>
      <c r="F457" s="58"/>
      <c r="G457" s="70"/>
      <c r="H457" s="98" t="s">
        <v>823</v>
      </c>
      <c r="I457" s="68"/>
      <c r="J457" s="68"/>
      <c r="K457" s="68"/>
    </row>
    <row r="458" spans="1:11" ht="18" customHeight="1">
      <c r="A458" s="95" t="str">
        <f t="shared" si="7"/>
        <v/>
      </c>
      <c r="B458" s="96"/>
      <c r="C458" s="58"/>
      <c r="D458" s="70"/>
      <c r="E458" s="97"/>
      <c r="F458" s="58"/>
      <c r="G458" s="70"/>
      <c r="H458" s="98" t="s">
        <v>823</v>
      </c>
      <c r="I458" s="68"/>
      <c r="J458" s="68"/>
      <c r="K458" s="68"/>
    </row>
    <row r="459" spans="1:11" ht="18" customHeight="1">
      <c r="A459" s="95" t="str">
        <f t="shared" si="7"/>
        <v/>
      </c>
      <c r="B459" s="96"/>
      <c r="C459" s="58"/>
      <c r="D459" s="70"/>
      <c r="E459" s="97"/>
      <c r="F459" s="58"/>
      <c r="G459" s="70"/>
      <c r="H459" s="98" t="s">
        <v>823</v>
      </c>
      <c r="I459" s="68"/>
      <c r="J459" s="68"/>
      <c r="K459" s="68"/>
    </row>
    <row r="460" spans="1:11" ht="18" customHeight="1">
      <c r="A460" s="95" t="str">
        <f t="shared" si="7"/>
        <v/>
      </c>
      <c r="B460" s="96"/>
      <c r="C460" s="58"/>
      <c r="D460" s="70"/>
      <c r="E460" s="97"/>
      <c r="F460" s="58"/>
      <c r="G460" s="70"/>
      <c r="H460" s="98" t="s">
        <v>823</v>
      </c>
      <c r="I460" s="68"/>
      <c r="J460" s="68"/>
      <c r="K460" s="68"/>
    </row>
    <row r="461" spans="1:11" ht="18" customHeight="1">
      <c r="A461" s="95" t="str">
        <f t="shared" si="7"/>
        <v/>
      </c>
      <c r="B461" s="96"/>
      <c r="C461" s="58"/>
      <c r="D461" s="70"/>
      <c r="E461" s="97"/>
      <c r="F461" s="58"/>
      <c r="G461" s="70"/>
      <c r="H461" s="98" t="s">
        <v>823</v>
      </c>
      <c r="I461" s="68"/>
      <c r="J461" s="68"/>
      <c r="K461" s="68"/>
    </row>
    <row r="462" spans="1:11" ht="18" customHeight="1">
      <c r="A462" s="95" t="str">
        <f t="shared" si="7"/>
        <v/>
      </c>
      <c r="B462" s="96"/>
      <c r="C462" s="58"/>
      <c r="D462" s="70"/>
      <c r="E462" s="97"/>
      <c r="F462" s="58"/>
      <c r="G462" s="70"/>
      <c r="H462" s="98" t="s">
        <v>823</v>
      </c>
      <c r="I462" s="68"/>
      <c r="J462" s="68"/>
      <c r="K462" s="68"/>
    </row>
    <row r="463" spans="1:11" ht="18" customHeight="1">
      <c r="A463" s="95" t="str">
        <f t="shared" si="7"/>
        <v/>
      </c>
      <c r="B463" s="96"/>
      <c r="C463" s="58"/>
      <c r="D463" s="70"/>
      <c r="E463" s="97"/>
      <c r="F463" s="58"/>
      <c r="G463" s="70"/>
      <c r="H463" s="98" t="s">
        <v>823</v>
      </c>
      <c r="I463" s="68"/>
      <c r="J463" s="68"/>
      <c r="K463" s="68"/>
    </row>
    <row r="464" spans="1:11" ht="18" customHeight="1">
      <c r="A464" s="95" t="str">
        <f t="shared" si="7"/>
        <v/>
      </c>
      <c r="B464" s="96"/>
      <c r="C464" s="58"/>
      <c r="D464" s="70"/>
      <c r="E464" s="97"/>
      <c r="F464" s="58"/>
      <c r="G464" s="70"/>
      <c r="H464" s="98" t="s">
        <v>823</v>
      </c>
      <c r="I464" s="68"/>
      <c r="J464" s="68"/>
      <c r="K464" s="68"/>
    </row>
    <row r="465" spans="1:11" ht="18" customHeight="1">
      <c r="A465" s="95" t="str">
        <f t="shared" si="7"/>
        <v/>
      </c>
      <c r="B465" s="96"/>
      <c r="C465" s="58"/>
      <c r="D465" s="70"/>
      <c r="E465" s="97"/>
      <c r="F465" s="58"/>
      <c r="G465" s="70"/>
      <c r="H465" s="98" t="s">
        <v>823</v>
      </c>
      <c r="I465" s="68"/>
      <c r="J465" s="68"/>
      <c r="K465" s="68"/>
    </row>
    <row r="466" spans="1:11" ht="18" customHeight="1">
      <c r="A466" s="95" t="str">
        <f t="shared" si="7"/>
        <v/>
      </c>
      <c r="B466" s="96"/>
      <c r="C466" s="58"/>
      <c r="D466" s="70"/>
      <c r="E466" s="97"/>
      <c r="F466" s="58"/>
      <c r="G466" s="70"/>
      <c r="H466" s="98" t="s">
        <v>823</v>
      </c>
      <c r="I466" s="68"/>
      <c r="J466" s="68"/>
      <c r="K466" s="68"/>
    </row>
    <row r="467" spans="1:11" ht="18" customHeight="1">
      <c r="A467" s="95" t="str">
        <f t="shared" si="7"/>
        <v/>
      </c>
      <c r="B467" s="96"/>
      <c r="C467" s="58"/>
      <c r="D467" s="70"/>
      <c r="E467" s="97"/>
      <c r="F467" s="58"/>
      <c r="G467" s="70"/>
      <c r="H467" s="98" t="s">
        <v>823</v>
      </c>
      <c r="I467" s="68"/>
      <c r="J467" s="68"/>
      <c r="K467" s="68"/>
    </row>
    <row r="468" spans="1:11" ht="18" customHeight="1">
      <c r="A468" s="95" t="str">
        <f t="shared" si="7"/>
        <v/>
      </c>
      <c r="B468" s="96"/>
      <c r="C468" s="58"/>
      <c r="D468" s="70"/>
      <c r="E468" s="97"/>
      <c r="F468" s="58"/>
      <c r="G468" s="70"/>
      <c r="H468" s="98" t="s">
        <v>823</v>
      </c>
      <c r="I468" s="68"/>
      <c r="J468" s="68"/>
      <c r="K468" s="68"/>
    </row>
    <row r="469" spans="1:11" ht="18" customHeight="1">
      <c r="A469" s="95" t="str">
        <f t="shared" si="7"/>
        <v/>
      </c>
      <c r="B469" s="96"/>
      <c r="C469" s="58"/>
      <c r="D469" s="70"/>
      <c r="E469" s="97"/>
      <c r="F469" s="58"/>
      <c r="G469" s="70"/>
      <c r="H469" s="98" t="s">
        <v>823</v>
      </c>
      <c r="I469" s="68"/>
      <c r="J469" s="68"/>
      <c r="K469" s="68"/>
    </row>
    <row r="470" spans="1:11" ht="18" customHeight="1">
      <c r="A470" s="95" t="str">
        <f t="shared" si="7"/>
        <v/>
      </c>
      <c r="B470" s="96"/>
      <c r="C470" s="58"/>
      <c r="D470" s="70"/>
      <c r="E470" s="97"/>
      <c r="F470" s="58"/>
      <c r="G470" s="70"/>
      <c r="H470" s="98" t="s">
        <v>823</v>
      </c>
      <c r="I470" s="68"/>
      <c r="J470" s="68"/>
      <c r="K470" s="68"/>
    </row>
    <row r="471" spans="1:11" ht="18" customHeight="1">
      <c r="A471" s="95" t="str">
        <f t="shared" si="7"/>
        <v/>
      </c>
      <c r="B471" s="96"/>
      <c r="C471" s="58"/>
      <c r="D471" s="70"/>
      <c r="E471" s="97"/>
      <c r="F471" s="58"/>
      <c r="G471" s="70"/>
      <c r="H471" s="98" t="s">
        <v>823</v>
      </c>
      <c r="I471" s="68"/>
      <c r="J471" s="68"/>
      <c r="K471" s="68"/>
    </row>
    <row r="472" spans="1:11" ht="18" customHeight="1">
      <c r="A472" s="95" t="str">
        <f t="shared" si="7"/>
        <v/>
      </c>
      <c r="B472" s="96"/>
      <c r="C472" s="58"/>
      <c r="D472" s="70"/>
      <c r="E472" s="97"/>
      <c r="F472" s="58"/>
      <c r="G472" s="70"/>
      <c r="H472" s="98" t="s">
        <v>823</v>
      </c>
      <c r="I472" s="68"/>
      <c r="J472" s="68"/>
      <c r="K472" s="68"/>
    </row>
    <row r="473" spans="1:11" ht="18" customHeight="1">
      <c r="A473" s="95" t="str">
        <f t="shared" si="7"/>
        <v/>
      </c>
      <c r="B473" s="96"/>
      <c r="C473" s="58"/>
      <c r="D473" s="70"/>
      <c r="E473" s="97"/>
      <c r="F473" s="58"/>
      <c r="G473" s="70"/>
      <c r="H473" s="98" t="s">
        <v>823</v>
      </c>
      <c r="I473" s="68"/>
      <c r="J473" s="68"/>
      <c r="K473" s="68"/>
    </row>
    <row r="474" spans="1:11" ht="18" customHeight="1">
      <c r="A474" s="95" t="str">
        <f t="shared" si="7"/>
        <v/>
      </c>
      <c r="B474" s="96"/>
      <c r="C474" s="58"/>
      <c r="D474" s="70"/>
      <c r="E474" s="97"/>
      <c r="F474" s="58"/>
      <c r="G474" s="70"/>
      <c r="H474" s="98" t="s">
        <v>823</v>
      </c>
      <c r="I474" s="68"/>
      <c r="J474" s="68"/>
      <c r="K474" s="68"/>
    </row>
    <row r="475" spans="1:11" ht="18" customHeight="1">
      <c r="A475" s="95" t="str">
        <f t="shared" si="7"/>
        <v/>
      </c>
      <c r="B475" s="96"/>
      <c r="C475" s="58"/>
      <c r="D475" s="70"/>
      <c r="E475" s="97"/>
      <c r="F475" s="58"/>
      <c r="G475" s="70"/>
      <c r="H475" s="98" t="s">
        <v>823</v>
      </c>
      <c r="I475" s="68"/>
      <c r="J475" s="68"/>
      <c r="K475" s="68"/>
    </row>
    <row r="476" spans="1:11" ht="18" customHeight="1">
      <c r="A476" s="95" t="str">
        <f t="shared" si="7"/>
        <v/>
      </c>
      <c r="B476" s="96"/>
      <c r="C476" s="58"/>
      <c r="D476" s="70"/>
      <c r="E476" s="97"/>
      <c r="F476" s="58"/>
      <c r="G476" s="70"/>
      <c r="H476" s="98" t="s">
        <v>823</v>
      </c>
      <c r="I476" s="68"/>
      <c r="J476" s="68"/>
      <c r="K476" s="68"/>
    </row>
    <row r="477" spans="1:11" ht="18" customHeight="1">
      <c r="A477" s="95" t="str">
        <f t="shared" si="7"/>
        <v/>
      </c>
      <c r="B477" s="96"/>
      <c r="C477" s="58"/>
      <c r="D477" s="70"/>
      <c r="E477" s="97"/>
      <c r="F477" s="58"/>
      <c r="G477" s="70"/>
      <c r="H477" s="98" t="s">
        <v>823</v>
      </c>
      <c r="I477" s="68"/>
      <c r="J477" s="68"/>
      <c r="K477" s="68"/>
    </row>
    <row r="478" spans="1:11" ht="18" customHeight="1">
      <c r="A478" s="95" t="str">
        <f t="shared" si="7"/>
        <v/>
      </c>
      <c r="B478" s="96"/>
      <c r="C478" s="58"/>
      <c r="D478" s="70"/>
      <c r="E478" s="97"/>
      <c r="F478" s="58"/>
      <c r="G478" s="70"/>
      <c r="H478" s="98" t="s">
        <v>823</v>
      </c>
      <c r="I478" s="68"/>
      <c r="J478" s="68"/>
      <c r="K478" s="68"/>
    </row>
    <row r="479" spans="1:11" ht="18" customHeight="1">
      <c r="A479" s="95" t="str">
        <f t="shared" si="7"/>
        <v/>
      </c>
      <c r="B479" s="96"/>
      <c r="C479" s="58"/>
      <c r="D479" s="70"/>
      <c r="E479" s="97"/>
      <c r="F479" s="58"/>
      <c r="G479" s="70"/>
      <c r="H479" s="98" t="s">
        <v>823</v>
      </c>
      <c r="I479" s="68"/>
      <c r="J479" s="68"/>
      <c r="K479" s="68"/>
    </row>
    <row r="480" spans="1:11" ht="18" customHeight="1">
      <c r="A480" s="95" t="str">
        <f t="shared" si="7"/>
        <v/>
      </c>
      <c r="B480" s="96"/>
      <c r="C480" s="58"/>
      <c r="D480" s="70"/>
      <c r="E480" s="97"/>
      <c r="F480" s="58"/>
      <c r="G480" s="70"/>
      <c r="H480" s="98" t="s">
        <v>823</v>
      </c>
      <c r="I480" s="68"/>
      <c r="J480" s="68"/>
      <c r="K480" s="68"/>
    </row>
    <row r="481" spans="1:11" ht="18" customHeight="1">
      <c r="A481" s="95" t="str">
        <f t="shared" si="7"/>
        <v/>
      </c>
      <c r="B481" s="96"/>
      <c r="C481" s="58"/>
      <c r="D481" s="70"/>
      <c r="E481" s="97"/>
      <c r="F481" s="58"/>
      <c r="G481" s="70"/>
      <c r="H481" s="98" t="s">
        <v>823</v>
      </c>
      <c r="I481" s="68"/>
      <c r="J481" s="68"/>
      <c r="K481" s="68"/>
    </row>
    <row r="482" spans="1:11" ht="18" customHeight="1">
      <c r="A482" s="95" t="str">
        <f t="shared" si="7"/>
        <v/>
      </c>
      <c r="B482" s="96"/>
      <c r="C482" s="58"/>
      <c r="D482" s="70"/>
      <c r="E482" s="97"/>
      <c r="F482" s="58"/>
      <c r="G482" s="70"/>
      <c r="H482" s="98" t="s">
        <v>823</v>
      </c>
      <c r="I482" s="68"/>
      <c r="J482" s="68"/>
      <c r="K482" s="68"/>
    </row>
    <row r="483" spans="1:11" ht="18" customHeight="1">
      <c r="A483" s="95" t="str">
        <f t="shared" si="7"/>
        <v/>
      </c>
      <c r="B483" s="96"/>
      <c r="C483" s="58"/>
      <c r="D483" s="70"/>
      <c r="E483" s="97"/>
      <c r="F483" s="58"/>
      <c r="G483" s="70"/>
      <c r="H483" s="98" t="s">
        <v>823</v>
      </c>
      <c r="I483" s="68"/>
      <c r="J483" s="68"/>
      <c r="K483" s="68"/>
    </row>
    <row r="484" spans="1:11" ht="18" customHeight="1">
      <c r="A484" s="95" t="str">
        <f t="shared" si="7"/>
        <v/>
      </c>
      <c r="B484" s="96"/>
      <c r="C484" s="58"/>
      <c r="D484" s="70"/>
      <c r="E484" s="97"/>
      <c r="F484" s="58"/>
      <c r="G484" s="70"/>
      <c r="H484" s="98" t="s">
        <v>823</v>
      </c>
      <c r="I484" s="68"/>
      <c r="J484" s="68"/>
      <c r="K484" s="68"/>
    </row>
    <row r="485" spans="1:11" ht="18" customHeight="1">
      <c r="A485" s="95" t="str">
        <f t="shared" si="7"/>
        <v/>
      </c>
      <c r="B485" s="96"/>
      <c r="C485" s="58"/>
      <c r="D485" s="70"/>
      <c r="E485" s="97"/>
      <c r="F485" s="58"/>
      <c r="G485" s="70"/>
      <c r="H485" s="98" t="s">
        <v>823</v>
      </c>
      <c r="I485" s="68"/>
      <c r="J485" s="68"/>
      <c r="K485" s="68"/>
    </row>
    <row r="486" spans="1:11" ht="18" customHeight="1">
      <c r="A486" s="95" t="str">
        <f t="shared" si="7"/>
        <v/>
      </c>
      <c r="B486" s="96"/>
      <c r="C486" s="58"/>
      <c r="D486" s="70"/>
      <c r="E486" s="97"/>
      <c r="F486" s="58"/>
      <c r="G486" s="70"/>
      <c r="H486" s="98" t="s">
        <v>823</v>
      </c>
      <c r="I486" s="68"/>
      <c r="J486" s="68"/>
      <c r="K486" s="68"/>
    </row>
    <row r="487" spans="1:11" ht="18" customHeight="1">
      <c r="A487" s="95" t="str">
        <f t="shared" si="7"/>
        <v/>
      </c>
      <c r="B487" s="96"/>
      <c r="C487" s="58"/>
      <c r="D487" s="70"/>
      <c r="E487" s="97"/>
      <c r="F487" s="58"/>
      <c r="G487" s="70"/>
      <c r="H487" s="98" t="s">
        <v>823</v>
      </c>
      <c r="I487" s="68"/>
      <c r="J487" s="68"/>
      <c r="K487" s="68"/>
    </row>
    <row r="488" spans="1:11" ht="18" customHeight="1">
      <c r="A488" s="95" t="str">
        <f t="shared" si="7"/>
        <v/>
      </c>
      <c r="B488" s="96"/>
      <c r="C488" s="58"/>
      <c r="D488" s="70"/>
      <c r="E488" s="97"/>
      <c r="F488" s="58"/>
      <c r="G488" s="70"/>
      <c r="H488" s="98" t="s">
        <v>823</v>
      </c>
      <c r="I488" s="68"/>
      <c r="J488" s="68"/>
      <c r="K488" s="68"/>
    </row>
    <row r="489" spans="1:11" ht="18" customHeight="1">
      <c r="A489" s="95" t="str">
        <f t="shared" si="7"/>
        <v/>
      </c>
      <c r="B489" s="96"/>
      <c r="C489" s="58"/>
      <c r="D489" s="70"/>
      <c r="E489" s="97"/>
      <c r="F489" s="58"/>
      <c r="G489" s="70"/>
      <c r="H489" s="98" t="s">
        <v>823</v>
      </c>
      <c r="I489" s="68"/>
      <c r="J489" s="68"/>
      <c r="K489" s="68"/>
    </row>
    <row r="490" spans="1:11" ht="18" customHeight="1">
      <c r="A490" s="95" t="str">
        <f t="shared" si="7"/>
        <v/>
      </c>
      <c r="B490" s="96"/>
      <c r="C490" s="58"/>
      <c r="D490" s="70"/>
      <c r="E490" s="97"/>
      <c r="F490" s="58"/>
      <c r="G490" s="70"/>
      <c r="H490" s="98" t="s">
        <v>823</v>
      </c>
      <c r="I490" s="68"/>
      <c r="J490" s="68"/>
      <c r="K490" s="68"/>
    </row>
    <row r="491" spans="1:11" ht="18" customHeight="1">
      <c r="A491" s="95" t="str">
        <f t="shared" si="7"/>
        <v/>
      </c>
      <c r="B491" s="96"/>
      <c r="C491" s="58"/>
      <c r="D491" s="70"/>
      <c r="E491" s="97"/>
      <c r="F491" s="58"/>
      <c r="G491" s="70"/>
      <c r="H491" s="98" t="s">
        <v>823</v>
      </c>
      <c r="I491" s="68"/>
      <c r="J491" s="68"/>
      <c r="K491" s="68"/>
    </row>
    <row r="492" spans="1:11" ht="18" customHeight="1">
      <c r="A492" s="95" t="str">
        <f t="shared" si="7"/>
        <v/>
      </c>
      <c r="B492" s="96"/>
      <c r="C492" s="58"/>
      <c r="D492" s="70"/>
      <c r="E492" s="97"/>
      <c r="F492" s="58"/>
      <c r="G492" s="70"/>
      <c r="H492" s="98" t="s">
        <v>823</v>
      </c>
      <c r="I492" s="68"/>
      <c r="J492" s="68"/>
      <c r="K492" s="68"/>
    </row>
    <row r="493" spans="1:11" ht="18" customHeight="1">
      <c r="A493" s="95" t="str">
        <f t="shared" si="7"/>
        <v/>
      </c>
      <c r="B493" s="96"/>
      <c r="C493" s="58"/>
      <c r="D493" s="70"/>
      <c r="E493" s="97"/>
      <c r="F493" s="58"/>
      <c r="G493" s="70"/>
      <c r="H493" s="98" t="s">
        <v>823</v>
      </c>
      <c r="I493" s="68"/>
      <c r="J493" s="68"/>
      <c r="K493" s="68"/>
    </row>
    <row r="494" spans="1:11" ht="18" customHeight="1">
      <c r="A494" s="95" t="str">
        <f t="shared" si="7"/>
        <v/>
      </c>
      <c r="B494" s="96"/>
      <c r="C494" s="58"/>
      <c r="D494" s="70"/>
      <c r="E494" s="97"/>
      <c r="F494" s="58"/>
      <c r="G494" s="70"/>
      <c r="H494" s="98" t="s">
        <v>823</v>
      </c>
      <c r="I494" s="68"/>
      <c r="J494" s="68"/>
      <c r="K494" s="68"/>
    </row>
    <row r="495" spans="1:11" ht="18" customHeight="1">
      <c r="A495" s="95" t="str">
        <f t="shared" si="7"/>
        <v/>
      </c>
      <c r="B495" s="96"/>
      <c r="C495" s="58"/>
      <c r="D495" s="70"/>
      <c r="E495" s="97"/>
      <c r="F495" s="58"/>
      <c r="G495" s="70"/>
      <c r="H495" s="98" t="s">
        <v>823</v>
      </c>
      <c r="I495" s="68"/>
      <c r="J495" s="68"/>
      <c r="K495" s="68"/>
    </row>
    <row r="496" spans="1:11" ht="18" customHeight="1">
      <c r="A496" s="95" t="str">
        <f t="shared" si="7"/>
        <v/>
      </c>
      <c r="B496" s="96"/>
      <c r="C496" s="58"/>
      <c r="D496" s="70"/>
      <c r="E496" s="97"/>
      <c r="F496" s="58"/>
      <c r="G496" s="70"/>
      <c r="H496" s="98" t="s">
        <v>823</v>
      </c>
      <c r="I496" s="68"/>
      <c r="J496" s="68"/>
      <c r="K496" s="68"/>
    </row>
    <row r="497" spans="1:11" ht="18" customHeight="1">
      <c r="A497" s="95" t="str">
        <f t="shared" si="7"/>
        <v/>
      </c>
      <c r="B497" s="96"/>
      <c r="C497" s="58"/>
      <c r="D497" s="70"/>
      <c r="E497" s="97"/>
      <c r="F497" s="58"/>
      <c r="G497" s="70"/>
      <c r="H497" s="98" t="s">
        <v>823</v>
      </c>
      <c r="I497" s="68"/>
      <c r="J497" s="68"/>
      <c r="K497" s="68"/>
    </row>
    <row r="498" spans="1:11" ht="18" customHeight="1">
      <c r="A498" s="95" t="str">
        <f t="shared" si="7"/>
        <v/>
      </c>
      <c r="B498" s="96"/>
      <c r="C498" s="58"/>
      <c r="D498" s="70"/>
      <c r="E498" s="97"/>
      <c r="F498" s="58"/>
      <c r="G498" s="70"/>
      <c r="H498" s="98" t="s">
        <v>823</v>
      </c>
      <c r="I498" s="68"/>
      <c r="J498" s="68"/>
      <c r="K498" s="68"/>
    </row>
    <row r="499" spans="1:11" ht="18" customHeight="1">
      <c r="A499" s="95" t="str">
        <f t="shared" si="7"/>
        <v/>
      </c>
      <c r="B499" s="96"/>
      <c r="C499" s="58"/>
      <c r="D499" s="70"/>
      <c r="E499" s="97"/>
      <c r="F499" s="58"/>
      <c r="G499" s="70"/>
      <c r="H499" s="98" t="s">
        <v>823</v>
      </c>
      <c r="I499" s="68"/>
      <c r="J499" s="68"/>
      <c r="K499" s="68"/>
    </row>
    <row r="500" spans="1:11" ht="18" customHeight="1">
      <c r="A500" s="95" t="str">
        <f t="shared" si="7"/>
        <v/>
      </c>
      <c r="B500" s="96"/>
      <c r="C500" s="58"/>
      <c r="D500" s="70"/>
      <c r="E500" s="97"/>
      <c r="F500" s="58"/>
      <c r="G500" s="70"/>
      <c r="H500" s="98" t="s">
        <v>823</v>
      </c>
      <c r="I500" s="68"/>
      <c r="J500" s="68"/>
      <c r="K500" s="68"/>
    </row>
    <row r="501" spans="1:11" ht="18" customHeight="1">
      <c r="A501" s="95" t="str">
        <f t="shared" si="7"/>
        <v/>
      </c>
      <c r="B501" s="96"/>
      <c r="C501" s="58"/>
      <c r="D501" s="70"/>
      <c r="E501" s="97"/>
      <c r="F501" s="58"/>
      <c r="G501" s="70"/>
      <c r="H501" s="98" t="s">
        <v>823</v>
      </c>
      <c r="I501" s="68"/>
      <c r="J501" s="68"/>
      <c r="K501" s="68"/>
    </row>
    <row r="502" spans="1:11" ht="18" customHeight="1">
      <c r="A502" s="95" t="str">
        <f t="shared" si="7"/>
        <v/>
      </c>
      <c r="B502" s="96"/>
      <c r="C502" s="58"/>
      <c r="D502" s="70"/>
      <c r="E502" s="97"/>
      <c r="F502" s="58"/>
      <c r="G502" s="70"/>
      <c r="H502" s="98" t="s">
        <v>823</v>
      </c>
      <c r="I502" s="68"/>
      <c r="J502" s="68"/>
      <c r="K502" s="68"/>
    </row>
    <row r="503" spans="1:11" ht="18" customHeight="1">
      <c r="A503" s="95" t="str">
        <f t="shared" si="7"/>
        <v/>
      </c>
      <c r="B503" s="96"/>
      <c r="C503" s="58"/>
      <c r="D503" s="70"/>
      <c r="E503" s="97"/>
      <c r="F503" s="58"/>
      <c r="G503" s="70"/>
      <c r="H503" s="98" t="s">
        <v>823</v>
      </c>
      <c r="I503" s="68"/>
      <c r="J503" s="68"/>
      <c r="K503" s="68"/>
    </row>
  </sheetData>
  <mergeCells count="2">
    <mergeCell ref="A2:K2"/>
    <mergeCell ref="A1:K1"/>
  </mergeCells>
  <conditionalFormatting sqref="H4:H503">
    <cfRule type="cellIs" dxfId="17" priority="1" operator="equal">
      <formula>"Raised"</formula>
    </cfRule>
    <cfRule type="cellIs" dxfId="16" priority="2" operator="equal">
      <formula>"Not Raised"</formula>
    </cfRule>
  </conditionalFormatting>
  <dataValidations count="2">
    <dataValidation type="list" allowBlank="1" sqref="C4:C503" xr:uid="{00000000-0002-0000-0400-000000000000}">
      <formula1>"ACCESS,GENERAL CABIN,GALLEY,LAVATORY,PAX DOORS,F/A SEAT,PAX SEAT,FLIGHT DECK,TEDLAR/SIDEWALL,ACFT GENERAL T/C"</formula1>
    </dataValidation>
    <dataValidation type="list" allowBlank="1" sqref="H4:H503" xr:uid="{00000000-0002-0000-0400-000001000000}">
      <formula1>"Not Raised,Raised"</formula1>
    </dataValidation>
  </dataValidations>
  <pageMargins left="0.75" right="0.75" top="1" bottom="1" header="0.5" footer="0.5"/>
  <pageSetup paperSize="9" scale="90" fitToWidth="0"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</sheetPr>
  <dimension ref="A1:M52"/>
  <sheetViews>
    <sheetView showGridLines="0" topLeftCell="A21" workbookViewId="0">
      <selection activeCell="I15" sqref="I15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  <col min="12" max="12" width="14" customWidth="1"/>
    <col min="13" max="13" width="13" customWidth="1"/>
  </cols>
  <sheetData>
    <row r="1" spans="1:13" ht="36" customHeight="1">
      <c r="A1" s="233" t="s">
        <v>824</v>
      </c>
      <c r="B1" s="253"/>
      <c r="C1" s="253"/>
      <c r="D1" s="253"/>
      <c r="E1" s="253"/>
      <c r="F1" s="253"/>
      <c r="G1" s="253"/>
      <c r="H1" s="253"/>
      <c r="I1" s="240" t="str">
        <f ca="1">IF(OR(NOT(ISNUMBER($M$1)),NOT(ISNUMBER($M$2))),"PENDING","DAY "&amp;MAX(MIN(TODAY()-$M$1+1,$M$2-$M$1+1),0)&amp;"/"&amp;($M$2-$M$1+1))</f>
        <v>DAY 2/38</v>
      </c>
      <c r="J1" s="253"/>
      <c r="K1" s="48"/>
      <c r="L1" s="13" t="s">
        <v>825</v>
      </c>
      <c r="M1" s="99">
        <f>DASHBOARD!$M$1</f>
        <v>46221</v>
      </c>
    </row>
    <row r="2" spans="1:13" ht="21" customHeight="1">
      <c r="A2" s="243" t="str">
        <f ca="1">IF(AND($M$1="",$M$2=""),"⚙️  Set CHECK START (M1) and CHECK END (M2) dates → schedule alert activates automatically",IF(OR(NOT(ISNUMBER($M$1)),NOT(ISNUMBER($M$2))),"⚠️ Date not recognized — clear M1/M2 and re-type as  2026-07-01  (year-month-day)",IF($M$2&lt;=$M$1,"⚠️ CHECK END must be after CHECK START — please review M1/M2",IF(AND(TODAY()&gt;$M$2,(COUNTIFS('HZ-ASD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"&amp;(TODAY()-$M$2)&amp;" days",IF((COUNTIFS('HZ-ASD Tracker'!$A$4:$A$1004,"&lt;&gt;",'HZ-ASD Tracker'!$E$4:$E$1004,"Closed")/COUNTIF('HZ-ASD Tracker'!$A$4:$A$1004,"&lt;&gt;"))&gt;=((TODAY()-$M$1)/($M$2-$M$1))-0.05,"✅ ON TRACK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Tracker'!$E$4:$E$1004,"Closed")/MAX(TODAY()-$M$1,1),"0.0")&amp;"/day",IF((COUNTIFS('HZ-ASD Tracker'!$A$4:$A$1004,"&lt;&gt;",'HZ-ASD Tracker'!$E$4:$E$1004,"Closed")/COUNTIF('HZ-ASD Tracker'!$A$4:$A$1004,"&lt;&gt;"))&gt;=((TODAY()-$M$1)/($M$2-$M$1))-0.15,"⚠️ WARNING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Tracker'!$E$4:$E$1004,"Closed")/MAX(TODAY()-$M$1,1),"0.0")&amp;"/day","🔴 CRITICAL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Tracker'!$E$4:$E$1004,"Closed")/MAX(TODAY()-$M$1,1),"0.0")&amp;"/day"))))))</f>
        <v>✅ ON TRACK — Completed 0% vs Time 3%  ·  Days Left: 36  ·  Pace needed: 5.3/day vs avg 0.0/day</v>
      </c>
      <c r="B2" s="253"/>
      <c r="C2" s="253"/>
      <c r="D2" s="253"/>
      <c r="E2" s="253"/>
      <c r="F2" s="253"/>
      <c r="G2" s="253"/>
      <c r="H2" s="253"/>
      <c r="I2" s="253"/>
      <c r="J2" s="253"/>
      <c r="K2" s="48"/>
      <c r="L2" s="13" t="s">
        <v>826</v>
      </c>
      <c r="M2" s="99">
        <f>DASHBOARD!$M$2</f>
        <v>46258</v>
      </c>
    </row>
    <row r="3" spans="1:13" ht="18" customHeight="1">
      <c r="A3" s="226" t="s">
        <v>827</v>
      </c>
      <c r="B3" s="253"/>
      <c r="C3" s="253"/>
      <c r="D3" s="253"/>
      <c r="E3" s="253"/>
      <c r="F3" s="253"/>
      <c r="G3" s="253"/>
      <c r="H3" s="242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I3" s="253"/>
      <c r="J3" s="253"/>
      <c r="K3" s="48"/>
      <c r="L3" s="8"/>
      <c r="M3" s="9"/>
    </row>
    <row r="4" spans="1:13" ht="4.1500000000000004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10"/>
      <c r="M4" s="11"/>
    </row>
    <row r="5" spans="1:13" ht="31.9" customHeight="1">
      <c r="A5" s="48"/>
      <c r="B5" s="100" t="s">
        <v>828</v>
      </c>
      <c r="C5" s="101">
        <f>COUNTIF('HZ-ASD Tracker'!A4:A1004,"&lt;&gt;")</f>
        <v>192</v>
      </c>
      <c r="D5" s="48"/>
      <c r="E5" s="102" t="s">
        <v>735</v>
      </c>
      <c r="F5" s="103">
        <f>COUNTIFS('HZ-ASD Tracker'!A4:A1004,"&lt;&gt;",'HZ-ASD Tracker'!E4:E1004,"Closed")</f>
        <v>0</v>
      </c>
      <c r="G5" s="48"/>
      <c r="H5" s="104" t="s">
        <v>829</v>
      </c>
      <c r="I5" s="105" t="str">
        <f>TEXT(IFERROR(COUNTIFS('HZ-ASD Tracker'!A4:A1004,"&lt;&gt;",'HZ-ASD Tracker'!E4:E1004,"Closed")/COUNTIF('HZ-ASD Tracker'!A4:A1004,"&lt;&gt;"),0),"0%")</f>
        <v>0%</v>
      </c>
      <c r="J5" s="48"/>
      <c r="K5" s="48"/>
      <c r="L5" s="10"/>
      <c r="M5" s="11"/>
    </row>
    <row r="6" spans="1:13" ht="4.1500000000000004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8"/>
      <c r="M6" s="12"/>
    </row>
    <row r="7" spans="1:13" ht="31.9" customHeight="1">
      <c r="A7" s="48"/>
      <c r="B7" s="106" t="s">
        <v>22</v>
      </c>
      <c r="C7" s="107">
        <f>COUNTIFS('HZ-ASD Tracker'!A4:A1004,"&lt;&gt;",'HZ-ASD Tracker'!E4:E1004,"Open")</f>
        <v>192</v>
      </c>
      <c r="D7" s="48"/>
      <c r="E7" s="108" t="s">
        <v>830</v>
      </c>
      <c r="F7" s="109">
        <f>COUNTIFS('HZ-ASD Tracker'!A4:A1004,"&lt;&gt;",'HZ-ASD Tracker'!E4:E1004,"I/W")</f>
        <v>0</v>
      </c>
      <c r="G7" s="48"/>
      <c r="H7" s="110" t="s">
        <v>831</v>
      </c>
      <c r="I7" s="111">
        <f>COUNTIFS('HZ-ASD Tracker'!A4:A1004,"&lt;&gt;",'HZ-ASD Tracker'!E4:E1004,"Deferred")+COUNTIFS('HZ-ASD Tracker'!A4:A1004,"&lt;&gt;",'HZ-ASD Tracker'!E4:E1004,"On Hold")</f>
        <v>0</v>
      </c>
      <c r="J7" s="48"/>
      <c r="K7" s="48"/>
      <c r="L7" s="8"/>
      <c r="M7" s="12"/>
    </row>
    <row r="8" spans="1:13" ht="4.1500000000000004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8"/>
      <c r="M8" s="12"/>
    </row>
    <row r="9" spans="1:13" ht="18" customHeight="1">
      <c r="A9" s="238" t="s">
        <v>832</v>
      </c>
      <c r="B9" s="253"/>
      <c r="C9" s="253"/>
      <c r="D9" s="253"/>
      <c r="E9" s="253"/>
      <c r="F9" s="253"/>
      <c r="G9" s="253"/>
      <c r="H9" s="242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I9" s="253"/>
      <c r="J9" s="253"/>
      <c r="K9" s="48"/>
      <c r="L9" s="8"/>
      <c r="M9" s="12"/>
    </row>
    <row r="10" spans="1:13" ht="4.1500000000000004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8"/>
      <c r="M10" s="12"/>
    </row>
    <row r="11" spans="1:13" ht="31.9" customHeight="1">
      <c r="A11" s="48"/>
      <c r="B11" s="112" t="s">
        <v>58</v>
      </c>
      <c r="C11" s="113">
        <f>COUNTIFS('HZ-ASD Tracker'!A4:A1004,"&lt;&gt;",'HZ-ASD Tracker'!F4:F1004,"AOG")</f>
        <v>1</v>
      </c>
      <c r="D11" s="48"/>
      <c r="E11" s="108" t="s">
        <v>833</v>
      </c>
      <c r="F11" s="109">
        <f>COUNTIFS('HZ-ASD Tracker'!A4:A1004,"&lt;&gt;",'HZ-ASD Tracker'!F4:F1004,"Critical")</f>
        <v>0</v>
      </c>
      <c r="G11" s="48"/>
      <c r="H11" s="114" t="s">
        <v>834</v>
      </c>
      <c r="I11" s="115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1</v>
      </c>
      <c r="J11" s="48"/>
      <c r="K11" s="48"/>
      <c r="L11" s="8"/>
      <c r="M11" s="12"/>
    </row>
    <row r="12" spans="1:13" ht="4.1500000000000004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13" ht="18" customHeight="1">
      <c r="A13" s="232" t="s">
        <v>835</v>
      </c>
      <c r="B13" s="253"/>
      <c r="C13" s="253"/>
      <c r="D13" s="253"/>
      <c r="E13" s="253"/>
      <c r="F13" s="253"/>
      <c r="G13" s="248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Now: PHASE 1 — Pre Hangar</v>
      </c>
      <c r="H13" s="253"/>
      <c r="I13" s="253"/>
      <c r="J13" s="253"/>
      <c r="K13" s="48"/>
      <c r="L13" s="48"/>
      <c r="M13" s="48"/>
    </row>
    <row r="14" spans="1:13" ht="4.1500000000000004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ht="31.9" customHeight="1">
      <c r="A15" s="48"/>
      <c r="B15" s="116" t="s">
        <v>836</v>
      </c>
      <c r="C15" s="117" t="str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164</v>
      </c>
      <c r="D15" s="48"/>
      <c r="E15" s="118" t="s">
        <v>837</v>
      </c>
      <c r="F15" s="119" t="str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Tracker'!$E$4:$E$1004="Closed"))&amp;" / "&amp;SUMPRODUCT(('HZ-ASD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0 / 26</v>
      </c>
      <c r="G15" s="48"/>
      <c r="H15" s="120" t="s">
        <v>838</v>
      </c>
      <c r="I15" s="121" t="str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2</v>
      </c>
      <c r="J15" s="48"/>
      <c r="K15" s="48"/>
      <c r="L15" s="48"/>
      <c r="M15" s="48"/>
    </row>
    <row r="16" spans="1:13" ht="14.45" customHeight="1">
      <c r="A16" s="48"/>
      <c r="B16" s="227" t="str">
        <f>IFERROR("Completion: "&amp;TEXT((COUNTIFS('HZ-ASD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</f>
        <v>Completion: 0%</v>
      </c>
      <c r="C16" s="253"/>
      <c r="D16" s="48"/>
      <c r="E16" s="249" t="str">
        <f ca="1">IFERROR("Completion: "&amp;TEXT(SUMPRODUCT(('HZ-ASD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Tracker'!$E$4:$E$1004="Closed"))/SUMPRODUCT(('HZ-ASD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Tracker'!$B$4:$B$1004)))&gt;0)),"0%"),"-")&amp;IF(AND(ISNUMBER(LAYOVER!$B$22),ISNUMBER(LAYOVER!$C$22)),"  ·  Window: "&amp;TEXT(MIN(MAX((TODAY()-LAYOVER!$B$22)/(LAYOVER!$C$22-LAYOVER!$B$22),0),1),"0%")&amp;" elapsed","")</f>
        <v>Completion: 0%</v>
      </c>
      <c r="F16" s="253"/>
      <c r="G16" s="48"/>
      <c r="H16" s="244" t="str">
        <f ca="1">IFERROR("Completion: "&amp;TEXT((SUMPRODUCT(('HZ-ASD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Tracker'!$B$4:$B$1004,7)="WEEKLY-"))&gt;0))),"0%"),"-")&amp;"  ·  Share: "&amp;TEXT(IFERROR((SUMPRODUCT(('HZ-ASD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Tracker'!$B$4:$B$1004,7)="WEEKLY-"))&gt;0)))/COUNTIF('HZ-ASD Tracker'!$A$4:$A$1004,"&lt;&gt;"),0),"0%")&amp;IF(AND(ISNUMBER(LAYOVER!$B$21),ISNUMBER(LAYOVER!$C$21)),"  ·  Window: "&amp;TEXT(MIN(MAX((TODAY()-LAYOVER!$B$21)/(LAYOVER!$C$21-LAYOVER!$B$21),0),1),"0%")&amp;" elapsed","")</f>
        <v>Completion: 0%  ·  Share: 1%</v>
      </c>
      <c r="I16" s="253"/>
      <c r="J16" s="48"/>
      <c r="K16" s="48"/>
      <c r="L16" s="48"/>
      <c r="M16" s="48"/>
    </row>
    <row r="18" spans="1:13" ht="18" customHeight="1">
      <c r="A18" s="232" t="s">
        <v>839</v>
      </c>
      <c r="B18" s="253"/>
      <c r="C18" s="253"/>
      <c r="D18" s="253"/>
      <c r="E18" s="253"/>
      <c r="F18" s="253"/>
      <c r="G18" s="248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H18" s="253"/>
      <c r="I18" s="253"/>
      <c r="J18" s="253"/>
      <c r="K18" s="48"/>
      <c r="L18" s="48"/>
      <c r="M18" s="48"/>
    </row>
    <row r="19" spans="1:13" ht="4.1500000000000004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 ht="31.9" customHeight="1">
      <c r="A20" s="48"/>
      <c r="B20" s="122" t="s">
        <v>840</v>
      </c>
      <c r="C20" s="123">
        <f>COUNTIFS('OPEN UP-ACCESS'!$B$4:$B$504,"&lt;&gt;",'OPEN UP-ACCESS'!$F$4:$F$504,"Open")</f>
        <v>0</v>
      </c>
      <c r="D20" s="48"/>
      <c r="E20" s="124" t="s">
        <v>841</v>
      </c>
      <c r="F20" s="125">
        <f>COUNTIFS('OPEN UP-ACCESS'!$B$4:$B$504,"&lt;&gt;",'OPEN UP-ACCESS'!$F$4:$F$504,"Partially")</f>
        <v>0</v>
      </c>
      <c r="G20" s="48"/>
      <c r="H20" s="126" t="s">
        <v>842</v>
      </c>
      <c r="I20" s="127">
        <f>COUNTIFS('OPEN UP-ACCESS'!$B$4:$B$504,"&lt;&gt;",'OPEN UP-ACCESS'!$F$4:$F$504,"Re-Installed")</f>
        <v>0</v>
      </c>
      <c r="J20" s="48"/>
      <c r="K20" s="48"/>
      <c r="L20" s="48"/>
      <c r="M20" s="48"/>
    </row>
    <row r="21" spans="1:13" ht="14.45" customHeight="1">
      <c r="A21" s="48"/>
      <c r="B21" s="236" t="str">
        <f>"of "&amp;COUNTIF('OPEN UP-ACCESS'!$B$4:$B$504,"&lt;&gt;")&amp;" recorded items"</f>
        <v>of 0 recorded items</v>
      </c>
      <c r="C21" s="253"/>
      <c r="D21" s="48"/>
      <c r="E21" s="230" t="str">
        <f>"need completion before closing"</f>
        <v>need completion before closing</v>
      </c>
      <c r="F21" s="253"/>
      <c r="G21" s="48"/>
      <c r="H21" s="237" t="str">
        <f>IFERROR("Restoration: "&amp;TEXT(COUNTIFS('OPEN UP-ACCESS'!$B$4:$B$504,"&lt;&gt;",'OPEN UP-ACCESS'!$F$4:$F$504,"Re-Installed")/COUNTIF('OPEN UP-ACCESS'!$B$4:$B$504,"&lt;&gt;"),"0%"),"-")</f>
        <v>-</v>
      </c>
      <c r="I21" s="253"/>
      <c r="J21" s="48"/>
      <c r="K21" s="48"/>
      <c r="L21" s="48"/>
      <c r="M21" s="48"/>
    </row>
    <row r="22" spans="1:13" ht="4.1500000000000004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ht="18" customHeight="1">
      <c r="A23" s="226" t="s">
        <v>743</v>
      </c>
      <c r="B23" s="253"/>
      <c r="C23" s="253"/>
      <c r="D23" s="253"/>
      <c r="E23" s="253"/>
      <c r="F23" s="253"/>
      <c r="G23" s="253"/>
      <c r="H23" s="253"/>
      <c r="I23" s="253"/>
      <c r="J23" s="253"/>
      <c r="K23" s="48"/>
      <c r="L23" s="48"/>
      <c r="M23" s="48"/>
    </row>
    <row r="24" spans="1:13" ht="4.1500000000000004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 ht="31.9" customHeight="1">
      <c r="A25" s="48"/>
      <c r="B25" s="128" t="s">
        <v>21</v>
      </c>
      <c r="C25" s="129" t="str">
        <f>IFERROR(COUNTIFS('HZ-ASD Tracker'!$A$4:$A$1004,"&lt;&gt;",'HZ-ASD Tracker'!$D$4:$D$1004,"ACFT GENERAL T/C",'HZ-ASD Tracker'!$E$4:$E$1004,"Closed")&amp;" / "&amp;COUNTIFS('HZ-ASD Tracker'!$A$4:$A$1004,"&lt;&gt;",'HZ-ASD Tracker'!$D$4:$D$1004,"ACFT GENERAL T/C"),"-")</f>
        <v>0 / 57</v>
      </c>
      <c r="D25" s="48"/>
      <c r="E25" s="130" t="s">
        <v>69</v>
      </c>
      <c r="F25" s="131" t="str">
        <f>IFERROR(COUNTIFS('HZ-ASD Tracker'!$A$4:$A$1004,"&lt;&gt;",'HZ-ASD Tracker'!$D$4:$D$1004,"LAVATORY",'HZ-ASD Tracker'!$E$4:$E$1004,"Closed")&amp;" / "&amp;COUNTIFS('HZ-ASD Tracker'!$A$4:$A$1004,"&lt;&gt;",'HZ-ASD Tracker'!$D$4:$D$1004,"LAVATORY"),"-")</f>
        <v>0 / 11</v>
      </c>
      <c r="G25" s="48"/>
      <c r="H25" s="132" t="s">
        <v>64</v>
      </c>
      <c r="I25" s="133" t="str">
        <f>IFERROR(COUNTIFS('HZ-ASD Tracker'!$A$4:$A$1004,"&lt;&gt;",'HZ-ASD Tracker'!$D$4:$D$1004,"GALLEY",'HZ-ASD Tracker'!$E$4:$E$1004,"Closed")&amp;" / "&amp;COUNTIFS('HZ-ASD Tracker'!$A$4:$A$1004,"&lt;&gt;",'HZ-ASD Tracker'!$D$4:$D$1004,"GALLEY"),"-")</f>
        <v>0 / 8</v>
      </c>
      <c r="J25" s="48"/>
      <c r="K25" s="48"/>
      <c r="L25" s="48"/>
      <c r="M25" s="48"/>
    </row>
    <row r="26" spans="1:13" ht="14.45" customHeight="1">
      <c r="A26" s="48"/>
      <c r="B26" s="250" t="str">
        <f>IFERROR("Completion: "&amp;TEXT(COUNTIFS('HZ-ASD Tracker'!$A$4:$A$1004,"&lt;&gt;",'HZ-ASD Tracker'!$D$4:$D$1004,"ACFT GENERAL T/C",'HZ-ASD Tracker'!$E$4:$E$1004,"Closed")/COUNTIFS('HZ-ASD Tracker'!$A$4:$A$1004,"&lt;&gt;",'HZ-ASD Tracker'!$D$4:$D$1004,"ACFT GENERAL T/C"),"0%"),"-")</f>
        <v>Completion: 0%</v>
      </c>
      <c r="C26" s="259"/>
      <c r="D26" s="48"/>
      <c r="E26" s="247" t="str">
        <f>IFERROR("Completion: "&amp;TEXT(COUNTIFS('HZ-ASD Tracker'!$A$4:$A$1004,"&lt;&gt;",'HZ-ASD Tracker'!$D$4:$D$1004,"LAVATORY",'HZ-ASD Tracker'!$E$4:$E$1004,"Closed")/COUNTIFS('HZ-ASD Tracker'!$A$4:$A$1004,"&lt;&gt;",'HZ-ASD Tracker'!$D$4:$D$1004,"LAVATORY"),"0%"),"-")</f>
        <v>Completion: 0%</v>
      </c>
      <c r="F26" s="259"/>
      <c r="G26" s="48"/>
      <c r="H26" s="231" t="str">
        <f>IFERROR("Completion: "&amp;TEXT(COUNTIFS('HZ-ASD Tracker'!$A$4:$A$1004,"&lt;&gt;",'HZ-ASD Tracker'!$D$4:$D$1004,"GALLEY",'HZ-ASD Tracker'!$E$4:$E$1004,"Closed")/COUNTIFS('HZ-ASD Tracker'!$A$4:$A$1004,"&lt;&gt;",'HZ-ASD Tracker'!$D$4:$D$1004,"GALLEY"),"0%"),"-")</f>
        <v>Completion: 0%</v>
      </c>
      <c r="I26" s="259"/>
      <c r="J26" s="48"/>
      <c r="K26" s="48"/>
      <c r="L26" s="48"/>
      <c r="M26" s="48"/>
    </row>
    <row r="27" spans="1:13" ht="4.1500000000000004" customHeight="1">
      <c r="A27" s="48"/>
      <c r="B27" s="134"/>
      <c r="C27" s="48"/>
      <c r="D27" s="48"/>
      <c r="E27" s="134"/>
      <c r="F27" s="48"/>
      <c r="G27" s="48"/>
      <c r="H27" s="134"/>
      <c r="I27" s="48"/>
      <c r="J27" s="48"/>
      <c r="K27" s="48"/>
      <c r="L27" s="48"/>
      <c r="M27" s="48"/>
    </row>
    <row r="28" spans="1:13" ht="31.9" customHeight="1">
      <c r="A28" s="48"/>
      <c r="B28" s="135" t="s">
        <v>31</v>
      </c>
      <c r="C28" s="136" t="str">
        <f>IFERROR(COUNTIFS('HZ-ASD Tracker'!$D$4:$D$1004,"GENERAL CABIN",'HZ-ASD Tracker'!$E$4:$E$1004,"Closed",'HZ-ASD Tracker'!$A$4:$A$1004,"&lt;&gt;")&amp;" / "&amp;COUNTIFS('HZ-ASD Tracker'!$D$4:$D$1004,"GENERAL CABIN",'HZ-ASD Tracker'!$A$4:$A$1004,"&lt;&gt;"),"-")</f>
        <v>0 / 25</v>
      </c>
      <c r="D28" s="48"/>
      <c r="E28" s="137" t="s">
        <v>683</v>
      </c>
      <c r="F28" s="138" t="str">
        <f>IFERROR(COUNTIFS('HZ-ASD Tracker'!$A$4:$A$1004,"&lt;&gt;",'HZ-ASD Tracker'!$D$4:$D$1004,"TEDLAR/SIDEWALL",'HZ-ASD Tracker'!$E$4:$E$1004,"Closed")&amp;" / "&amp;COUNTIFS('HZ-ASD Tracker'!$A$4:$A$1004,"&lt;&gt;",'HZ-ASD Tracker'!$D$4:$D$1004,"TEDLAR/SIDEWALL"),"-")</f>
        <v>0 / 1</v>
      </c>
      <c r="G28" s="48"/>
      <c r="H28" s="139" t="s">
        <v>181</v>
      </c>
      <c r="I28" s="140" t="str">
        <f>IFERROR(COUNTIFS('HZ-ASD Tracker'!$A$4:$A$1004,"&lt;&gt;",'HZ-ASD Tracker'!$D$4:$D$1004,"PAX SEAT",'HZ-ASD Tracker'!$E$4:$E$1004,"Closed")&amp;" / "&amp;COUNTIFS('HZ-ASD Tracker'!$A$4:$A$1004,"&lt;&gt;",'HZ-ASD Tracker'!$D$4:$D$1004,"PAX SEAT"),"-")</f>
        <v>0 / 13</v>
      </c>
      <c r="J28" s="48"/>
      <c r="K28" s="48"/>
      <c r="L28" s="48"/>
      <c r="M28" s="48"/>
    </row>
    <row r="29" spans="1:13" ht="14.45" customHeight="1">
      <c r="A29" s="48"/>
      <c r="B29" s="234" t="str">
        <f>IFERROR("Completion: "&amp;TEXT(COUNTIFS('HZ-ASD Tracker'!$D$4:$D$1004,"GENERAL CABIN",'HZ-ASD Tracker'!$E$4:$E$1004,"Closed",'HZ-ASD Tracker'!$A$4:$A$1004,"&lt;&gt;")/COUNTIFS('HZ-ASD Tracker'!$D$4:$D$1004,"GENERAL CABIN",'HZ-ASD Tracker'!$A$4:$A$1004,"&lt;&gt;"),"0%"),"-")</f>
        <v>Completion: 0%</v>
      </c>
      <c r="C29" s="259"/>
      <c r="D29" s="48"/>
      <c r="E29" s="235" t="str">
        <f>IFERROR("Completion: "&amp;TEXT(COUNTIFS('HZ-ASD Tracker'!$A$4:$A$1004,"&lt;&gt;",'HZ-ASD Tracker'!$D$4:$D$1004,"TEDLAR/SIDEWALL",'HZ-ASD Tracker'!$E$4:$E$1004,"Closed")/COUNTIFS('HZ-ASD Tracker'!$A$4:$A$1004,"&lt;&gt;",'HZ-ASD Tracker'!$D$4:$D$1004,"TEDLAR/SIDEWALL"),"0%"),"-")</f>
        <v>Completion: 0%</v>
      </c>
      <c r="F29" s="259"/>
      <c r="G29" s="48"/>
      <c r="H29" s="228" t="str">
        <f>IFERROR("Completion: "&amp;TEXT(COUNTIFS('HZ-ASD Tracker'!$A$4:$A$1004,"&lt;&gt;",'HZ-ASD Tracker'!$D$4:$D$1004,"PAX SEAT",'HZ-ASD Tracker'!$E$4:$E$1004,"Closed")/COUNTIFS('HZ-ASD Tracker'!$A$4:$A$1004,"&lt;&gt;",'HZ-ASD Tracker'!$D$4:$D$1004,"PAX SEAT"),"0%"),"-")</f>
        <v>Completion: 0%</v>
      </c>
      <c r="I29" s="259"/>
      <c r="J29" s="48"/>
      <c r="K29" s="48"/>
      <c r="L29" s="48"/>
      <c r="M29" s="48"/>
    </row>
    <row r="30" spans="1:13" ht="4.1500000000000004" customHeight="1">
      <c r="A30" s="48"/>
      <c r="B30" s="134"/>
      <c r="C30" s="48"/>
      <c r="D30" s="48"/>
      <c r="E30" s="134"/>
      <c r="F30" s="48"/>
      <c r="G30" s="48"/>
      <c r="H30" s="134"/>
      <c r="I30" s="48"/>
      <c r="J30" s="48"/>
      <c r="K30" s="48"/>
      <c r="L30" s="48"/>
      <c r="M30" s="48"/>
    </row>
    <row r="31" spans="1:13" ht="31.9" customHeight="1">
      <c r="A31" s="48"/>
      <c r="B31" s="141" t="s">
        <v>91</v>
      </c>
      <c r="C31" s="142" t="str">
        <f>IFERROR(COUNTIFS('HZ-ASD Tracker'!$A$4:$A$1004,"&lt;&gt;",'HZ-ASD Tracker'!$D$4:$D$1004,"PAX DOORS",'HZ-ASD Tracker'!$E$4:$E$1004,"Closed")&amp;" / "&amp;COUNTIFS('HZ-ASD Tracker'!$A$4:$A$1004,"&lt;&gt;",'HZ-ASD Tracker'!$D$4:$D$1004,"PAX DOORS"),"-")</f>
        <v>0 / 41</v>
      </c>
      <c r="D31" s="48"/>
      <c r="E31" s="143" t="s">
        <v>57</v>
      </c>
      <c r="F31" s="144" t="str">
        <f>IFERROR(COUNTIFS('HZ-ASD Tracker'!$A$4:$A$1004,"&lt;&gt;",'HZ-ASD Tracker'!$D$4:$D$1004,"F/A SEAT",'HZ-ASD Tracker'!$E$4:$E$1004,"Closed")&amp;" / "&amp;COUNTIFS('HZ-ASD Tracker'!$A$4:$A$1004,"&lt;&gt;",'HZ-ASD Tracker'!$D$4:$D$1004,"F/A SEAT"),"-")</f>
        <v>0 / 6</v>
      </c>
      <c r="G31" s="48"/>
      <c r="H31" s="145" t="str">
        <f>IF($M$31=0,"—",$L$31&amp;" / "&amp;$M$31)</f>
        <v>—</v>
      </c>
      <c r="I31" s="146" t="str">
        <f>IFERROR((COUNTIFS('HZ-ASD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Tracker'!$D$4:$D$1004,"ACCESS")+COUNTIFS('HZ-ASD Tracker'!$A$4:$A$1004,"&lt;&gt;",'HZ-ASD Tracker'!$D$4:$D$1004,"ACCESS",'HZ-ASD Tracker'!$E$4:$E$1004,"Closed")+COUNTIFS('HZ-ASD Tracker'!$A$4:$A$1004,"&lt;&gt;",'HZ-ASD Tracker'!$D$4:$D$1004,"FLIGHT DECK",'HZ-ASD Tracker'!$E$4:$E$1004,"Closed")))&amp;" / "&amp;(COUNTIFS('HZ-ASD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Tracker'!$D$4:$D$1004,"ACCESS")+COUNTIFS('HZ-ASD Tracker'!$A$4:$A$1004,"&lt;&gt;",'HZ-ASD Tracker'!$D$4:$D$1004,"FLIGHT DECK"))),"-")</f>
        <v>0 / 0</v>
      </c>
      <c r="J31" s="48"/>
      <c r="K31" s="48"/>
      <c r="L31" s="147">
        <f>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Tracker'!$D$4:$D$1004,"FLIGHT DECK",'HZ-ASD Tracker'!$E$4:$E$1004,"Closed")+COUNTIFS('HZ-ASD Tracker'!$A$4:$A$1004,"&lt;&gt;",'HZ-ASD Tracker'!$D$4:$D$1004,"ACCESS",'HZ-ASD Tracker'!$E$4:$E$1004,"Closed"))</f>
        <v>0</v>
      </c>
      <c r="M31" s="147">
        <f>COUNTIF('HZ-ASD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Tracker'!$D$4:$D$1004,"FLIGHT DECK")+COUNTIFS('HZ-ASD Tracker'!$A$4:$A$1004,"&lt;&gt;",'HZ-ASD Tracker'!$D$4:$D$1004,"ACCESS"))</f>
        <v>0</v>
      </c>
    </row>
    <row r="32" spans="1:13" ht="14.45" customHeight="1">
      <c r="A32" s="48"/>
      <c r="B32" s="241" t="str">
        <f>IFERROR("Completion: "&amp;TEXT(COUNTIFS('HZ-ASD Tracker'!$A$4:$A$1004,"&lt;&gt;",'HZ-ASD Tracker'!$D$4:$D$1004,"PAX DOORS",'HZ-ASD Tracker'!$E$4:$E$1004,"Closed")/COUNTIFS('HZ-ASD Tracker'!$A$4:$A$1004,"&lt;&gt;",'HZ-ASD Tracker'!$D$4:$D$1004,"PAX DOORS"),"0%"),"-")</f>
        <v>Completion: 0%</v>
      </c>
      <c r="C32" s="259"/>
      <c r="D32" s="48"/>
      <c r="E32" s="251" t="str">
        <f>IFERROR("Completion: "&amp;TEXT(COUNTIFS('HZ-ASD Tracker'!$A$4:$A$1004,"&lt;&gt;",'HZ-ASD Tracker'!$D$4:$D$1004,"F/A SEAT",'HZ-ASD Tracker'!$E$4:$E$1004,"Closed")/COUNTIFS('HZ-ASD Tracker'!$A$4:$A$1004,"&lt;&gt;",'HZ-ASD Tracker'!$D$4:$D$1004,"F/A SEAT"),"0%"),"-")</f>
        <v>Completion: 0%</v>
      </c>
      <c r="F32" s="259"/>
      <c r="G32" s="48"/>
      <c r="H32" s="246" t="str">
        <f>IF($M$31=0,"—","Completion: "&amp;TEXT(IFERROR($L$31/$M$31,0),"0%"))</f>
        <v>—</v>
      </c>
      <c r="I32" s="259"/>
      <c r="J32" s="48"/>
      <c r="K32" s="48"/>
      <c r="L32" s="48"/>
      <c r="M32" s="48"/>
    </row>
    <row r="33" spans="1:10" ht="4.1500000000000004" customHeight="1">
      <c r="A33" s="48"/>
      <c r="B33" s="134"/>
      <c r="C33" s="48"/>
      <c r="D33" s="48"/>
      <c r="E33" s="134"/>
      <c r="F33" s="48"/>
      <c r="G33" s="48"/>
      <c r="H33" s="48"/>
      <c r="I33" s="48"/>
      <c r="J33" s="48"/>
    </row>
    <row r="34" spans="1:10" ht="31.9" customHeight="1">
      <c r="A34" s="48"/>
      <c r="B34" s="148" t="s">
        <v>45</v>
      </c>
      <c r="C34" s="149" t="str">
        <f>IFERROR(COUNTIFS('HZ-ASD Tracker'!$A$4:$A$1004,"&lt;&gt;",'HZ-ASD Tracker'!$D$4:$D$1004,"FLIGHT DECK",'HZ-ASD Tracker'!$E$4:$E$1004,"Closed")&amp;" / "&amp;COUNTIFS('HZ-ASD Tracker'!$A$4:$A$1004,"&lt;&gt;",'HZ-ASD Tracker'!$D$4:$D$1004,"FLIGHT DECK"),"-")</f>
        <v>0 / 30</v>
      </c>
      <c r="D34" s="48"/>
      <c r="E34" s="148" t="s">
        <v>745</v>
      </c>
      <c r="F34" s="149" t="str">
        <f>IFERROR(COUNTIFS('HZ-ASD Tracker'!$A$4:$A$1004,"&lt;&gt;",'HZ-ASD Tracker'!$D$4:$D$1004,"ACCESS",'HZ-ASD Tracker'!$E$4:$E$1004,"Closed")&amp;" / "&amp;COUNTIFS('HZ-ASD Tracker'!$A$4:$A$1004,"&lt;&gt;",'HZ-ASD Tracker'!$D$4:$D$1004,"ACCESS"),"-")</f>
        <v>0 / 0</v>
      </c>
      <c r="G34" s="48"/>
      <c r="H34" s="48"/>
      <c r="I34" s="48"/>
      <c r="J34" s="48"/>
    </row>
    <row r="35" spans="1:10">
      <c r="A35" s="48"/>
      <c r="B35" s="228" t="str">
        <f>IFERROR("Completion: "&amp;TEXT(COUNTIFS('HZ-ASD Tracker'!$A$4:$A$1004,"&lt;&gt;",'HZ-ASD Tracker'!$D$4:$D$1004,"FLIGHT DECK",'HZ-ASD Tracker'!$E$4:$E$1004,"Closed")/COUNTIFS('HZ-ASD Tracker'!$A$4:$A$1004,"&lt;&gt;",'HZ-ASD Tracker'!$D$4:$D$1004,"FLIGHT DECK"),"0%"),"-")</f>
        <v>Completion: 0%</v>
      </c>
      <c r="C35" s="259"/>
      <c r="D35" s="48"/>
      <c r="E35" s="228" t="str">
        <f>IFERROR("Completion: "&amp;TEXT(COUNTIFS('HZ-ASD Tracker'!$A$4:$A$1004,"&lt;&gt;",'HZ-ASD Tracker'!$D$4:$D$1004,"ACCESS",'HZ-ASD Tracker'!$E$4:$E$1004,"Closed")/COUNTIFS('HZ-ASD Tracker'!$A$4:$A$1004,"&lt;&gt;",'HZ-ASD Tracker'!$D$4:$D$1004,"ACCESS"),"0%"),"-")</f>
        <v>-</v>
      </c>
      <c r="F35" s="259"/>
      <c r="G35" s="48"/>
      <c r="H35" s="48"/>
      <c r="I35" s="48"/>
      <c r="J35" s="48"/>
    </row>
    <row r="36" spans="1:10" ht="4.1500000000000004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</row>
    <row r="37" spans="1:10" ht="18" customHeight="1">
      <c r="A37" s="226" t="s">
        <v>746</v>
      </c>
      <c r="B37" s="253"/>
      <c r="C37" s="253"/>
      <c r="D37" s="253"/>
      <c r="E37" s="253"/>
      <c r="F37" s="253"/>
      <c r="G37" s="253"/>
      <c r="H37" s="253"/>
      <c r="I37" s="253"/>
      <c r="J37" s="253"/>
    </row>
    <row r="38" spans="1:10" ht="4.1500000000000004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</row>
    <row r="39" spans="1:10" ht="32.1" customHeight="1">
      <c r="A39" s="48"/>
      <c r="B39" s="130" t="s">
        <v>843</v>
      </c>
      <c r="C39" s="150" t="str">
        <f>IFERROR(COUNTIFS('HZ-ASD Tracker'!$A$4:$A$1004,"&lt;&gt;",'HZ-ASD Tracker'!$G$4:$G$1004,"CAB",'HZ-ASD Tracker'!$E$4:$E$1004,"Closed")&amp;" / "&amp;COUNTIFS('HZ-ASD Tracker'!$A$4:$A$1004,"&lt;&gt;",'HZ-ASD Tracker'!$G$4:$G$1004,"CAB"),"-")</f>
        <v>0 / 66</v>
      </c>
      <c r="D39" s="48"/>
      <c r="E39" s="141" t="s">
        <v>183</v>
      </c>
      <c r="F39" s="151" t="str">
        <f>IFERROR(COUNTIFS('HZ-ASD Tracker'!$A$4:$A$1004,"&lt;&gt;",'HZ-ASD Tracker'!$G$4:$G$1004,"SEAT",'HZ-ASD Tracker'!$E$4:$E$1004,"Closed")&amp;" / "&amp;COUNTIFS('HZ-ASD Tracker'!$A$4:$A$1004,"&lt;&gt;",'HZ-ASD Tracker'!$G$4:$G$1004,"SEAT"),"-")</f>
        <v>0 / 10</v>
      </c>
      <c r="G39" s="48"/>
      <c r="H39" s="152" t="s">
        <v>844</v>
      </c>
      <c r="I39" s="153" t="str">
        <f>IFERROR(COUNTIFS('HZ-ASD Tracker'!$A$4:$A$1004,"&lt;&gt;",'HZ-ASD Tracker'!$G$4:$G$1004,"AV",'HZ-ASD Tracker'!$E$4:$E$1004,"Closed")&amp;" / "&amp;COUNTIFS('HZ-ASD Tracker'!$A$4:$A$1004,"&lt;&gt;",'HZ-ASD Tracker'!$G$4:$G$1004,"AV"),"-")</f>
        <v>0 / 26</v>
      </c>
      <c r="J39" s="48"/>
    </row>
    <row r="40" spans="1:10" ht="14.45" customHeight="1">
      <c r="A40" s="48"/>
      <c r="B40" s="247" t="str">
        <f>IFERROR("Completion: "&amp;TEXT(COUNTIFS('HZ-ASD Tracker'!$A$4:$A$1004,"&lt;&gt;",'HZ-ASD Tracker'!$G$4:$G$1004,"CAB",'HZ-ASD Tracker'!$E$4:$E$1004,"Closed")/COUNTIFS('HZ-ASD Tracker'!$A$4:$A$1004,"&lt;&gt;",'HZ-ASD Tracker'!$G$4:$G$1004,"CAB"),"0%"),"-")</f>
        <v>Completion: 0%</v>
      </c>
      <c r="C40" s="259"/>
      <c r="D40" s="48"/>
      <c r="E40" s="241" t="str">
        <f>IFERROR("Completion: "&amp;TEXT(COUNTIFS('HZ-ASD Tracker'!$A$4:$A$1004,"&lt;&gt;",'HZ-ASD Tracker'!$G$4:$G$1004,"SEAT",'HZ-ASD Tracker'!$E$4:$E$1004,"Closed")/COUNTIFS('HZ-ASD Tracker'!$A$4:$A$1004,"&lt;&gt;",'HZ-ASD Tracker'!$G$4:$G$1004,"SEAT"),"0%"),"-")</f>
        <v>Completion: 0%</v>
      </c>
      <c r="F40" s="259"/>
      <c r="G40" s="48"/>
      <c r="H40" s="234" t="str">
        <f>IFERROR("Completion: "&amp;TEXT(COUNTIFS('HZ-ASD Tracker'!$A$4:$A$1004,"&lt;&gt;",'HZ-ASD Tracker'!$G$4:$G$1004,"AV",'HZ-ASD Tracker'!$E$4:$E$1004,"Closed")/COUNTIFS('HZ-ASD Tracker'!$A$4:$A$1004,"&lt;&gt;",'HZ-ASD Tracker'!$G$4:$G$1004,"AV"),"0%"),"-")</f>
        <v>Completion: 0%</v>
      </c>
      <c r="I40" s="259"/>
      <c r="J40" s="48"/>
    </row>
    <row r="41" spans="1:10" ht="3.75" customHeight="1">
      <c r="A41" s="48"/>
      <c r="B41" s="134"/>
      <c r="C41" s="48"/>
      <c r="D41" s="48"/>
      <c r="E41" s="134"/>
      <c r="F41" s="48"/>
      <c r="G41" s="48"/>
      <c r="H41" s="134"/>
      <c r="I41" s="48"/>
      <c r="J41" s="48"/>
    </row>
    <row r="42" spans="1:10" ht="32.1" customHeight="1">
      <c r="A42" s="48"/>
      <c r="B42" s="137" t="s">
        <v>845</v>
      </c>
      <c r="C42" s="154" t="str">
        <f>IFERROR(COUNTIFS('HZ-ASD Tracker'!$A$4:$A$1004,"&lt;&gt;",'HZ-ASD Tracker'!$G$4:$G$1004,"WALL",'HZ-ASD Tracker'!$E$4:$E$1004,"Closed")&amp;" / "&amp;COUNTIFS('HZ-ASD Tracker'!$A$4:$A$1004,"&lt;&gt;",'HZ-ASD Tracker'!$G$4:$G$1004,"WALL"),"-")</f>
        <v>0 / 0</v>
      </c>
      <c r="D42" s="48"/>
      <c r="E42" s="155" t="s">
        <v>748</v>
      </c>
      <c r="F42" s="156" t="str">
        <f>IFERROR(COUNTIFS('HZ-ASD Tracker'!$A$4:$A$1004,"&lt;&gt;",'HZ-ASD Tracker'!$G$4:$G$1004,"S/M",'HZ-ASD Tracker'!$E$4:$E$1004,"Closed")&amp;" / "&amp;COUNTIFS('HZ-ASD Tracker'!$A$4:$A$1004,"&lt;&gt;",'HZ-ASD Tracker'!$G$4:$G$1004,"S/M"),"-")</f>
        <v>0 / 0</v>
      </c>
      <c r="G42" s="48"/>
      <c r="H42" s="157" t="s">
        <v>164</v>
      </c>
      <c r="I42" s="158" t="str">
        <f>IFERROR(COUNTIFS('HZ-ASD Tracker'!$A$4:$A$1004,"&lt;&gt;",'HZ-ASD Tracker'!$G$4:$G$1004,"PAINT",'HZ-ASD Tracker'!$E$4:$E$1004,"Closed")&amp;" / "&amp;COUNTIFS('HZ-ASD Tracker'!$A$4:$A$1004,"&lt;&gt;",'HZ-ASD Tracker'!$G$4:$G$1004,"PAINT"),"-")</f>
        <v>0 / 1</v>
      </c>
      <c r="J42" s="48"/>
    </row>
    <row r="43" spans="1:10" ht="14.45" customHeight="1">
      <c r="A43" s="48"/>
      <c r="B43" s="235" t="str">
        <f>IFERROR("Completion: "&amp;TEXT(COUNTIFS('HZ-ASD Tracker'!$A$4:$A$1004,"&lt;&gt;",'HZ-ASD Tracker'!$G$4:$G$1004,"WALL",'HZ-ASD Tracker'!$E$4:$E$1004,"Closed")/COUNTIFS('HZ-ASD Tracker'!$A$4:$A$1004,"&lt;&gt;",'HZ-ASD Tracker'!$G$4:$G$1004,"WALL"),"0%"),"-")</f>
        <v>-</v>
      </c>
      <c r="C43" s="259"/>
      <c r="D43" s="48"/>
      <c r="E43" s="225" t="str">
        <f>IFERROR("Completion: "&amp;TEXT(COUNTIFS('HZ-ASD Tracker'!$A$4:$A$1004,"&lt;&gt;",'HZ-ASD Tracker'!$G$4:$G$1004,"S/M",'HZ-ASD Tracker'!$E$4:$E$1004,"Closed")/COUNTIFS('HZ-ASD Tracker'!$A$4:$A$1004,"&lt;&gt;",'HZ-ASD Tracker'!$G$4:$G$1004,"S/M"),"0%"),"-")</f>
        <v>-</v>
      </c>
      <c r="F43" s="259"/>
      <c r="G43" s="48"/>
      <c r="H43" s="229" t="str">
        <f>IFERROR("Completion: "&amp;TEXT(COUNTIFS('HZ-ASD Tracker'!$A$4:$A$1004,"&lt;&gt;",'HZ-ASD Tracker'!$G$4:$G$1004,"PAINT",'HZ-ASD Tracker'!$E$4:$E$1004,"Closed")/COUNTIFS('HZ-ASD Tracker'!$A$4:$A$1004,"&lt;&gt;",'HZ-ASD Tracker'!$G$4:$G$1004,"PAINT"),"0%"),"-")</f>
        <v>Completion: 0%</v>
      </c>
      <c r="I43" s="259"/>
      <c r="J43" s="48"/>
    </row>
    <row r="44" spans="1:10" ht="3.75" customHeight="1">
      <c r="A44" s="48"/>
      <c r="B44" s="134"/>
      <c r="C44" s="48"/>
      <c r="D44" s="48"/>
      <c r="E44" s="134"/>
      <c r="F44" s="48"/>
      <c r="G44" s="48"/>
      <c r="H44" s="134"/>
      <c r="I44" s="48"/>
      <c r="J44" s="48"/>
    </row>
    <row r="45" spans="1:10" ht="32.1" customHeight="1">
      <c r="A45" s="48"/>
      <c r="B45" s="159" t="s">
        <v>26</v>
      </c>
      <c r="C45" s="160" t="str">
        <f>IFERROR(COUNTIFS('HZ-ASD Tracker'!$A$4:$A$1004,"&lt;&gt;",'HZ-ASD Tracker'!$G$4:$G$1004,"JOINT",'HZ-ASD Tracker'!$E$4:$E$1004,"Closed")&amp;" / "&amp;COUNTIFS('HZ-ASD Tracker'!$A$4:$A$1004,"&lt;&gt;",'HZ-ASD Tracker'!$G$4:$G$1004,"JOINT"),"-")</f>
        <v>0 / 31</v>
      </c>
      <c r="D45" s="48"/>
      <c r="E45" s="161" t="s">
        <v>78</v>
      </c>
      <c r="F45" s="162" t="str">
        <f>IFERROR(COUNTIFS('HZ-ASD Tracker'!$A$4:$A$1004,"&lt;&gt;",'HZ-ASD Tracker'!$G$4:$G$1004,"INSP",'HZ-ASD Tracker'!$E$4:$E$1004,"Closed")&amp;" / "&amp;COUNTIFS('HZ-ASD Tracker'!$A$4:$A$1004,"&lt;&gt;",'HZ-ASD Tracker'!$G$4:$G$1004,"INSP"),"-")</f>
        <v>0 / 14</v>
      </c>
      <c r="G45" s="48"/>
      <c r="H45" s="163" t="s">
        <v>846</v>
      </c>
      <c r="I45" s="164" t="str">
        <f>IFERROR(COUNTIFS('HZ-ASD Tracker'!$A$4:$A$1004,"&lt;&gt;",'HZ-ASD Tracker'!$G$4:$G$1004,"AP",'HZ-ASD Tracker'!$E$4:$E$1004,"Closed")&amp;" / "&amp;COUNTIFS('HZ-ASD Tracker'!$A$4:$A$1004,"&lt;&gt;",'HZ-ASD Tracker'!$G$4:$G$1004,"AP"),"-")</f>
        <v>0 / 14</v>
      </c>
      <c r="J45" s="48"/>
    </row>
    <row r="46" spans="1:10" ht="14.45" customHeight="1">
      <c r="A46" s="48"/>
      <c r="B46" s="225" t="str">
        <f>IFERROR("Completion: "&amp;TEXT(COUNTIFS('HZ-ASD Tracker'!$A$4:$A$1004,"&lt;&gt;",'HZ-ASD Tracker'!$G$4:$G$1004,"JOINT",'HZ-ASD Tracker'!$E$4:$E$1004,"Closed")/COUNTIFS('HZ-ASD Tracker'!$A$4:$A$1004,"&lt;&gt;",'HZ-ASD Tracker'!$G$4:$G$1004,"JOINT"),"0%"),"-")</f>
        <v>Completion: 0%</v>
      </c>
      <c r="C46" s="259"/>
      <c r="D46" s="48"/>
      <c r="E46" s="245" t="str">
        <f>IFERROR("Completion: "&amp;TEXT(COUNTIFS('HZ-ASD Tracker'!$A$4:$A$1004,"&lt;&gt;",'HZ-ASD Tracker'!$G$4:$G$1004,"INSP",'HZ-ASD Tracker'!$E$4:$E$1004,"Closed")/COUNTIFS('HZ-ASD Tracker'!$A$4:$A$1004,"&lt;&gt;",'HZ-ASD Tracker'!$G$4:$G$1004,"INSP"),"0%"),"-")</f>
        <v>Completion: 0%</v>
      </c>
      <c r="F46" s="259"/>
      <c r="G46" s="48"/>
      <c r="H46" s="239" t="str">
        <f>IFERROR("Completion: "&amp;TEXT(COUNTIFS('HZ-ASD Tracker'!$A$4:$A$1004,"&lt;&gt;",'HZ-ASD Tracker'!$G$4:$G$1004,"AP",'HZ-ASD Tracker'!$E$4:$E$1004,"Closed")/COUNTIFS('HZ-ASD Tracker'!$A$4:$A$1004,"&lt;&gt;",'HZ-ASD Tracker'!$G$4:$G$1004,"AP"),"0%"),"-")</f>
        <v>Completion: 0%</v>
      </c>
      <c r="I46" s="259"/>
      <c r="J46" s="48"/>
    </row>
    <row r="47" spans="1:10" ht="32.1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18" customHeight="1">
      <c r="A48" s="226" t="s">
        <v>847</v>
      </c>
      <c r="B48" s="253"/>
      <c r="C48" s="253"/>
      <c r="D48" s="253"/>
      <c r="E48" s="253"/>
      <c r="F48" s="253"/>
      <c r="G48" s="253"/>
      <c r="H48" s="253"/>
      <c r="I48" s="253"/>
      <c r="J48" s="253"/>
    </row>
    <row r="49" spans="2:9" ht="4.1500000000000004" customHeight="1">
      <c r="B49" s="48"/>
      <c r="C49" s="48"/>
      <c r="D49" s="48"/>
      <c r="E49" s="48"/>
      <c r="F49" s="48"/>
      <c r="G49" s="48"/>
      <c r="H49" s="48"/>
      <c r="I49" s="48"/>
    </row>
    <row r="50" spans="2:9" ht="31.9" customHeight="1">
      <c r="B50" s="165" t="s">
        <v>47</v>
      </c>
      <c r="C50" s="166">
        <f>COUNTIFS('HZ-ASD Tracker'!A4:A1004,"&lt;&gt;",'HZ-ASD Tracker'!H4:H1004,"Requested")</f>
        <v>13</v>
      </c>
      <c r="D50" s="48"/>
      <c r="E50" s="167" t="s">
        <v>848</v>
      </c>
      <c r="F50" s="168">
        <f>COUNTIFS('HZ-ASD Tracker'!A4:A1004,"&lt;&gt;",'HZ-ASD Tracker'!H4:H1004,"Requested - CR")</f>
        <v>0</v>
      </c>
      <c r="G50" s="48"/>
      <c r="H50" s="152" t="s">
        <v>849</v>
      </c>
      <c r="I50" s="169">
        <f>COUNTIFS('HZ-ASD Tracker'!A4:A1004,"&lt;&gt;",'HZ-ASD Tracker'!H4:H1004,"Requested - R")</f>
        <v>0</v>
      </c>
    </row>
    <row r="51" spans="2:9" ht="4.1500000000000004" customHeight="1">
      <c r="B51" s="48"/>
      <c r="C51" s="48"/>
      <c r="D51" s="48"/>
      <c r="E51" s="48"/>
      <c r="F51" s="48"/>
      <c r="G51" s="48"/>
      <c r="H51" s="48"/>
      <c r="I51" s="48"/>
    </row>
    <row r="52" spans="2:9" ht="31.9" customHeight="1">
      <c r="B52" s="170" t="s">
        <v>850</v>
      </c>
      <c r="C52" s="171">
        <f>COUNTIFS('HZ-ASD Tracker'!A4:A1004,"&lt;&gt;",'HZ-ASD Tracker'!H4:H1004,"Pending EVAL")</f>
        <v>0</v>
      </c>
      <c r="D52" s="48"/>
      <c r="E52" s="102" t="s">
        <v>851</v>
      </c>
      <c r="F52" s="103">
        <f>COUNTIFS('HZ-ASD Tracker'!A4:A1004,"&lt;&gt;",'HZ-ASD Tracker'!H4:H1004,"N/R")</f>
        <v>0</v>
      </c>
      <c r="G52" s="48"/>
      <c r="H52" s="172" t="s">
        <v>852</v>
      </c>
      <c r="I52" s="173">
        <f>COUNTIFS('HZ-ASD Tracker'!A4:A1004,"&lt;&gt;",'HZ-ASD Tracker'!H4:H1004,"N/A")</f>
        <v>0</v>
      </c>
    </row>
  </sheetData>
  <sheetProtection sheet="1"/>
  <mergeCells count="40">
    <mergeCell ref="A48:J48"/>
    <mergeCell ref="H3:J3"/>
    <mergeCell ref="E40:F40"/>
    <mergeCell ref="B29:C29"/>
    <mergeCell ref="H16:I16"/>
    <mergeCell ref="E46:F46"/>
    <mergeCell ref="H32:I32"/>
    <mergeCell ref="A13:F13"/>
    <mergeCell ref="B40:C40"/>
    <mergeCell ref="E26:F26"/>
    <mergeCell ref="G13:J13"/>
    <mergeCell ref="A37:J37"/>
    <mergeCell ref="G18:J18"/>
    <mergeCell ref="E16:F16"/>
    <mergeCell ref="B26:C26"/>
    <mergeCell ref="E32:F32"/>
    <mergeCell ref="B46:C46"/>
    <mergeCell ref="A18:F18"/>
    <mergeCell ref="A1:H1"/>
    <mergeCell ref="H40:I40"/>
    <mergeCell ref="B43:C43"/>
    <mergeCell ref="E35:F35"/>
    <mergeCell ref="B21:C21"/>
    <mergeCell ref="H21:I21"/>
    <mergeCell ref="A9:G9"/>
    <mergeCell ref="E29:F29"/>
    <mergeCell ref="H46:I46"/>
    <mergeCell ref="I1:J1"/>
    <mergeCell ref="A3:G3"/>
    <mergeCell ref="B32:C32"/>
    <mergeCell ref="H9:J9"/>
    <mergeCell ref="A2:J2"/>
    <mergeCell ref="E43:F43"/>
    <mergeCell ref="A23:J23"/>
    <mergeCell ref="B16:C16"/>
    <mergeCell ref="H29:I29"/>
    <mergeCell ref="H43:I43"/>
    <mergeCell ref="B35:C35"/>
    <mergeCell ref="E21:F21"/>
    <mergeCell ref="H26:I26"/>
  </mergeCells>
  <conditionalFormatting sqref="A2:J2">
    <cfRule type="expression" dxfId="6" priority="1" stopIfTrue="1">
      <formula>ISNUMBER(SEARCH("✅",$A$2))</formula>
    </cfRule>
    <cfRule type="expression" dxfId="5" priority="2" stopIfTrue="1">
      <formula>ISNUMBER(SEARCH("⚠️",$A$2))</formula>
    </cfRule>
    <cfRule type="expression" dxfId="4" priority="3" stopIfTrue="1">
      <formula>ISNUMBER(SEARCH("🔴",$A$2))</formula>
    </cfRule>
    <cfRule type="expression" dxfId="3" priority="4" stopIfTrue="1">
      <formula>ISNUMBER(SEARCH("❌",$A$2))</formula>
    </cfRule>
  </conditionalFormatting>
  <conditionalFormatting sqref="H3:J3">
    <cfRule type="expression" dxfId="2" priority="7" stopIfTrue="1">
      <formula>ISNUMBER(SEARCH("CLOSED",$H$3))</formula>
    </cfRule>
  </conditionalFormatting>
  <conditionalFormatting sqref="H9:J9">
    <cfRule type="expression" dxfId="1" priority="9">
      <formula>ISNUMBER(SEARCH(" TODAY",$H$9))</formula>
    </cfRule>
  </conditionalFormatting>
  <pageMargins left="0.75" right="0.75" top="1" bottom="1" header="0.5" footer="0.5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98219E2D-5E78-490A-A59B-09E9C6267328}">
            <xm:f>AND(ISNUMBER(LAYOVER!$C$28),LAYOVER!$C$28-TODAY()&lt;=3,COUNTIFS('OPEN UP-ACCESS'!$B$4:$B$504,"&lt;&gt;",'OPEN UP-ACCESS'!$F$4:$F$504,"Open")&gt;0)</xm:f>
            <x14:dxf>
              <font>
                <b/>
                <sz val="9"/>
                <color rgb="FFFFFFFF"/>
              </font>
              <fill>
                <patternFill patternType="solid">
                  <fgColor rgb="FFB71C1C"/>
                  <bgColor rgb="FFB71C1C"/>
                </patternFill>
              </fill>
            </x14:dxf>
          </x14:cfRule>
          <xm:sqref>G18:J18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2026-07-19T08:43:12Z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