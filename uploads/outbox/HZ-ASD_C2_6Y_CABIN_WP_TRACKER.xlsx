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'AOG'!$A$3:$M$18</definedName>
    <definedName name="_xlnm._FilterDatabase" localSheetId="5" hidden="1">'OPEN UP-ACCESS'!$A$3:$J$504</definedName>
    <definedName name="_xlnm._FilterDatabase" localSheetId="7" hidden="1">'FULL PKG'!$A$1:$J$1254</definedName>
  </definedNames>
  <calcPr calcId="162913"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sz val="10"/>
    </font>
    <font>
      <b val="1"/>
      <color rgb="00FFFFFF"/>
      <sz val="9"/>
    </font>
  </fonts>
  <fills count="64">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s>
  <borders count="5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style="thin">
        <color rgb="FFC9D4CD"/>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FFFFFF"/>
      </bottom>
    </border>
    <border>
      <right style="dashed">
        <color rgb="00555555"/>
      </right>
      <bottom style="thin">
        <color rgb="00FFFFFF"/>
      </bottom>
    </border>
  </borders>
  <cellStyleXfs count="1">
    <xf numFmtId="0" fontId="0" fillId="0" borderId="28"/>
  </cellStyleXfs>
  <cellXfs count="37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3" fontId="131"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4"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6" applyAlignment="1" pivotButton="0" quotePrefix="0" xfId="0">
      <alignment horizontal="center" vertical="center"/>
    </xf>
    <xf numFmtId="0" fontId="160" fillId="52" borderId="17" applyAlignment="1" pivotButton="0" quotePrefix="0" xfId="0">
      <alignment horizontal="center" vertical="center"/>
    </xf>
    <xf numFmtId="0" fontId="161" fillId="52" borderId="18" applyAlignment="1" pivotButton="0" quotePrefix="0" xfId="0">
      <alignment horizontal="center" vertical="center"/>
    </xf>
    <xf numFmtId="0" fontId="78" fillId="51" borderId="14" applyAlignment="1" pivotButton="0" quotePrefix="0" xfId="0">
      <alignment horizontal="center" vertical="center" wrapText="1"/>
    </xf>
    <xf numFmtId="0" fontId="159" fillId="52" borderId="17" applyAlignment="1" pivotButton="0" quotePrefix="0" xfId="0">
      <alignment horizontal="center" vertical="center"/>
    </xf>
    <xf numFmtId="0" fontId="171" fillId="0" borderId="22" applyAlignment="1" pivotButton="0" quotePrefix="0" xfId="0">
      <alignment horizontal="center" vertical="center"/>
    </xf>
    <xf numFmtId="0" fontId="172" fillId="0" borderId="22" applyAlignment="1" pivotButton="0" quotePrefix="0" xfId="0">
      <alignment horizontal="center" vertical="center"/>
    </xf>
    <xf numFmtId="9" fontId="171" fillId="0" borderId="22" applyAlignment="1" pivotButton="0" quotePrefix="0" xfId="0">
      <alignment horizontal="center" vertical="center"/>
    </xf>
    <xf numFmtId="3" fontId="172"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5" fillId="0" borderId="23" applyAlignment="1" pivotButton="0" quotePrefix="0" xfId="0">
      <alignment horizontal="center" vertical="center"/>
    </xf>
    <xf numFmtId="1" fontId="175" fillId="0" borderId="23" applyAlignment="1" pivotButton="0" quotePrefix="0" xfId="0">
      <alignment horizontal="center" vertical="center"/>
    </xf>
    <xf numFmtId="3" fontId="175" fillId="0" borderId="23" applyAlignment="1" pivotButton="0" quotePrefix="0" xfId="0">
      <alignment horizontal="center" vertical="center"/>
    </xf>
    <xf numFmtId="1" fontId="167" fillId="0" borderId="23" applyAlignment="1" pivotButton="0" quotePrefix="0" xfId="0">
      <alignment horizontal="center" vertical="center"/>
    </xf>
    <xf numFmtId="0" fontId="167" fillId="0" borderId="23" applyAlignment="1" pivotButton="0" quotePrefix="0" xfId="0">
      <alignment horizontal="center" vertical="center"/>
    </xf>
    <xf numFmtId="3" fontId="167" fillId="0" borderId="23" applyAlignment="1" pivotButton="0" quotePrefix="0" xfId="0">
      <alignment horizontal="center" vertical="center"/>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3" fillId="40" borderId="9" applyAlignment="1" pivotButton="0" quotePrefix="0" xfId="0">
      <alignment horizontal="left" vertical="center" indent="1"/>
    </xf>
    <xf numFmtId="164" fontId="106" fillId="26" borderId="11" applyAlignment="1" pivotButton="0" quotePrefix="0" xfId="0">
      <alignment horizontal="center" vertical="center"/>
    </xf>
    <xf numFmtId="0" fontId="0" fillId="0" borderId="26" pivotButton="0" quotePrefix="0" xfId="0"/>
    <xf numFmtId="0" fontId="170" fillId="0" borderId="26" applyAlignment="1" pivotButton="0" quotePrefix="0" xfId="0">
      <alignment horizontal="center"/>
    </xf>
    <xf numFmtId="0" fontId="118" fillId="0" borderId="26" applyAlignment="1" pivotButton="0" quotePrefix="0" xfId="0">
      <alignment horizontal="center"/>
    </xf>
    <xf numFmtId="1" fontId="167" fillId="0" borderId="26" applyAlignment="1" pivotButton="0" quotePrefix="0" xfId="0">
      <alignment horizontal="center" vertical="center"/>
    </xf>
    <xf numFmtId="1" fontId="118" fillId="0" borderId="26" applyAlignment="1" pivotButton="0" quotePrefix="0" xfId="0">
      <alignment horizontal="center"/>
    </xf>
    <xf numFmtId="0" fontId="171" fillId="0" borderId="26" applyAlignment="1" pivotButton="0" quotePrefix="0" xfId="0">
      <alignment horizontal="center" vertical="center"/>
    </xf>
    <xf numFmtId="0" fontId="172" fillId="0" borderId="26" applyAlignment="1" pivotButton="0" quotePrefix="0" xfId="0">
      <alignment horizontal="center" vertical="center"/>
    </xf>
    <xf numFmtId="9" fontId="171" fillId="0" borderId="26" applyAlignment="1" pivotButton="0" quotePrefix="0" xfId="0">
      <alignment horizontal="center" vertical="center"/>
    </xf>
    <xf numFmtId="3" fontId="172" fillId="0" borderId="26" applyAlignment="1" pivotButton="0" quotePrefix="0" xfId="0">
      <alignment horizontal="center" vertical="center"/>
    </xf>
    <xf numFmtId="0" fontId="178" fillId="63" borderId="27" applyAlignment="1" pivotButton="0" quotePrefix="0" xfId="0">
      <alignment horizontal="left" vertical="center"/>
    </xf>
    <xf numFmtId="0" fontId="178" fillId="63" borderId="27" applyAlignment="1" pivotButton="0" quotePrefix="0" xfId="0">
      <alignment horizontal="center" vertical="center"/>
    </xf>
    <xf numFmtId="0" fontId="178" fillId="63" borderId="27" applyAlignment="1" pivotButton="0" quotePrefix="0" xfId="0">
      <alignment horizontal="left" vertical="center" wrapText="1"/>
    </xf>
    <xf numFmtId="0" fontId="179" fillId="63" borderId="27" applyAlignment="1" pivotButton="0" quotePrefix="0" xfId="0">
      <alignment horizontal="center" vertical="center"/>
    </xf>
    <xf numFmtId="0" fontId="162" fillId="0" borderId="28" applyAlignment="1" pivotButton="0" quotePrefix="0" xfId="0">
      <alignment horizontal="left" vertical="center"/>
    </xf>
    <xf numFmtId="0" fontId="162" fillId="0" borderId="30" applyAlignment="1" pivotButton="0" quotePrefix="0" xfId="0">
      <alignment horizontal="left" vertical="center"/>
    </xf>
    <xf numFmtId="0" fontId="157" fillId="0" borderId="28" applyAlignment="1" pivotButton="0" quotePrefix="0" xfId="0">
      <alignment horizontal="center" vertical="center"/>
    </xf>
    <xf numFmtId="0" fontId="106" fillId="0" borderId="32" applyAlignment="1" pivotButton="0" quotePrefix="0" xfId="0">
      <alignment horizontal="left" vertical="center"/>
    </xf>
    <xf numFmtId="0" fontId="162" fillId="0" borderId="29" applyAlignment="1" pivotButton="0" quotePrefix="0" xfId="0">
      <alignment horizontal="left" vertical="center"/>
    </xf>
    <xf numFmtId="0" fontId="162"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xf>
    <xf numFmtId="0" fontId="93" fillId="0" borderId="28" applyAlignment="1" pivotButton="0" quotePrefix="0" xfId="0">
      <alignment horizontal="right" vertical="center"/>
    </xf>
    <xf numFmtId="0" fontId="122" fillId="31" borderId="28" applyAlignment="1" pivotButton="0" quotePrefix="0" xfId="0">
      <alignment horizontal="center" vertical="center"/>
    </xf>
    <xf numFmtId="0" fontId="122" fillId="32" borderId="28" applyAlignment="1" pivotButton="0" quotePrefix="0" xfId="0">
      <alignment horizontal="center" vertical="center"/>
    </xf>
    <xf numFmtId="0" fontId="122" fillId="33" borderId="28" applyAlignment="1" pivotButton="0" quotePrefix="0" xfId="0">
      <alignment horizontal="center" vertical="center"/>
    </xf>
    <xf numFmtId="0" fontId="122" fillId="48" borderId="28" applyAlignment="1" pivotButton="0" quotePrefix="0" xfId="0">
      <alignment horizontal="center" vertical="center"/>
    </xf>
    <xf numFmtId="0" fontId="122" fillId="35" borderId="28" applyAlignment="1" pivotButton="0" quotePrefix="0" xfId="0">
      <alignment horizontal="center" vertical="center"/>
    </xf>
    <xf numFmtId="0" fontId="123" fillId="49" borderId="28" applyAlignment="1" pivotButton="0" quotePrefix="0" xfId="0">
      <alignment horizontal="center" vertical="center"/>
    </xf>
    <xf numFmtId="0" fontId="123" fillId="27" borderId="28" applyAlignment="1" pivotButton="0" quotePrefix="0" xfId="0">
      <alignment horizontal="center" vertical="center"/>
    </xf>
    <xf numFmtId="0" fontId="114" fillId="31" borderId="28" applyAlignment="1" pivotButton="0" quotePrefix="0" xfId="0">
      <alignment horizontal="center" vertical="center"/>
    </xf>
    <xf numFmtId="0" fontId="115" fillId="32" borderId="28" applyAlignment="1" pivotButton="0" quotePrefix="0" xfId="0">
      <alignment horizontal="center" vertical="center"/>
    </xf>
    <xf numFmtId="0" fontId="116" fillId="33" borderId="28" applyAlignment="1" pivotButton="0" quotePrefix="0" xfId="0">
      <alignment horizontal="center" vertical="center"/>
    </xf>
    <xf numFmtId="0" fontId="148" fillId="48" borderId="28" applyAlignment="1" pivotButton="0" quotePrefix="0" xfId="0">
      <alignment horizontal="center" vertical="center"/>
    </xf>
    <xf numFmtId="0" fontId="117" fillId="35" borderId="28" applyAlignment="1" pivotButton="0" quotePrefix="0" xfId="0">
      <alignment horizontal="center" vertical="center"/>
    </xf>
    <xf numFmtId="9" fontId="124" fillId="49" borderId="28" applyAlignment="1" pivotButton="0" quotePrefix="0" xfId="0">
      <alignment horizontal="center" vertical="center"/>
    </xf>
    <xf numFmtId="9" fontId="156" fillId="27" borderId="28" applyAlignment="1" pivotButton="0" quotePrefix="0" xfId="0">
      <alignment horizontal="center" vertical="center"/>
    </xf>
    <xf numFmtId="0" fontId="118" fillId="0" borderId="28" applyAlignment="1" pivotButton="0" quotePrefix="0" xfId="0">
      <alignment horizontal="center"/>
    </xf>
    <xf numFmtId="0" fontId="150" fillId="51" borderId="28" applyAlignment="1" pivotButton="0" quotePrefix="0" xfId="0">
      <alignment horizontal="center" vertical="center"/>
    </xf>
    <xf numFmtId="9" fontId="118" fillId="0" borderId="28" applyAlignment="1" pivotButton="0" quotePrefix="0" xfId="0">
      <alignment horizontal="center"/>
    </xf>
    <xf numFmtId="9" fontId="131" fillId="0" borderId="28" applyAlignment="1" pivotButton="0" quotePrefix="0" xfId="0">
      <alignment horizontal="center"/>
    </xf>
    <xf numFmtId="0" fontId="169" fillId="51" borderId="28" applyAlignment="1" pivotButton="0" quotePrefix="0" xfId="0">
      <alignment horizontal="center" vertical="center"/>
    </xf>
    <xf numFmtId="0" fontId="0" fillId="51" borderId="28" pivotButton="0" quotePrefix="0" xfId="0"/>
    <xf numFmtId="0" fontId="165" fillId="55" borderId="28" applyAlignment="1" pivotButton="0" quotePrefix="0" xfId="0">
      <alignment horizontal="center" vertical="center"/>
    </xf>
    <xf numFmtId="0" fontId="166" fillId="56" borderId="28" applyAlignment="1" pivotButton="0" quotePrefix="0" xfId="0">
      <alignment horizontal="center" vertical="center"/>
    </xf>
    <xf numFmtId="9" fontId="166" fillId="56" borderId="28" applyAlignment="1" pivotButton="0" quotePrefix="0" xfId="0">
      <alignment horizontal="center" vertical="center"/>
    </xf>
    <xf numFmtId="3" fontId="166" fillId="56" borderId="28" applyAlignment="1" pivotButton="0" quotePrefix="0" xfId="0">
      <alignment horizontal="center" vertical="center"/>
    </xf>
    <xf numFmtId="0" fontId="177" fillId="62" borderId="28" applyAlignment="1" pivotButton="0" quotePrefix="0" xfId="0">
      <alignment horizontal="center" vertical="center" wrapText="1"/>
    </xf>
    <xf numFmtId="0" fontId="180" fillId="0" borderId="28" pivotButton="0" quotePrefix="0" xfId="0"/>
    <xf numFmtId="0" fontId="174" fillId="0" borderId="28" pivotButton="0" quotePrefix="0" xfId="0"/>
    <xf numFmtId="0" fontId="173" fillId="0" borderId="28" applyAlignment="1" pivotButton="0" quotePrefix="0" xfId="0">
      <alignment vertical="top" wrapText="1"/>
    </xf>
    <xf numFmtId="0" fontId="168" fillId="0" borderId="28" applyAlignment="1" pivotButton="0" quotePrefix="0" xfId="0">
      <alignment vertical="top" wrapText="1"/>
    </xf>
    <xf numFmtId="0" fontId="105" fillId="0" borderId="28" applyAlignment="1" pivotButton="0" quotePrefix="0" xfId="0">
      <alignment horizontal="right" vertical="center"/>
    </xf>
    <xf numFmtId="167" fontId="105" fillId="0" borderId="28" applyAlignment="1" pivotButton="0" quotePrefix="0" xfId="0">
      <alignment horizontal="center" vertical="center"/>
    </xf>
    <xf numFmtId="0" fontId="105" fillId="0" borderId="28" applyAlignment="1" pivotButton="0" quotePrefix="0" xfId="0">
      <alignment horizontal="center" vertical="center"/>
    </xf>
    <xf numFmtId="0" fontId="105" fillId="0" borderId="28" pivotButton="0" quotePrefix="0" xfId="0"/>
    <xf numFmtId="164" fontId="105" fillId="0" borderId="28" applyAlignment="1" pivotButton="0" quotePrefix="0" xfId="0">
      <alignment horizontal="center" vertical="center"/>
    </xf>
    <xf numFmtId="0" fontId="82" fillId="39" borderId="28" applyAlignment="1" pivotButton="0" quotePrefix="0" xfId="0">
      <alignment horizontal="left" vertical="center" wrapText="1"/>
    </xf>
    <xf numFmtId="0" fontId="83" fillId="39" borderId="28" applyAlignment="1" pivotButton="0" quotePrefix="0" xfId="0">
      <alignment horizontal="center" vertical="center"/>
    </xf>
    <xf numFmtId="0" fontId="85" fillId="41" borderId="28" applyAlignment="1" pivotButton="0" quotePrefix="0" xfId="0">
      <alignment horizontal="left" vertical="center" wrapText="1"/>
    </xf>
    <xf numFmtId="0" fontId="86" fillId="41" borderId="28" applyAlignment="1" pivotButton="0" quotePrefix="0" xfId="0">
      <alignment horizontal="center" vertical="center"/>
    </xf>
    <xf numFmtId="0" fontId="88" fillId="24" borderId="28" applyAlignment="1" pivotButton="0" quotePrefix="0" xfId="0">
      <alignment horizontal="left" vertical="center" wrapText="1"/>
    </xf>
    <xf numFmtId="0" fontId="89" fillId="24" borderId="28" applyAlignment="1" pivotButton="0" quotePrefix="0" xfId="0">
      <alignment horizontal="center" vertical="center"/>
    </xf>
    <xf numFmtId="0" fontId="95" fillId="35" borderId="28" applyAlignment="1" pivotButton="0" quotePrefix="0" xfId="0">
      <alignment horizontal="left" vertical="center" wrapText="1"/>
    </xf>
    <xf numFmtId="0" fontId="96" fillId="35" borderId="28" applyAlignment="1" pivotButton="0" quotePrefix="0" xfId="0">
      <alignment horizontal="center" vertical="center"/>
    </xf>
    <xf numFmtId="0" fontId="98" fillId="25" borderId="28" applyAlignment="1" pivotButton="0" quotePrefix="0" xfId="0">
      <alignment horizontal="left" vertical="center" wrapText="1"/>
    </xf>
    <xf numFmtId="0" fontId="99" fillId="25" borderId="28" applyAlignment="1" pivotButton="0" quotePrefix="0" xfId="0">
      <alignment horizontal="center" vertical="center"/>
    </xf>
    <xf numFmtId="0" fontId="101" fillId="24" borderId="28" applyAlignment="1" pivotButton="0" quotePrefix="0" xfId="0">
      <alignment horizontal="left" vertical="center" wrapText="1"/>
    </xf>
    <xf numFmtId="0" fontId="102" fillId="24" borderId="28" applyAlignment="1" pivotButton="0" quotePrefix="0" xfId="0">
      <alignment horizontal="center" vertical="center"/>
    </xf>
    <xf numFmtId="0" fontId="54" fillId="0" borderId="28" applyAlignment="1" pivotButton="0" quotePrefix="0" xfId="0">
      <alignment horizontal="center" vertical="center"/>
    </xf>
    <xf numFmtId="0" fontId="91" fillId="0" borderId="28" pivotButton="0" quotePrefix="0" xfId="0"/>
    <xf numFmtId="0" fontId="81" fillId="51" borderId="28" applyAlignment="1" pivotButton="0" quotePrefix="0" xfId="0">
      <alignment horizontal="center" vertical="center"/>
    </xf>
    <xf numFmtId="0" fontId="81" fillId="57" borderId="28" pivotButton="0" quotePrefix="0" xfId="0"/>
    <xf numFmtId="0" fontId="163" fillId="0" borderId="28"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28"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26" applyAlignment="1" pivotButton="0" quotePrefix="0" xfId="0">
      <alignment horizontal="center" vertical="center"/>
    </xf>
    <xf numFmtId="0" fontId="175" fillId="0" borderId="23" applyAlignment="1" pivotButton="0" quotePrefix="0" xfId="0">
      <alignment horizontal="left" vertical="center"/>
    </xf>
    <xf numFmtId="0" fontId="0" fillId="0" borderId="24" pivotButton="0" quotePrefix="0" xfId="0"/>
    <xf numFmtId="0" fontId="0" fillId="0" borderId="25" pivotButton="0" quotePrefix="0" xfId="0"/>
    <xf numFmtId="0" fontId="151" fillId="27" borderId="26" applyAlignment="1" pivotButton="0" quotePrefix="0" xfId="0">
      <alignment horizontal="center" vertical="center"/>
    </xf>
    <xf numFmtId="0" fontId="143" fillId="40" borderId="9" applyAlignment="1" pivotButton="0" quotePrefix="0" xfId="0">
      <alignment horizontal="left" vertical="center" indent="1"/>
    </xf>
    <xf numFmtId="0" fontId="0" fillId="0" borderId="10" pivotButton="0" quotePrefix="0" xfId="0"/>
    <xf numFmtId="0" fontId="147" fillId="30" borderId="26" applyAlignment="1" pivotButton="0" quotePrefix="0" xfId="0">
      <alignment horizontal="left" vertical="center" indent="1"/>
    </xf>
    <xf numFmtId="0" fontId="164" fillId="60" borderId="26" applyAlignment="1" pivotButton="0" quotePrefix="0" xfId="0">
      <alignment horizontal="left" vertical="center" indent="1"/>
    </xf>
    <xf numFmtId="0" fontId="145" fillId="58" borderId="26" applyAlignment="1" pivotButton="0" quotePrefix="0" xfId="0">
      <alignment horizontal="center" vertical="center"/>
    </xf>
    <xf numFmtId="0" fontId="81" fillId="59" borderId="26" applyAlignment="1" pivotButton="0" quotePrefix="0" xfId="0">
      <alignment horizontal="left" vertical="center"/>
    </xf>
    <xf numFmtId="0" fontId="81" fillId="61" borderId="26" applyAlignment="1" pivotButton="0" quotePrefix="0" xfId="0">
      <alignment horizontal="left" vertical="center"/>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81" fillId="51" borderId="26" applyAlignment="1" pivotButton="0" quotePrefix="0" xfId="0">
      <alignment horizontal="left" vertical="center"/>
    </xf>
    <xf numFmtId="0" fontId="153" fillId="48" borderId="26"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54" fillId="46" borderId="26" applyAlignment="1" pivotButton="0" quotePrefix="0" xfId="0">
      <alignment horizontal="left" vertical="center" indent="1"/>
    </xf>
    <xf numFmtId="0" fontId="139" fillId="44" borderId="9" applyAlignment="1" pivotButton="0" quotePrefix="0" xfId="0">
      <alignment horizontal="left" vertical="center" indent="1"/>
    </xf>
    <xf numFmtId="0" fontId="81" fillId="54" borderId="26" applyAlignment="1" pivotButton="0" quotePrefix="0" xfId="0">
      <alignment horizontal="left" vertical="center"/>
    </xf>
    <xf numFmtId="0" fontId="113" fillId="0" borderId="26" applyAlignment="1" pivotButton="0" quotePrefix="0" xfId="0">
      <alignment horizontal="center" vertical="center"/>
    </xf>
    <xf numFmtId="0" fontId="128" fillId="34" borderId="9" applyAlignment="1" pivotButton="0" quotePrefix="0" xfId="0">
      <alignment horizontal="left" vertical="center" indent="1"/>
    </xf>
    <xf numFmtId="0" fontId="155" fillId="58" borderId="26" applyAlignment="1" pivotButton="0" quotePrefix="0" xfId="0">
      <alignment horizontal="center" vertical="center"/>
    </xf>
    <xf numFmtId="0" fontId="164" fillId="53" borderId="26" applyAlignment="1" pivotButton="0" quotePrefix="0" xfId="0">
      <alignment horizontal="left" vertical="center" indent="1"/>
    </xf>
    <xf numFmtId="0" fontId="129" fillId="38" borderId="26" applyAlignment="1" pivotButton="0" quotePrefix="0" xfId="0">
      <alignment horizontal="left" vertical="center" indent="1"/>
    </xf>
    <xf numFmtId="0" fontId="78" fillId="27" borderId="26" applyAlignment="1" pivotButton="0" quotePrefix="0" xfId="0">
      <alignment horizontal="center" vertical="center"/>
    </xf>
    <xf numFmtId="0" fontId="127" fillId="37" borderId="26" applyAlignment="1" pivotButton="0" quotePrefix="0" xfId="0">
      <alignment horizontal="left" vertical="center" indent="1"/>
    </xf>
    <xf numFmtId="0" fontId="126" fillId="36" borderId="26" applyAlignment="1" pivotButton="0" quotePrefix="0" xfId="0">
      <alignment horizontal="left" vertical="center" indent="1"/>
    </xf>
    <xf numFmtId="0" fontId="128" fillId="34" borderId="26" applyAlignment="1" pivotButton="0" quotePrefix="0" xfId="0">
      <alignment horizontal="left" vertical="center" indent="1"/>
    </xf>
    <xf numFmtId="0" fontId="176" fillId="62" borderId="28" applyAlignment="1" pivotButton="0" quotePrefix="0" xfId="0">
      <alignment horizontal="center" vertical="center"/>
    </xf>
    <xf numFmtId="0" fontId="0" fillId="0" borderId="28" applyAlignment="1" pivotButton="0" quotePrefix="0" xfId="0">
      <alignment horizontal="center" vertical="center"/>
    </xf>
    <xf numFmtId="0" fontId="157" fillId="51" borderId="26" applyAlignment="1" pivotButton="0" quotePrefix="0" xfId="0">
      <alignment horizontal="center" vertical="center"/>
    </xf>
    <xf numFmtId="0" fontId="81" fillId="27" borderId="11" applyAlignment="1" pivotButton="0" quotePrefix="0" xfId="0">
      <alignment horizontal="left" vertical="center"/>
    </xf>
    <xf numFmtId="0" fontId="0" fillId="0" borderId="12" pivotButton="0" quotePrefix="0" xfId="0"/>
    <xf numFmtId="0" fontId="0" fillId="0" borderId="13" pivotButton="0" quotePrefix="0" xfId="0"/>
    <xf numFmtId="164" fontId="106" fillId="26" borderId="11" applyAlignment="1" pivotButton="0" quotePrefix="0" xfId="0">
      <alignment horizontal="center" vertical="center"/>
    </xf>
    <xf numFmtId="0" fontId="0" fillId="50" borderId="26" applyAlignment="1" pivotButton="0" quotePrefix="0" xfId="0">
      <alignment horizontal="center"/>
    </xf>
    <xf numFmtId="164" fontId="158" fillId="0" borderId="26" applyAlignment="1" pivotButton="0" quotePrefix="0" xfId="0">
      <alignment horizontal="center" vertical="center"/>
    </xf>
    <xf numFmtId="0" fontId="109" fillId="27" borderId="26" applyAlignment="1" pivotButton="0" quotePrefix="0" xfId="0">
      <alignment horizontal="center" vertical="center"/>
    </xf>
    <xf numFmtId="0" fontId="110" fillId="51" borderId="26" applyAlignment="1" pivotButton="0" quotePrefix="0" xfId="0">
      <alignment horizontal="center" vertical="center"/>
    </xf>
    <xf numFmtId="164" fontId="112" fillId="28" borderId="9" applyAlignment="1" pivotButton="0" quotePrefix="0" xfId="0">
      <alignment horizontal="center" vertical="center"/>
    </xf>
    <xf numFmtId="0" fontId="110" fillId="51" borderId="21" applyAlignment="1" pivotButton="0" quotePrefix="0" xfId="0">
      <alignment horizontal="center" vertical="center"/>
    </xf>
    <xf numFmtId="0" fontId="0" fillId="0" borderId="21" pivotButton="0" quotePrefix="0" xfId="0"/>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26" applyAlignment="1" pivotButton="0" quotePrefix="0" xfId="0">
      <alignment horizontal="center" vertical="center"/>
    </xf>
    <xf numFmtId="164" fontId="106" fillId="26" borderId="32" applyAlignment="1" pivotButton="0" quotePrefix="0" xfId="0">
      <alignment horizontal="center" vertical="center"/>
    </xf>
    <xf numFmtId="0" fontId="0" fillId="0" borderId="33" pivotButton="0" quotePrefix="0" xfId="0"/>
    <xf numFmtId="0" fontId="61" fillId="35" borderId="26" applyAlignment="1" pivotButton="0" quotePrefix="0" xfId="0">
      <alignment horizontal="left" vertical="center" indent="1"/>
    </xf>
    <xf numFmtId="0" fontId="1" fillId="12" borderId="26" applyAlignment="1" pivotButton="0" quotePrefix="0" xfId="0">
      <alignment horizontal="center" vertical="center"/>
    </xf>
    <xf numFmtId="0" fontId="76" fillId="51" borderId="26" applyAlignment="1" pivotButton="0" quotePrefix="0" xfId="0">
      <alignment horizontal="center" vertical="center"/>
    </xf>
    <xf numFmtId="0" fontId="75" fillId="23" borderId="26" applyAlignment="1" pivotButton="0" quotePrefix="0" xfId="0">
      <alignment horizontal="center" vertical="center"/>
    </xf>
    <xf numFmtId="0" fontId="77" fillId="0" borderId="26" applyAlignment="1" pivotButton="0" quotePrefix="0" xfId="0">
      <alignment horizontal="left" vertical="center"/>
    </xf>
    <xf numFmtId="0" fontId="78" fillId="51" borderId="26" applyAlignment="1" pivotButton="0" quotePrefix="0" xfId="0">
      <alignment horizontal="center" vertical="center"/>
    </xf>
    <xf numFmtId="0" fontId="55" fillId="16" borderId="8" applyAlignment="1" pivotButton="0" quotePrefix="0" xfId="0">
      <alignment horizontal="center" vertical="center"/>
    </xf>
    <xf numFmtId="0" fontId="0" fillId="0" borderId="3" pivotButton="0" quotePrefix="0" xfId="0"/>
    <xf numFmtId="0" fontId="3" fillId="51" borderId="26" applyAlignment="1" pivotButton="0" quotePrefix="0" xfId="0">
      <alignment horizontal="left" vertical="center" indent="1"/>
    </xf>
    <xf numFmtId="0" fontId="84" fillId="39" borderId="26"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26" applyAlignment="1" pivotButton="0" quotePrefix="0" xfId="0">
      <alignment horizontal="center" vertical="center"/>
    </xf>
    <xf numFmtId="0" fontId="55" fillId="14" borderId="8" applyAlignment="1" pivotButton="0" quotePrefix="0" xfId="0">
      <alignment horizontal="center" vertical="center"/>
    </xf>
    <xf numFmtId="0" fontId="62" fillId="23" borderId="26"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26" applyAlignment="1" pivotButton="0" quotePrefix="0" xfId="0">
      <alignment horizontal="center" vertical="center"/>
    </xf>
    <xf numFmtId="0" fontId="103" fillId="24" borderId="26" applyAlignment="1" pivotButton="0" quotePrefix="0" xfId="0">
      <alignment horizontal="center" vertical="center"/>
    </xf>
    <xf numFmtId="0" fontId="3" fillId="7" borderId="26" applyAlignment="1" pivotButton="0" quotePrefix="0" xfId="0">
      <alignment horizontal="left" vertical="center" indent="1"/>
    </xf>
    <xf numFmtId="0" fontId="55" fillId="20" borderId="8" applyAlignment="1" pivotButton="0" quotePrefix="0" xfId="0">
      <alignment horizontal="center" vertical="center"/>
    </xf>
    <xf numFmtId="0" fontId="63" fillId="21" borderId="26" applyAlignment="1" pivotButton="0" quotePrefix="0" xfId="0">
      <alignment horizontal="center" vertical="center"/>
    </xf>
    <xf numFmtId="0" fontId="92" fillId="3" borderId="26" applyAlignment="1" pivotButton="0" quotePrefix="0" xfId="0">
      <alignment horizontal="center" vertical="center"/>
    </xf>
    <xf numFmtId="0" fontId="55" fillId="15" borderId="8" applyAlignment="1" pivotButton="0" quotePrefix="0" xfId="0">
      <alignment horizontal="center" vertical="center"/>
    </xf>
    <xf numFmtId="0" fontId="104" fillId="58" borderId="26" applyAlignment="1" pivotButton="0" quotePrefix="0" xfId="0">
      <alignment horizontal="center" vertical="center"/>
    </xf>
    <xf numFmtId="0" fontId="55" fillId="35" borderId="8" applyAlignment="1" pivotButton="0" quotePrefix="0" xfId="0">
      <alignment horizontal="center" vertical="center"/>
    </xf>
    <xf numFmtId="0" fontId="90" fillId="24" borderId="26"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26" applyAlignment="1" pivotButton="0" quotePrefix="0" xfId="0">
      <alignment horizontal="center" vertical="center"/>
    </xf>
    <xf numFmtId="0" fontId="55" fillId="32" borderId="8" applyAlignment="1" pivotButton="0" quotePrefix="0" xfId="0">
      <alignment horizontal="center" vertical="center"/>
    </xf>
    <xf numFmtId="0" fontId="64" fillId="51" borderId="28" applyAlignment="1" pivotButton="0" quotePrefix="0" xfId="0">
      <alignment horizontal="center" vertical="center"/>
    </xf>
    <xf numFmtId="0" fontId="78" fillId="27" borderId="28" applyAlignment="1" pivotButton="0" quotePrefix="0" xfId="0">
      <alignment horizontal="center" vertical="center"/>
    </xf>
    <xf numFmtId="0" fontId="155" fillId="58" borderId="28" applyAlignment="1" pivotButton="0" quotePrefix="0" xfId="0">
      <alignment horizontal="center" vertical="center"/>
    </xf>
    <xf numFmtId="0" fontId="113" fillId="0" borderId="28" applyAlignment="1" pivotButton="0" quotePrefix="0" xfId="0">
      <alignment horizontal="center" vertical="center"/>
    </xf>
    <xf numFmtId="0" fontId="81" fillId="51" borderId="28" applyAlignment="1" pivotButton="0" quotePrefix="0" xfId="0">
      <alignment horizontal="left" vertical="center"/>
    </xf>
    <xf numFmtId="0" fontId="151" fillId="27" borderId="28" applyAlignment="1" pivotButton="0" quotePrefix="0" xfId="0">
      <alignment horizontal="center" vertical="center"/>
    </xf>
    <xf numFmtId="0" fontId="126" fillId="36" borderId="28" applyAlignment="1" pivotButton="0" quotePrefix="0" xfId="0">
      <alignment horizontal="left" vertical="center" indent="1"/>
    </xf>
    <xf numFmtId="0" fontId="127" fillId="37" borderId="28" applyAlignment="1" pivotButton="0" quotePrefix="0" xfId="0">
      <alignment horizontal="left" vertical="center" indent="1"/>
    </xf>
    <xf numFmtId="0" fontId="128" fillId="34" borderId="28" applyAlignment="1" pivotButton="0" quotePrefix="0" xfId="0">
      <alignment horizontal="left" vertical="center" indent="1"/>
    </xf>
    <xf numFmtId="0" fontId="129" fillId="38" borderId="28" applyAlignment="1" pivotButton="0" quotePrefix="0" xfId="0">
      <alignment horizontal="left" vertical="center" indent="1"/>
    </xf>
    <xf numFmtId="0" fontId="145" fillId="58" borderId="28" applyAlignment="1" pivotButton="0" quotePrefix="0" xfId="0">
      <alignment horizontal="center" vertical="center"/>
    </xf>
    <xf numFmtId="0" fontId="147" fillId="30" borderId="28" applyAlignment="1" pivotButton="0" quotePrefix="0" xfId="0">
      <alignment horizontal="left" vertical="center" indent="1"/>
    </xf>
    <xf numFmtId="0" fontId="153" fillId="48" borderId="28" applyAlignment="1" pivotButton="0" quotePrefix="0" xfId="0">
      <alignment horizontal="left" vertical="center" indent="1"/>
    </xf>
    <xf numFmtId="0" fontId="164" fillId="53" borderId="28" applyAlignment="1" pivotButton="0" quotePrefix="0" xfId="0">
      <alignment horizontal="left" vertical="center" indent="1"/>
    </xf>
    <xf numFmtId="0" fontId="154" fillId="46" borderId="28" applyAlignment="1" pivotButton="0" quotePrefix="0" xfId="0">
      <alignment horizontal="left" vertical="center" indent="1"/>
    </xf>
    <xf numFmtId="0" fontId="81" fillId="54" borderId="28" applyAlignment="1" pivotButton="0" quotePrefix="0" xfId="0">
      <alignment horizontal="left" vertical="center"/>
    </xf>
    <xf numFmtId="0" fontId="164" fillId="60" borderId="28" applyAlignment="1" pivotButton="0" quotePrefix="0" xfId="0">
      <alignment horizontal="left" vertical="center" indent="1"/>
    </xf>
    <xf numFmtId="0" fontId="81" fillId="59" borderId="28" applyAlignment="1" pivotButton="0" quotePrefix="0" xfId="0">
      <alignment horizontal="left" vertical="center"/>
    </xf>
    <xf numFmtId="0" fontId="81" fillId="61" borderId="28" applyAlignment="1" pivotButton="0" quotePrefix="0" xfId="0">
      <alignment horizontal="left" vertical="center"/>
    </xf>
    <xf numFmtId="0" fontId="0" fillId="50" borderId="28" applyAlignment="1" pivotButton="0" quotePrefix="0" xfId="0">
      <alignment horizontal="center"/>
    </xf>
    <xf numFmtId="0" fontId="108" fillId="50" borderId="28" applyAlignment="1" pivotButton="0" quotePrefix="0" xfId="0">
      <alignment horizontal="center" vertical="center"/>
    </xf>
    <xf numFmtId="0" fontId="109" fillId="27" borderId="28" applyAlignment="1" pivotButton="0" quotePrefix="0" xfId="0">
      <alignment horizontal="center" vertical="center"/>
    </xf>
    <xf numFmtId="0" fontId="110" fillId="51" borderId="28" applyAlignment="1" pivotButton="0" quotePrefix="0" xfId="0">
      <alignment horizontal="center" vertical="center"/>
    </xf>
    <xf numFmtId="0" fontId="157" fillId="51" borderId="28" applyAlignment="1" pivotButton="0" quotePrefix="0" xfId="0">
      <alignment horizontal="center" vertical="center"/>
    </xf>
    <xf numFmtId="164" fontId="158"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5" fillId="23" borderId="28" applyAlignment="1" pivotButton="0" quotePrefix="0" xfId="0">
      <alignment horizontal="center" vertical="center"/>
    </xf>
    <xf numFmtId="0" fontId="76" fillId="51" borderId="28" applyAlignment="1" pivotButton="0" quotePrefix="0" xfId="0">
      <alignment horizontal="center" vertical="center"/>
    </xf>
    <xf numFmtId="0" fontId="77" fillId="0" borderId="28" applyAlignment="1" pivotButton="0" quotePrefix="0" xfId="0">
      <alignment horizontal="left" vertical="center"/>
    </xf>
    <xf numFmtId="0" fontId="78"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92" fillId="3" borderId="28" applyAlignment="1" pivotButton="0" quotePrefix="0" xfId="0">
      <alignment horizontal="center" vertical="center"/>
    </xf>
    <xf numFmtId="0" fontId="3" fillId="51" borderId="28" applyAlignment="1" pivotButton="0" quotePrefix="0" xfId="0">
      <alignment horizontal="left" vertical="center" indent="1"/>
    </xf>
    <xf numFmtId="0" fontId="104" fillId="58" borderId="28" applyAlignment="1" pivotButton="0" quotePrefix="0" xfId="0">
      <alignment horizontal="center" vertical="center"/>
    </xf>
    <xf numFmtId="0" fontId="3" fillId="7" borderId="28" applyAlignment="1" pivotButton="0" quotePrefix="0" xfId="0">
      <alignment horizontal="left" vertical="center" indent="1"/>
    </xf>
    <xf numFmtId="0" fontId="84" fillId="39" borderId="28" applyAlignment="1" pivotButton="0" quotePrefix="0" xfId="0">
      <alignment horizontal="center" vertical="center"/>
    </xf>
    <xf numFmtId="0" fontId="87" fillId="41" borderId="28" applyAlignment="1" pivotButton="0" quotePrefix="0" xfId="0">
      <alignment horizontal="center" vertical="center"/>
    </xf>
    <xf numFmtId="0" fontId="90" fillId="24" borderId="28" applyAlignment="1" pivotButton="0" quotePrefix="0" xfId="0">
      <alignment horizontal="center" vertical="center"/>
    </xf>
    <xf numFmtId="0" fontId="97" fillId="35" borderId="28" applyAlignment="1" pivotButton="0" quotePrefix="0" xfId="0">
      <alignment horizontal="center" vertical="center"/>
    </xf>
    <xf numFmtId="0" fontId="100" fillId="25" borderId="28" applyAlignment="1" pivotButton="0" quotePrefix="0" xfId="0">
      <alignment horizontal="center" vertical="center"/>
    </xf>
    <xf numFmtId="0" fontId="103" fillId="24" borderId="28" applyAlignment="1" pivotButton="0" quotePrefix="0" xfId="0">
      <alignment horizontal="center" vertical="center"/>
    </xf>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157" fillId="0" borderId="42" applyAlignment="1" pivotButton="0" quotePrefix="0" xfId="0">
      <alignment horizontal="center" vertical="center"/>
    </xf>
    <xf numFmtId="0" fontId="106" fillId="0" borderId="46" applyAlignment="1" pivotButton="0" quotePrefix="0" xfId="0">
      <alignment horizontal="left" vertical="center"/>
    </xf>
    <xf numFmtId="164" fontId="106" fillId="26" borderId="46" applyAlignment="1" pivotButton="0" quotePrefix="0" xfId="0">
      <alignment horizontal="center" vertical="center"/>
    </xf>
    <xf numFmtId="0" fontId="0" fillId="0" borderId="47" pivotButton="0" quotePrefix="0" xfId="0"/>
    <xf numFmtId="0" fontId="162" fillId="0" borderId="43" applyAlignment="1" pivotButton="0" quotePrefix="0" xfId="0">
      <alignment horizontal="left" vertical="center"/>
    </xf>
    <xf numFmtId="0" fontId="162" fillId="0" borderId="45" applyAlignment="1" pivotButton="0" quotePrefix="0" xfId="0">
      <alignment horizontal="left" vertical="center"/>
    </xf>
    <xf numFmtId="0" fontId="162" fillId="0" borderId="49" applyAlignment="1" pivotButton="0" quotePrefix="0" xfId="0">
      <alignment horizontal="left" vertical="center"/>
    </xf>
    <xf numFmtId="0" fontId="162" fillId="0" borderId="50" applyAlignment="1" pivotButton="0" quotePrefix="0" xfId="0">
      <alignment horizontal="left" vertical="center"/>
    </xf>
    <xf numFmtId="0" fontId="157" fillId="0" borderId="49" applyAlignment="1" pivotButton="0" quotePrefix="0" xfId="0">
      <alignment horizontal="center" vertical="center"/>
    </xf>
    <xf numFmtId="0" fontId="181" fillId="0" borderId="49" applyAlignment="1" pivotButton="0" quotePrefix="0" xfId="0">
      <alignment horizontal="left" vertical="center"/>
    </xf>
    <xf numFmtId="0" fontId="0" fillId="0" borderId="48" pivotButton="0" quotePrefix="0" xfId="0"/>
    <xf numFmtId="0" fontId="181" fillId="0" borderId="42"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wrapText="1"/>
    </xf>
  </cellXfs>
  <cellStyles count="1">
    <cellStyle name="Normal" xfId="0" builtinId="0"/>
  </cellStyles>
  <dxfs count="131">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color rgb="FF2E7D32"/>
      </font>
      <fill>
        <patternFill patternType="solid">
          <bgColor rgb="FFE8F5E9"/>
        </patternFill>
      </fill>
    </dxf>
    <dxf>
      <font>
        <b val="1"/>
        <color rgb="FFB71C1C"/>
      </font>
      <fill>
        <patternFill patternType="solid">
          <bgColor rgb="FFFFCDD2"/>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2E7D32"/>
          <bgColor rgb="002E7D32"/>
        </patternFill>
      </fill>
      <border>
        <bottom style="thin">
          <color rgb="00FFFFFF"/>
        </bottom>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0"/>
    <tableColumn id="9" name="Remarks" dataDxfId="119"/>
    <tableColumn id="10" name="Time EVAL?" dataDxfId="118"/>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7"/>
    <tableColumn id="2" name="Category" dataDxfId="116"/>
    <tableColumn id="4" name="Sub-Category" dataDxfId="115"/>
    <tableColumn id="3" name="Finding Description" dataDxfId="114"/>
    <tableColumn id="7" name="Remarks" dataDxfId="113"/>
    <tableColumn id="10" name="Photo URL"/>
    <tableColumn id="5" name="AMOS Status" dataDxfId="112"/>
    <tableColumn id="6" name="WO No." dataDxfId="111"/>
    <tableColumn id="8" name="P/N Required" dataDxfId="110"/>
    <tableColumn id="11" name="Qty" dataDxfId="109"/>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94" activePane="bottomLeft" state="frozen"/>
      <selection activeCell="H1" sqref="H1"/>
      <selection pane="bottomLeft" activeCell="B409" sqref="B409"/>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23" t="inlineStr">
        <is>
          <t>POOL CABIN  ✈ HZ-ASD ✈  C2+6Y CHECK WORK PACKAGE TRACKER</t>
        </is>
      </c>
      <c r="B1" s="224" t="n"/>
      <c r="C1" s="224" t="n"/>
      <c r="D1" s="224" t="n"/>
      <c r="E1" s="225">
        <f>IF(OR(NOT(ISNUMBER(DASHBOARD!$M$1)),NOT(ISNUMBER(DASHBOARD!$M$2))),"PENDING","DAY "&amp;MAX(MIN(TODAY()-DASHBOARD!$M$1+1,DASHBOARD!$M$2-DASHBOARD!$M$1+1),0)&amp;"/"&amp;(DASHBOARD!$M$2-DASHBOARD!$M$1+1))</f>
        <v/>
      </c>
      <c r="H1" s="314">
        <f>"✅ "&amp;COUNTIFS(A4:A992,"&lt;&gt;",E4:E992,"Closed")&amp;" / "&amp;COUNTIF(A4:A992,"&lt;&gt;")&amp;" Closed ("&amp;TEXT(IFERROR(COUNTIFS(A4:A992,"&lt;&gt;",E4:E992,"Closed")/COUNTIF(A4:A992,"&lt;&gt;"),0),"0%")&amp;")"</f>
        <v/>
      </c>
    </row>
    <row r="2" ht="19.9" customHeight="1">
      <c r="A2" s="229">
        <f>IF(COUNT($L$4:$L$992)=0,"No dated updates yet — type todays date (e.g. 19/7) in column L when you edit a row","LAST UPDATE: "&amp;TEXT(MAX($L$4:$L$992),"DD-MMM")&amp;"  ·  "&amp;COUNTIF($L$4:$L$992,MAX($L$4:$L$992))&amp;" row(s) updated  —  filter column L for details")</f>
        <v/>
      </c>
      <c r="B2" s="230" t="n"/>
      <c r="C2" s="230" t="n"/>
      <c r="D2" s="230" t="n"/>
      <c r="E2" s="227" t="n"/>
      <c r="F2" s="227" t="n"/>
      <c r="G2" s="227" t="n"/>
      <c r="H2" s="228">
        <f>"AOG/Critical: "&amp;COUNTIFS(A4:A992,"&lt;&gt;",F4:F992,"AOG")+COUNTIFS(A4:A992,"&lt;&gt;",F4:F992,"Critical")</f>
        <v/>
      </c>
      <c r="I2" s="227" t="n"/>
      <c r="J2" s="227" t="n"/>
      <c r="K2" s="227" t="n"/>
      <c r="L2" s="227" t="n"/>
      <c r="M2" s="227" t="n"/>
      <c r="N2" s="227" t="n"/>
      <c r="O2" s="227" t="n"/>
      <c r="P2" s="227" t="n"/>
      <c r="Q2" s="227"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200231-03-1</t>
        </is>
      </c>
      <c r="B4" s="33" t="inlineStr">
        <is>
          <t>200231-03-1 (2) / FORWARD PASSENGER COMPARTMENT INSP</t>
        </is>
      </c>
      <c r="C4" s="34" t="inlineStr">
        <is>
          <t>24</t>
        </is>
      </c>
      <c r="D4" s="35" t="inlineStr">
        <is>
          <t>GENERAL CABIN</t>
        </is>
      </c>
      <c r="E4" s="36" t="inlineStr">
        <is>
          <t>Closed</t>
        </is>
      </c>
      <c r="F4" s="36" t="inlineStr">
        <is>
          <t>Normal</t>
        </is>
      </c>
      <c r="G4" s="35" t="inlineStr">
        <is>
          <t>JOINT</t>
        </is>
      </c>
      <c r="H4" s="37" t="n"/>
      <c r="I4" s="38" t="inlineStr">
        <is>
          <t>CAB + INSP</t>
        </is>
      </c>
      <c r="J4" s="36" t="inlineStr">
        <is>
          <t>N/A</t>
        </is>
      </c>
      <c r="K4" s="36" t="inlineStr">
        <is>
          <t>FWD</t>
        </is>
      </c>
      <c r="L4" s="39" t="n">
        <v>46225</v>
      </c>
      <c r="M4" s="40" t="n">
        <v>46225</v>
      </c>
      <c r="N4" s="41" t="n">
        <v>7.2</v>
      </c>
      <c r="O4" s="42" t="inlineStr">
        <is>
          <t>24-92</t>
        </is>
      </c>
      <c r="P4" s="41" t="n">
        <v>13.5</v>
      </c>
      <c r="Q4" s="41" t="n">
        <v>22.2</v>
      </c>
    </row>
    <row r="5">
      <c r="A5" s="32" t="inlineStr">
        <is>
          <t>200241-04-1</t>
        </is>
      </c>
      <c r="B5" s="33" t="inlineStr">
        <is>
          <t>200241-04-1 (2) / CENTER PASSENGER COMPARTMENT INSP</t>
        </is>
      </c>
      <c r="C5" s="34" t="inlineStr">
        <is>
          <t>25</t>
        </is>
      </c>
      <c r="D5" s="35" t="inlineStr">
        <is>
          <t>GENERAL CABIN</t>
        </is>
      </c>
      <c r="E5" s="36" t="inlineStr">
        <is>
          <t>Open</t>
        </is>
      </c>
      <c r="F5" s="36" t="inlineStr">
        <is>
          <t>Normal</t>
        </is>
      </c>
      <c r="G5" s="35" t="inlineStr">
        <is>
          <t>JOINT</t>
        </is>
      </c>
      <c r="H5" s="37" t="n"/>
      <c r="I5" s="38" t="inlineStr">
        <is>
          <t>CAB + INSP / REMINE CLOSE UP</t>
        </is>
      </c>
      <c r="J5" s="36" t="inlineStr">
        <is>
          <t>N/A</t>
        </is>
      </c>
      <c r="K5" s="36" t="inlineStr">
        <is>
          <t>AFT</t>
        </is>
      </c>
      <c r="L5" s="39" t="n"/>
      <c r="M5" s="40" t="n"/>
      <c r="N5" s="41" t="n">
        <v>3</v>
      </c>
      <c r="O5" s="42" t="inlineStr">
        <is>
          <t>24-92</t>
        </is>
      </c>
      <c r="P5" s="41" t="n">
        <v>11</v>
      </c>
      <c r="Q5" s="41" t="n">
        <v>209.5</v>
      </c>
    </row>
    <row r="6">
      <c r="A6" s="32" t="inlineStr">
        <is>
          <t>200251-03-1</t>
        </is>
      </c>
      <c r="B6" s="33" t="inlineStr">
        <is>
          <t>200251-03-1 (2) / AFT PASSENGER COMPARTMENT INSPECTION</t>
        </is>
      </c>
      <c r="C6" s="34" t="inlineStr">
        <is>
          <t>26</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2.1</v>
      </c>
      <c r="O6" s="42" t="inlineStr">
        <is>
          <t>24-92</t>
        </is>
      </c>
      <c r="P6" s="41" t="n">
        <v>9.5</v>
      </c>
      <c r="Q6" s="41" t="n">
        <v>208.9</v>
      </c>
    </row>
    <row r="7">
      <c r="A7" s="32" t="inlineStr">
        <is>
          <t>25-11-00-18-0-SVA-001</t>
        </is>
      </c>
      <c r="B7" s="33" t="inlineStr">
        <is>
          <t>25-11-00-18-0-SVA-001 (04) / FOURTH OCCUPANT SEAT COVERS REPLCMNT</t>
        </is>
      </c>
      <c r="C7" s="34" t="inlineStr">
        <is>
          <t>32</t>
        </is>
      </c>
      <c r="D7" s="35" t="inlineStr">
        <is>
          <t>FLIGHT DECK</t>
        </is>
      </c>
      <c r="E7" s="36" t="inlineStr">
        <is>
          <t>Open</t>
        </is>
      </c>
      <c r="F7" s="36" t="inlineStr">
        <is>
          <t>Normal</t>
        </is>
      </c>
      <c r="G7" s="35" t="inlineStr">
        <is>
          <t>CAB</t>
        </is>
      </c>
      <c r="H7" s="37" t="inlineStr">
        <is>
          <t>Requested</t>
        </is>
      </c>
      <c r="I7" s="38" t="inlineStr">
        <is>
          <t>P/S 4509031 CLOSED</t>
        </is>
      </c>
      <c r="J7" s="36" t="inlineStr">
        <is>
          <t>N/A</t>
        </is>
      </c>
      <c r="K7" s="36" t="inlineStr">
        <is>
          <t>FWD</t>
        </is>
      </c>
      <c r="L7" s="39" t="n">
        <v>46222</v>
      </c>
      <c r="M7" s="40" t="n"/>
      <c r="N7" s="41" t="n">
        <v>2</v>
      </c>
      <c r="O7" s="42" t="inlineStr">
        <is>
          <t>25-11</t>
        </is>
      </c>
      <c r="P7" s="41" t="n">
        <v>6.5</v>
      </c>
      <c r="Q7" s="41" t="n">
        <v>16.7</v>
      </c>
    </row>
    <row r="8">
      <c r="A8" s="32" t="inlineStr">
        <is>
          <t>25-11-00-18-0-SVA-002</t>
        </is>
      </c>
      <c r="B8" s="33" t="inlineStr">
        <is>
          <t>25-11-00-18-0-SVA-002 (04) / THIRD OCCUPANT SEAT COVERS R/R</t>
        </is>
      </c>
      <c r="C8" s="34" t="inlineStr">
        <is>
          <t>33</t>
        </is>
      </c>
      <c r="D8" s="35" t="inlineStr">
        <is>
          <t>FLIGHT DECK</t>
        </is>
      </c>
      <c r="E8" s="36" t="inlineStr">
        <is>
          <t>Open</t>
        </is>
      </c>
      <c r="F8" s="36" t="inlineStr">
        <is>
          <t>Normal</t>
        </is>
      </c>
      <c r="G8" s="35" t="inlineStr">
        <is>
          <t>CAB</t>
        </is>
      </c>
      <c r="H8" s="37" t="inlineStr">
        <is>
          <t>Requested</t>
        </is>
      </c>
      <c r="I8" s="38" t="inlineStr">
        <is>
          <t>P/S 4509039 CLOSED</t>
        </is>
      </c>
      <c r="J8" s="36" t="inlineStr">
        <is>
          <t>N/A</t>
        </is>
      </c>
      <c r="K8" s="36" t="inlineStr">
        <is>
          <t>FWD</t>
        </is>
      </c>
      <c r="L8" s="39" t="n">
        <v>46222</v>
      </c>
      <c r="M8" s="40" t="n"/>
      <c r="N8" s="41" t="n">
        <v>2</v>
      </c>
      <c r="O8" s="42" t="inlineStr">
        <is>
          <t>25-11</t>
        </is>
      </c>
      <c r="P8" s="41" t="n"/>
      <c r="Q8" s="41" t="n"/>
    </row>
    <row r="9">
      <c r="A9" s="32" t="inlineStr">
        <is>
          <t>25-22-00-03-0-SVA-002</t>
        </is>
      </c>
      <c r="B9" s="33" t="inlineStr">
        <is>
          <t>25-22-00-03-0-SVA-002 (02) / CABIN ATTENDANT SEAT COVERS R&amp;R</t>
        </is>
      </c>
      <c r="C9" s="34" t="inlineStr">
        <is>
          <t>34</t>
        </is>
      </c>
      <c r="D9" s="35" t="inlineStr">
        <is>
          <t>F/A SEAT</t>
        </is>
      </c>
      <c r="E9" s="36" t="inlineStr">
        <is>
          <t>Open</t>
        </is>
      </c>
      <c r="F9" s="36" t="inlineStr">
        <is>
          <t>AOG</t>
        </is>
      </c>
      <c r="G9" s="35" t="inlineStr">
        <is>
          <t>CAB</t>
        </is>
      </c>
      <c r="H9" s="37" t="inlineStr">
        <is>
          <t>Requested</t>
        </is>
      </c>
      <c r="I9" s="38" t="inlineStr">
        <is>
          <t>P/S 4509037 (SOME PARTS S/D)</t>
        </is>
      </c>
      <c r="J9" s="36" t="inlineStr">
        <is>
          <t>N/A</t>
        </is>
      </c>
      <c r="K9" s="36" t="inlineStr">
        <is>
          <t>JOINT</t>
        </is>
      </c>
      <c r="L9" s="39" t="n">
        <v>46222</v>
      </c>
      <c r="M9" s="40" t="n"/>
      <c r="N9" s="41" t="n">
        <v>4</v>
      </c>
      <c r="O9" s="42" t="inlineStr">
        <is>
          <t>25-22</t>
        </is>
      </c>
      <c r="P9" s="41" t="n"/>
      <c r="Q9" s="41" t="n"/>
    </row>
    <row r="10">
      <c r="A10" s="32" t="inlineStr">
        <is>
          <t>253000-01-1</t>
        </is>
      </c>
      <c r="B10" s="33" t="inlineStr">
        <is>
          <t>253000-01-1 (3) / GALLEY ATTACHMENT POINTS INSPECTION</t>
        </is>
      </c>
      <c r="C10" s="34" t="inlineStr">
        <is>
          <t>35</t>
        </is>
      </c>
      <c r="D10" s="35" t="inlineStr">
        <is>
          <t>GALLEY</t>
        </is>
      </c>
      <c r="E10" s="36" t="inlineStr">
        <is>
          <t>Open</t>
        </is>
      </c>
      <c r="F10" s="36" t="inlineStr">
        <is>
          <t>Normal</t>
        </is>
      </c>
      <c r="G10" s="35" t="inlineStr">
        <is>
          <t>JOINT</t>
        </is>
      </c>
      <c r="H10" s="37" t="n"/>
      <c r="I10" s="38" t="inlineStr">
        <is>
          <t>CAB + INSP / REMINE CLOSE UP</t>
        </is>
      </c>
      <c r="J10" s="36" t="inlineStr">
        <is>
          <t>N/A</t>
        </is>
      </c>
      <c r="K10" s="36" t="inlineStr">
        <is>
          <t>JOINT</t>
        </is>
      </c>
      <c r="L10" s="39" t="n"/>
      <c r="M10" s="40" t="n"/>
      <c r="N10" s="41" t="n">
        <v>0.5</v>
      </c>
      <c r="O10" s="42" t="inlineStr">
        <is>
          <t>25-30</t>
        </is>
      </c>
      <c r="P10" s="41" t="n">
        <v>44</v>
      </c>
      <c r="Q10" s="41" t="n">
        <v>265.1</v>
      </c>
    </row>
    <row r="11">
      <c r="A11" s="32" t="inlineStr">
        <is>
          <t>254000-02-2</t>
        </is>
      </c>
      <c r="B11" s="33" t="inlineStr">
        <is>
          <t>254000-02-2 (2) / LAVATORIE’S ATTACHMENT POINTS INSP</t>
        </is>
      </c>
      <c r="C11" s="34" t="inlineStr">
        <is>
          <t>36</t>
        </is>
      </c>
      <c r="D11" s="35" t="inlineStr">
        <is>
          <t>LAVATORY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0.2</v>
      </c>
      <c r="O11" s="42" t="inlineStr">
        <is>
          <t>25-40</t>
        </is>
      </c>
      <c r="P11" s="41" t="n">
        <v>15</v>
      </c>
      <c r="Q11" s="41" t="n">
        <v>252.6</v>
      </c>
    </row>
    <row r="12">
      <c r="A12" s="32" t="inlineStr">
        <is>
          <t>256141-01-1</t>
        </is>
      </c>
      <c r="B12" s="33" t="inlineStr">
        <is>
          <t>256141-01-1 (3) / CAPT AND F/O EMERGENCY DEVICE INSP</t>
        </is>
      </c>
      <c r="C12" s="34" t="inlineStr">
        <is>
          <t>37</t>
        </is>
      </c>
      <c r="D12" s="35" t="inlineStr">
        <is>
          <t>FLIGHT DECK</t>
        </is>
      </c>
      <c r="E12" s="36" t="inlineStr">
        <is>
          <t>Closed</t>
        </is>
      </c>
      <c r="F12" s="36" t="inlineStr">
        <is>
          <t>Normal</t>
        </is>
      </c>
      <c r="G12" s="35" t="inlineStr">
        <is>
          <t>JOINT</t>
        </is>
      </c>
      <c r="H12" s="37" t="n"/>
      <c r="I12" s="38" t="inlineStr">
        <is>
          <t xml:space="preserve">C/W </t>
        </is>
      </c>
      <c r="J12" s="36" t="inlineStr">
        <is>
          <t>N/A</t>
        </is>
      </c>
      <c r="K12" s="36" t="inlineStr">
        <is>
          <t>FWD</t>
        </is>
      </c>
      <c r="L12" s="39" t="n">
        <v>46223</v>
      </c>
      <c r="M12" s="40" t="n">
        <v>46223</v>
      </c>
      <c r="N12" s="41" t="n">
        <v>0.4</v>
      </c>
      <c r="O12" s="42" t="inlineStr">
        <is>
          <t>25-61</t>
        </is>
      </c>
      <c r="P12" s="41" t="n">
        <v>12</v>
      </c>
      <c r="Q12" s="41" t="n">
        <v>2.8</v>
      </c>
    </row>
    <row r="13">
      <c r="A13" s="32" t="inlineStr">
        <is>
          <t>262541-01-1</t>
        </is>
      </c>
      <c r="B13" s="33" t="inlineStr">
        <is>
          <t>262541-01-1 (3) / LAVATORIES FIRE EXTINGUISHERS INSP</t>
        </is>
      </c>
      <c r="C13" s="34" t="inlineStr">
        <is>
          <t>38</t>
        </is>
      </c>
      <c r="D13" s="35" t="inlineStr">
        <is>
          <t>LAVATORY</t>
        </is>
      </c>
      <c r="E13" s="36" t="inlineStr">
        <is>
          <t>Closed</t>
        </is>
      </c>
      <c r="F13" s="36" t="inlineStr">
        <is>
          <t>Normal</t>
        </is>
      </c>
      <c r="G13" s="35" t="inlineStr">
        <is>
          <t>INSP</t>
        </is>
      </c>
      <c r="H13" s="37" t="n"/>
      <c r="I13" s="38" t="inlineStr">
        <is>
          <t xml:space="preserve">C/W </t>
        </is>
      </c>
      <c r="J13" s="36" t="inlineStr">
        <is>
          <t>N/A</t>
        </is>
      </c>
      <c r="K13" s="36" t="inlineStr">
        <is>
          <t>JOINT</t>
        </is>
      </c>
      <c r="L13" s="39" t="n">
        <v>46223</v>
      </c>
      <c r="M13" s="40" t="n">
        <v>46223</v>
      </c>
      <c r="N13" s="41" t="n">
        <v>0.2</v>
      </c>
      <c r="O13" s="42" t="inlineStr">
        <is>
          <t>26-25</t>
        </is>
      </c>
      <c r="P13" s="41" t="n">
        <v>0.8</v>
      </c>
      <c r="Q13" s="41" t="n">
        <v>0.8</v>
      </c>
    </row>
    <row r="14">
      <c r="A14" s="32" t="inlineStr">
        <is>
          <t>323300-01-1</t>
        </is>
      </c>
      <c r="B14" s="33" t="inlineStr">
        <is>
          <t>323300-01-1 (2) / LG FREE FALL EXTN MECH&amp;CABLE INSP</t>
        </is>
      </c>
      <c r="C14" s="34" t="inlineStr">
        <is>
          <t>44</t>
        </is>
      </c>
      <c r="D14" s="35" t="inlineStr">
        <is>
          <t>ACFT GENERAL T/C</t>
        </is>
      </c>
      <c r="E14" s="36" t="inlineStr">
        <is>
          <t>Open</t>
        </is>
      </c>
      <c r="F14" s="36" t="inlineStr">
        <is>
          <t>Normal</t>
        </is>
      </c>
      <c r="G14" s="35" t="n"/>
      <c r="H14" s="37" t="inlineStr">
        <is>
          <t>Requested</t>
        </is>
      </c>
      <c r="I14" s="38" t="inlineStr">
        <is>
          <t>CABIN + COCKPIT ACCESS / TO DO</t>
        </is>
      </c>
      <c r="J14" s="36" t="inlineStr">
        <is>
          <t>N/A</t>
        </is>
      </c>
      <c r="K14" s="36" t="inlineStr">
        <is>
          <t>FWD</t>
        </is>
      </c>
      <c r="L14" s="39" t="n"/>
      <c r="M14" s="40" t="n"/>
      <c r="N14" s="41" t="n">
        <v>2.2</v>
      </c>
      <c r="O14" s="42" t="inlineStr">
        <is>
          <t>32-33</t>
        </is>
      </c>
      <c r="P14" s="41" t="n"/>
      <c r="Q14" s="41" t="n"/>
    </row>
    <row r="15">
      <c r="A15" s="32" t="inlineStr">
        <is>
          <t>323300-04-1</t>
        </is>
      </c>
      <c r="B15" s="33" t="inlineStr">
        <is>
          <t>323300-04-1 (3) / LG FREE FALL MECH CABLE TENTION CHK</t>
        </is>
      </c>
      <c r="C15" s="34" t="inlineStr">
        <is>
          <t>45</t>
        </is>
      </c>
      <c r="D15" s="35" t="inlineStr">
        <is>
          <t>ACFT GENERAL T/C</t>
        </is>
      </c>
      <c r="E15" s="36" t="inlineStr">
        <is>
          <t>Open</t>
        </is>
      </c>
      <c r="F15" s="36" t="inlineStr">
        <is>
          <t>Normal</t>
        </is>
      </c>
      <c r="G15" s="35" t="n"/>
      <c r="H15" s="37" t="n"/>
      <c r="I15" s="38" t="inlineStr">
        <is>
          <t>CABIN + COCKPIT ACCESS / TO DO</t>
        </is>
      </c>
      <c r="J15" s="36" t="inlineStr">
        <is>
          <t>N/A</t>
        </is>
      </c>
      <c r="K15" s="36" t="inlineStr">
        <is>
          <t>FWD</t>
        </is>
      </c>
      <c r="L15" s="39" t="n"/>
      <c r="M15" s="40" t="n"/>
      <c r="N15" s="41" t="n">
        <v>0.5</v>
      </c>
      <c r="O15" s="42" t="inlineStr">
        <is>
          <t>32-33</t>
        </is>
      </c>
      <c r="P15" s="41" t="n">
        <v>2</v>
      </c>
      <c r="Q15" s="41" t="n">
        <v>191.5</v>
      </c>
    </row>
    <row r="16">
      <c r="A16" s="32" t="inlineStr">
        <is>
          <t>531102-01-1</t>
        </is>
      </c>
      <c r="B16" s="33" t="inlineStr">
        <is>
          <t>531102-01-1 (5) / LH/RH FORWARD PASSENGER DOORS INSP</t>
        </is>
      </c>
      <c r="C16" s="34" t="inlineStr">
        <is>
          <t>51</t>
        </is>
      </c>
      <c r="D16" s="35" t="inlineStr">
        <is>
          <t>PAX DOORS</t>
        </is>
      </c>
      <c r="E16" s="36" t="inlineStr">
        <is>
          <t>Closed</t>
        </is>
      </c>
      <c r="F16" s="36" t="inlineStr">
        <is>
          <t>Normal</t>
        </is>
      </c>
      <c r="G16" s="35" t="n"/>
      <c r="H16" s="37" t="n"/>
      <c r="I16" s="38" t="inlineStr">
        <is>
          <t>C/W</t>
        </is>
      </c>
      <c r="J16" s="36" t="inlineStr">
        <is>
          <t>N/A</t>
        </is>
      </c>
      <c r="K16" s="36" t="inlineStr">
        <is>
          <t>FWD</t>
        </is>
      </c>
      <c r="L16" s="39" t="n">
        <v>46233</v>
      </c>
      <c r="M16" s="40" t="n">
        <v>46232</v>
      </c>
      <c r="N16" s="41" t="n">
        <v>0.7</v>
      </c>
      <c r="O16" s="42" t="inlineStr">
        <is>
          <t>53-11</t>
        </is>
      </c>
      <c r="P16" s="41" t="n">
        <v>2.5</v>
      </c>
      <c r="Q16" s="41" t="n">
        <v>74.5</v>
      </c>
    </row>
    <row r="17">
      <c r="A17" s="32" t="inlineStr">
        <is>
          <t>531164-01-1</t>
        </is>
      </c>
      <c r="B17" s="33" t="inlineStr">
        <is>
          <t>531164-01-1 (02) / FUSELAGE FR 15-21 INSPECTION</t>
        </is>
      </c>
      <c r="C17" s="34" t="inlineStr">
        <is>
          <t>52</t>
        </is>
      </c>
      <c r="D17" s="35" t="inlineStr">
        <is>
          <t>ACFT GENERAL T/C</t>
        </is>
      </c>
      <c r="E17" s="36" t="inlineStr">
        <is>
          <t>Open</t>
        </is>
      </c>
      <c r="F17" s="36" t="inlineStr">
        <is>
          <t>Normal</t>
        </is>
      </c>
      <c r="G17" s="35" t="n"/>
      <c r="H17" s="37" t="inlineStr">
        <is>
          <t>Requested</t>
        </is>
      </c>
      <c r="I17" s="38" t="inlineStr">
        <is>
          <t>A&amp;P / REMINE CLOSE UP</t>
        </is>
      </c>
      <c r="J17" s="36" t="inlineStr">
        <is>
          <t>N/A</t>
        </is>
      </c>
      <c r="K17" s="36" t="inlineStr">
        <is>
          <t>FWD</t>
        </is>
      </c>
      <c r="L17" s="39" t="n"/>
      <c r="M17" s="40" t="n"/>
      <c r="N17" s="41" t="n">
        <v>2</v>
      </c>
      <c r="O17" s="42" t="inlineStr">
        <is>
          <t>53-11</t>
        </is>
      </c>
      <c r="P17" s="41" t="n">
        <v>2.8</v>
      </c>
      <c r="Q17" s="41" t="n">
        <v>117.6</v>
      </c>
    </row>
    <row r="18">
      <c r="A18" s="32" t="inlineStr">
        <is>
          <t>531166-01-2</t>
        </is>
      </c>
      <c r="B18" s="33" t="inlineStr">
        <is>
          <t>531166-01-2 (2) / FUSELAGE FR 16-20 INSPECTION</t>
        </is>
      </c>
      <c r="C18" s="34" t="inlineStr">
        <is>
          <t>53</t>
        </is>
      </c>
      <c r="D18" s="35" t="inlineStr">
        <is>
          <t>ACFT GENERAL T/C</t>
        </is>
      </c>
      <c r="E18" s="36" t="inlineStr">
        <is>
          <t>Open</t>
        </is>
      </c>
      <c r="F18" s="36" t="inlineStr">
        <is>
          <t>Normal</t>
        </is>
      </c>
      <c r="G18" s="35" t="n"/>
      <c r="H18" s="37" t="inlineStr">
        <is>
          <t>Requested</t>
        </is>
      </c>
      <c r="I18" s="38" t="inlineStr">
        <is>
          <t>FWD DOORS GIRT FITTINGS / TO DO</t>
        </is>
      </c>
      <c r="J18" s="36" t="inlineStr">
        <is>
          <t>N/A</t>
        </is>
      </c>
      <c r="K18" s="36" t="inlineStr">
        <is>
          <t>FWD</t>
        </is>
      </c>
      <c r="L18" s="39" t="n"/>
      <c r="M18" s="40" t="n"/>
      <c r="N18" s="41" t="n">
        <v>3.5</v>
      </c>
      <c r="O18" s="42" t="inlineStr">
        <is>
          <t>53-11</t>
        </is>
      </c>
      <c r="P18" s="41" t="n"/>
      <c r="Q18" s="41" t="n"/>
    </row>
    <row r="19">
      <c r="A19" s="32" t="inlineStr">
        <is>
          <t>531181-01-1</t>
        </is>
      </c>
      <c r="B19" s="33" t="inlineStr">
        <is>
          <t>531181-01-1 (3) / FUSELAGE INTERNL STRUCT FR15-21 INSP</t>
        </is>
      </c>
      <c r="C19" s="34" t="inlineStr">
        <is>
          <t>55</t>
        </is>
      </c>
      <c r="D19" s="35" t="inlineStr">
        <is>
          <t>ACFT GENERAL T/C</t>
        </is>
      </c>
      <c r="E19" s="36" t="inlineStr">
        <is>
          <t>Open</t>
        </is>
      </c>
      <c r="F19" s="36" t="inlineStr">
        <is>
          <t>Normal</t>
        </is>
      </c>
      <c r="G19" s="35" t="inlineStr">
        <is>
          <t>INSP</t>
        </is>
      </c>
      <c r="H19" s="37" t="inlineStr">
        <is>
          <t>Requested</t>
        </is>
      </c>
      <c r="I19" s="38" t="inlineStr">
        <is>
          <t>FWD GALLEY + LAV A + SOME B/C SEATS + COCKPIT DOOR + FLOOR PANELS REMOVAL / TO DO</t>
        </is>
      </c>
      <c r="J19" s="36" t="inlineStr">
        <is>
          <t>N/A</t>
        </is>
      </c>
      <c r="K19" s="36" t="inlineStr">
        <is>
          <t>FWD</t>
        </is>
      </c>
      <c r="L19" s="39" t="n">
        <v>46222</v>
      </c>
      <c r="M19" s="40" t="n"/>
      <c r="N19" s="41" t="n">
        <v>4.9</v>
      </c>
      <c r="O19" s="42" t="inlineStr">
        <is>
          <t>53-11</t>
        </is>
      </c>
      <c r="P19" s="41" t="n"/>
      <c r="Q19" s="41" t="n"/>
    </row>
    <row r="20">
      <c r="A20" s="32" t="inlineStr">
        <is>
          <t>531189-01-2</t>
        </is>
      </c>
      <c r="B20" s="33" t="inlineStr">
        <is>
          <t>531189-01-2 (2) / CABIN FLOOR STRUCT FR12 &amp; FR21 INSP</t>
        </is>
      </c>
      <c r="C20" s="34" t="inlineStr">
        <is>
          <t>56</t>
        </is>
      </c>
      <c r="D20" s="35" t="inlineStr">
        <is>
          <t>ACFT GENERAL T/C</t>
        </is>
      </c>
      <c r="E20" s="36" t="inlineStr">
        <is>
          <t>Open</t>
        </is>
      </c>
      <c r="F20" s="36" t="inlineStr">
        <is>
          <t>Normal</t>
        </is>
      </c>
      <c r="G20" s="35" t="inlineStr">
        <is>
          <t>INSP</t>
        </is>
      </c>
      <c r="H20" s="37" t="inlineStr">
        <is>
          <t>Requested</t>
        </is>
      </c>
      <c r="I20" s="38" t="inlineStr">
        <is>
          <t>FWD GALLEY + LAV A + SOME B/C SEATS + COCKPIT DOOR + FLOOR PANELS REMOVAL / TO DO</t>
        </is>
      </c>
      <c r="J20" s="36" t="inlineStr">
        <is>
          <t>N/A</t>
        </is>
      </c>
      <c r="K20" s="36" t="inlineStr">
        <is>
          <t>FWD</t>
        </is>
      </c>
      <c r="L20" s="39" t="n">
        <v>46222</v>
      </c>
      <c r="M20" s="40" t="n"/>
      <c r="N20" s="41" t="n">
        <v>9.699999999999999</v>
      </c>
      <c r="O20" s="42" t="inlineStr">
        <is>
          <t>53-11</t>
        </is>
      </c>
      <c r="P20" s="41" t="n">
        <v>72</v>
      </c>
      <c r="Q20" s="41" t="n">
        <v>72.5</v>
      </c>
    </row>
    <row r="21">
      <c r="A21" s="32" t="inlineStr">
        <is>
          <t>531194-01-2</t>
        </is>
      </c>
      <c r="B21" s="33" t="inlineStr">
        <is>
          <t>531194-01-2 (2) / FLOOR STRUCTURE FR21 TO FR24 INSP</t>
        </is>
      </c>
      <c r="C21" s="34" t="inlineStr">
        <is>
          <t>57</t>
        </is>
      </c>
      <c r="D21" s="35" t="inlineStr">
        <is>
          <t>ACFT GENERAL T/C</t>
        </is>
      </c>
      <c r="E21" s="36" t="inlineStr">
        <is>
          <t>Open</t>
        </is>
      </c>
      <c r="F21" s="36" t="inlineStr">
        <is>
          <t>Normal</t>
        </is>
      </c>
      <c r="G21" s="35" t="inlineStr">
        <is>
          <t>INSP</t>
        </is>
      </c>
      <c r="H21" s="37" t="inlineStr">
        <is>
          <t>Requested</t>
        </is>
      </c>
      <c r="I21" s="38" t="inlineStr">
        <is>
          <t>G2 GALLEY + SOME B/C SEATS REMOVALB TO DO</t>
        </is>
      </c>
      <c r="J21" s="36" t="inlineStr">
        <is>
          <t>N/A</t>
        </is>
      </c>
      <c r="K21" s="36" t="inlineStr">
        <is>
          <t>FWD</t>
        </is>
      </c>
      <c r="L21" s="39" t="n">
        <v>46222</v>
      </c>
      <c r="M21" s="40" t="n"/>
      <c r="N21" s="41" t="n">
        <v>39.8</v>
      </c>
      <c r="O21" s="42" t="inlineStr">
        <is>
          <t>53-11</t>
        </is>
      </c>
      <c r="P21" s="41" t="n">
        <v>10.5</v>
      </c>
      <c r="Q21" s="41" t="n">
        <v>166.6</v>
      </c>
    </row>
    <row r="22">
      <c r="A22" s="32" t="inlineStr">
        <is>
          <t>534132-02-1</t>
        </is>
      </c>
      <c r="B22" s="33" t="inlineStr">
        <is>
          <t>534132-02-1 (2) / DETAILED INSP OF AFT PASS/CREW DOOR CUTOUT, UPPER CORNERS</t>
        </is>
      </c>
      <c r="C22" s="34" t="inlineStr">
        <is>
          <t>60</t>
        </is>
      </c>
      <c r="D22" s="35" t="inlineStr">
        <is>
          <t>PAX DOORS</t>
        </is>
      </c>
      <c r="E22" s="36" t="inlineStr">
        <is>
          <t>Open</t>
        </is>
      </c>
      <c r="F22" s="36" t="inlineStr">
        <is>
          <t>Normal</t>
        </is>
      </c>
      <c r="G22" s="35" t="inlineStr">
        <is>
          <t>JOINT</t>
        </is>
      </c>
      <c r="H22" s="37" t="inlineStr">
        <is>
          <t>Requested</t>
        </is>
      </c>
      <c r="I22" s="38" t="inlineStr">
        <is>
          <t>C/W</t>
        </is>
      </c>
      <c r="J22" s="36" t="inlineStr">
        <is>
          <t>N/A</t>
        </is>
      </c>
      <c r="K22" s="36" t="inlineStr">
        <is>
          <t>AFT</t>
        </is>
      </c>
      <c r="L22" s="39" t="n"/>
      <c r="M22" s="40" t="n"/>
      <c r="N22" s="41" t="n">
        <v>0.1</v>
      </c>
      <c r="O22" s="42" t="inlineStr">
        <is>
          <t>53-41</t>
        </is>
      </c>
      <c r="P22" s="41" t="n">
        <v>2.2</v>
      </c>
      <c r="Q22" s="41" t="n">
        <v>97.09999999999999</v>
      </c>
    </row>
    <row r="23">
      <c r="A23" s="32" t="inlineStr">
        <is>
          <t>534135-01-4</t>
        </is>
      </c>
      <c r="B23" s="33" t="inlineStr">
        <is>
          <t>534135-01-4 (03) / AFT PASSENGER/CREW DOOR CUTOUT INSP</t>
        </is>
      </c>
      <c r="C23" s="34" t="inlineStr">
        <is>
          <t>61</t>
        </is>
      </c>
      <c r="D23" s="35" t="inlineStr">
        <is>
          <t>PAX DOORS</t>
        </is>
      </c>
      <c r="E23" s="36" t="inlineStr">
        <is>
          <t>Open</t>
        </is>
      </c>
      <c r="F23" s="36" t="inlineStr">
        <is>
          <t>Normal</t>
        </is>
      </c>
      <c r="G23" s="35" t="inlineStr">
        <is>
          <t>JOINT</t>
        </is>
      </c>
      <c r="H23" s="37" t="inlineStr">
        <is>
          <t>Requested</t>
        </is>
      </c>
      <c r="I23" s="38" t="inlineStr">
        <is>
          <t>CAB + INSP / REMINE CLOSE UP</t>
        </is>
      </c>
      <c r="J23" s="36" t="inlineStr">
        <is>
          <t>N/A</t>
        </is>
      </c>
      <c r="K23" s="36" t="inlineStr">
        <is>
          <t>AFT</t>
        </is>
      </c>
      <c r="L23" s="39" t="n"/>
      <c r="M23" s="40" t="n"/>
      <c r="N23" s="41" t="n">
        <v>3</v>
      </c>
      <c r="O23" s="42" t="inlineStr">
        <is>
          <t>53-41</t>
        </is>
      </c>
      <c r="P23" s="41" t="n">
        <v>24</v>
      </c>
      <c r="Q23" s="41" t="n">
        <v>48.5</v>
      </c>
    </row>
    <row r="24">
      <c r="A24" s="32" t="inlineStr">
        <is>
          <t>534147-01-1</t>
        </is>
      </c>
      <c r="B24" s="33" t="inlineStr">
        <is>
          <t>534147-01-1 (2) / CABIN FLOOR STRUC AROUND GALLEY&amp;LAV</t>
        </is>
      </c>
      <c r="C24" s="34" t="inlineStr">
        <is>
          <t>62</t>
        </is>
      </c>
      <c r="D24" s="35" t="inlineStr">
        <is>
          <t>ACFT GENERAL T/C</t>
        </is>
      </c>
      <c r="E24" s="36" t="inlineStr">
        <is>
          <t>Open</t>
        </is>
      </c>
      <c r="F24" s="36" t="inlineStr">
        <is>
          <t>Normal</t>
        </is>
      </c>
      <c r="G24" s="35" t="n"/>
      <c r="H24" s="37" t="inlineStr">
        <is>
          <t>Requested</t>
        </is>
      </c>
      <c r="I24" s="38" t="inlineStr">
        <is>
          <t>REMOVE ALL GALLEYS AND LAVS + SOME ROWS OF G/C SEATS / REMINE CLOSE UP</t>
        </is>
      </c>
      <c r="J24" s="36" t="inlineStr">
        <is>
          <t>N/A</t>
        </is>
      </c>
      <c r="K24" s="36" t="inlineStr">
        <is>
          <t>JOINT</t>
        </is>
      </c>
      <c r="L24" s="39" t="n"/>
      <c r="M24" s="40" t="n"/>
      <c r="N24" s="41" t="n">
        <v>50</v>
      </c>
      <c r="O24" s="42" t="inlineStr">
        <is>
          <t>53-41</t>
        </is>
      </c>
      <c r="P24" s="41" t="n">
        <v>104.5</v>
      </c>
      <c r="Q24" s="41" t="n">
        <v>192.6</v>
      </c>
    </row>
    <row r="25">
      <c r="A25" s="32" t="inlineStr">
        <is>
          <t>534195-01-2</t>
        </is>
      </c>
      <c r="B25" s="33" t="inlineStr">
        <is>
          <t>534195-01-2 (01) / CABIN FLOOR STRUCT BELOW AFT ENTERAN</t>
        </is>
      </c>
      <c r="C25" s="34" t="inlineStr">
        <is>
          <t>66</t>
        </is>
      </c>
      <c r="D25" s="35" t="inlineStr">
        <is>
          <t>ACFT GENERAL T/C</t>
        </is>
      </c>
      <c r="E25" s="36" t="inlineStr">
        <is>
          <t>Open</t>
        </is>
      </c>
      <c r="F25" s="36" t="inlineStr">
        <is>
          <t>Normal</t>
        </is>
      </c>
      <c r="G25" s="35" t="n"/>
      <c r="H25" s="37" t="inlineStr">
        <is>
          <t>Requested</t>
        </is>
      </c>
      <c r="I25" s="38" t="inlineStr">
        <is>
          <t>AFT AREA / REMINE CLOSE UP</t>
        </is>
      </c>
      <c r="J25" s="36" t="inlineStr">
        <is>
          <t>N/A</t>
        </is>
      </c>
      <c r="K25" s="36" t="inlineStr">
        <is>
          <t>AFT</t>
        </is>
      </c>
      <c r="L25" s="39" t="n"/>
      <c r="M25" s="40" t="n"/>
      <c r="N25" s="41" t="n">
        <v>4</v>
      </c>
      <c r="O25" s="42" t="inlineStr">
        <is>
          <t>53-41</t>
        </is>
      </c>
      <c r="P25" s="41" t="n">
        <v>22</v>
      </c>
      <c r="Q25" s="41" t="n">
        <v>64.3</v>
      </c>
    </row>
    <row r="26">
      <c r="A26" s="32" t="inlineStr">
        <is>
          <t>562101-01-1</t>
        </is>
      </c>
      <c r="B26" s="33" t="inlineStr">
        <is>
          <t>562101-01-1 (3) / CABIN AND DOOR WINDOW PANES INSP</t>
        </is>
      </c>
      <c r="C26" s="34" t="inlineStr">
        <is>
          <t>79</t>
        </is>
      </c>
      <c r="D26" s="35" t="inlineStr">
        <is>
          <t>GENERAL CABIN</t>
        </is>
      </c>
      <c r="E26" s="36" t="inlineStr">
        <is>
          <t>Open</t>
        </is>
      </c>
      <c r="F26" s="36" t="inlineStr">
        <is>
          <t>Normal</t>
        </is>
      </c>
      <c r="G26" s="35" t="inlineStr">
        <is>
          <t>JOINT</t>
        </is>
      </c>
      <c r="H26" s="37" t="inlineStr">
        <is>
          <t>Requested</t>
        </is>
      </c>
      <c r="I26" s="38" t="inlineStr">
        <is>
          <t>CAB + INSP / ALL SIDEWALL REMOVAL</t>
        </is>
      </c>
      <c r="J26" s="36" t="inlineStr">
        <is>
          <t>N/A</t>
        </is>
      </c>
      <c r="K26" s="36" t="inlineStr">
        <is>
          <t>JOINT</t>
        </is>
      </c>
      <c r="L26" s="39" t="n"/>
      <c r="M26" s="40" t="n"/>
      <c r="N26" s="41" t="n">
        <v>5.2</v>
      </c>
      <c r="O26" s="42" t="inlineStr">
        <is>
          <t>56-21</t>
        </is>
      </c>
      <c r="P26" s="41" t="n">
        <v>80</v>
      </c>
      <c r="Q26" s="41" t="n">
        <v>97.09999999999999</v>
      </c>
    </row>
    <row r="27">
      <c r="A27" s="32" t="inlineStr">
        <is>
          <t>ZL-145-01-1</t>
        </is>
      </c>
      <c r="B27" s="33" t="inlineStr">
        <is>
          <t>ZL-145-01-1 (2) / ZONE UNDER CABIN FLOOR INSPECTION</t>
        </is>
      </c>
      <c r="C27" s="34" t="inlineStr">
        <is>
          <t>109</t>
        </is>
      </c>
      <c r="D27" s="35" t="inlineStr">
        <is>
          <t>ACFT GENERAL T/C</t>
        </is>
      </c>
      <c r="E27" s="36" t="inlineStr">
        <is>
          <t>Open</t>
        </is>
      </c>
      <c r="F27" s="36" t="inlineStr">
        <is>
          <t>Normal</t>
        </is>
      </c>
      <c r="G27" s="35" t="n"/>
      <c r="H27" s="37" t="inlineStr">
        <is>
          <t>Requested</t>
        </is>
      </c>
      <c r="I27" s="38" t="inlineStr">
        <is>
          <t>CAB + INSP / FR 36 TO FR 46 / REMINE CLOSE UP</t>
        </is>
      </c>
      <c r="J27" s="36" t="inlineStr">
        <is>
          <t>N/A</t>
        </is>
      </c>
      <c r="K27" s="36" t="inlineStr">
        <is>
          <t>JOINT</t>
        </is>
      </c>
      <c r="L27" s="39" t="n"/>
      <c r="M27" s="40" t="n"/>
      <c r="N27" s="41" t="n">
        <v>7</v>
      </c>
      <c r="O27" s="42" t="inlineStr">
        <is>
          <t>05-21</t>
        </is>
      </c>
      <c r="P27" s="41" t="n">
        <v>85.5</v>
      </c>
      <c r="Q27" s="41" t="n">
        <v>72.59999999999999</v>
      </c>
    </row>
    <row r="28">
      <c r="A28" s="32" t="inlineStr">
        <is>
          <t>ZL-171-02-1</t>
        </is>
      </c>
      <c r="B28" s="33" t="inlineStr">
        <is>
          <t>ZL-171-02-1 (2) / AFT CABIN UNDERFLOOR COMPART INSP</t>
        </is>
      </c>
      <c r="C28" s="34" t="inlineStr">
        <is>
          <t>115</t>
        </is>
      </c>
      <c r="D28" s="35" t="inlineStr">
        <is>
          <t>ACFT GENERAL T/C</t>
        </is>
      </c>
      <c r="E28" s="36" t="inlineStr">
        <is>
          <t>Closed</t>
        </is>
      </c>
      <c r="F28" s="36" t="inlineStr">
        <is>
          <t>Normal</t>
        </is>
      </c>
      <c r="G28" s="35" t="inlineStr">
        <is>
          <t>INSP</t>
        </is>
      </c>
      <c r="H28" s="37" t="n"/>
      <c r="I28" s="38" t="inlineStr">
        <is>
          <t>ISNP</t>
        </is>
      </c>
      <c r="J28" s="36" t="inlineStr">
        <is>
          <t>N/A</t>
        </is>
      </c>
      <c r="K28" s="36" t="inlineStr">
        <is>
          <t>AFT</t>
        </is>
      </c>
      <c r="L28" s="39" t="n">
        <v>46226</v>
      </c>
      <c r="M28" s="40" t="n">
        <v>46226</v>
      </c>
      <c r="N28" s="41" t="n">
        <v>77</v>
      </c>
      <c r="O28" s="42" t="inlineStr">
        <is>
          <t>05-21</t>
        </is>
      </c>
      <c r="P28" s="41" t="n">
        <v>2.5</v>
      </c>
      <c r="Q28" s="41" t="n">
        <v>47.7</v>
      </c>
    </row>
    <row r="29">
      <c r="A29" s="32" t="inlineStr">
        <is>
          <t>ZL-211-01-1</t>
        </is>
      </c>
      <c r="B29" s="33" t="inlineStr">
        <is>
          <t>ZL-211-01-1 (03) / COCKPIT ZONAL INSPECTION</t>
        </is>
      </c>
      <c r="C29" s="34" t="inlineStr">
        <is>
          <t>122</t>
        </is>
      </c>
      <c r="D29" s="35" t="inlineStr">
        <is>
          <t>FLIGHT DECK</t>
        </is>
      </c>
      <c r="E29" s="36" t="inlineStr">
        <is>
          <t>Closed</t>
        </is>
      </c>
      <c r="F29" s="36" t="inlineStr">
        <is>
          <t>Normal</t>
        </is>
      </c>
      <c r="G29" s="35" t="inlineStr">
        <is>
          <t>INSP</t>
        </is>
      </c>
      <c r="H29" s="37" t="n"/>
      <c r="I29" s="38" t="inlineStr">
        <is>
          <t>INSP</t>
        </is>
      </c>
      <c r="J29" s="36" t="inlineStr">
        <is>
          <t>N/A</t>
        </is>
      </c>
      <c r="K29" s="36" t="inlineStr">
        <is>
          <t>FWD</t>
        </is>
      </c>
      <c r="L29" s="39" t="n">
        <v>46226</v>
      </c>
      <c r="M29" s="40" t="n">
        <v>46226</v>
      </c>
      <c r="N29" s="41" t="n">
        <v>0.4</v>
      </c>
      <c r="O29" s="42" t="inlineStr">
        <is>
          <t>05-22</t>
        </is>
      </c>
      <c r="P29" s="41" t="n">
        <v>21</v>
      </c>
      <c r="Q29" s="41" t="n">
        <v>30.4</v>
      </c>
    </row>
    <row r="30">
      <c r="A30" s="32" t="inlineStr">
        <is>
          <t>ZL-833-02-1</t>
        </is>
      </c>
      <c r="B30" s="33" t="inlineStr">
        <is>
          <t>ZL-833-02-1 (04) / FWD AND AFT EMERGENCY EXITS INSP</t>
        </is>
      </c>
      <c r="C30" s="34" t="inlineStr">
        <is>
          <t>157</t>
        </is>
      </c>
      <c r="D30" s="35" t="inlineStr">
        <is>
          <t>PAX DOORS</t>
        </is>
      </c>
      <c r="E30" s="36" t="inlineStr">
        <is>
          <t>Open</t>
        </is>
      </c>
      <c r="F30" s="36" t="inlineStr">
        <is>
          <t>Normal</t>
        </is>
      </c>
      <c r="G30" s="35" t="inlineStr">
        <is>
          <t>AP</t>
        </is>
      </c>
      <c r="H30" s="37" t="n"/>
      <c r="I30" s="38" t="inlineStr">
        <is>
          <t>AP</t>
        </is>
      </c>
      <c r="J30" s="36" t="inlineStr">
        <is>
          <t>N/A</t>
        </is>
      </c>
      <c r="K30" s="36" t="inlineStr">
        <is>
          <t>JOINT</t>
        </is>
      </c>
      <c r="L30" s="39" t="n"/>
      <c r="M30" s="40" t="n"/>
      <c r="N30" s="41" t="n">
        <v>1</v>
      </c>
      <c r="O30" s="42" t="inlineStr">
        <is>
          <t>05-28</t>
        </is>
      </c>
      <c r="P30" s="41" t="n">
        <v>6</v>
      </c>
      <c r="Q30" s="41" t="n">
        <v>213.6</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05-SVA-01</t>
        </is>
      </c>
      <c r="B32" s="33" t="inlineStr">
        <is>
          <t>05-SVA-01 (00) / EMERGENCY EQUIPMENTS EXPIRY CHECK</t>
        </is>
      </c>
      <c r="C32" s="34" t="inlineStr">
        <is>
          <t>159</t>
        </is>
      </c>
      <c r="D32" s="35" t="inlineStr">
        <is>
          <t>GENERAL CABIN</t>
        </is>
      </c>
      <c r="E32" s="36" t="inlineStr">
        <is>
          <t>Open</t>
        </is>
      </c>
      <c r="F32" s="36" t="inlineStr">
        <is>
          <t>Normal</t>
        </is>
      </c>
      <c r="G32" s="35" t="inlineStr">
        <is>
          <t>CAB</t>
        </is>
      </c>
      <c r="H32" s="37" t="n"/>
      <c r="I32" s="38" t="inlineStr">
        <is>
          <t>ALL INFORMATIONS FILLED TO BE CLOSE BEFORE ACFT RELASE</t>
        </is>
      </c>
      <c r="J32" s="36" t="inlineStr">
        <is>
          <t>N/A</t>
        </is>
      </c>
      <c r="K32" s="36" t="inlineStr">
        <is>
          <t>JOINT</t>
        </is>
      </c>
      <c r="L32" s="39" t="n"/>
      <c r="M32" s="40" t="n"/>
      <c r="N32" s="41" t="n">
        <v>2.2</v>
      </c>
      <c r="O32" s="42" t="inlineStr">
        <is>
          <t>05</t>
        </is>
      </c>
      <c r="P32" s="41" t="n">
        <v>8</v>
      </c>
      <c r="Q32" s="41" t="n">
        <v>232.6</v>
      </c>
    </row>
    <row r="33">
      <c r="A33" s="32" t="inlineStr">
        <is>
          <t>11-11-00-01-0-SVA</t>
        </is>
      </c>
      <c r="B33" s="33" t="inlineStr">
        <is>
          <t>11-11-00-01-0-SVA (02) / INTERIOR PLACARDS CHECK</t>
        </is>
      </c>
      <c r="C33" s="34" t="inlineStr">
        <is>
          <t>160</t>
        </is>
      </c>
      <c r="D33" s="35" t="inlineStr">
        <is>
          <t>GENERAL CABIN</t>
        </is>
      </c>
      <c r="E33" s="36" t="inlineStr">
        <is>
          <t>Open</t>
        </is>
      </c>
      <c r="F33" s="36" t="inlineStr">
        <is>
          <t>Normal</t>
        </is>
      </c>
      <c r="G33" s="35" t="inlineStr">
        <is>
          <t>PAINT</t>
        </is>
      </c>
      <c r="H33" s="37" t="n"/>
      <c r="I33" s="38" t="inlineStr">
        <is>
          <t>PAINT</t>
        </is>
      </c>
      <c r="J33" s="36" t="inlineStr">
        <is>
          <t>N/A</t>
        </is>
      </c>
      <c r="K33" s="36" t="inlineStr">
        <is>
          <t>JOINT</t>
        </is>
      </c>
      <c r="L33" s="39" t="n"/>
      <c r="M33" s="40" t="n"/>
      <c r="N33" s="41" t="n">
        <v>1</v>
      </c>
      <c r="O33" s="42" t="inlineStr">
        <is>
          <t>11-11</t>
        </is>
      </c>
      <c r="P33" s="41" t="n"/>
      <c r="Q33" s="41" t="n"/>
    </row>
    <row r="34">
      <c r="A34" s="32" t="inlineStr">
        <is>
          <t>212300-02-1</t>
        </is>
      </c>
      <c r="B34" s="33" t="inlineStr">
        <is>
          <t>212300-02-1 (4) / LAVATORY AIR EXTRACTION FLTR R/R</t>
        </is>
      </c>
      <c r="C34" s="34" t="inlineStr">
        <is>
          <t>162</t>
        </is>
      </c>
      <c r="D34" s="35" t="inlineStr">
        <is>
          <t>LAVATORY</t>
        </is>
      </c>
      <c r="E34" s="36" t="inlineStr">
        <is>
          <t>Closed</t>
        </is>
      </c>
      <c r="F34" s="36" t="inlineStr">
        <is>
          <t>Normal</t>
        </is>
      </c>
      <c r="G34" s="35" t="inlineStr">
        <is>
          <t>CAB</t>
        </is>
      </c>
      <c r="H34" s="37" t="inlineStr">
        <is>
          <t>Requested</t>
        </is>
      </c>
      <c r="I34" s="38" t="inlineStr">
        <is>
          <t>P/S 4509043</t>
        </is>
      </c>
      <c r="J34" s="36" t="inlineStr">
        <is>
          <t>N/A</t>
        </is>
      </c>
      <c r="K34" s="36" t="inlineStr">
        <is>
          <t>JOINT</t>
        </is>
      </c>
      <c r="L34" s="39" t="n">
        <v>46223</v>
      </c>
      <c r="M34" s="40" t="n">
        <v>46223</v>
      </c>
      <c r="N34" s="41" t="n">
        <v>0.4</v>
      </c>
      <c r="O34" s="42" t="inlineStr">
        <is>
          <t>21-23</t>
        </is>
      </c>
      <c r="P34" s="41" t="n">
        <v>2</v>
      </c>
      <c r="Q34" s="41" t="n">
        <v>1</v>
      </c>
    </row>
    <row r="35">
      <c r="A35" s="32" t="inlineStr">
        <is>
          <t>25-10-00-00-SVA</t>
        </is>
      </c>
      <c r="B35" s="33" t="inlineStr">
        <is>
          <t>25-10-00-00-SVA (00) / COCKPIT CHECK</t>
        </is>
      </c>
      <c r="C35" s="34" t="inlineStr">
        <is>
          <t>168</t>
        </is>
      </c>
      <c r="D35" s="35" t="inlineStr">
        <is>
          <t>FLIGHT DECK</t>
        </is>
      </c>
      <c r="E35" s="36" t="inlineStr">
        <is>
          <t>Open</t>
        </is>
      </c>
      <c r="F35" s="36" t="inlineStr">
        <is>
          <t>Normal</t>
        </is>
      </c>
      <c r="G35" s="35" t="inlineStr">
        <is>
          <t>CAB</t>
        </is>
      </c>
      <c r="H35" s="37" t="n"/>
      <c r="I35" s="38" t="inlineStr">
        <is>
          <t>CAB ONLY / TO DO</t>
        </is>
      </c>
      <c r="J35" s="36" t="inlineStr">
        <is>
          <t>N/A</t>
        </is>
      </c>
      <c r="K35" s="36" t="inlineStr">
        <is>
          <t>FWD</t>
        </is>
      </c>
      <c r="L35" s="39" t="n"/>
      <c r="M35" s="40" t="n"/>
      <c r="N35" s="41" t="n">
        <v>4.3</v>
      </c>
      <c r="O35" s="42" t="inlineStr">
        <is>
          <t>25-10</t>
        </is>
      </c>
      <c r="P35" s="41" t="n">
        <v>38</v>
      </c>
      <c r="Q35" s="41" t="n">
        <v>217.6</v>
      </c>
    </row>
    <row r="36">
      <c r="A36" s="32" t="inlineStr">
        <is>
          <t>25-20-00-00-SVA</t>
        </is>
      </c>
      <c r="B36" s="33" t="inlineStr">
        <is>
          <t>25-20-00-00-SVA (01) / GENERAL CABIN DEEP INSP</t>
        </is>
      </c>
      <c r="C36" s="34" t="inlineStr">
        <is>
          <t>169</t>
        </is>
      </c>
      <c r="D36" s="35" t="inlineStr">
        <is>
          <t>GENERAL CABIN</t>
        </is>
      </c>
      <c r="E36" s="36" t="inlineStr">
        <is>
          <t>Open</t>
        </is>
      </c>
      <c r="F36" s="36" t="inlineStr">
        <is>
          <t>Normal</t>
        </is>
      </c>
      <c r="G36" s="35" t="inlineStr">
        <is>
          <t>JOINT</t>
        </is>
      </c>
      <c r="H36" s="37" t="inlineStr">
        <is>
          <t>Requested</t>
        </is>
      </c>
      <c r="I36" s="38" t="inlineStr">
        <is>
          <t>CAB + INSP / TO DO</t>
        </is>
      </c>
      <c r="J36" s="36" t="inlineStr">
        <is>
          <t>N/A</t>
        </is>
      </c>
      <c r="K36" s="36" t="inlineStr">
        <is>
          <t>JOINT</t>
        </is>
      </c>
      <c r="L36" s="39" t="n"/>
      <c r="M36" s="40" t="n"/>
      <c r="N36" s="41" t="n">
        <v>5.8</v>
      </c>
      <c r="O36" s="42" t="inlineStr">
        <is>
          <t>25-10</t>
        </is>
      </c>
      <c r="P36" s="41" t="n">
        <v>26.5</v>
      </c>
      <c r="Q36" s="41" t="n">
        <v>236.9</v>
      </c>
    </row>
    <row r="37">
      <c r="A37" s="32" t="inlineStr">
        <is>
          <t>25-21-00-00-SVA</t>
        </is>
      </c>
      <c r="B37" s="33" t="inlineStr">
        <is>
          <t>25-21-00-00-SVA (01) / B/C SEAT DEEP INSP</t>
        </is>
      </c>
      <c r="C37" s="34" t="inlineStr">
        <is>
          <t>170</t>
        </is>
      </c>
      <c r="D37" s="35" t="inlineStr">
        <is>
          <t>PAX SEAT</t>
        </is>
      </c>
      <c r="E37" s="36" t="inlineStr">
        <is>
          <t>Open</t>
        </is>
      </c>
      <c r="F37" s="36" t="inlineStr">
        <is>
          <t>Normal</t>
        </is>
      </c>
      <c r="G37" s="35" t="inlineStr">
        <is>
          <t>SEAT</t>
        </is>
      </c>
      <c r="H37" s="37" t="n"/>
      <c r="I37" s="38" t="inlineStr">
        <is>
          <t>SEAT SHOP</t>
        </is>
      </c>
      <c r="J37" s="36" t="inlineStr">
        <is>
          <t>N/A</t>
        </is>
      </c>
      <c r="K37" s="36" t="inlineStr">
        <is>
          <t>JOINT</t>
        </is>
      </c>
      <c r="L37" s="39" t="n"/>
      <c r="M37" s="40" t="n"/>
      <c r="N37" s="41" t="n">
        <v>2.3</v>
      </c>
      <c r="O37" s="42" t="inlineStr">
        <is>
          <t>25-10</t>
        </is>
      </c>
      <c r="P37" s="41" t="n">
        <v>7.5</v>
      </c>
      <c r="Q37" s="41" t="n">
        <v>213.7</v>
      </c>
    </row>
    <row r="38">
      <c r="A38" s="32" t="inlineStr">
        <is>
          <t>25-21-01-00-SVA</t>
        </is>
      </c>
      <c r="B38" s="33" t="inlineStr">
        <is>
          <t>25-21-01-00-SVA (01) / G/C SEAT DEEP INSP</t>
        </is>
      </c>
      <c r="C38" s="34" t="inlineStr">
        <is>
          <t>171</t>
        </is>
      </c>
      <c r="D38" s="35" t="inlineStr">
        <is>
          <t>PAX SEAT</t>
        </is>
      </c>
      <c r="E38" s="36" t="inlineStr">
        <is>
          <t>Open</t>
        </is>
      </c>
      <c r="F38" s="36" t="inlineStr">
        <is>
          <t>Normal</t>
        </is>
      </c>
      <c r="G38" s="35" t="inlineStr">
        <is>
          <t>SEAT</t>
        </is>
      </c>
      <c r="H38" s="37" t="n"/>
      <c r="I38" s="38" t="inlineStr">
        <is>
          <t>STEP 8 (CAB POOL SPLTY) / TO DO</t>
        </is>
      </c>
      <c r="J38" s="36" t="inlineStr">
        <is>
          <t>N/A</t>
        </is>
      </c>
      <c r="K38" s="36" t="inlineStr">
        <is>
          <t>JOINT</t>
        </is>
      </c>
      <c r="L38" s="39" t="n"/>
      <c r="M38" s="40" t="n"/>
      <c r="N38" s="41" t="n">
        <v>1.5</v>
      </c>
      <c r="O38" s="42" t="inlineStr">
        <is>
          <t>25-10</t>
        </is>
      </c>
      <c r="P38" s="41" t="n">
        <v>6</v>
      </c>
      <c r="Q38" s="41" t="n">
        <v>213.9</v>
      </c>
    </row>
    <row r="39">
      <c r="A39" s="32" t="inlineStr">
        <is>
          <t>25-22-00-00-SVA</t>
        </is>
      </c>
      <c r="B39" s="33" t="inlineStr">
        <is>
          <t>25-22-00-00-SVA (01) / CABIN CREW SEAT DEEP INSP</t>
        </is>
      </c>
      <c r="C39" s="34" t="inlineStr">
        <is>
          <t>172</t>
        </is>
      </c>
      <c r="D39" s="35" t="inlineStr">
        <is>
          <t>F/A SEAT</t>
        </is>
      </c>
      <c r="E39" s="36" t="inlineStr">
        <is>
          <t>Open</t>
        </is>
      </c>
      <c r="F39" s="36" t="inlineStr">
        <is>
          <t>Normal</t>
        </is>
      </c>
      <c r="G39" s="35" t="inlineStr">
        <is>
          <t>CAB</t>
        </is>
      </c>
      <c r="H39" s="37" t="n"/>
      <c r="I39" s="38" t="inlineStr">
        <is>
          <t>C/W</t>
        </is>
      </c>
      <c r="J39" s="36" t="inlineStr">
        <is>
          <t>N/A</t>
        </is>
      </c>
      <c r="K39" s="36" t="inlineStr">
        <is>
          <t>JOINT</t>
        </is>
      </c>
      <c r="L39" s="39" t="n"/>
      <c r="M39" s="40" t="n"/>
      <c r="N39" s="41" t="n">
        <v>2.75</v>
      </c>
      <c r="O39" s="42" t="inlineStr">
        <is>
          <t>25-10</t>
        </is>
      </c>
      <c r="P39" s="41" t="n">
        <v>18</v>
      </c>
      <c r="Q39" s="41" t="n">
        <v>229.7</v>
      </c>
    </row>
    <row r="40">
      <c r="A40" s="32" t="inlineStr">
        <is>
          <t>25-26-00-08-0-SVA</t>
        </is>
      </c>
      <c r="B40" s="33" t="inlineStr">
        <is>
          <t>25-26-00-08-0-SVA (05) / PASSNGER COMPT CURTAINS REPLACEMENT</t>
        </is>
      </c>
      <c r="C40" s="34" t="inlineStr">
        <is>
          <t>173</t>
        </is>
      </c>
      <c r="D40" s="35" t="inlineStr">
        <is>
          <t>GENERAL CABIN</t>
        </is>
      </c>
      <c r="E40" s="36" t="inlineStr">
        <is>
          <t>Open</t>
        </is>
      </c>
      <c r="F40" s="36" t="inlineStr">
        <is>
          <t>Normal</t>
        </is>
      </c>
      <c r="G40" s="35" t="inlineStr">
        <is>
          <t>CAB</t>
        </is>
      </c>
      <c r="H40" s="37" t="inlineStr">
        <is>
          <t>Requested</t>
        </is>
      </c>
      <c r="I40" s="38" t="inlineStr">
        <is>
          <t>P/S 4509045 CLOSED</t>
        </is>
      </c>
      <c r="J40" s="36" t="inlineStr">
        <is>
          <t>N/A</t>
        </is>
      </c>
      <c r="K40" s="36" t="inlineStr">
        <is>
          <t>JOINT</t>
        </is>
      </c>
      <c r="L40" s="39" t="n">
        <v>46222</v>
      </c>
      <c r="M40" s="40" t="n"/>
      <c r="N40" s="41" t="n">
        <v>4</v>
      </c>
      <c r="O40" s="42" t="inlineStr">
        <is>
          <t>25-26</t>
        </is>
      </c>
      <c r="P40" s="41" t="n"/>
      <c r="Q40" s="41" t="n"/>
    </row>
    <row r="41">
      <c r="A41" s="32" t="inlineStr">
        <is>
          <t>25-28-00-03-0-SVA-001</t>
        </is>
      </c>
      <c r="B41" s="33" t="inlineStr">
        <is>
          <t>25-28-00-03-0-SVA-001 (07) / HZ-ASA TO ASG AISLE CARPETS R/R</t>
        </is>
      </c>
      <c r="C41" s="34" t="inlineStr">
        <is>
          <t>174</t>
        </is>
      </c>
      <c r="D41" s="35" t="inlineStr">
        <is>
          <t>GENERAL CABIN</t>
        </is>
      </c>
      <c r="E41" s="36" t="inlineStr">
        <is>
          <t>Open</t>
        </is>
      </c>
      <c r="F41" s="36" t="inlineStr">
        <is>
          <t>Normal</t>
        </is>
      </c>
      <c r="G41" s="35" t="inlineStr">
        <is>
          <t>CAB</t>
        </is>
      </c>
      <c r="H41" s="37" t="inlineStr">
        <is>
          <t>Requested</t>
        </is>
      </c>
      <c r="I41" s="38" t="inlineStr">
        <is>
          <t>P/S 4509318 CLOSED</t>
        </is>
      </c>
      <c r="J41" s="36" t="inlineStr">
        <is>
          <t>N/A</t>
        </is>
      </c>
      <c r="K41" s="36" t="inlineStr">
        <is>
          <t>JOINT</t>
        </is>
      </c>
      <c r="L41" s="39" t="n">
        <v>46222</v>
      </c>
      <c r="M41" s="40" t="n"/>
      <c r="N41" s="41" t="n">
        <v>4</v>
      </c>
      <c r="O41" s="42" t="inlineStr">
        <is>
          <t>25-28</t>
        </is>
      </c>
      <c r="P41" s="41" t="n"/>
      <c r="Q41" s="41" t="n"/>
    </row>
    <row r="42">
      <c r="A42" s="32" t="inlineStr">
        <is>
          <t>25-30-00-03-0-SVA</t>
        </is>
      </c>
      <c r="B42" s="33" t="inlineStr">
        <is>
          <t>25-30-00-03-0-SVA (02) / GALLEY CTL PANELS ELECTRICAL INSP</t>
        </is>
      </c>
      <c r="C42" s="34" t="inlineStr">
        <is>
          <t>175</t>
        </is>
      </c>
      <c r="D42" s="35" t="inlineStr">
        <is>
          <t>GALLEY</t>
        </is>
      </c>
      <c r="E42" s="36" t="inlineStr">
        <is>
          <t>Open</t>
        </is>
      </c>
      <c r="F42" s="36" t="inlineStr">
        <is>
          <t>Normal</t>
        </is>
      </c>
      <c r="G42" s="35" t="inlineStr">
        <is>
          <t>AV</t>
        </is>
      </c>
      <c r="H42" s="37" t="n"/>
      <c r="I42" s="38" t="inlineStr">
        <is>
          <t>AV</t>
        </is>
      </c>
      <c r="J42" s="36" t="inlineStr">
        <is>
          <t>N/A</t>
        </is>
      </c>
      <c r="K42" s="36" t="inlineStr">
        <is>
          <t>JOINT</t>
        </is>
      </c>
      <c r="L42" s="39" t="n"/>
      <c r="M42" s="40" t="n"/>
      <c r="N42" s="41" t="n">
        <v>2</v>
      </c>
      <c r="O42" s="42" t="inlineStr">
        <is>
          <t>25-30</t>
        </is>
      </c>
      <c r="P42" s="41" t="n"/>
      <c r="Q42" s="41" t="n"/>
    </row>
    <row r="43">
      <c r="A43" s="32" t="inlineStr">
        <is>
          <t>25-30-00-13-0-SVA</t>
        </is>
      </c>
      <c r="B43" s="33" t="inlineStr">
        <is>
          <t>25-30-00-13-0-SVA (02) / GALLY &amp; WATER AUTO DRAIN VALVES OPC</t>
        </is>
      </c>
      <c r="C43" s="34" t="inlineStr">
        <is>
          <t>176</t>
        </is>
      </c>
      <c r="D43" s="35" t="inlineStr">
        <is>
          <t>GALLEY</t>
        </is>
      </c>
      <c r="E43" s="36" t="inlineStr">
        <is>
          <t>Open</t>
        </is>
      </c>
      <c r="F43" s="36" t="inlineStr">
        <is>
          <t>Normal</t>
        </is>
      </c>
      <c r="G43" s="35" t="inlineStr">
        <is>
          <t>CAB</t>
        </is>
      </c>
      <c r="H43" s="37" t="n"/>
      <c r="I43" s="38" t="inlineStr">
        <is>
          <t>CAB ONLY / TO DO</t>
        </is>
      </c>
      <c r="J43" s="36" t="inlineStr">
        <is>
          <t>N/A</t>
        </is>
      </c>
      <c r="K43" s="36" t="inlineStr">
        <is>
          <t>JOINT</t>
        </is>
      </c>
      <c r="L43" s="39" t="n"/>
      <c r="M43" s="40" t="n"/>
      <c r="N43" s="41" t="n">
        <v>0.5</v>
      </c>
      <c r="O43" s="42" t="inlineStr">
        <is>
          <t>25-30</t>
        </is>
      </c>
      <c r="P43" s="41" t="n"/>
      <c r="Q43" s="41" t="n"/>
    </row>
    <row r="44">
      <c r="A44" s="32" t="inlineStr">
        <is>
          <t>25-32-00-00-SVA</t>
        </is>
      </c>
      <c r="B44" s="33" t="inlineStr">
        <is>
          <t>25-32-00-00-SVA (01) / GALLEY CHECK</t>
        </is>
      </c>
      <c r="C44" s="34" t="inlineStr">
        <is>
          <t>177</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6.9</v>
      </c>
      <c r="O44" s="42" t="inlineStr">
        <is>
          <t>25-10</t>
        </is>
      </c>
      <c r="P44" s="41" t="n">
        <v>28.5</v>
      </c>
      <c r="Q44" s="41" t="n">
        <v>265.6</v>
      </c>
    </row>
    <row r="45">
      <c r="A45" s="32" t="inlineStr">
        <is>
          <t>25-40-00-00-SVA</t>
        </is>
      </c>
      <c r="B45" s="33" t="inlineStr">
        <is>
          <t>25-40-00-00-SVA (01) / LAV CHECK</t>
        </is>
      </c>
      <c r="C45" s="34" t="inlineStr">
        <is>
          <t>178</t>
        </is>
      </c>
      <c r="D45" s="35" t="inlineStr">
        <is>
          <t>LAVATORY</t>
        </is>
      </c>
      <c r="E45" s="36" t="inlineStr">
        <is>
          <t>Open</t>
        </is>
      </c>
      <c r="F45" s="36" t="inlineStr">
        <is>
          <t>Normal</t>
        </is>
      </c>
      <c r="G45" s="35" t="inlineStr">
        <is>
          <t>CAB</t>
        </is>
      </c>
      <c r="H45" s="37" t="n"/>
      <c r="I45" s="38" t="inlineStr">
        <is>
          <t>CAB ONLY / TO DO</t>
        </is>
      </c>
      <c r="J45" s="36" t="inlineStr">
        <is>
          <t>N/A</t>
        </is>
      </c>
      <c r="K45" s="36" t="inlineStr">
        <is>
          <t>JOINT</t>
        </is>
      </c>
      <c r="L45" s="39" t="n"/>
      <c r="M45" s="40" t="n"/>
      <c r="N45" s="41" t="n">
        <v>7.4</v>
      </c>
      <c r="O45" s="42" t="inlineStr">
        <is>
          <t>25-10</t>
        </is>
      </c>
      <c r="P45" s="41" t="n">
        <v>3.5</v>
      </c>
      <c r="Q45" s="41" t="n">
        <v>206.4</v>
      </c>
    </row>
    <row r="46">
      <c r="A46" s="32" t="inlineStr">
        <is>
          <t>25-60-00-03-0-SVA</t>
        </is>
      </c>
      <c r="B46" s="33" t="inlineStr">
        <is>
          <t>25-60-00-03-0-SVA (01) / EMERGENCY EQUIPMENT IN C/A SEAT STOWAGE INSPECTION</t>
        </is>
      </c>
      <c r="C46" s="34" t="inlineStr">
        <is>
          <t>179</t>
        </is>
      </c>
      <c r="D46" s="35" t="inlineStr">
        <is>
          <t>F/A SEAT</t>
        </is>
      </c>
      <c r="E46" s="36" t="inlineStr">
        <is>
          <t>Closed</t>
        </is>
      </c>
      <c r="F46" s="36" t="inlineStr">
        <is>
          <t>Normal</t>
        </is>
      </c>
      <c r="G46" s="35" t="inlineStr">
        <is>
          <t>INSP</t>
        </is>
      </c>
      <c r="H46" s="37" t="n"/>
      <c r="I46" s="38" t="inlineStr">
        <is>
          <t xml:space="preserve">C/W </t>
        </is>
      </c>
      <c r="J46" s="36" t="inlineStr">
        <is>
          <t>N/A</t>
        </is>
      </c>
      <c r="K46" s="36" t="inlineStr">
        <is>
          <t>JOINT</t>
        </is>
      </c>
      <c r="L46" s="39" t="n">
        <v>46223</v>
      </c>
      <c r="M46" s="40" t="n">
        <v>46223</v>
      </c>
      <c r="N46" s="41" t="n">
        <v>2</v>
      </c>
      <c r="O46" s="42" t="inlineStr">
        <is>
          <t>25-60</t>
        </is>
      </c>
      <c r="P46" s="41" t="n">
        <v>1</v>
      </c>
      <c r="Q46" s="41" t="n">
        <v>1</v>
      </c>
    </row>
    <row r="47">
      <c r="A47" s="32" t="inlineStr">
        <is>
          <t>25-65-00-01-0-SVA</t>
        </is>
      </c>
      <c r="B47" s="33" t="inlineStr">
        <is>
          <t>25-65-00-01-0-SVA (02) / EMERGENCY EQUIP VALIDITY INSP</t>
        </is>
      </c>
      <c r="C47" s="34" t="inlineStr">
        <is>
          <t>180</t>
        </is>
      </c>
      <c r="D47" s="35" t="inlineStr">
        <is>
          <t>GENERAL CABIN</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46224</v>
      </c>
      <c r="M47" s="40" t="n">
        <v>46224</v>
      </c>
      <c r="N47" s="41" t="n">
        <v>2</v>
      </c>
      <c r="O47" s="42" t="inlineStr">
        <is>
          <t>25-65</t>
        </is>
      </c>
      <c r="P47" s="41" t="n">
        <v>1</v>
      </c>
      <c r="Q47" s="41" t="n">
        <v>1</v>
      </c>
    </row>
    <row r="48">
      <c r="A48" s="32" t="inlineStr">
        <is>
          <t>25-65-00-01-0-SVA-001</t>
        </is>
      </c>
      <c r="B48" s="33" t="inlineStr">
        <is>
          <t>25-65-00-01-0-SVA-001 (02) / FIRST AID MEDICAL SURVL KIT CHECK</t>
        </is>
      </c>
      <c r="C48" s="34" t="inlineStr">
        <is>
          <t>181</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1</v>
      </c>
      <c r="O48" s="42" t="inlineStr">
        <is>
          <t>25-65</t>
        </is>
      </c>
      <c r="P48" s="41" t="n">
        <v>1</v>
      </c>
      <c r="Q48" s="41" t="n">
        <v>1</v>
      </c>
    </row>
    <row r="49">
      <c r="A49" s="32" t="inlineStr">
        <is>
          <t>253400-01-1.</t>
        </is>
      </c>
      <c r="B49" s="33" t="inlineStr">
        <is>
          <t>253400-01-1. (03) / GALLEY COOLING CLEANING</t>
        </is>
      </c>
      <c r="C49" s="34" t="inlineStr">
        <is>
          <t>182</t>
        </is>
      </c>
      <c r="D49" s="35" t="inlineStr">
        <is>
          <t>GALLEY</t>
        </is>
      </c>
      <c r="E49" s="36" t="inlineStr">
        <is>
          <t>Open</t>
        </is>
      </c>
      <c r="F49" s="36" t="inlineStr">
        <is>
          <t>Normal</t>
        </is>
      </c>
      <c r="G49" s="35" t="inlineStr">
        <is>
          <t>CAB</t>
        </is>
      </c>
      <c r="H49" s="37" t="inlineStr">
        <is>
          <t>Requested</t>
        </is>
      </c>
      <c r="I49" s="38" t="inlineStr">
        <is>
          <t>CAB / TO DO</t>
        </is>
      </c>
      <c r="J49" s="36" t="inlineStr">
        <is>
          <t>N/A</t>
        </is>
      </c>
      <c r="K49" s="36" t="inlineStr">
        <is>
          <t>JOINT</t>
        </is>
      </c>
      <c r="L49" s="39" t="n"/>
      <c r="M49" s="40" t="n"/>
      <c r="N49" s="41" t="n">
        <v>0.3</v>
      </c>
      <c r="O49" s="42" t="inlineStr">
        <is>
          <t>20-00</t>
        </is>
      </c>
      <c r="P49" s="41" t="n"/>
      <c r="Q49" s="41" t="n"/>
    </row>
    <row r="50">
      <c r="A50" s="32" t="inlineStr">
        <is>
          <t>253400-02-1</t>
        </is>
      </c>
      <c r="B50" s="33" t="inlineStr">
        <is>
          <t>253400-02-1 (3) / AIRCHILLER CONDENSER AIR FLTR CLEANING</t>
        </is>
      </c>
      <c r="C50" s="34" t="inlineStr">
        <is>
          <t>183</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0.4</v>
      </c>
      <c r="O50" s="42" t="inlineStr">
        <is>
          <t>25-34</t>
        </is>
      </c>
      <c r="P50" s="41" t="n"/>
      <c r="Q50" s="41" t="n"/>
    </row>
    <row r="51">
      <c r="A51" s="32" t="inlineStr">
        <is>
          <t>256241-05-1</t>
        </is>
      </c>
      <c r="B51" s="33" t="inlineStr">
        <is>
          <t>256241-05-1 (5) / CABN DOORS GIRT BAR FITT STOP CLEAN</t>
        </is>
      </c>
      <c r="C51" s="34" t="inlineStr">
        <is>
          <t>186</t>
        </is>
      </c>
      <c r="D51" s="35" t="inlineStr">
        <is>
          <t>PAX DOORS</t>
        </is>
      </c>
      <c r="E51" s="36" t="inlineStr">
        <is>
          <t>Closed</t>
        </is>
      </c>
      <c r="F51" s="36" t="inlineStr">
        <is>
          <t>Normal</t>
        </is>
      </c>
      <c r="G51" s="35" t="inlineStr">
        <is>
          <t>CAB</t>
        </is>
      </c>
      <c r="H51" s="37" t="n"/>
      <c r="I51" s="38" t="inlineStr">
        <is>
          <t>CAB</t>
        </is>
      </c>
      <c r="J51" s="36" t="inlineStr">
        <is>
          <t>N/A</t>
        </is>
      </c>
      <c r="K51" s="36" t="inlineStr">
        <is>
          <t>JOINT</t>
        </is>
      </c>
      <c r="L51" s="39" t="n">
        <v>46229</v>
      </c>
      <c r="M51" s="40" t="n">
        <v>46229</v>
      </c>
      <c r="N51" s="41" t="n">
        <v>0.9</v>
      </c>
      <c r="O51" s="42" t="inlineStr">
        <is>
          <t>25-62</t>
        </is>
      </c>
      <c r="P51" s="41" t="n">
        <v>10</v>
      </c>
      <c r="Q51" s="41" t="n">
        <v>5.3</v>
      </c>
    </row>
    <row r="52">
      <c r="A52" s="32" t="inlineStr">
        <is>
          <t>261700-06-1</t>
        </is>
      </c>
      <c r="B52" s="33" t="inlineStr">
        <is>
          <t>261700-06-1 (0) / LAVATORY SMOKE DETECTION</t>
        </is>
      </c>
      <c r="C52" s="34" t="inlineStr">
        <is>
          <t>189</t>
        </is>
      </c>
      <c r="D52" s="35" t="inlineStr">
        <is>
          <t>LAVATORY</t>
        </is>
      </c>
      <c r="E52" s="36" t="inlineStr">
        <is>
          <t>Closed</t>
        </is>
      </c>
      <c r="F52" s="36" t="inlineStr">
        <is>
          <t>Normal</t>
        </is>
      </c>
      <c r="G52" s="35" t="inlineStr">
        <is>
          <t>AV</t>
        </is>
      </c>
      <c r="H52" s="37" t="n"/>
      <c r="I52" s="38" t="inlineStr">
        <is>
          <t>AV</t>
        </is>
      </c>
      <c r="J52" s="36" t="inlineStr">
        <is>
          <t>N/A</t>
        </is>
      </c>
      <c r="K52" s="36" t="inlineStr">
        <is>
          <t>JOINT</t>
        </is>
      </c>
      <c r="L52" s="39" t="n">
        <v>46231</v>
      </c>
      <c r="M52" s="40" t="n">
        <v>46231</v>
      </c>
      <c r="N52" s="41" t="n">
        <v>0.5</v>
      </c>
      <c r="O52" s="42" t="inlineStr">
        <is>
          <t>24</t>
        </is>
      </c>
      <c r="P52" s="41" t="n">
        <v>6</v>
      </c>
      <c r="Q52" s="41" t="n">
        <v>1</v>
      </c>
    </row>
    <row r="53">
      <c r="A53" s="32" t="inlineStr">
        <is>
          <t>31-63-00-01-SVA-001</t>
        </is>
      </c>
      <c r="B53" s="33" t="inlineStr">
        <is>
          <t>31-63-00-01-SVA-001 (04) / COCKPIT AND AVIONICS COMPARTMENT AREA AND EQUIPMENT`S CLEANING.</t>
        </is>
      </c>
      <c r="C53" s="34" t="inlineStr">
        <is>
          <t>207</t>
        </is>
      </c>
      <c r="D53" s="35" t="inlineStr">
        <is>
          <t>FLIGHT DECK</t>
        </is>
      </c>
      <c r="E53" s="36" t="inlineStr">
        <is>
          <t>Open</t>
        </is>
      </c>
      <c r="F53" s="36" t="inlineStr">
        <is>
          <t>Normal</t>
        </is>
      </c>
      <c r="G53" s="35" t="inlineStr">
        <is>
          <t>AV</t>
        </is>
      </c>
      <c r="H53" s="37" t="inlineStr">
        <is>
          <t>Requested</t>
        </is>
      </c>
      <c r="I53" s="38" t="inlineStr">
        <is>
          <t>AV</t>
        </is>
      </c>
      <c r="J53" s="36" t="inlineStr">
        <is>
          <t>N/A</t>
        </is>
      </c>
      <c r="K53" s="36" t="inlineStr">
        <is>
          <t>FWD</t>
        </is>
      </c>
      <c r="L53" s="39" t="n"/>
      <c r="M53" s="40" t="n"/>
      <c r="N53" s="41" t="n">
        <v>2</v>
      </c>
      <c r="O53" s="42" t="inlineStr">
        <is>
          <t>31-63</t>
        </is>
      </c>
      <c r="P53" s="41" t="n"/>
      <c r="Q53" s="41" t="n"/>
    </row>
    <row r="54">
      <c r="A54" s="32" t="inlineStr">
        <is>
          <t>353000-01-1</t>
        </is>
      </c>
      <c r="B54" s="33" t="inlineStr">
        <is>
          <t>353000-01-1 (5) / PORTABLE OXYGEN CYLINDERS OPC</t>
        </is>
      </c>
      <c r="C54" s="34" t="inlineStr">
        <is>
          <t>215</t>
        </is>
      </c>
      <c r="D54" s="35" t="inlineStr">
        <is>
          <t>GENERAL CABIN</t>
        </is>
      </c>
      <c r="E54" s="36" t="inlineStr">
        <is>
          <t>Closed</t>
        </is>
      </c>
      <c r="F54" s="36" t="inlineStr">
        <is>
          <t>Normal</t>
        </is>
      </c>
      <c r="G54" s="35" t="inlineStr">
        <is>
          <t>JOINT</t>
        </is>
      </c>
      <c r="H54" s="37" t="n"/>
      <c r="I54" s="38" t="inlineStr">
        <is>
          <t>CAB + INSP</t>
        </is>
      </c>
      <c r="J54" s="36" t="inlineStr">
        <is>
          <t>N/A</t>
        </is>
      </c>
      <c r="K54" s="36" t="inlineStr">
        <is>
          <t>JOINT</t>
        </is>
      </c>
      <c r="L54" s="39" t="n">
        <v>46224</v>
      </c>
      <c r="M54" s="40" t="n">
        <v>46224</v>
      </c>
      <c r="N54" s="41" t="n">
        <v>0.4</v>
      </c>
      <c r="O54" s="42" t="inlineStr">
        <is>
          <t>35-32</t>
        </is>
      </c>
      <c r="P54" s="41" t="n">
        <v>6.5</v>
      </c>
      <c r="Q54" s="41" t="n">
        <v>5.2</v>
      </c>
    </row>
    <row r="55">
      <c r="A55" s="32" t="inlineStr">
        <is>
          <t>353000-05-1</t>
        </is>
      </c>
      <c r="B55" s="33" t="inlineStr">
        <is>
          <t>353000-05-1 (5) / CABIN PBE INSP</t>
        </is>
      </c>
      <c r="C55" s="34" t="inlineStr">
        <is>
          <t>216</t>
        </is>
      </c>
      <c r="D55" s="35" t="inlineStr">
        <is>
          <t>GENERAL CABIN</t>
        </is>
      </c>
      <c r="E55" s="36" t="inlineStr">
        <is>
          <t>Closed</t>
        </is>
      </c>
      <c r="F55" s="36" t="inlineStr">
        <is>
          <t>Normal</t>
        </is>
      </c>
      <c r="G55" s="35" t="inlineStr">
        <is>
          <t>JOINT</t>
        </is>
      </c>
      <c r="H55" s="37" t="n"/>
      <c r="I55" s="38" t="inlineStr">
        <is>
          <t xml:space="preserve">C/W </t>
        </is>
      </c>
      <c r="J55" s="36" t="inlineStr">
        <is>
          <t>N/A</t>
        </is>
      </c>
      <c r="K55" s="36" t="inlineStr">
        <is>
          <t>JOINT</t>
        </is>
      </c>
      <c r="L55" s="39" t="n">
        <v>46222</v>
      </c>
      <c r="M55" s="40" t="n">
        <v>46222</v>
      </c>
      <c r="N55" s="41" t="n">
        <v>0.4</v>
      </c>
      <c r="O55" s="42" t="inlineStr">
        <is>
          <t>35-30</t>
        </is>
      </c>
      <c r="P55" s="41" t="n">
        <v>2.8</v>
      </c>
      <c r="Q55" s="41" t="n">
        <v>3.8</v>
      </c>
    </row>
    <row r="56">
      <c r="A56" s="32" t="inlineStr">
        <is>
          <t>383200-01-1</t>
        </is>
      </c>
      <c r="B56" s="33" t="inlineStr">
        <is>
          <t>383200-01-1 (3) / WASHBASIN FILTER ELEMENT CLEANING</t>
        </is>
      </c>
      <c r="C56" s="34" t="inlineStr">
        <is>
          <t>219</t>
        </is>
      </c>
      <c r="D56" s="35" t="inlineStr">
        <is>
          <t>LAVATORY</t>
        </is>
      </c>
      <c r="E56" s="36" t="inlineStr">
        <is>
          <t>Open</t>
        </is>
      </c>
      <c r="F56" s="36" t="inlineStr">
        <is>
          <t>Normal</t>
        </is>
      </c>
      <c r="G56" s="35" t="inlineStr">
        <is>
          <t>CAB</t>
        </is>
      </c>
      <c r="H56" s="37" t="inlineStr">
        <is>
          <t>Requested</t>
        </is>
      </c>
      <c r="I56" s="38" t="inlineStr">
        <is>
          <t>CAB</t>
        </is>
      </c>
      <c r="J56" s="36" t="inlineStr">
        <is>
          <t>N/A</t>
        </is>
      </c>
      <c r="K56" s="36" t="inlineStr">
        <is>
          <t>JOINT</t>
        </is>
      </c>
      <c r="L56" s="39" t="n"/>
      <c r="M56" s="40" t="n"/>
      <c r="N56" s="41" t="n">
        <v>0.2</v>
      </c>
      <c r="O56" s="42" t="inlineStr">
        <is>
          <t>38-32</t>
        </is>
      </c>
      <c r="P56" s="41" t="n"/>
      <c r="Q56" s="41" t="n"/>
    </row>
    <row r="57">
      <c r="A57" s="32" t="inlineStr">
        <is>
          <t>525111-06-2</t>
        </is>
      </c>
      <c r="B57" s="33" t="inlineStr">
        <is>
          <t>525111-06-2 (2) / FUNCTIONAL CHECK OF THE CORRECT ADJUSTMENT OF THE COCKPIT DOOR, ELECTRICAL RELEASE STRIKES AND LATCH MECHANISM</t>
        </is>
      </c>
      <c r="C57" s="34" t="inlineStr">
        <is>
          <t>223</t>
        </is>
      </c>
      <c r="D57" s="35" t="inlineStr">
        <is>
          <t>FLIGHT DECK</t>
        </is>
      </c>
      <c r="E57" s="36" t="inlineStr">
        <is>
          <t>Open</t>
        </is>
      </c>
      <c r="F57" s="36" t="inlineStr">
        <is>
          <t>Normal</t>
        </is>
      </c>
      <c r="G57" s="35" t="inlineStr">
        <is>
          <t>JOINT</t>
        </is>
      </c>
      <c r="H57" s="37" t="n"/>
      <c r="I57" s="38" t="inlineStr">
        <is>
          <t>CAB + INSP</t>
        </is>
      </c>
      <c r="J57" s="36" t="inlineStr">
        <is>
          <t>N/A</t>
        </is>
      </c>
      <c r="K57" s="36" t="inlineStr">
        <is>
          <t>FWD</t>
        </is>
      </c>
      <c r="L57" s="39" t="n"/>
      <c r="M57" s="40" t="n"/>
      <c r="N57" s="41" t="n">
        <v>0.9</v>
      </c>
      <c r="O57" s="42" t="inlineStr">
        <is>
          <t>52-51</t>
        </is>
      </c>
      <c r="P57" s="41" t="n">
        <v>7.8</v>
      </c>
      <c r="Q57" s="41" t="n">
        <v>237.6</v>
      </c>
    </row>
    <row r="58">
      <c r="A58" s="32" t="inlineStr">
        <is>
          <t>527100-02-1</t>
        </is>
      </c>
      <c r="B58" s="33" t="inlineStr">
        <is>
          <t>527100-02-1 (4) / MAIN ENTRY DR WARNING PRX SW ACTUAT</t>
        </is>
      </c>
      <c r="C58" s="34" t="inlineStr">
        <is>
          <t>224</t>
        </is>
      </c>
      <c r="D58" s="35" t="inlineStr">
        <is>
          <t>PAX DOORS</t>
        </is>
      </c>
      <c r="E58" s="36" t="inlineStr">
        <is>
          <t>Open</t>
        </is>
      </c>
      <c r="F58" s="36" t="inlineStr">
        <is>
          <t>Normal</t>
        </is>
      </c>
      <c r="G58" s="35" t="inlineStr">
        <is>
          <t>CAB</t>
        </is>
      </c>
      <c r="H58" s="37" t="inlineStr">
        <is>
          <t>Requested</t>
        </is>
      </c>
      <c r="I58" s="38" t="inlineStr">
        <is>
          <t>CAB</t>
        </is>
      </c>
      <c r="J58" s="36" t="inlineStr">
        <is>
          <t>N/A</t>
        </is>
      </c>
      <c r="K58" s="36" t="inlineStr">
        <is>
          <t>JOINT</t>
        </is>
      </c>
      <c r="L58" s="39" t="n"/>
      <c r="M58" s="40" t="n"/>
      <c r="N58" s="41" t="n">
        <v>0.3</v>
      </c>
      <c r="O58" s="42" t="inlineStr">
        <is>
          <t>12-22</t>
        </is>
      </c>
      <c r="P58" s="41" t="n">
        <v>2</v>
      </c>
      <c r="Q58" s="41" t="n">
        <v>26.1</v>
      </c>
    </row>
    <row r="59">
      <c r="A59" s="32" t="inlineStr">
        <is>
          <t>561000-01-1-SVA</t>
        </is>
      </c>
      <c r="B59" s="33" t="inlineStr">
        <is>
          <t>561000-01-1-SVA (04) / COCKPIT WINDOWS INSPECTION</t>
        </is>
      </c>
      <c r="C59" s="34" t="inlineStr">
        <is>
          <t>227</t>
        </is>
      </c>
      <c r="D59" s="35" t="inlineStr">
        <is>
          <t>FLIGHT DECK</t>
        </is>
      </c>
      <c r="E59" s="36" t="inlineStr">
        <is>
          <t>Closed</t>
        </is>
      </c>
      <c r="F59" s="36" t="inlineStr">
        <is>
          <t>Normal</t>
        </is>
      </c>
      <c r="G59" s="35" t="inlineStr">
        <is>
          <t>AP</t>
        </is>
      </c>
      <c r="H59" s="37" t="n"/>
      <c r="I59" s="38" t="inlineStr">
        <is>
          <t>AP + INSP (ACCESS)</t>
        </is>
      </c>
      <c r="J59" s="36" t="inlineStr">
        <is>
          <t>N/A</t>
        </is>
      </c>
      <c r="K59" s="36" t="inlineStr">
        <is>
          <t>FWD</t>
        </is>
      </c>
      <c r="L59" s="39" t="n">
        <v>46229</v>
      </c>
      <c r="M59" s="40" t="n">
        <v>46229</v>
      </c>
      <c r="N59" s="41" t="n">
        <v>3.5</v>
      </c>
      <c r="O59" s="42" t="inlineStr">
        <is>
          <t>56-10</t>
        </is>
      </c>
      <c r="P59" s="41" t="n">
        <v>15</v>
      </c>
      <c r="Q59" s="41" t="n">
        <v>134.1</v>
      </c>
    </row>
    <row r="60">
      <c r="A60" s="32" t="inlineStr">
        <is>
          <t>05-00-00-05-SVA</t>
        </is>
      </c>
      <c r="B60" s="33" t="inlineStr">
        <is>
          <t>05-00-00-05-SVA (03) / FINAL PRODUCT QUALITY INSPECTION</t>
        </is>
      </c>
      <c r="C60" s="34" t="inlineStr">
        <is>
          <t>234</t>
        </is>
      </c>
      <c r="D60" s="35" t="inlineStr">
        <is>
          <t>ACFT GENERAL T/C</t>
        </is>
      </c>
      <c r="E60" s="36" t="inlineStr">
        <is>
          <t>Open</t>
        </is>
      </c>
      <c r="F60" s="36" t="inlineStr">
        <is>
          <t>Normal</t>
        </is>
      </c>
      <c r="G60" s="35" t="inlineStr">
        <is>
          <t>INSP</t>
        </is>
      </c>
      <c r="H60" s="37" t="n"/>
      <c r="I60" s="38" t="inlineStr">
        <is>
          <t>SVTI</t>
        </is>
      </c>
      <c r="J60" s="36" t="inlineStr">
        <is>
          <t>N/A</t>
        </is>
      </c>
      <c r="K60" s="36" t="inlineStr">
        <is>
          <t>JOINT</t>
        </is>
      </c>
      <c r="L60" s="39" t="n"/>
      <c r="M60" s="40" t="n"/>
      <c r="N60" s="41" t="n">
        <v>1</v>
      </c>
      <c r="O60" s="42" t="inlineStr">
        <is>
          <t>05-00</t>
        </is>
      </c>
      <c r="P60" s="41" t="n"/>
      <c r="Q60" s="41" t="n"/>
    </row>
    <row r="61">
      <c r="A61" s="32" t="inlineStr">
        <is>
          <t>08-10-00-01-0-A</t>
        </is>
      </c>
      <c r="B61" s="33" t="inlineStr">
        <is>
          <t>08-10-00-01-0-A (02) / WIGHT &amp; BALANCE</t>
        </is>
      </c>
      <c r="C61" s="34" t="inlineStr">
        <is>
          <t>235</t>
        </is>
      </c>
      <c r="D61" s="35" t="inlineStr">
        <is>
          <t>ACFT GENERAL T/C</t>
        </is>
      </c>
      <c r="E61" s="36" t="inlineStr">
        <is>
          <t>Open</t>
        </is>
      </c>
      <c r="F61" s="36" t="inlineStr">
        <is>
          <t>Normal</t>
        </is>
      </c>
      <c r="G61" s="35" t="inlineStr">
        <is>
          <t>AP</t>
        </is>
      </c>
      <c r="H61" s="37" t="n"/>
      <c r="I61" s="38" t="n"/>
      <c r="J61" s="36" t="inlineStr">
        <is>
          <t>N/A</t>
        </is>
      </c>
      <c r="K61" s="36" t="inlineStr">
        <is>
          <t>JOINT</t>
        </is>
      </c>
      <c r="L61" s="39" t="n"/>
      <c r="M61" s="40" t="n"/>
      <c r="N61" s="41" t="n">
        <v>65</v>
      </c>
      <c r="O61" s="42" t="inlineStr">
        <is>
          <t>08-10</t>
        </is>
      </c>
      <c r="P61" s="41" t="n"/>
      <c r="Q61" s="41" t="n"/>
    </row>
    <row r="62">
      <c r="A62" s="32" t="inlineStr">
        <is>
          <t>212100-01-1</t>
        </is>
      </c>
      <c r="B62" s="33" t="inlineStr">
        <is>
          <t>212100-01-1 (05) / COKPT AIR SUPPLY DUCT GRID CLEANING</t>
        </is>
      </c>
      <c r="C62" s="34" t="inlineStr">
        <is>
          <t>241</t>
        </is>
      </c>
      <c r="D62" s="35" t="inlineStr">
        <is>
          <t>FLIGHT DECK</t>
        </is>
      </c>
      <c r="E62" s="36" t="inlineStr">
        <is>
          <t>Closed</t>
        </is>
      </c>
      <c r="F62" s="36" t="inlineStr">
        <is>
          <t>Normal</t>
        </is>
      </c>
      <c r="G62" s="35" t="inlineStr">
        <is>
          <t>AP</t>
        </is>
      </c>
      <c r="H62" s="37" t="n"/>
      <c r="I62" s="38" t="inlineStr">
        <is>
          <t>AP</t>
        </is>
      </c>
      <c r="J62" s="36" t="inlineStr">
        <is>
          <t>N/A</t>
        </is>
      </c>
      <c r="K62" s="36" t="inlineStr">
        <is>
          <t>FWD</t>
        </is>
      </c>
      <c r="L62" s="39" t="n">
        <v>46229</v>
      </c>
      <c r="M62" s="40" t="n">
        <v>46229</v>
      </c>
      <c r="N62" s="41" t="n">
        <v>0.4</v>
      </c>
      <c r="O62" s="42" t="inlineStr">
        <is>
          <t>21-21</t>
        </is>
      </c>
      <c r="P62" s="41" t="n">
        <v>1.5</v>
      </c>
      <c r="Q62" s="41" t="n">
        <v>5.7</v>
      </c>
    </row>
    <row r="63">
      <c r="A63" s="32" t="inlineStr">
        <is>
          <t>23-73-00-01-0-SVA</t>
        </is>
      </c>
      <c r="B63" s="33" t="inlineStr">
        <is>
          <t>23-73-00-01-0-SVA (01) / CABIN SIGNS OPS CHK</t>
        </is>
      </c>
      <c r="C63" s="34" t="inlineStr">
        <is>
          <t>257</t>
        </is>
      </c>
      <c r="D63" s="35" t="inlineStr">
        <is>
          <t>GENERAL CABIN</t>
        </is>
      </c>
      <c r="E63" s="36" t="inlineStr">
        <is>
          <t>Closed</t>
        </is>
      </c>
      <c r="F63" s="36" t="inlineStr">
        <is>
          <t>Normal</t>
        </is>
      </c>
      <c r="G63" s="35" t="inlineStr">
        <is>
          <t>AV</t>
        </is>
      </c>
      <c r="H63" s="37" t="n"/>
      <c r="I63" s="38" t="inlineStr">
        <is>
          <t>AV</t>
        </is>
      </c>
      <c r="J63" s="36" t="inlineStr">
        <is>
          <t>N/A</t>
        </is>
      </c>
      <c r="K63" s="36" t="inlineStr">
        <is>
          <t>JOINT</t>
        </is>
      </c>
      <c r="L63" s="39" t="n">
        <v>46225</v>
      </c>
      <c r="M63" s="40" t="n">
        <v>46225</v>
      </c>
      <c r="N63" s="41" t="n">
        <v>8</v>
      </c>
      <c r="O63" s="42" t="inlineStr">
        <is>
          <t>23-73</t>
        </is>
      </c>
      <c r="P63" s="41" t="n">
        <v>4</v>
      </c>
      <c r="Q63" s="41" t="n">
        <v>2</v>
      </c>
    </row>
    <row r="64">
      <c r="A64" s="32" t="inlineStr">
        <is>
          <t>233300-02-1</t>
        </is>
      </c>
      <c r="B64" s="33" t="inlineStr">
        <is>
          <t>233300-02-1 (4) / PASSENGER ENTERTAINMENT OPC</t>
        </is>
      </c>
      <c r="C64" s="34" t="inlineStr">
        <is>
          <t>258</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0.9</v>
      </c>
      <c r="O64" s="42" t="inlineStr">
        <is>
          <t>23-33</t>
        </is>
      </c>
      <c r="P64" s="41" t="n">
        <v>6</v>
      </c>
      <c r="Q64" s="41" t="n">
        <v>2.1</v>
      </c>
    </row>
    <row r="65">
      <c r="A65" s="32" t="inlineStr">
        <is>
          <t>235100-01-1</t>
        </is>
      </c>
      <c r="B65" s="33" t="inlineStr">
        <is>
          <t>235100-01-1 (02) / CAPT AND F/O AUDIO CTL PANELS OPC</t>
        </is>
      </c>
      <c r="C65" s="34" t="inlineStr">
        <is>
          <t>259</t>
        </is>
      </c>
      <c r="D65" s="35" t="inlineStr">
        <is>
          <t>FLIGHT DECK</t>
        </is>
      </c>
      <c r="E65" s="36" t="inlineStr">
        <is>
          <t>Closed</t>
        </is>
      </c>
      <c r="F65" s="36" t="inlineStr">
        <is>
          <t>Normal</t>
        </is>
      </c>
      <c r="G65" s="35" t="inlineStr">
        <is>
          <t>AV</t>
        </is>
      </c>
      <c r="H65" s="37" t="n"/>
      <c r="I65" s="38" t="inlineStr">
        <is>
          <t>AV</t>
        </is>
      </c>
      <c r="J65" s="36" t="inlineStr">
        <is>
          <t>N/A</t>
        </is>
      </c>
      <c r="K65" s="36" t="inlineStr">
        <is>
          <t>FWD</t>
        </is>
      </c>
      <c r="L65" s="39" t="n">
        <v>46226</v>
      </c>
      <c r="M65" s="40" t="n">
        <v>46226</v>
      </c>
      <c r="N65" s="41" t="n">
        <v>0.2</v>
      </c>
      <c r="O65" s="42" t="inlineStr">
        <is>
          <t>23-51</t>
        </is>
      </c>
      <c r="P65" s="41" t="n">
        <v>4</v>
      </c>
      <c r="Q65" s="41" t="n">
        <v>1</v>
      </c>
    </row>
    <row r="66">
      <c r="A66" s="32" t="inlineStr">
        <is>
          <t>25-11-00-03-0-SVA-001</t>
        </is>
      </c>
      <c r="B66" s="33" t="inlineStr">
        <is>
          <t>25-11-00-03-0-SVA-001 (02) / THIRD OCCUPANT SEAT BOTTOM CUSHION REPLACMENT</t>
        </is>
      </c>
      <c r="C66" s="34" t="inlineStr">
        <is>
          <t>272</t>
        </is>
      </c>
      <c r="D66" s="35" t="inlineStr">
        <is>
          <t>FLIGHT DECK</t>
        </is>
      </c>
      <c r="E66" s="36" t="inlineStr">
        <is>
          <t>Open</t>
        </is>
      </c>
      <c r="F66" s="36" t="inlineStr">
        <is>
          <t>Normal</t>
        </is>
      </c>
      <c r="G66" s="35" t="inlineStr">
        <is>
          <t>CAB</t>
        </is>
      </c>
      <c r="H66" s="37" t="inlineStr">
        <is>
          <t>Requested</t>
        </is>
      </c>
      <c r="I66" s="38" t="inlineStr">
        <is>
          <t>P/S 4509325</t>
        </is>
      </c>
      <c r="J66" s="36" t="inlineStr">
        <is>
          <t>N/A</t>
        </is>
      </c>
      <c r="K66" s="36" t="inlineStr">
        <is>
          <t>FWD</t>
        </is>
      </c>
      <c r="L66" s="39" t="n">
        <v>46222</v>
      </c>
      <c r="M66" s="40" t="n"/>
      <c r="N66" s="41" t="n">
        <v>0.5</v>
      </c>
      <c r="O66" s="42" t="inlineStr">
        <is>
          <t>25-11</t>
        </is>
      </c>
      <c r="P66" s="41" t="n"/>
      <c r="Q66" s="41" t="n"/>
    </row>
    <row r="67">
      <c r="A67" s="32" t="inlineStr">
        <is>
          <t>25-11-00-08-0-SVA</t>
        </is>
      </c>
      <c r="B67" s="33" t="inlineStr">
        <is>
          <t>25-11-00-08-0-SVA (03) / CAPTAIN AND F/O SEATS BOTTOM REPLACMENT</t>
        </is>
      </c>
      <c r="C67" s="34" t="inlineStr">
        <is>
          <t>273</t>
        </is>
      </c>
      <c r="D67" s="35" t="inlineStr">
        <is>
          <t>FLIGHT DECK</t>
        </is>
      </c>
      <c r="E67" s="36" t="inlineStr">
        <is>
          <t>Open</t>
        </is>
      </c>
      <c r="F67" s="36" t="inlineStr">
        <is>
          <t>Normal</t>
        </is>
      </c>
      <c r="G67" s="35" t="inlineStr">
        <is>
          <t>CAB</t>
        </is>
      </c>
      <c r="H67" s="37" t="inlineStr">
        <is>
          <t>Requested</t>
        </is>
      </c>
      <c r="I67" s="38" t="inlineStr">
        <is>
          <t>P/S 4509326</t>
        </is>
      </c>
      <c r="J67" s="36" t="inlineStr">
        <is>
          <t>N/A</t>
        </is>
      </c>
      <c r="K67" s="36" t="inlineStr">
        <is>
          <t>FWD</t>
        </is>
      </c>
      <c r="L67" s="39" t="n">
        <v>46222</v>
      </c>
      <c r="M67" s="40" t="n"/>
      <c r="N67" s="41" t="n">
        <v>1</v>
      </c>
      <c r="O67" s="42" t="inlineStr">
        <is>
          <t>25-11</t>
        </is>
      </c>
      <c r="P67" s="41" t="n"/>
      <c r="Q67" s="41" t="n"/>
    </row>
    <row r="68">
      <c r="A68" s="32" t="inlineStr">
        <is>
          <t>25-11-00-09-0-SVA</t>
        </is>
      </c>
      <c r="B68" s="33" t="inlineStr">
        <is>
          <t>25-11-00-09-0-SVA (04) / CAPTAIN &amp; F/O SEATS COVERS REPLACMENT</t>
        </is>
      </c>
      <c r="C68" s="34" t="inlineStr">
        <is>
          <t>274</t>
        </is>
      </c>
      <c r="D68" s="35" t="inlineStr">
        <is>
          <t>FLIGHT DECK</t>
        </is>
      </c>
      <c r="E68" s="36" t="inlineStr">
        <is>
          <t>Open</t>
        </is>
      </c>
      <c r="F68" s="36" t="inlineStr">
        <is>
          <t>Normal</t>
        </is>
      </c>
      <c r="G68" s="35" t="inlineStr">
        <is>
          <t>CAB</t>
        </is>
      </c>
      <c r="H68" s="37" t="inlineStr">
        <is>
          <t>Requested</t>
        </is>
      </c>
      <c r="I68" s="38" t="inlineStr">
        <is>
          <t>P/S 4509328</t>
        </is>
      </c>
      <c r="J68" s="36" t="inlineStr">
        <is>
          <t>N/A</t>
        </is>
      </c>
      <c r="K68" s="36" t="inlineStr">
        <is>
          <t>FWD</t>
        </is>
      </c>
      <c r="L68" s="39" t="n">
        <v>46222</v>
      </c>
      <c r="M68" s="40" t="n"/>
      <c r="N68" s="41" t="n">
        <v>4</v>
      </c>
      <c r="O68" s="42" t="inlineStr">
        <is>
          <t>25-11</t>
        </is>
      </c>
      <c r="P68" s="41" t="n"/>
      <c r="Q68" s="41" t="n"/>
    </row>
    <row r="69">
      <c r="A69" s="32" t="inlineStr">
        <is>
          <t>25-11-00-17-0-SVA-002</t>
        </is>
      </c>
      <c r="B69" s="33" t="inlineStr">
        <is>
          <t>25-11-00-17-0-SVA-002 (03) / FOURTH OCCUPANT SEAT BOTTOM CUSHION REPLACMENT</t>
        </is>
      </c>
      <c r="C69" s="34" t="inlineStr">
        <is>
          <t>275</t>
        </is>
      </c>
      <c r="D69" s="35" t="inlineStr">
        <is>
          <t>FLIGHT DECK</t>
        </is>
      </c>
      <c r="E69" s="36" t="inlineStr">
        <is>
          <t>Open</t>
        </is>
      </c>
      <c r="F69" s="36" t="inlineStr">
        <is>
          <t>Normal</t>
        </is>
      </c>
      <c r="G69" s="35" t="inlineStr">
        <is>
          <t>CAB</t>
        </is>
      </c>
      <c r="H69" s="37" t="inlineStr">
        <is>
          <t>Requested</t>
        </is>
      </c>
      <c r="I69" s="38" t="inlineStr">
        <is>
          <t>P/S 4509333</t>
        </is>
      </c>
      <c r="J69" s="36" t="inlineStr">
        <is>
          <t>N/A</t>
        </is>
      </c>
      <c r="K69" s="36" t="inlineStr">
        <is>
          <t>FWD</t>
        </is>
      </c>
      <c r="L69" s="39" t="n">
        <v>46222</v>
      </c>
      <c r="M69" s="40" t="n"/>
      <c r="N69" s="41" t="n">
        <v>0.5</v>
      </c>
      <c r="O69" s="42" t="inlineStr">
        <is>
          <t>25-11</t>
        </is>
      </c>
      <c r="P69" s="41" t="n"/>
      <c r="Q69" s="41" t="n"/>
    </row>
    <row r="70">
      <c r="A70" s="32" t="inlineStr">
        <is>
          <t>25-28-00-04-0-SVA-001</t>
        </is>
      </c>
      <c r="B70" s="33" t="inlineStr">
        <is>
          <t>25-28-00-04-0-SVA-001 (03) / A320(HZ-ASA TO ASG) CARPETS&amp;MATS R/R</t>
        </is>
      </c>
      <c r="C70" s="34" t="inlineStr">
        <is>
          <t>276</t>
        </is>
      </c>
      <c r="D70" s="35" t="inlineStr">
        <is>
          <t>GENERAL CABIN</t>
        </is>
      </c>
      <c r="E70" s="36" t="inlineStr">
        <is>
          <t>Open</t>
        </is>
      </c>
      <c r="F70" s="36" t="inlineStr">
        <is>
          <t>Normal</t>
        </is>
      </c>
      <c r="G70" s="35" t="inlineStr">
        <is>
          <t>CAB</t>
        </is>
      </c>
      <c r="H70" s="37" t="inlineStr">
        <is>
          <t>Requested</t>
        </is>
      </c>
      <c r="I70" s="38" t="inlineStr">
        <is>
          <t>P/S 4509334</t>
        </is>
      </c>
      <c r="J70" s="36" t="inlineStr">
        <is>
          <t>N/A</t>
        </is>
      </c>
      <c r="K70" s="36" t="inlineStr">
        <is>
          <t>JOINT</t>
        </is>
      </c>
      <c r="L70" s="39" t="n">
        <v>46222</v>
      </c>
      <c r="M70" s="40" t="n"/>
      <c r="N70" s="41" t="n">
        <v>48</v>
      </c>
      <c r="O70" s="42" t="inlineStr">
        <is>
          <t>25-28</t>
        </is>
      </c>
      <c r="P70" s="41" t="n"/>
      <c r="Q70" s="41" t="n"/>
    </row>
    <row r="71">
      <c r="A71" s="32" t="inlineStr">
        <is>
          <t>25-28-00-04-0-SVA-002</t>
        </is>
      </c>
      <c r="B71" s="33" t="inlineStr">
        <is>
          <t>25-28-00-04-0-SVA-002 (03) / COCKPIT COMPARTMENT CARPETS REPLCMNT</t>
        </is>
      </c>
      <c r="C71" s="34" t="inlineStr">
        <is>
          <t>277</t>
        </is>
      </c>
      <c r="D71" s="35" t="inlineStr">
        <is>
          <t>FLIGHT DECK</t>
        </is>
      </c>
      <c r="E71" s="36" t="inlineStr">
        <is>
          <t>Open</t>
        </is>
      </c>
      <c r="F71" s="36" t="inlineStr">
        <is>
          <t>Normal</t>
        </is>
      </c>
      <c r="G71" s="35" t="inlineStr">
        <is>
          <t>CAB</t>
        </is>
      </c>
      <c r="H71" s="37" t="inlineStr">
        <is>
          <t>Requested</t>
        </is>
      </c>
      <c r="I71" s="38" t="inlineStr">
        <is>
          <t>P/S 4509336</t>
        </is>
      </c>
      <c r="J71" s="36" t="inlineStr">
        <is>
          <t>N/A</t>
        </is>
      </c>
      <c r="K71" s="36" t="inlineStr">
        <is>
          <t>FWD</t>
        </is>
      </c>
      <c r="L71" s="39" t="n">
        <v>46222</v>
      </c>
      <c r="M71" s="40" t="n"/>
      <c r="N71" s="41" t="n">
        <v>6</v>
      </c>
      <c r="O71" s="42" t="inlineStr">
        <is>
          <t>25-28</t>
        </is>
      </c>
      <c r="P71" s="41" t="n"/>
      <c r="Q71" s="41" t="n"/>
    </row>
    <row r="72">
      <c r="A72" s="32" t="inlineStr">
        <is>
          <t>25-SVA-01</t>
        </is>
      </c>
      <c r="B72" s="33" t="inlineStr">
        <is>
          <t>25-SVA-01 (01) / COCKPIT CHECK</t>
        </is>
      </c>
      <c r="C72" s="34" t="inlineStr">
        <is>
          <t>278</t>
        </is>
      </c>
      <c r="D72" s="35" t="inlineStr">
        <is>
          <t>FLIGHT DECK</t>
        </is>
      </c>
      <c r="E72" s="36" t="inlineStr">
        <is>
          <t>Open</t>
        </is>
      </c>
      <c r="F72" s="36" t="inlineStr">
        <is>
          <t>Normal</t>
        </is>
      </c>
      <c r="G72" s="35" t="inlineStr">
        <is>
          <t>JOINT</t>
        </is>
      </c>
      <c r="H72" s="37" t="n"/>
      <c r="I72" s="38" t="inlineStr">
        <is>
          <t>CAB + INSP</t>
        </is>
      </c>
      <c r="J72" s="36" t="inlineStr">
        <is>
          <t>N/A</t>
        </is>
      </c>
      <c r="K72" s="36" t="inlineStr">
        <is>
          <t>FWD</t>
        </is>
      </c>
      <c r="L72" s="39" t="n"/>
      <c r="M72" s="40" t="n"/>
      <c r="N72" s="41" t="n">
        <v>3.3</v>
      </c>
      <c r="O72" s="42" t="inlineStr">
        <is>
          <t>25</t>
        </is>
      </c>
      <c r="P72" s="41" t="n">
        <v>2</v>
      </c>
      <c r="Q72" s="41" t="n">
        <v>236.8</v>
      </c>
    </row>
    <row r="73">
      <c r="A73" s="32" t="inlineStr">
        <is>
          <t>25-SVA-02</t>
        </is>
      </c>
      <c r="B73" s="33" t="inlineStr">
        <is>
          <t>25-SVA-02 (01) / GENERAL CABIN ITEMS C-CHK</t>
        </is>
      </c>
      <c r="C73" s="34" t="inlineStr">
        <is>
          <t>279</t>
        </is>
      </c>
      <c r="D73" s="35" t="inlineStr">
        <is>
          <t>GENERAL CABIN</t>
        </is>
      </c>
      <c r="E73" s="36" t="inlineStr">
        <is>
          <t>Open</t>
        </is>
      </c>
      <c r="F73" s="36" t="inlineStr">
        <is>
          <t>Normal</t>
        </is>
      </c>
      <c r="G73" s="35" t="inlineStr">
        <is>
          <t>JOINT</t>
        </is>
      </c>
      <c r="H73" s="37" t="n"/>
      <c r="I73" s="38" t="inlineStr">
        <is>
          <t>CAB + INSP</t>
        </is>
      </c>
      <c r="J73" s="36" t="inlineStr">
        <is>
          <t>N/A</t>
        </is>
      </c>
      <c r="K73" s="36" t="inlineStr">
        <is>
          <t>JOINT</t>
        </is>
      </c>
      <c r="L73" s="39" t="n"/>
      <c r="M73" s="40" t="n"/>
      <c r="N73" s="41" t="n">
        <v>11.7</v>
      </c>
      <c r="O73" s="42" t="inlineStr">
        <is>
          <t>25</t>
        </is>
      </c>
      <c r="P73" s="41" t="n">
        <v>3</v>
      </c>
      <c r="Q73" s="41" t="n">
        <v>237.2</v>
      </c>
    </row>
    <row r="74">
      <c r="A74" s="32" t="inlineStr">
        <is>
          <t>25-SVA-03</t>
        </is>
      </c>
      <c r="B74" s="33" t="inlineStr">
        <is>
          <t>25-SVA-03 (01) / B/C SEAT REFRESH</t>
        </is>
      </c>
      <c r="C74" s="34" t="inlineStr">
        <is>
          <t>280</t>
        </is>
      </c>
      <c r="D74" s="35" t="inlineStr">
        <is>
          <t>PAX SEAT</t>
        </is>
      </c>
      <c r="E74" s="36" t="inlineStr">
        <is>
          <t>Open</t>
        </is>
      </c>
      <c r="F74" s="36" t="inlineStr">
        <is>
          <t>Normal</t>
        </is>
      </c>
      <c r="G74" s="35" t="inlineStr">
        <is>
          <t>SEAT</t>
        </is>
      </c>
      <c r="H74" s="37" t="n"/>
      <c r="I74" s="38" t="inlineStr">
        <is>
          <t>SEAT SHOP</t>
        </is>
      </c>
      <c r="J74" s="36" t="inlineStr">
        <is>
          <t>N/A</t>
        </is>
      </c>
      <c r="K74" s="36" t="inlineStr">
        <is>
          <t>JOINT</t>
        </is>
      </c>
      <c r="L74" s="39" t="n"/>
      <c r="M74" s="40" t="n"/>
      <c r="N74" s="41" t="n">
        <v>5.2</v>
      </c>
      <c r="O74" s="42" t="inlineStr">
        <is>
          <t>25</t>
        </is>
      </c>
      <c r="P74" s="41" t="n">
        <v>7</v>
      </c>
      <c r="Q74" s="41" t="n">
        <v>206.3</v>
      </c>
    </row>
    <row r="75">
      <c r="A75" s="32" t="inlineStr">
        <is>
          <t>25-SVA-04</t>
        </is>
      </c>
      <c r="B75" s="33" t="inlineStr">
        <is>
          <t>25-SVA-04 (01) / B/C SEAT DEEP REFRESH</t>
        </is>
      </c>
      <c r="C75" s="34" t="inlineStr">
        <is>
          <t>281</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3</v>
      </c>
      <c r="O75" s="42" t="inlineStr">
        <is>
          <t>25</t>
        </is>
      </c>
      <c r="P75" s="41" t="n">
        <v>9</v>
      </c>
      <c r="Q75" s="41" t="n">
        <v>182.2</v>
      </c>
    </row>
    <row r="76">
      <c r="A76" s="32" t="inlineStr">
        <is>
          <t>25-SVA-05</t>
        </is>
      </c>
      <c r="B76" s="33" t="inlineStr">
        <is>
          <t>25-SVA-05 (01) / G/C SEAT REFRESH</t>
        </is>
      </c>
      <c r="C76" s="34" t="inlineStr">
        <is>
          <t>282</t>
        </is>
      </c>
      <c r="D76" s="35" t="inlineStr">
        <is>
          <t>PAX SEAT</t>
        </is>
      </c>
      <c r="E76" s="36" t="inlineStr">
        <is>
          <t>Open</t>
        </is>
      </c>
      <c r="F76" s="36" t="inlineStr">
        <is>
          <t>Normal</t>
        </is>
      </c>
      <c r="G76" s="35" t="inlineStr">
        <is>
          <t>SEAT</t>
        </is>
      </c>
      <c r="H76" s="37" t="n"/>
      <c r="I76" s="38" t="inlineStr">
        <is>
          <t>STEP 6 (CAB POOL SPLTY)</t>
        </is>
      </c>
      <c r="J76" s="36" t="inlineStr">
        <is>
          <t>N/A</t>
        </is>
      </c>
      <c r="K76" s="36" t="inlineStr">
        <is>
          <t>JOINT</t>
        </is>
      </c>
      <c r="L76" s="39" t="n"/>
      <c r="M76" s="40" t="n"/>
      <c r="N76" s="41" t="n">
        <v>1.8</v>
      </c>
      <c r="O76" s="42" t="inlineStr">
        <is>
          <t>25</t>
        </is>
      </c>
      <c r="P76" s="41" t="n">
        <v>14.5</v>
      </c>
      <c r="Q76" s="41" t="n">
        <v>220.3</v>
      </c>
    </row>
    <row r="77">
      <c r="A77" s="32" t="inlineStr">
        <is>
          <t>25-SVA-06</t>
        </is>
      </c>
      <c r="B77" s="33" t="inlineStr">
        <is>
          <t>25-SVA-06 (01) / GALLEY REFRESH</t>
        </is>
      </c>
      <c r="C77" s="34" t="inlineStr">
        <is>
          <t>283</t>
        </is>
      </c>
      <c r="D77" s="35" t="inlineStr">
        <is>
          <t>GALLEY</t>
        </is>
      </c>
      <c r="E77" s="36" t="inlineStr">
        <is>
          <t>Open</t>
        </is>
      </c>
      <c r="F77" s="36" t="inlineStr">
        <is>
          <t>Normal</t>
        </is>
      </c>
      <c r="G77" s="35" t="inlineStr">
        <is>
          <t>CAB</t>
        </is>
      </c>
      <c r="H77" s="37" t="n"/>
      <c r="I77" s="38" t="inlineStr">
        <is>
          <t>CAB ONLY</t>
        </is>
      </c>
      <c r="J77" s="36" t="inlineStr">
        <is>
          <t>N/A</t>
        </is>
      </c>
      <c r="K77" s="36" t="inlineStr">
        <is>
          <t>JOINT</t>
        </is>
      </c>
      <c r="L77" s="39" t="n"/>
      <c r="M77" s="40" t="n"/>
      <c r="N77" s="41" t="n">
        <v>2</v>
      </c>
      <c r="O77" s="42" t="inlineStr">
        <is>
          <t>25</t>
        </is>
      </c>
      <c r="P77" s="41" t="n">
        <v>11.5</v>
      </c>
      <c r="Q77" s="41" t="n">
        <v>209.2</v>
      </c>
    </row>
    <row r="78">
      <c r="A78" s="32" t="inlineStr">
        <is>
          <t>25-SVA-07</t>
        </is>
      </c>
      <c r="B78" s="33" t="inlineStr">
        <is>
          <t>25-SVA-07 (01) / LAV REFRESH</t>
        </is>
      </c>
      <c r="C78" s="34" t="inlineStr">
        <is>
          <t>284</t>
        </is>
      </c>
      <c r="D78" s="35" t="inlineStr">
        <is>
          <t>LAVATORY</t>
        </is>
      </c>
      <c r="E78" s="36" t="inlineStr">
        <is>
          <t>Open</t>
        </is>
      </c>
      <c r="F78" s="36" t="inlineStr">
        <is>
          <t>Normal</t>
        </is>
      </c>
      <c r="G78" s="35" t="inlineStr">
        <is>
          <t>CAB</t>
        </is>
      </c>
      <c r="H78" s="37" t="n"/>
      <c r="I78" s="38" t="inlineStr">
        <is>
          <t>CAB ONLY</t>
        </is>
      </c>
      <c r="J78" s="36" t="inlineStr">
        <is>
          <t>N/A</t>
        </is>
      </c>
      <c r="K78" s="36" t="inlineStr">
        <is>
          <t>JOINT</t>
        </is>
      </c>
      <c r="L78" s="39" t="n"/>
      <c r="M78" s="40" t="n"/>
      <c r="N78" s="41" t="n">
        <v>2</v>
      </c>
      <c r="O78" s="42" t="inlineStr">
        <is>
          <t>25</t>
        </is>
      </c>
      <c r="P78" s="41" t="n">
        <v>4.5</v>
      </c>
      <c r="Q78" s="41" t="n">
        <v>206.4</v>
      </c>
    </row>
    <row r="79">
      <c r="A79" s="32" t="inlineStr">
        <is>
          <t>25-SVA-08</t>
        </is>
      </c>
      <c r="B79" s="33" t="inlineStr">
        <is>
          <t>25-SVA-08 (01) / CABIN CREW SEAT DEEP INSP</t>
        </is>
      </c>
      <c r="C79" s="34" t="inlineStr">
        <is>
          <t>285</t>
        </is>
      </c>
      <c r="D79" s="35" t="inlineStr">
        <is>
          <t>F/A SEAT</t>
        </is>
      </c>
      <c r="E79" s="36" t="inlineStr">
        <is>
          <t>Open</t>
        </is>
      </c>
      <c r="F79" s="36" t="inlineStr">
        <is>
          <t>Normal</t>
        </is>
      </c>
      <c r="G79" s="35" t="inlineStr">
        <is>
          <t>CAB</t>
        </is>
      </c>
      <c r="H79" s="37" t="n"/>
      <c r="I79" s="38" t="inlineStr">
        <is>
          <t>CAB ONLY</t>
        </is>
      </c>
      <c r="J79" s="36" t="inlineStr">
        <is>
          <t>N/A</t>
        </is>
      </c>
      <c r="K79" s="36" t="inlineStr">
        <is>
          <t>JOINT</t>
        </is>
      </c>
      <c r="L79" s="39" t="n"/>
      <c r="M79" s="40" t="n"/>
      <c r="N79" s="41" t="n">
        <v>3</v>
      </c>
      <c r="O79" s="42" t="inlineStr">
        <is>
          <t>25</t>
        </is>
      </c>
      <c r="P79" s="41" t="n"/>
      <c r="Q79" s="41" t="n"/>
    </row>
    <row r="80">
      <c r="A80" s="32" t="inlineStr">
        <is>
          <t>25-SVA-09</t>
        </is>
      </c>
      <c r="B80" s="33" t="inlineStr">
        <is>
          <t>25-SVA-09 (01) / B/C PAX SEATS CUSHION R/R</t>
        </is>
      </c>
      <c r="C80" s="34" t="inlineStr">
        <is>
          <t>286</t>
        </is>
      </c>
      <c r="D80" s="35" t="inlineStr">
        <is>
          <t>PAX SEAT</t>
        </is>
      </c>
      <c r="E80" s="36" t="inlineStr">
        <is>
          <t>Open</t>
        </is>
      </c>
      <c r="F80" s="36" t="inlineStr">
        <is>
          <t>Normal</t>
        </is>
      </c>
      <c r="G80" s="35" t="inlineStr">
        <is>
          <t>SEAT</t>
        </is>
      </c>
      <c r="H80" s="37" t="inlineStr">
        <is>
          <t>Requested</t>
        </is>
      </c>
      <c r="I80" s="38" t="inlineStr">
        <is>
          <t>SEAT SHOP</t>
        </is>
      </c>
      <c r="J80" s="36" t="inlineStr">
        <is>
          <t>N/A</t>
        </is>
      </c>
      <c r="K80" s="36" t="inlineStr">
        <is>
          <t>JOINT</t>
        </is>
      </c>
      <c r="L80" s="39" t="n"/>
      <c r="M80" s="40" t="n"/>
      <c r="N80" s="41" t="n">
        <v>0.5</v>
      </c>
      <c r="O80" s="42" t="inlineStr">
        <is>
          <t>25</t>
        </is>
      </c>
      <c r="P80" s="41" t="n"/>
      <c r="Q80" s="41" t="n"/>
    </row>
    <row r="81">
      <c r="A81" s="32" t="inlineStr">
        <is>
          <t>25-SVA-10</t>
        </is>
      </c>
      <c r="B81" s="33" t="inlineStr">
        <is>
          <t>25-SVA-10 (02) / G/C PAX SEATS CUSHION R/R</t>
        </is>
      </c>
      <c r="C81" s="34" t="inlineStr">
        <is>
          <t>287</t>
        </is>
      </c>
      <c r="D81" s="35" t="inlineStr">
        <is>
          <t>PAX SEAT</t>
        </is>
      </c>
      <c r="E81" s="36" t="inlineStr">
        <is>
          <t>Open</t>
        </is>
      </c>
      <c r="F81" s="36" t="inlineStr">
        <is>
          <t>Normal</t>
        </is>
      </c>
      <c r="G81" s="35" t="inlineStr">
        <is>
          <t>SEAT</t>
        </is>
      </c>
      <c r="H81" s="37" t="n"/>
      <c r="I81" s="38" t="inlineStr">
        <is>
          <t>SEAT SHOP</t>
        </is>
      </c>
      <c r="J81" s="36" t="inlineStr">
        <is>
          <t>N/A</t>
        </is>
      </c>
      <c r="K81" s="36" t="inlineStr">
        <is>
          <t>JOINT</t>
        </is>
      </c>
      <c r="L81" s="39" t="n"/>
      <c r="M81" s="40" t="n"/>
      <c r="N81" s="41" t="n">
        <v>0.5</v>
      </c>
      <c r="O81" s="42" t="inlineStr">
        <is>
          <t>25</t>
        </is>
      </c>
      <c r="P81" s="41" t="n">
        <v>152</v>
      </c>
      <c r="Q81" s="41" t="n">
        <v>75.2</v>
      </c>
    </row>
    <row r="82">
      <c r="A82" s="32" t="inlineStr">
        <is>
          <t>252100-01-0-SVA-002</t>
        </is>
      </c>
      <c r="B82" s="33" t="inlineStr">
        <is>
          <t>252100-01-0-SVA-002 (02) / A320 AIRCRAFT HZ-ASA THRU HZ-ASG PASSENGER SEATS COVERS R/R</t>
        </is>
      </c>
      <c r="C82" s="34" t="inlineStr">
        <is>
          <t>288</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38</v>
      </c>
      <c r="O82" s="42" t="inlineStr">
        <is>
          <t>25-21</t>
        </is>
      </c>
      <c r="P82" s="41" t="n">
        <v>253.5</v>
      </c>
      <c r="Q82" s="41" t="n">
        <v>241.6</v>
      </c>
    </row>
    <row r="83">
      <c r="A83" s="32" t="inlineStr">
        <is>
          <t>252100-01-1</t>
        </is>
      </c>
      <c r="B83" s="33" t="inlineStr">
        <is>
          <t>252100-01-1 (4) / PAX SEAT ATTACH TO FLOOR&amp;STRUC INSP</t>
        </is>
      </c>
      <c r="C83" s="34" t="inlineStr">
        <is>
          <t>289</t>
        </is>
      </c>
      <c r="D83" s="35" t="inlineStr">
        <is>
          <t>PAX SEAT</t>
        </is>
      </c>
      <c r="E83" s="36" t="inlineStr">
        <is>
          <t>Open</t>
        </is>
      </c>
      <c r="F83" s="36" t="inlineStr">
        <is>
          <t>Normal</t>
        </is>
      </c>
      <c r="G83" s="35" t="inlineStr">
        <is>
          <t>CAB</t>
        </is>
      </c>
      <c r="H83" s="37" t="n"/>
      <c r="I83" s="38" t="inlineStr">
        <is>
          <t>CAB + INSP (AND SHOP)</t>
        </is>
      </c>
      <c r="J83" s="36" t="inlineStr">
        <is>
          <t>N/A</t>
        </is>
      </c>
      <c r="K83" s="36" t="inlineStr">
        <is>
          <t>JOINT</t>
        </is>
      </c>
      <c r="L83" s="39" t="n"/>
      <c r="M83" s="40" t="n"/>
      <c r="N83" s="41" t="n">
        <v>2</v>
      </c>
      <c r="O83" s="42" t="inlineStr">
        <is>
          <t>25-21</t>
        </is>
      </c>
      <c r="P83" s="41" t="n">
        <v>19.5</v>
      </c>
      <c r="Q83" s="41" t="n">
        <v>210</v>
      </c>
    </row>
    <row r="84">
      <c r="A84" s="32" t="inlineStr">
        <is>
          <t>2521000103-001</t>
        </is>
      </c>
      <c r="B84" s="33" t="inlineStr">
        <is>
          <t>2521000103-001 (05) / PASS COMPARTMENT SEAT BELTS CLEANING B/C</t>
        </is>
      </c>
      <c r="C84" s="34" t="inlineStr">
        <is>
          <t>290</t>
        </is>
      </c>
      <c r="D84" s="35" t="inlineStr">
        <is>
          <t>PAX SEAT</t>
        </is>
      </c>
      <c r="E84" s="36" t="inlineStr">
        <is>
          <t>Open</t>
        </is>
      </c>
      <c r="F84" s="36" t="inlineStr">
        <is>
          <t>Normal</t>
        </is>
      </c>
      <c r="G84" s="35" t="inlineStr">
        <is>
          <t>SEAT</t>
        </is>
      </c>
      <c r="H84" s="37" t="n"/>
      <c r="I84" s="38" t="inlineStr">
        <is>
          <t>SEAT SHOP</t>
        </is>
      </c>
      <c r="J84" s="36" t="inlineStr">
        <is>
          <t>N/A</t>
        </is>
      </c>
      <c r="K84" s="36" t="inlineStr">
        <is>
          <t>JOINT</t>
        </is>
      </c>
      <c r="L84" s="39" t="n"/>
      <c r="M84" s="40" t="n"/>
      <c r="N84" s="41" t="n">
        <v>3</v>
      </c>
      <c r="O84" s="42" t="inlineStr">
        <is>
          <t>25-21</t>
        </is>
      </c>
      <c r="P84" s="41" t="n">
        <v>2</v>
      </c>
      <c r="Q84" s="41" t="n">
        <v>215.5</v>
      </c>
    </row>
    <row r="85">
      <c r="A85" s="32" t="inlineStr">
        <is>
          <t>2521000103-002</t>
        </is>
      </c>
      <c r="B85" s="33" t="inlineStr">
        <is>
          <t>2521000103-002 (06) / PASS COMPARTMENT SEAT BELTS CLEANING G/C</t>
        </is>
      </c>
      <c r="C85" s="34" t="inlineStr">
        <is>
          <t>291</t>
        </is>
      </c>
      <c r="D85" s="35" t="inlineStr">
        <is>
          <t>PAX SEAT</t>
        </is>
      </c>
      <c r="E85" s="36" t="inlineStr">
        <is>
          <t>Open</t>
        </is>
      </c>
      <c r="F85" s="36" t="inlineStr">
        <is>
          <t>Normal</t>
        </is>
      </c>
      <c r="G85" s="35" t="inlineStr">
        <is>
          <t>SEAT</t>
        </is>
      </c>
      <c r="H85" s="37" t="inlineStr">
        <is>
          <t>Requested</t>
        </is>
      </c>
      <c r="I85" s="38" t="inlineStr">
        <is>
          <t>SEAT SHOP</t>
        </is>
      </c>
      <c r="J85" s="36" t="inlineStr">
        <is>
          <t>N/A</t>
        </is>
      </c>
      <c r="K85" s="36" t="inlineStr">
        <is>
          <t>JOINT</t>
        </is>
      </c>
      <c r="L85" s="39" t="n"/>
      <c r="M85" s="40" t="n"/>
      <c r="N85" s="41" t="n">
        <v>7</v>
      </c>
      <c r="O85" s="42" t="inlineStr">
        <is>
          <t>25-21</t>
        </is>
      </c>
      <c r="P85" s="41" t="n">
        <v>6</v>
      </c>
      <c r="Q85" s="41" t="n">
        <v>216.5</v>
      </c>
    </row>
    <row r="86">
      <c r="A86" s="32" t="inlineStr">
        <is>
          <t>252200-01-1</t>
        </is>
      </c>
      <c r="B86" s="33" t="inlineStr">
        <is>
          <t>252200-01-1 (4) / CABIN ATTED SEAT ATTACHMENTS INSP</t>
        </is>
      </c>
      <c r="C86" s="34" t="inlineStr">
        <is>
          <t>292</t>
        </is>
      </c>
      <c r="D86" s="35" t="inlineStr">
        <is>
          <t>F/A SEAT</t>
        </is>
      </c>
      <c r="E86" s="36" t="inlineStr">
        <is>
          <t>Open</t>
        </is>
      </c>
      <c r="F86" s="36" t="inlineStr">
        <is>
          <t>Normal</t>
        </is>
      </c>
      <c r="G86" s="35" t="inlineStr">
        <is>
          <t>JOINT</t>
        </is>
      </c>
      <c r="H86" s="37" t="n"/>
      <c r="I86" s="38" t="inlineStr">
        <is>
          <t>CAB + INSP</t>
        </is>
      </c>
      <c r="J86" s="36" t="inlineStr">
        <is>
          <t>N/A</t>
        </is>
      </c>
      <c r="K86" s="36" t="inlineStr">
        <is>
          <t>JOINT</t>
        </is>
      </c>
      <c r="L86" s="39" t="n"/>
      <c r="M86" s="40" t="n"/>
      <c r="N86" s="41" t="n">
        <v>0.7</v>
      </c>
      <c r="O86" s="42" t="inlineStr">
        <is>
          <t>25-22</t>
        </is>
      </c>
      <c r="P86" s="41" t="n"/>
      <c r="Q86" s="41" t="n"/>
    </row>
    <row r="87">
      <c r="A87" s="32" t="inlineStr">
        <is>
          <t>252200-03-1</t>
        </is>
      </c>
      <c r="B87" s="33" t="inlineStr">
        <is>
          <t>252200-03-1 (4) / CABIN ATTENDANT SEATS BELTS INSP</t>
        </is>
      </c>
      <c r="C87" s="34" t="inlineStr">
        <is>
          <t>293</t>
        </is>
      </c>
      <c r="D87" s="35" t="inlineStr">
        <is>
          <t>F/A SEAT</t>
        </is>
      </c>
      <c r="E87" s="36" t="inlineStr">
        <is>
          <t>Closed</t>
        </is>
      </c>
      <c r="F87" s="36" t="inlineStr">
        <is>
          <t>Normal</t>
        </is>
      </c>
      <c r="G87" s="35" t="inlineStr">
        <is>
          <t>INSP</t>
        </is>
      </c>
      <c r="H87" s="37" t="n"/>
      <c r="I87" s="38" t="inlineStr">
        <is>
          <t>INSP</t>
        </is>
      </c>
      <c r="J87" s="36" t="inlineStr">
        <is>
          <t>N/A</t>
        </is>
      </c>
      <c r="K87" s="36" t="inlineStr">
        <is>
          <t>JOINT</t>
        </is>
      </c>
      <c r="L87" s="39" t="n">
        <v>46223</v>
      </c>
      <c r="M87" s="40" t="n">
        <v>46223</v>
      </c>
      <c r="N87" s="41" t="n">
        <v>0</v>
      </c>
      <c r="O87" s="42" t="inlineStr">
        <is>
          <t>25-22</t>
        </is>
      </c>
      <c r="P87" s="41" t="n">
        <v>0.8</v>
      </c>
      <c r="Q87" s="41" t="n">
        <v>0.8</v>
      </c>
    </row>
    <row r="88">
      <c r="A88" s="32" t="inlineStr">
        <is>
          <t>254000-04-2</t>
        </is>
      </c>
      <c r="B88" s="33" t="inlineStr">
        <is>
          <t>254000-04-2 (4) / LAVATORIES FLOOR PANELS INSPECTION</t>
        </is>
      </c>
      <c r="C88" s="34" t="inlineStr">
        <is>
          <t>294</t>
        </is>
      </c>
      <c r="D88" s="35" t="inlineStr">
        <is>
          <t>LAVATORY</t>
        </is>
      </c>
      <c r="E88" s="36" t="inlineStr">
        <is>
          <t>Closed</t>
        </is>
      </c>
      <c r="F88" s="36" t="inlineStr">
        <is>
          <t>Normal</t>
        </is>
      </c>
      <c r="G88" s="35" t="inlineStr">
        <is>
          <t>INSP</t>
        </is>
      </c>
      <c r="H88" s="37" t="n"/>
      <c r="I88" s="38" t="inlineStr">
        <is>
          <t>INSP</t>
        </is>
      </c>
      <c r="J88" s="36" t="inlineStr">
        <is>
          <t>N/A</t>
        </is>
      </c>
      <c r="K88" s="36" t="inlineStr">
        <is>
          <t>JOINT</t>
        </is>
      </c>
      <c r="L88" s="39" t="n">
        <v>46223</v>
      </c>
      <c r="M88" s="40" t="n">
        <v>46223</v>
      </c>
      <c r="N88" s="41" t="n">
        <v>3.3</v>
      </c>
      <c r="O88" s="42" t="inlineStr">
        <is>
          <t>25-40</t>
        </is>
      </c>
      <c r="P88" s="41" t="n">
        <v>0.8</v>
      </c>
      <c r="Q88" s="41" t="n">
        <v>0.8</v>
      </c>
    </row>
    <row r="89">
      <c r="A89" s="32" t="inlineStr">
        <is>
          <t>256535-01-1</t>
        </is>
      </c>
      <c r="B89" s="33" t="inlineStr">
        <is>
          <t>256535-01-1 (02) / EMERGENCY LOCATOR TRANSMITTER OPC</t>
        </is>
      </c>
      <c r="C89" s="34" t="inlineStr">
        <is>
          <t>297</t>
        </is>
      </c>
      <c r="D89" s="35" t="inlineStr">
        <is>
          <t>GENERAL CABIN</t>
        </is>
      </c>
      <c r="E89" s="36" t="inlineStr">
        <is>
          <t>Closed</t>
        </is>
      </c>
      <c r="F89" s="36" t="inlineStr">
        <is>
          <t>Normal</t>
        </is>
      </c>
      <c r="G89" s="35" t="inlineStr">
        <is>
          <t>AV</t>
        </is>
      </c>
      <c r="H89" s="37" t="n"/>
      <c r="I89" s="38" t="inlineStr">
        <is>
          <t>AV</t>
        </is>
      </c>
      <c r="J89" s="36" t="inlineStr">
        <is>
          <t>N/A</t>
        </is>
      </c>
      <c r="K89" s="36" t="inlineStr">
        <is>
          <t>JOINT</t>
        </is>
      </c>
      <c r="L89" s="39" t="n">
        <v>46225</v>
      </c>
      <c r="M89" s="40" t="n">
        <v>46225</v>
      </c>
      <c r="N89" s="41" t="n">
        <v>0.2</v>
      </c>
      <c r="O89" s="42" t="inlineStr">
        <is>
          <t>25-65</t>
        </is>
      </c>
      <c r="P89" s="41" t="n">
        <v>2</v>
      </c>
      <c r="Q89" s="41" t="n">
        <v>1</v>
      </c>
    </row>
    <row r="90">
      <c r="A90" s="32" t="inlineStr">
        <is>
          <t>256652-01-1-SVA</t>
        </is>
      </c>
      <c r="B90" s="33" t="inlineStr">
        <is>
          <t>256652-01-1-SVA (01) / LIFE VEST RESTORATION PERIODIC CHECK FOR EXPIRATION</t>
        </is>
      </c>
      <c r="C90" s="34" t="inlineStr">
        <is>
          <t>299</t>
        </is>
      </c>
      <c r="D90" s="35" t="inlineStr">
        <is>
          <t>GENERAL CABIN</t>
        </is>
      </c>
      <c r="E90" s="36" t="inlineStr">
        <is>
          <t>Open</t>
        </is>
      </c>
      <c r="F90" s="36" t="inlineStr">
        <is>
          <t>Normal</t>
        </is>
      </c>
      <c r="G90" s="35" t="inlineStr">
        <is>
          <t>JOINT</t>
        </is>
      </c>
      <c r="H90" s="37" t="n"/>
      <c r="I90" s="38" t="inlineStr">
        <is>
          <t>C/W REMAINING CLOSE UP</t>
        </is>
      </c>
      <c r="J90" s="36" t="inlineStr">
        <is>
          <t>N/A</t>
        </is>
      </c>
      <c r="K90" s="36" t="inlineStr">
        <is>
          <t>JOINT</t>
        </is>
      </c>
      <c r="L90" s="39" t="n">
        <v>46222</v>
      </c>
      <c r="M90" s="40" t="n"/>
      <c r="N90" s="41" t="n">
        <v>0.5</v>
      </c>
      <c r="O90" s="42" t="inlineStr">
        <is>
          <t>25-11</t>
        </is>
      </c>
      <c r="P90" s="41" t="n">
        <v>46.5</v>
      </c>
      <c r="Q90" s="41" t="n">
        <v>265.1</v>
      </c>
    </row>
    <row r="91">
      <c r="A91" s="32" t="inlineStr">
        <is>
          <t>262541-04-1</t>
        </is>
      </c>
      <c r="B91" s="33" t="inlineStr">
        <is>
          <t>262541-04-1 (3) / LAVATORY FIRE EXTG PRESS READING CHK</t>
        </is>
      </c>
      <c r="C91" s="34" t="inlineStr">
        <is>
          <t>312</t>
        </is>
      </c>
      <c r="D91" s="35" t="inlineStr">
        <is>
          <t>LAVATORY</t>
        </is>
      </c>
      <c r="E91" s="36" t="inlineStr">
        <is>
          <t>Closed</t>
        </is>
      </c>
      <c r="F91" s="36" t="inlineStr">
        <is>
          <t>Normal</t>
        </is>
      </c>
      <c r="G91" s="35" t="inlineStr">
        <is>
          <t>INSP</t>
        </is>
      </c>
      <c r="H91" s="37" t="n"/>
      <c r="I91" s="38" t="inlineStr">
        <is>
          <t>INSP</t>
        </is>
      </c>
      <c r="J91" s="36" t="inlineStr">
        <is>
          <t>N/A</t>
        </is>
      </c>
      <c r="K91" s="36" t="inlineStr">
        <is>
          <t>JOINT</t>
        </is>
      </c>
      <c r="L91" s="39" t="n">
        <v>46223</v>
      </c>
      <c r="M91" s="40" t="n">
        <v>46223</v>
      </c>
      <c r="N91" s="41" t="n">
        <v>0.2</v>
      </c>
      <c r="O91" s="42" t="inlineStr">
        <is>
          <t>26-25</t>
        </is>
      </c>
      <c r="P91" s="41" t="n">
        <v>0.8</v>
      </c>
      <c r="Q91" s="41" t="n">
        <v>0.8</v>
      </c>
    </row>
    <row r="92">
      <c r="A92" s="32" t="inlineStr">
        <is>
          <t>335100-11-1</t>
        </is>
      </c>
      <c r="B92" s="33" t="inlineStr">
        <is>
          <t>335100-11-1 (1) / CABIN EMERGENCY LIGHTING</t>
        </is>
      </c>
      <c r="C92" s="34" t="inlineStr">
        <is>
          <t>413</t>
        </is>
      </c>
      <c r="D92" s="35" t="inlineStr">
        <is>
          <t>GENERAL CABIN</t>
        </is>
      </c>
      <c r="E92" s="36" t="inlineStr">
        <is>
          <t>Closed</t>
        </is>
      </c>
      <c r="F92" s="36" t="inlineStr">
        <is>
          <t>Normal</t>
        </is>
      </c>
      <c r="G92" s="35" t="inlineStr">
        <is>
          <t>AV</t>
        </is>
      </c>
      <c r="H92" s="37" t="n"/>
      <c r="I92" s="38" t="inlineStr">
        <is>
          <t>AV</t>
        </is>
      </c>
      <c r="J92" s="36" t="inlineStr">
        <is>
          <t>N/A</t>
        </is>
      </c>
      <c r="K92" s="36" t="inlineStr">
        <is>
          <t>JOINT</t>
        </is>
      </c>
      <c r="L92" s="39" t="n">
        <v>46225</v>
      </c>
      <c r="M92" s="40" t="n">
        <v>46225</v>
      </c>
      <c r="N92" s="41" t="n">
        <v>0.2</v>
      </c>
      <c r="O92" s="42" t="inlineStr">
        <is>
          <t>33-51</t>
        </is>
      </c>
      <c r="P92" s="41" t="n">
        <v>9</v>
      </c>
      <c r="Q92" s="41" t="n">
        <v>3.1</v>
      </c>
    </row>
    <row r="93">
      <c r="A93" s="32" t="inlineStr">
        <is>
          <t>351000-01-1</t>
        </is>
      </c>
      <c r="B93" s="33" t="inlineStr">
        <is>
          <t>351000-01-1 (3) / FULL FACE/QUICK OXYGEN MASKS OPC</t>
        </is>
      </c>
      <c r="C93" s="34" t="inlineStr">
        <is>
          <t>425</t>
        </is>
      </c>
      <c r="D93" s="35" t="inlineStr">
        <is>
          <t>FLIGHT DECK</t>
        </is>
      </c>
      <c r="E93" s="36" t="inlineStr">
        <is>
          <t>Open</t>
        </is>
      </c>
      <c r="F93" s="36" t="inlineStr">
        <is>
          <t>Normal</t>
        </is>
      </c>
      <c r="G93" s="35" t="inlineStr">
        <is>
          <t>CAB</t>
        </is>
      </c>
      <c r="H93" s="37" t="n"/>
      <c r="I93" s="38" t="inlineStr">
        <is>
          <t>CAB</t>
        </is>
      </c>
      <c r="J93" s="36" t="inlineStr">
        <is>
          <t>N/A</t>
        </is>
      </c>
      <c r="K93" s="36" t="inlineStr">
        <is>
          <t>FWD</t>
        </is>
      </c>
      <c r="L93" s="39" t="n"/>
      <c r="M93" s="40" t="n"/>
      <c r="N93" s="41" t="n">
        <v>0.2</v>
      </c>
      <c r="O93" s="42" t="inlineStr">
        <is>
          <t>35-12</t>
        </is>
      </c>
      <c r="P93" s="41" t="n"/>
      <c r="Q93" s="41" t="n"/>
    </row>
    <row r="94">
      <c r="A94" s="32" t="inlineStr">
        <is>
          <t>351241-01-1</t>
        </is>
      </c>
      <c r="B94" s="33" t="inlineStr">
        <is>
          <t>351241-01-1 (3) / CREW OXYGEN MASKS INSPECTION</t>
        </is>
      </c>
      <c r="C94" s="34" t="inlineStr">
        <is>
          <t>426</t>
        </is>
      </c>
      <c r="D94" s="35" t="inlineStr">
        <is>
          <t>FLIGHT DECK</t>
        </is>
      </c>
      <c r="E94" s="36" t="inlineStr">
        <is>
          <t>Closed</t>
        </is>
      </c>
      <c r="F94" s="36" t="inlineStr">
        <is>
          <t>Normal</t>
        </is>
      </c>
      <c r="G94" s="35" t="inlineStr">
        <is>
          <t>JOINT</t>
        </is>
      </c>
      <c r="H94" s="37" t="n"/>
      <c r="I94" s="38" t="inlineStr">
        <is>
          <t>TO DO</t>
        </is>
      </c>
      <c r="J94" s="36" t="inlineStr">
        <is>
          <t>N/A</t>
        </is>
      </c>
      <c r="K94" s="36" t="inlineStr">
        <is>
          <t>FWD</t>
        </is>
      </c>
      <c r="L94" s="39" t="n">
        <v>46223</v>
      </c>
      <c r="M94" s="40" t="n">
        <v>46223</v>
      </c>
      <c r="N94" s="41" t="n">
        <v>0.6</v>
      </c>
      <c r="O94" s="42" t="inlineStr">
        <is>
          <t>35-12</t>
        </is>
      </c>
      <c r="P94" s="41" t="n">
        <v>10</v>
      </c>
      <c r="Q94" s="41" t="n">
        <v>4.4</v>
      </c>
    </row>
    <row r="95">
      <c r="A95" s="32" t="inlineStr">
        <is>
          <t>352000-02-1</t>
        </is>
      </c>
      <c r="B95" s="33" t="inlineStr">
        <is>
          <t>352000-02-1 (3) / PAX OXYGEN SYSTEM MASK RELEASE FNC</t>
        </is>
      </c>
      <c r="C95" s="34" t="inlineStr">
        <is>
          <t>427</t>
        </is>
      </c>
      <c r="D95" s="35" t="inlineStr">
        <is>
          <t>GENERAL CABIN</t>
        </is>
      </c>
      <c r="E95" s="36" t="inlineStr">
        <is>
          <t>Open</t>
        </is>
      </c>
      <c r="F95" s="36" t="inlineStr">
        <is>
          <t>Normal</t>
        </is>
      </c>
      <c r="G95" s="35" t="inlineStr">
        <is>
          <t>JOINT</t>
        </is>
      </c>
      <c r="H95" s="37" t="n"/>
      <c r="I95" s="38" t="inlineStr">
        <is>
          <t>CAB + INSP</t>
        </is>
      </c>
      <c r="J95" s="36" t="inlineStr">
        <is>
          <t>N/A</t>
        </is>
      </c>
      <c r="K95" s="36" t="inlineStr">
        <is>
          <t>JOINT</t>
        </is>
      </c>
      <c r="L95" s="39" t="n"/>
      <c r="M95" s="40" t="n"/>
      <c r="N95" s="41" t="n">
        <v>2</v>
      </c>
      <c r="O95" s="42" t="inlineStr">
        <is>
          <t>35-23</t>
        </is>
      </c>
      <c r="P95" s="41" t="n">
        <v>45</v>
      </c>
      <c r="Q95" s="41" t="n">
        <v>238.2</v>
      </c>
    </row>
    <row r="96">
      <c r="A96" s="32" t="inlineStr">
        <is>
          <t>352142-01-1-SVA</t>
        </is>
      </c>
      <c r="B96" s="33" t="inlineStr">
        <is>
          <t>352142-01-1-SVA (01) / VALIDITY CHECK OF CHEMICAL OXYGEN GENERATORS</t>
        </is>
      </c>
      <c r="C96" s="34" t="inlineStr">
        <is>
          <t>428</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2.4</v>
      </c>
      <c r="O96" s="42" t="inlineStr">
        <is>
          <t>35-21</t>
        </is>
      </c>
      <c r="P96" s="41" t="n">
        <v>48.5</v>
      </c>
      <c r="Q96" s="41" t="n">
        <v>241.6</v>
      </c>
    </row>
    <row r="97">
      <c r="A97" s="32" t="inlineStr">
        <is>
          <t>353000-06-1-SVA</t>
        </is>
      </c>
      <c r="B97" s="33" t="inlineStr">
        <is>
          <t>353000-06-1-SVA (03) / COCKPIT (PBE) INSPECTION</t>
        </is>
      </c>
      <c r="C97" s="34" t="inlineStr">
        <is>
          <t>429</t>
        </is>
      </c>
      <c r="D97" s="35" t="inlineStr">
        <is>
          <t>FLIGHT DECK</t>
        </is>
      </c>
      <c r="E97" s="36" t="inlineStr">
        <is>
          <t>Closed</t>
        </is>
      </c>
      <c r="F97" s="36" t="inlineStr">
        <is>
          <t>Normal</t>
        </is>
      </c>
      <c r="G97" s="35" t="inlineStr">
        <is>
          <t>JOINT</t>
        </is>
      </c>
      <c r="H97" s="37" t="n"/>
      <c r="I97" s="38" t="inlineStr">
        <is>
          <t>C/W</t>
        </is>
      </c>
      <c r="J97" s="36" t="inlineStr">
        <is>
          <t>N/A</t>
        </is>
      </c>
      <c r="K97" s="36" t="inlineStr">
        <is>
          <t>FWD</t>
        </is>
      </c>
      <c r="L97" s="39" t="n">
        <v>46223</v>
      </c>
      <c r="M97" s="40" t="n">
        <v>46223</v>
      </c>
      <c r="N97" s="41" t="n">
        <v>2.2</v>
      </c>
      <c r="O97" s="42" t="inlineStr">
        <is>
          <t>25-64</t>
        </is>
      </c>
      <c r="P97" s="41" t="n">
        <v>3.5</v>
      </c>
      <c r="Q97" s="41" t="n">
        <v>1.6</v>
      </c>
    </row>
    <row r="98">
      <c r="A98" s="32" t="inlineStr">
        <is>
          <t>353000-07-1</t>
        </is>
      </c>
      <c r="B98" s="33" t="inlineStr">
        <is>
          <t>353000-07-1 (4) / PORTABLE OXYGEN MASKS INSPECTION</t>
        </is>
      </c>
      <c r="C98" s="34" t="inlineStr">
        <is>
          <t>430</t>
        </is>
      </c>
      <c r="D98" s="35" t="inlineStr">
        <is>
          <t>GENERAL CABIN</t>
        </is>
      </c>
      <c r="E98" s="36" t="inlineStr">
        <is>
          <t>Closed</t>
        </is>
      </c>
      <c r="F98" s="36" t="inlineStr">
        <is>
          <t>Normal</t>
        </is>
      </c>
      <c r="G98" s="35" t="inlineStr">
        <is>
          <t>JOINT</t>
        </is>
      </c>
      <c r="H98" s="37" t="n"/>
      <c r="I98" s="38" t="inlineStr">
        <is>
          <t>C/W</t>
        </is>
      </c>
      <c r="J98" s="36" t="inlineStr">
        <is>
          <t>N/A</t>
        </is>
      </c>
      <c r="K98" s="36" t="inlineStr">
        <is>
          <t>JOINT</t>
        </is>
      </c>
      <c r="L98" s="39" t="n">
        <v>46222</v>
      </c>
      <c r="M98" s="40" t="n">
        <v>46222</v>
      </c>
      <c r="N98" s="41" t="n">
        <v>0.4</v>
      </c>
      <c r="O98" s="42" t="inlineStr">
        <is>
          <t>35-30</t>
        </is>
      </c>
      <c r="P98" s="41" t="n">
        <v>3.5</v>
      </c>
      <c r="Q98" s="41" t="n">
        <v>3.3</v>
      </c>
    </row>
    <row r="99">
      <c r="A99" s="32" t="inlineStr">
        <is>
          <t>383100-07-1</t>
        </is>
      </c>
      <c r="B99" s="33" t="inlineStr">
        <is>
          <t>383100-07-1 (07) / VACUUM TOILET SYSTEM CLEANING</t>
        </is>
      </c>
      <c r="C99" s="34" t="inlineStr">
        <is>
          <t>439</t>
        </is>
      </c>
      <c r="D99" s="35" t="inlineStr">
        <is>
          <t>LAVATORY</t>
        </is>
      </c>
      <c r="E99" s="36" t="inlineStr">
        <is>
          <t>Open</t>
        </is>
      </c>
      <c r="F99" s="36" t="inlineStr">
        <is>
          <t>Normal</t>
        </is>
      </c>
      <c r="G99" s="35" t="inlineStr">
        <is>
          <t>AP</t>
        </is>
      </c>
      <c r="H99" s="37" t="inlineStr">
        <is>
          <t>Requested</t>
        </is>
      </c>
      <c r="I99" s="38" t="inlineStr">
        <is>
          <t>OPEN UP</t>
        </is>
      </c>
      <c r="J99" s="36" t="inlineStr">
        <is>
          <t>N/A</t>
        </is>
      </c>
      <c r="K99" s="36" t="inlineStr">
        <is>
          <t>JOINT</t>
        </is>
      </c>
      <c r="L99" s="39" t="n"/>
      <c r="M99" s="40" t="n"/>
      <c r="N99" s="41" t="n">
        <v>10</v>
      </c>
      <c r="O99" s="42" t="inlineStr">
        <is>
          <t>38-31</t>
        </is>
      </c>
      <c r="P99" s="41" t="n"/>
      <c r="Q99" s="41" t="n"/>
    </row>
    <row r="100">
      <c r="A100" s="32" t="inlineStr">
        <is>
          <t>384242-01-1</t>
        </is>
      </c>
      <c r="B100" s="33" t="inlineStr">
        <is>
          <t>384242-01-1 (01) / WATER COMPRESSOR AIR FILTER R&amp;R</t>
        </is>
      </c>
      <c r="C100" s="34" t="inlineStr">
        <is>
          <t>442</t>
        </is>
      </c>
      <c r="D100" s="35" t="inlineStr">
        <is>
          <t>ACFT GENERAL T/C</t>
        </is>
      </c>
      <c r="E100" s="36" t="inlineStr">
        <is>
          <t>Open</t>
        </is>
      </c>
      <c r="F100" s="36" t="inlineStr">
        <is>
          <t>Normal</t>
        </is>
      </c>
      <c r="G100" s="35" t="inlineStr">
        <is>
          <t>AP</t>
        </is>
      </c>
      <c r="H100" s="37" t="inlineStr">
        <is>
          <t>Requested</t>
        </is>
      </c>
      <c r="I100" s="38" t="inlineStr">
        <is>
          <t>AP</t>
        </is>
      </c>
      <c r="J100" s="36" t="inlineStr">
        <is>
          <t>N/A</t>
        </is>
      </c>
      <c r="K100" s="36" t="inlineStr">
        <is>
          <t>JOINT</t>
        </is>
      </c>
      <c r="L100" s="39" t="n"/>
      <c r="M100" s="40" t="n"/>
      <c r="N100" s="41" t="n">
        <v>0.7</v>
      </c>
      <c r="O100" s="42" t="inlineStr">
        <is>
          <t>38-42</t>
        </is>
      </c>
      <c r="P100" s="41" t="n"/>
      <c r="Q100" s="41" t="n"/>
    </row>
    <row r="101">
      <c r="A101" s="32" t="inlineStr">
        <is>
          <t>521000-01-SVA</t>
        </is>
      </c>
      <c r="B101" s="33" t="inlineStr">
        <is>
          <t>521000-01-SVA (01) / FWD LH PASSENGER/CREW DOOR DAMPER AND EMERGENCY OPERATION CYLINDER DIAPHRAGM REPLACEMENT</t>
        </is>
      </c>
      <c r="C101" s="34" t="inlineStr">
        <is>
          <t>446</t>
        </is>
      </c>
      <c r="D101" s="35" t="inlineStr">
        <is>
          <t>PAX DOORS</t>
        </is>
      </c>
      <c r="E101" s="36" t="inlineStr">
        <is>
          <t>Open</t>
        </is>
      </c>
      <c r="F101" s="36" t="inlineStr">
        <is>
          <t>Normal</t>
        </is>
      </c>
      <c r="G101" s="35" t="inlineStr">
        <is>
          <t>CAB</t>
        </is>
      </c>
      <c r="H101" s="37" t="inlineStr">
        <is>
          <t>Requested</t>
        </is>
      </c>
      <c r="I101" s="38" t="inlineStr">
        <is>
          <t>CAB + INSP</t>
        </is>
      </c>
      <c r="J101" s="36" t="inlineStr">
        <is>
          <t>N/A</t>
        </is>
      </c>
      <c r="K101" s="36" t="inlineStr">
        <is>
          <t>FWD</t>
        </is>
      </c>
      <c r="L101" s="39" t="n"/>
      <c r="M101" s="40" t="n"/>
      <c r="N101" s="41" t="n">
        <v>1</v>
      </c>
      <c r="O101" s="42" t="inlineStr">
        <is>
          <t>52-10</t>
        </is>
      </c>
      <c r="P101" s="41" t="n">
        <v>22.5</v>
      </c>
      <c r="Q101" s="41" t="n">
        <v>43.1</v>
      </c>
    </row>
    <row r="102">
      <c r="A102" s="32" t="inlineStr">
        <is>
          <t>521000-02-1</t>
        </is>
      </c>
      <c r="B102" s="33" t="inlineStr">
        <is>
          <t>521000-02-1 (3) / PASSENGER/CREW DOOR SUSPENSION CHK</t>
        </is>
      </c>
      <c r="C102" s="34" t="inlineStr">
        <is>
          <t>447</t>
        </is>
      </c>
      <c r="D102" s="35" t="inlineStr">
        <is>
          <t>PAX DOORS</t>
        </is>
      </c>
      <c r="E102" s="36" t="inlineStr">
        <is>
          <t>Open</t>
        </is>
      </c>
      <c r="F102" s="36" t="inlineStr">
        <is>
          <t>Normal</t>
        </is>
      </c>
      <c r="G102" s="35" t="inlineStr">
        <is>
          <t>CAB</t>
        </is>
      </c>
      <c r="H102" s="37" t="n"/>
      <c r="I102" s="38" t="inlineStr">
        <is>
          <t>CAB + INSP</t>
        </is>
      </c>
      <c r="J102" s="36" t="inlineStr">
        <is>
          <t>N/A</t>
        </is>
      </c>
      <c r="K102" s="36" t="inlineStr">
        <is>
          <t>JOINT</t>
        </is>
      </c>
      <c r="L102" s="39" t="n"/>
      <c r="M102" s="40" t="n"/>
      <c r="N102" s="41" t="n">
        <v>0.5</v>
      </c>
      <c r="O102" s="42" t="inlineStr">
        <is>
          <t>52-10</t>
        </is>
      </c>
      <c r="P102" s="41" t="n">
        <v>9</v>
      </c>
      <c r="Q102" s="41" t="n">
        <v>45.6</v>
      </c>
    </row>
    <row r="103">
      <c r="A103" s="32" t="inlineStr">
        <is>
          <t>521000-02-SVA</t>
        </is>
      </c>
      <c r="B103" s="33" t="inlineStr">
        <is>
          <t>521000-02-SVA (01) / FWD RH PASSENGER/CREW DOOR DAMPER AND EMERGENCY OPERATION CYLINDER DIAPHRAGM REPLACEMENT</t>
        </is>
      </c>
      <c r="C103" s="34" t="inlineStr">
        <is>
          <t>448</t>
        </is>
      </c>
      <c r="D103" s="35" t="inlineStr">
        <is>
          <t>PAX DOORS</t>
        </is>
      </c>
      <c r="E103" s="36" t="inlineStr">
        <is>
          <t>Open</t>
        </is>
      </c>
      <c r="F103" s="36" t="inlineStr">
        <is>
          <t>Normal</t>
        </is>
      </c>
      <c r="G103" s="35" t="inlineStr">
        <is>
          <t>CAB</t>
        </is>
      </c>
      <c r="H103" s="37" t="inlineStr">
        <is>
          <t>Requested</t>
        </is>
      </c>
      <c r="I103" s="38" t="inlineStr">
        <is>
          <t>CAB + INSP</t>
        </is>
      </c>
      <c r="J103" s="36" t="inlineStr">
        <is>
          <t>N/A</t>
        </is>
      </c>
      <c r="K103" s="36" t="inlineStr">
        <is>
          <t>FWD</t>
        </is>
      </c>
      <c r="L103" s="39" t="n"/>
      <c r="M103" s="40" t="n"/>
      <c r="N103" s="41" t="n">
        <v>1</v>
      </c>
      <c r="O103" s="42" t="inlineStr">
        <is>
          <t>52-10</t>
        </is>
      </c>
      <c r="P103" s="41" t="n">
        <v>20.5</v>
      </c>
      <c r="Q103" s="41" t="n">
        <v>43.6</v>
      </c>
    </row>
    <row r="104">
      <c r="A104" s="32" t="inlineStr">
        <is>
          <t>521000-03-SVA</t>
        </is>
      </c>
      <c r="B104" s="33" t="inlineStr">
        <is>
          <t>521000-03-SVA (01) / AFT LH PASSENGER/CREW DOOR DAMPER AND EMERGENCY OPERATION CYLINDER DIAPHRAGM REPLACEMENT</t>
        </is>
      </c>
      <c r="C104" s="34" t="inlineStr">
        <is>
          <t>449</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AFT</t>
        </is>
      </c>
      <c r="L104" s="39" t="n"/>
      <c r="M104" s="40" t="n"/>
      <c r="N104" s="41" t="n">
        <v>5</v>
      </c>
      <c r="O104" s="42" t="inlineStr">
        <is>
          <t>52-10</t>
        </is>
      </c>
      <c r="P104" s="41" t="n"/>
      <c r="Q104" s="41" t="n"/>
    </row>
    <row r="105">
      <c r="A105" s="32" t="inlineStr">
        <is>
          <t>521000-04-1-001</t>
        </is>
      </c>
      <c r="B105" s="33" t="inlineStr">
        <is>
          <t>521000-04-1-001 (03) / L/H FWD PAX/CREW DOOR INTEGRITY CHK</t>
        </is>
      </c>
      <c r="C105" s="34" t="inlineStr">
        <is>
          <t>450</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FWD</t>
        </is>
      </c>
      <c r="L105" s="39" t="n"/>
      <c r="M105" s="40" t="n"/>
      <c r="N105" s="41" t="n">
        <v>1</v>
      </c>
      <c r="O105" s="42" t="inlineStr">
        <is>
          <t>52-10</t>
        </is>
      </c>
      <c r="P105" s="41" t="n">
        <v>8.5</v>
      </c>
      <c r="Q105" s="41" t="n">
        <v>20.1</v>
      </c>
    </row>
    <row r="106">
      <c r="A106" s="32" t="inlineStr">
        <is>
          <t>521000-04-1-002</t>
        </is>
      </c>
      <c r="B106" s="33" t="inlineStr">
        <is>
          <t>521000-04-1-002 (03) / R/H FWD PAX/CREW DOOR INTEGRITY CHK</t>
        </is>
      </c>
      <c r="C106" s="34" t="inlineStr">
        <is>
          <t>451</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4.5</v>
      </c>
      <c r="Q106" s="41" t="n">
        <v>12.6</v>
      </c>
    </row>
    <row r="107">
      <c r="A107" s="32" t="inlineStr">
        <is>
          <t>521000-04-1-003</t>
        </is>
      </c>
      <c r="B107" s="33" t="inlineStr">
        <is>
          <t>521000-04-1-003 (03) / L/H AFT PAX/CREW DOOR INTEGRITY CHK</t>
        </is>
      </c>
      <c r="C107" s="34" t="inlineStr">
        <is>
          <t>452</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AFT</t>
        </is>
      </c>
      <c r="L107" s="39" t="n"/>
      <c r="M107" s="40" t="n"/>
      <c r="N107" s="41" t="n">
        <v>1</v>
      </c>
      <c r="O107" s="42" t="inlineStr">
        <is>
          <t>52-10</t>
        </is>
      </c>
      <c r="P107" s="41" t="n">
        <v>5.5</v>
      </c>
      <c r="Q107" s="41" t="n">
        <v>20.1</v>
      </c>
    </row>
    <row r="108">
      <c r="A108" s="32" t="inlineStr">
        <is>
          <t>521000-04-1-004</t>
        </is>
      </c>
      <c r="B108" s="33" t="inlineStr">
        <is>
          <t>521000-04-1-004 (03) / R/H AFT PAX/CREW DOOR INTEGRITY CHK</t>
        </is>
      </c>
      <c r="C108" s="34" t="inlineStr">
        <is>
          <t>453</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4.5</v>
      </c>
      <c r="Q108" s="41" t="n">
        <v>20.1</v>
      </c>
    </row>
    <row r="109">
      <c r="A109" s="32" t="inlineStr">
        <is>
          <t>521000-04-SVA</t>
        </is>
      </c>
      <c r="B109" s="33" t="inlineStr">
        <is>
          <t>521000-04-SVA (01) / AFT RH PASSENGER/CREW DOOR DAMPER AND EMERGENCY OPERATION CYLINDER DIAPHRAGM REPLACEMENT</t>
        </is>
      </c>
      <c r="C109" s="34" t="inlineStr">
        <is>
          <t>454</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5</v>
      </c>
      <c r="O109" s="42" t="inlineStr">
        <is>
          <t>52-10</t>
        </is>
      </c>
      <c r="P109" s="41" t="n"/>
      <c r="Q109" s="41" t="n"/>
    </row>
    <row r="110">
      <c r="A110" s="32" t="inlineStr">
        <is>
          <t>521000-05-1</t>
        </is>
      </c>
      <c r="B110" s="33" t="inlineStr">
        <is>
          <t>521000-05-1 (4) / PAX/CREW DOOR LOCKING MECHANISM CHK</t>
        </is>
      </c>
      <c r="C110" s="34" t="inlineStr">
        <is>
          <t>455</t>
        </is>
      </c>
      <c r="D110" s="35" t="inlineStr">
        <is>
          <t>PAX DOORS</t>
        </is>
      </c>
      <c r="E110" s="36" t="inlineStr">
        <is>
          <t>Closed</t>
        </is>
      </c>
      <c r="F110" s="36" t="inlineStr">
        <is>
          <t>Normal</t>
        </is>
      </c>
      <c r="G110" s="35" t="inlineStr">
        <is>
          <t>CAB</t>
        </is>
      </c>
      <c r="H110" s="37" t="n"/>
      <c r="I110" s="38" t="inlineStr">
        <is>
          <t>CAB + INSP</t>
        </is>
      </c>
      <c r="J110" s="36" t="inlineStr">
        <is>
          <t>N/A</t>
        </is>
      </c>
      <c r="K110" s="36" t="inlineStr">
        <is>
          <t>JOINT</t>
        </is>
      </c>
      <c r="L110" s="39" t="n">
        <v>46229</v>
      </c>
      <c r="M110" s="40" t="n">
        <v>46229</v>
      </c>
      <c r="N110" s="41" t="n">
        <v>0.9</v>
      </c>
      <c r="O110" s="42" t="inlineStr">
        <is>
          <t>52-10</t>
        </is>
      </c>
      <c r="P110" s="41" t="n">
        <v>7.5</v>
      </c>
      <c r="Q110" s="41" t="n">
        <v>2.5</v>
      </c>
    </row>
    <row r="111">
      <c r="A111" s="32" t="inlineStr">
        <is>
          <t>521000-06-1</t>
        </is>
      </c>
      <c r="B111" s="33" t="inlineStr">
        <is>
          <t>521000-06-1 (4) / PASS/CRW DOOR EMER ESC SLIDE FUNCHK</t>
        </is>
      </c>
      <c r="C111" s="34" t="inlineStr">
        <is>
          <t>456</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1.8</v>
      </c>
      <c r="O111" s="42" t="inlineStr">
        <is>
          <t>52-10</t>
        </is>
      </c>
      <c r="P111" s="41" t="n">
        <v>8.5</v>
      </c>
      <c r="Q111" s="41" t="n">
        <v>3.4</v>
      </c>
    </row>
    <row r="112">
      <c r="A112" s="32" t="inlineStr">
        <is>
          <t>521000-07-1-001</t>
        </is>
      </c>
      <c r="B112" s="33" t="inlineStr">
        <is>
          <t>521000-07-1-001 (4) / FWRD L/H&amp;R/H PASS/CREW DOR AJAST CK</t>
        </is>
      </c>
      <c r="C112" s="34" t="inlineStr">
        <is>
          <t>457</t>
        </is>
      </c>
      <c r="D112" s="35" t="inlineStr">
        <is>
          <t>PAX DOORS</t>
        </is>
      </c>
      <c r="E112" s="36" t="inlineStr">
        <is>
          <t>Open</t>
        </is>
      </c>
      <c r="F112" s="36" t="inlineStr">
        <is>
          <t>Normal</t>
        </is>
      </c>
      <c r="G112" s="35" t="inlineStr">
        <is>
          <t>CAB</t>
        </is>
      </c>
      <c r="H112" s="37" t="n"/>
      <c r="I112" s="38" t="inlineStr">
        <is>
          <t>CAB + INSP</t>
        </is>
      </c>
      <c r="J112" s="36" t="inlineStr">
        <is>
          <t>N/A</t>
        </is>
      </c>
      <c r="K112" s="36" t="inlineStr">
        <is>
          <t>FWD</t>
        </is>
      </c>
      <c r="L112" s="39" t="n"/>
      <c r="M112" s="40" t="n"/>
      <c r="N112" s="41" t="n">
        <v>0.4</v>
      </c>
      <c r="O112" s="42" t="inlineStr">
        <is>
          <t>52-10</t>
        </is>
      </c>
      <c r="P112" s="41" t="n">
        <v>7.5</v>
      </c>
      <c r="Q112" s="41" t="n">
        <v>93.40000000000001</v>
      </c>
    </row>
    <row r="113">
      <c r="A113" s="32" t="inlineStr">
        <is>
          <t>521000-07-1-002</t>
        </is>
      </c>
      <c r="B113" s="33" t="inlineStr">
        <is>
          <t>521000-07-1-002 (5) / AFT PASS/CREW DOORS ADJUSTMENT CHK</t>
        </is>
      </c>
      <c r="C113" s="34" t="inlineStr">
        <is>
          <t>458</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AFT</t>
        </is>
      </c>
      <c r="L113" s="39" t="n"/>
      <c r="M113" s="40" t="n"/>
      <c r="N113" s="41" t="n">
        <v>0.4</v>
      </c>
      <c r="O113" s="42" t="inlineStr">
        <is>
          <t>52-10</t>
        </is>
      </c>
      <c r="P113" s="41" t="n">
        <v>11.5</v>
      </c>
      <c r="Q113" s="41" t="n">
        <v>93.3</v>
      </c>
    </row>
    <row r="114">
      <c r="A114" s="32" t="inlineStr">
        <is>
          <t>521000-08-1</t>
        </is>
      </c>
      <c r="B114" s="33" t="inlineStr">
        <is>
          <t>521000-08-1 (5) / PASS/CREW DOORS INTRLK MECHANISM OPC</t>
        </is>
      </c>
      <c r="C114" s="34" t="inlineStr">
        <is>
          <t>459</t>
        </is>
      </c>
      <c r="D114" s="35" t="inlineStr">
        <is>
          <t>PAX DOORS</t>
        </is>
      </c>
      <c r="E114" s="36" t="inlineStr">
        <is>
          <t>Closed</t>
        </is>
      </c>
      <c r="F114" s="36" t="inlineStr">
        <is>
          <t>Normal</t>
        </is>
      </c>
      <c r="G114" s="35" t="inlineStr">
        <is>
          <t>CAB</t>
        </is>
      </c>
      <c r="H114" s="37" t="n"/>
      <c r="I114" s="38" t="inlineStr">
        <is>
          <t>CAB + INSP</t>
        </is>
      </c>
      <c r="J114" s="36" t="inlineStr">
        <is>
          <t>N/A</t>
        </is>
      </c>
      <c r="K114" s="36" t="inlineStr">
        <is>
          <t>JOINT</t>
        </is>
      </c>
      <c r="L114" s="39" t="n">
        <v>46229</v>
      </c>
      <c r="M114" s="40" t="n">
        <v>46229</v>
      </c>
      <c r="N114" s="41" t="n">
        <v>0.9</v>
      </c>
      <c r="O114" s="42" t="inlineStr">
        <is>
          <t>52-10</t>
        </is>
      </c>
      <c r="P114" s="41" t="n">
        <v>11.5</v>
      </c>
      <c r="Q114" s="41" t="n">
        <v>3.9</v>
      </c>
    </row>
    <row r="115">
      <c r="A115" s="32" t="inlineStr">
        <is>
          <t>521000-09-1</t>
        </is>
      </c>
      <c r="B115" s="33" t="inlineStr">
        <is>
          <t>521000-09-1 (6) / PASS/CREW DOOR MECH LOCK IND FUN CHK</t>
        </is>
      </c>
      <c r="C115" s="34" t="inlineStr">
        <is>
          <t>460</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7.5</v>
      </c>
      <c r="Q115" s="41" t="n">
        <v>4.6</v>
      </c>
    </row>
    <row r="116">
      <c r="A116" s="32" t="inlineStr">
        <is>
          <t>521000-10-1</t>
        </is>
      </c>
      <c r="B116" s="33" t="inlineStr">
        <is>
          <t>521000-10-1 (6) / PASS/CREW DOOR DAMPING FUNC CHECK</t>
        </is>
      </c>
      <c r="C116" s="34" t="inlineStr">
        <is>
          <t>461</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0.4</v>
      </c>
      <c r="O116" s="42" t="inlineStr">
        <is>
          <t>52-10</t>
        </is>
      </c>
      <c r="P116" s="41" t="n">
        <v>8</v>
      </c>
      <c r="Q116" s="41" t="n">
        <v>5.4</v>
      </c>
    </row>
    <row r="117">
      <c r="A117" s="32" t="inlineStr">
        <is>
          <t>521000-11-1</t>
        </is>
      </c>
      <c r="B117" s="33" t="inlineStr">
        <is>
          <t>521000-11-1 (6) / PASS/CREW DOORS STRIKERS MECHNSM OP</t>
        </is>
      </c>
      <c r="C117" s="34" t="inlineStr">
        <is>
          <t>462</t>
        </is>
      </c>
      <c r="D117" s="35" t="inlineStr">
        <is>
          <t>PAX DOORS</t>
        </is>
      </c>
      <c r="E117" s="36" t="inlineStr">
        <is>
          <t>Open</t>
        </is>
      </c>
      <c r="F117" s="36" t="inlineStr">
        <is>
          <t>Normal</t>
        </is>
      </c>
      <c r="G117" s="35" t="inlineStr">
        <is>
          <t>CAB</t>
        </is>
      </c>
      <c r="H117" s="37" t="inlineStr">
        <is>
          <t>Requested</t>
        </is>
      </c>
      <c r="I117" s="38" t="inlineStr">
        <is>
          <t>CAB + INSP</t>
        </is>
      </c>
      <c r="J117" s="36" t="inlineStr">
        <is>
          <t>N/A</t>
        </is>
      </c>
      <c r="K117" s="36" t="inlineStr">
        <is>
          <t>JOINT</t>
        </is>
      </c>
      <c r="L117" s="39" t="n"/>
      <c r="M117" s="40" t="n"/>
      <c r="N117" s="41" t="n">
        <v>1.5</v>
      </c>
      <c r="O117" s="42" t="inlineStr">
        <is>
          <t>52-10</t>
        </is>
      </c>
      <c r="P117" s="41" t="n"/>
      <c r="Q117" s="41" t="n"/>
    </row>
    <row r="118">
      <c r="A118" s="32" t="inlineStr">
        <is>
          <t>521000-12-1</t>
        </is>
      </c>
      <c r="B118" s="33" t="inlineStr">
        <is>
          <t>521000-12-1 (6) / PASS/CREW DOOR ESCAB SLIDE DIS OPC</t>
        </is>
      </c>
      <c r="C118" s="34" t="inlineStr">
        <is>
          <t>463</t>
        </is>
      </c>
      <c r="D118" s="35" t="inlineStr">
        <is>
          <t>PAX DOORS</t>
        </is>
      </c>
      <c r="E118" s="36" t="inlineStr">
        <is>
          <t>Closed</t>
        </is>
      </c>
      <c r="F118" s="36" t="inlineStr">
        <is>
          <t>Normal</t>
        </is>
      </c>
      <c r="G118" s="35" t="inlineStr">
        <is>
          <t>CAB</t>
        </is>
      </c>
      <c r="H118" s="37" t="inlineStr">
        <is>
          <t>Requested</t>
        </is>
      </c>
      <c r="I118" s="38" t="inlineStr">
        <is>
          <t>CAB + INSP</t>
        </is>
      </c>
      <c r="J118" s="36" t="inlineStr">
        <is>
          <t>N/A</t>
        </is>
      </c>
      <c r="K118" s="36" t="inlineStr">
        <is>
          <t>JOINT</t>
        </is>
      </c>
      <c r="L118" s="39" t="n">
        <v>46229</v>
      </c>
      <c r="M118" s="40" t="n">
        <v>46229</v>
      </c>
      <c r="N118" s="41" t="n">
        <v>0.4</v>
      </c>
      <c r="O118" s="42" t="inlineStr">
        <is>
          <t>52-10</t>
        </is>
      </c>
      <c r="P118" s="41" t="n">
        <v>16</v>
      </c>
      <c r="Q118" s="41" t="n">
        <v>47</v>
      </c>
    </row>
    <row r="119">
      <c r="A119" s="32" t="inlineStr">
        <is>
          <t>521000-18-1</t>
        </is>
      </c>
      <c r="B119" s="33" t="inlineStr">
        <is>
          <t>521000-18-1 (3) / FUNCTIONAL CHECK OF ESCAPE SLIDE DISARMING WHEN DOOR IS OPENED FROM OUTSIDE.</t>
        </is>
      </c>
      <c r="C119" s="34" t="inlineStr">
        <is>
          <t>464</t>
        </is>
      </c>
      <c r="D119" s="35" t="inlineStr">
        <is>
          <t>PAX DOORS</t>
        </is>
      </c>
      <c r="E119" s="36" t="inlineStr">
        <is>
          <t>Closed</t>
        </is>
      </c>
      <c r="F119" s="36" t="inlineStr">
        <is>
          <t>Normal</t>
        </is>
      </c>
      <c r="G119" s="35" t="inlineStr">
        <is>
          <t>CAB</t>
        </is>
      </c>
      <c r="H119" s="37" t="n"/>
      <c r="I119" s="38" t="inlineStr">
        <is>
          <t>CAB + INSP</t>
        </is>
      </c>
      <c r="J119" s="36" t="inlineStr">
        <is>
          <t>N/A</t>
        </is>
      </c>
      <c r="K119" s="36" t="inlineStr">
        <is>
          <t>JOINT</t>
        </is>
      </c>
      <c r="L119" s="39" t="n">
        <v>46229</v>
      </c>
      <c r="M119" s="40" t="n">
        <v>46229</v>
      </c>
      <c r="N119" s="41" t="n">
        <v>3.7</v>
      </c>
      <c r="O119" s="42" t="inlineStr">
        <is>
          <t>52-10</t>
        </is>
      </c>
      <c r="P119" s="41" t="n">
        <v>12.5</v>
      </c>
      <c r="Q119" s="41" t="n">
        <v>47.5</v>
      </c>
    </row>
    <row r="120">
      <c r="A120" s="32" t="inlineStr">
        <is>
          <t>521121-02-1</t>
        </is>
      </c>
      <c r="B120" s="33" t="inlineStr">
        <is>
          <t>521121-02-1 (4) / PASSENGER/CREW DOORS LUBRICATION</t>
        </is>
      </c>
      <c r="C120" s="34" t="inlineStr">
        <is>
          <t>465</t>
        </is>
      </c>
      <c r="D120" s="35" t="inlineStr">
        <is>
          <t>PAX DOORS</t>
        </is>
      </c>
      <c r="E120" s="36" t="inlineStr">
        <is>
          <t>Open</t>
        </is>
      </c>
      <c r="F120" s="36" t="inlineStr">
        <is>
          <t>Normal</t>
        </is>
      </c>
      <c r="G120" s="35" t="inlineStr">
        <is>
          <t>CAB</t>
        </is>
      </c>
      <c r="H120" s="37" t="inlineStr">
        <is>
          <t>Requested</t>
        </is>
      </c>
      <c r="I120" s="38" t="inlineStr">
        <is>
          <t>CAB + INSP</t>
        </is>
      </c>
      <c r="J120" s="36" t="inlineStr">
        <is>
          <t>N/A</t>
        </is>
      </c>
      <c r="K120" s="36" t="inlineStr">
        <is>
          <t>JOINT</t>
        </is>
      </c>
      <c r="L120" s="39" t="n"/>
      <c r="M120" s="40" t="n"/>
      <c r="N120" s="41" t="n">
        <v>0.9</v>
      </c>
      <c r="O120" s="42" t="inlineStr">
        <is>
          <t>12-22</t>
        </is>
      </c>
      <c r="P120" s="41" t="n"/>
      <c r="Q120" s="41" t="n"/>
    </row>
    <row r="121">
      <c r="A121" s="32" t="inlineStr">
        <is>
          <t>522100-01-1</t>
        </is>
      </c>
      <c r="B121" s="33" t="inlineStr">
        <is>
          <t>522100-01-1 (02) / PAX EMER EXIT OPENING FROM INSIDE</t>
        </is>
      </c>
      <c r="C121" s="34" t="inlineStr">
        <is>
          <t>466</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3.5</v>
      </c>
      <c r="O121" s="42" t="inlineStr">
        <is>
          <t>52-21</t>
        </is>
      </c>
      <c r="P121" s="41" t="n"/>
      <c r="Q121" s="41" t="n"/>
    </row>
    <row r="122">
      <c r="A122" s="32" t="inlineStr">
        <is>
          <t>522100-02-5</t>
        </is>
      </c>
      <c r="B122" s="33" t="inlineStr">
        <is>
          <t>522100-02-5 (04) / PASSENGER COMP EMERGENCY EXIT FNC</t>
        </is>
      </c>
      <c r="C122" s="34" t="inlineStr">
        <is>
          <t>467</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522100-07-5</t>
        </is>
      </c>
      <c r="B123" s="33" t="inlineStr">
        <is>
          <t>522100-07-5 (03) / EMERGENCY EXIT HATCH OPERATION</t>
        </is>
      </c>
      <c r="C123" s="34" t="inlineStr">
        <is>
          <t>468</t>
        </is>
      </c>
      <c r="D123" s="35" t="inlineStr">
        <is>
          <t>PAX DOORS</t>
        </is>
      </c>
      <c r="E123" s="36" t="inlineStr">
        <is>
          <t>Open</t>
        </is>
      </c>
      <c r="F123" s="36" t="inlineStr">
        <is>
          <t>Normal</t>
        </is>
      </c>
      <c r="G123" s="35" t="inlineStr">
        <is>
          <t>AP</t>
        </is>
      </c>
      <c r="H123" s="37" t="inlineStr">
        <is>
          <t>Requested</t>
        </is>
      </c>
      <c r="I123" s="38" t="inlineStr">
        <is>
          <t>AP + INSP</t>
        </is>
      </c>
      <c r="J123" s="36" t="inlineStr">
        <is>
          <t>N/A</t>
        </is>
      </c>
      <c r="K123" s="36" t="inlineStr">
        <is>
          <t>FWD</t>
        </is>
      </c>
      <c r="L123" s="39" t="n"/>
      <c r="M123" s="40" t="n"/>
      <c r="N123" s="41" t="n">
        <v>3.5</v>
      </c>
      <c r="O123" s="42" t="inlineStr">
        <is>
          <t>52-21</t>
        </is>
      </c>
      <c r="P123" s="41" t="n"/>
      <c r="Q123" s="41" t="n"/>
    </row>
    <row r="124">
      <c r="A124" s="32" t="inlineStr">
        <is>
          <t>522100-08-1</t>
        </is>
      </c>
      <c r="B124" s="33" t="inlineStr">
        <is>
          <t>522100-08-1 (02) / PASSENGER COMPT EMERGENCY EXIT OPC</t>
        </is>
      </c>
      <c r="C124" s="34" t="inlineStr">
        <is>
          <t>469</t>
        </is>
      </c>
      <c r="D124" s="35" t="inlineStr">
        <is>
          <t>PAX DOORS</t>
        </is>
      </c>
      <c r="E124" s="36" t="inlineStr">
        <is>
          <t>Open</t>
        </is>
      </c>
      <c r="F124" s="36" t="inlineStr">
        <is>
          <t>Normal</t>
        </is>
      </c>
      <c r="G124" s="35" t="inlineStr">
        <is>
          <t>JOINT</t>
        </is>
      </c>
      <c r="H124" s="37" t="n"/>
      <c r="I124" s="38" t="inlineStr">
        <is>
          <t>CAB + INSP</t>
        </is>
      </c>
      <c r="J124" s="36" t="inlineStr">
        <is>
          <t>N/A</t>
        </is>
      </c>
      <c r="K124" s="36" t="inlineStr">
        <is>
          <t>JOINT</t>
        </is>
      </c>
      <c r="L124" s="39" t="n"/>
      <c r="M124" s="40" t="n"/>
      <c r="N124" s="41" t="n">
        <v>3.5</v>
      </c>
      <c r="O124" s="42" t="inlineStr">
        <is>
          <t>52-21</t>
        </is>
      </c>
      <c r="P124" s="41" t="n"/>
      <c r="Q124" s="41" t="n"/>
    </row>
    <row r="125">
      <c r="A125" s="32" t="inlineStr">
        <is>
          <t>525111-01-1</t>
        </is>
      </c>
      <c r="B125" s="33" t="inlineStr">
        <is>
          <t>525111-01-1 (3) / COCKPIT DOOR LOCKING SYS MECH PARTS INSP</t>
        </is>
      </c>
      <c r="C125" s="34" t="inlineStr">
        <is>
          <t>473</t>
        </is>
      </c>
      <c r="D125" s="35" t="inlineStr">
        <is>
          <t>FLIGHT DECK</t>
        </is>
      </c>
      <c r="E125" s="36" t="inlineStr">
        <is>
          <t>Closed</t>
        </is>
      </c>
      <c r="F125" s="36" t="inlineStr">
        <is>
          <t>Normal</t>
        </is>
      </c>
      <c r="G125" s="35" t="inlineStr">
        <is>
          <t>JOINT</t>
        </is>
      </c>
      <c r="H125" s="37" t="n"/>
      <c r="I125" s="38" t="inlineStr">
        <is>
          <t>CAB + INSP</t>
        </is>
      </c>
      <c r="J125" s="36" t="inlineStr">
        <is>
          <t>N/A</t>
        </is>
      </c>
      <c r="K125" s="36" t="inlineStr">
        <is>
          <t>FWD</t>
        </is>
      </c>
      <c r="L125" s="39" t="n">
        <v>46224</v>
      </c>
      <c r="M125" s="40" t="n">
        <v>46224</v>
      </c>
      <c r="N125" s="41" t="n">
        <v>0.6</v>
      </c>
      <c r="O125" s="42" t="inlineStr">
        <is>
          <t>52-51</t>
        </is>
      </c>
      <c r="P125" s="41" t="n">
        <v>7.8</v>
      </c>
      <c r="Q125" s="41" t="n">
        <v>3.9</v>
      </c>
    </row>
    <row r="126">
      <c r="A126" s="32" t="inlineStr">
        <is>
          <t>525111-02-1</t>
        </is>
      </c>
      <c r="B126" s="33" t="inlineStr">
        <is>
          <t>525111-02-1 (3) / COCKPIT DOOR PRESS SENSING CHANNELS</t>
        </is>
      </c>
      <c r="C126" s="34" t="inlineStr">
        <is>
          <t>474</t>
        </is>
      </c>
      <c r="D126" s="35" t="inlineStr">
        <is>
          <t>FLIGHT DECK</t>
        </is>
      </c>
      <c r="E126" s="36" t="inlineStr">
        <is>
          <t>Closed</t>
        </is>
      </c>
      <c r="F126" s="36" t="inlineStr">
        <is>
          <t>Normal</t>
        </is>
      </c>
      <c r="G126" s="35" t="inlineStr">
        <is>
          <t>AV</t>
        </is>
      </c>
      <c r="H126" s="37" t="n"/>
      <c r="I126" s="38" t="inlineStr">
        <is>
          <t>AV + INSP</t>
        </is>
      </c>
      <c r="J126" s="36" t="inlineStr">
        <is>
          <t>N/A</t>
        </is>
      </c>
      <c r="K126" s="36" t="inlineStr">
        <is>
          <t>FWD</t>
        </is>
      </c>
      <c r="L126" s="39" t="n">
        <v>46225</v>
      </c>
      <c r="M126" s="40" t="n">
        <v>46225</v>
      </c>
      <c r="N126" s="41" t="n">
        <v>0.3</v>
      </c>
      <c r="O126" s="42" t="inlineStr">
        <is>
          <t>52-51</t>
        </is>
      </c>
      <c r="P126" s="41" t="n">
        <v>4.8</v>
      </c>
      <c r="Q126" s="41" t="n">
        <v>3</v>
      </c>
    </row>
    <row r="127">
      <c r="A127" s="32" t="inlineStr">
        <is>
          <t>525111-03-1</t>
        </is>
      </c>
      <c r="B127" s="33" t="inlineStr">
        <is>
          <t>525111-03-1 (4) / COCKPIT DOOR MANUAL SWITCH OVER OPS</t>
        </is>
      </c>
      <c r="C127" s="34" t="inlineStr">
        <is>
          <t>475</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46229</v>
      </c>
      <c r="M127" s="40" t="n">
        <v>46229</v>
      </c>
      <c r="N127" s="41" t="n">
        <v>0.4</v>
      </c>
      <c r="O127" s="42" t="inlineStr">
        <is>
          <t>52-51</t>
        </is>
      </c>
      <c r="P127" s="41" t="n">
        <v>4</v>
      </c>
      <c r="Q127" s="41" t="n">
        <v>2</v>
      </c>
    </row>
    <row r="128">
      <c r="A128" s="32" t="inlineStr">
        <is>
          <t>525111-04-1</t>
        </is>
      </c>
      <c r="B128" s="33" t="inlineStr">
        <is>
          <t>525111-04-1 (3) / COCKPIT DOOR OPENING WITH POWER OFF</t>
        </is>
      </c>
      <c r="C128" s="34" t="inlineStr">
        <is>
          <t>476</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46225</v>
      </c>
      <c r="M128" s="40" t="n">
        <v>46225</v>
      </c>
      <c r="N128" s="41" t="n">
        <v>0.1</v>
      </c>
      <c r="O128" s="42" t="inlineStr">
        <is>
          <t>52-51</t>
        </is>
      </c>
      <c r="P128" s="41" t="n">
        <v>4.5</v>
      </c>
      <c r="Q128" s="41" t="n">
        <v>3.1</v>
      </c>
    </row>
    <row r="129">
      <c r="A129" s="32" t="inlineStr">
        <is>
          <t>525111-05-1</t>
        </is>
      </c>
      <c r="B129" s="33" t="inlineStr">
        <is>
          <t>525111-05-1 (3) / COCKPIT DOOR OPENING BY EMERG CODE</t>
        </is>
      </c>
      <c r="C129" s="34" t="inlineStr">
        <is>
          <t>477</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46229</v>
      </c>
      <c r="M129" s="40" t="n">
        <v>46229</v>
      </c>
      <c r="N129" s="41" t="n">
        <v>0.1</v>
      </c>
      <c r="O129" s="42" t="inlineStr">
        <is>
          <t>52-51</t>
        </is>
      </c>
      <c r="P129" s="41" t="n">
        <v>4</v>
      </c>
      <c r="Q129" s="41" t="n">
        <v>2</v>
      </c>
    </row>
    <row r="130">
      <c r="A130" s="32" t="inlineStr">
        <is>
          <t>527100-01-1</t>
        </is>
      </c>
      <c r="B130" s="33" t="inlineStr">
        <is>
          <t>527100-01-1 (6) / DOOR WARNING SYSTEM OPERATIONAL TEST</t>
        </is>
      </c>
      <c r="C130" s="34" t="inlineStr">
        <is>
          <t>478</t>
        </is>
      </c>
      <c r="D130" s="35" t="inlineStr">
        <is>
          <t>PAX DOORS</t>
        </is>
      </c>
      <c r="E130" s="36" t="inlineStr">
        <is>
          <t>Closed</t>
        </is>
      </c>
      <c r="F130" s="36" t="inlineStr">
        <is>
          <t>Normal</t>
        </is>
      </c>
      <c r="G130" s="35" t="inlineStr">
        <is>
          <t>AV</t>
        </is>
      </c>
      <c r="H130" s="37" t="n"/>
      <c r="I130" s="38" t="inlineStr">
        <is>
          <t>AV</t>
        </is>
      </c>
      <c r="J130" s="36" t="inlineStr">
        <is>
          <t>N/A</t>
        </is>
      </c>
      <c r="K130" s="36" t="inlineStr">
        <is>
          <t>JOINT</t>
        </is>
      </c>
      <c r="L130" s="39" t="n">
        <v>46229</v>
      </c>
      <c r="M130" s="40" t="n">
        <v>46229</v>
      </c>
      <c r="N130" s="41" t="n">
        <v>0.1</v>
      </c>
      <c r="O130" s="42" t="inlineStr">
        <is>
          <t>52-71</t>
        </is>
      </c>
      <c r="P130" s="41" t="n">
        <v>6</v>
      </c>
      <c r="Q130" s="41" t="n">
        <v>3</v>
      </c>
    </row>
    <row r="131">
      <c r="A131" s="32" t="inlineStr">
        <is>
          <t>527300-01-1</t>
        </is>
      </c>
      <c r="B131" s="33" t="inlineStr">
        <is>
          <t>527300-01-1 (04) / EMERGENCY ESCAPE SLIDE WARNING SYS</t>
        </is>
      </c>
      <c r="C131" s="34" t="inlineStr">
        <is>
          <t>479</t>
        </is>
      </c>
      <c r="D131" s="35" t="inlineStr">
        <is>
          <t>PAX DOORS</t>
        </is>
      </c>
      <c r="E131" s="36" t="inlineStr">
        <is>
          <t>Open</t>
        </is>
      </c>
      <c r="F131" s="36" t="inlineStr">
        <is>
          <t>Normal</t>
        </is>
      </c>
      <c r="G131" s="35" t="inlineStr">
        <is>
          <t>AV</t>
        </is>
      </c>
      <c r="H131" s="37" t="n"/>
      <c r="I131" s="38" t="inlineStr">
        <is>
          <t>AV + INSP</t>
        </is>
      </c>
      <c r="J131" s="36" t="inlineStr">
        <is>
          <t>N/A</t>
        </is>
      </c>
      <c r="K131" s="36" t="inlineStr">
        <is>
          <t>JOINT</t>
        </is>
      </c>
      <c r="L131" s="39" t="n"/>
      <c r="M131" s="40" t="n"/>
      <c r="N131" s="41" t="n">
        <v>0.2</v>
      </c>
      <c r="O131" s="42" t="inlineStr">
        <is>
          <t>52-73</t>
        </is>
      </c>
      <c r="P131" s="41" t="n"/>
      <c r="Q131" s="41" t="n"/>
    </row>
    <row r="132">
      <c r="A132" s="32" t="inlineStr">
        <is>
          <t>527300-02-1</t>
        </is>
      </c>
      <c r="B132" s="33" t="inlineStr">
        <is>
          <t>527300-02-1 (3) / EMERGENCY ESCAPE SLIDE RELEASE AND OVERPRESSURE WARNING SYSTEMS</t>
        </is>
      </c>
      <c r="C132" s="34" t="inlineStr">
        <is>
          <t>480</t>
        </is>
      </c>
      <c r="D132" s="35" t="inlineStr">
        <is>
          <t>PAX DOORS</t>
        </is>
      </c>
      <c r="E132" s="36" t="inlineStr">
        <is>
          <t>Closed</t>
        </is>
      </c>
      <c r="F132" s="36" t="inlineStr">
        <is>
          <t>Normal</t>
        </is>
      </c>
      <c r="G132" s="35" t="inlineStr">
        <is>
          <t>AV</t>
        </is>
      </c>
      <c r="H132" s="37" t="n"/>
      <c r="I132" s="38" t="inlineStr">
        <is>
          <t>AV + INSP</t>
        </is>
      </c>
      <c r="J132" s="36" t="inlineStr">
        <is>
          <t>N/A</t>
        </is>
      </c>
      <c r="K132" s="36" t="inlineStr">
        <is>
          <t>JOINT</t>
        </is>
      </c>
      <c r="L132" s="39" t="n">
        <v>46226</v>
      </c>
      <c r="M132" s="40" t="n">
        <v>46226</v>
      </c>
      <c r="N132" s="41" t="n">
        <v>0.2</v>
      </c>
      <c r="O132" s="42" t="inlineStr">
        <is>
          <t>52-73</t>
        </is>
      </c>
      <c r="P132" s="41" t="n">
        <v>10</v>
      </c>
      <c r="Q132" s="41" t="n">
        <v>4.2</v>
      </c>
    </row>
    <row r="133">
      <c r="A133" s="32" t="inlineStr">
        <is>
          <t>531151-02-1</t>
        </is>
      </c>
      <c r="B133" s="33" t="inlineStr">
        <is>
          <t>531151-02-1 (1) / DETAILED INSPECTION OF DOOR STOP FITTINGS PROTRUDING PART NOT COVERED BY THE LINING ON FRAME 16 AND FRAME 20, LH/RH.</t>
        </is>
      </c>
      <c r="C133" s="34" t="inlineStr">
        <is>
          <t>481</t>
        </is>
      </c>
      <c r="D133" s="35" t="inlineStr">
        <is>
          <t>PAX DOORS</t>
        </is>
      </c>
      <c r="E133" s="36" t="inlineStr">
        <is>
          <t>Open</t>
        </is>
      </c>
      <c r="F133" s="36" t="inlineStr">
        <is>
          <t>Normal</t>
        </is>
      </c>
      <c r="G133" s="35" t="inlineStr">
        <is>
          <t>JOINT</t>
        </is>
      </c>
      <c r="H133" s="37" t="inlineStr">
        <is>
          <t>Requested</t>
        </is>
      </c>
      <c r="I133" s="38" t="inlineStr">
        <is>
          <t>CAB + INSP</t>
        </is>
      </c>
      <c r="J133" s="36" t="inlineStr">
        <is>
          <t>N/A</t>
        </is>
      </c>
      <c r="K133" s="36" t="inlineStr">
        <is>
          <t>JOINT</t>
        </is>
      </c>
      <c r="L133" s="39" t="n"/>
      <c r="M133" s="40" t="n"/>
      <c r="N133" s="41" t="n">
        <v>0.2</v>
      </c>
      <c r="O133" s="42" t="inlineStr">
        <is>
          <t>53-11</t>
        </is>
      </c>
      <c r="P133" s="41" t="n">
        <v>2</v>
      </c>
      <c r="Q133" s="41" t="n">
        <v>97.09999999999999</v>
      </c>
    </row>
    <row r="134">
      <c r="A134" s="32" t="inlineStr">
        <is>
          <t>531176-02-1</t>
        </is>
      </c>
      <c r="B134" s="33" t="inlineStr">
        <is>
          <t>531176-02-1 (1) / GVI OF COCKPIT SIDE WINDOWS, EXTERNAL VISIBLE PORTION OF FRAMEWORK, BETWEEN FR 4 AND FR 12, LH/RH.</t>
        </is>
      </c>
      <c r="C134" s="34" t="inlineStr">
        <is>
          <t>482</t>
        </is>
      </c>
      <c r="D134" s="35" t="inlineStr">
        <is>
          <t>FLIGHT DECK</t>
        </is>
      </c>
      <c r="E134" s="36" t="inlineStr">
        <is>
          <t>Closed</t>
        </is>
      </c>
      <c r="F134" s="36" t="inlineStr">
        <is>
          <t>Normal</t>
        </is>
      </c>
      <c r="G134" s="35" t="inlineStr">
        <is>
          <t>AP</t>
        </is>
      </c>
      <c r="H134" s="37" t="n"/>
      <c r="I134" s="38" t="inlineStr">
        <is>
          <t>AP + INSP</t>
        </is>
      </c>
      <c r="J134" s="36" t="inlineStr">
        <is>
          <t>N/A</t>
        </is>
      </c>
      <c r="K134" s="36" t="inlineStr">
        <is>
          <t>FWD</t>
        </is>
      </c>
      <c r="L134" s="39" t="n">
        <v>46229</v>
      </c>
      <c r="M134" s="40" t="n">
        <v>46229</v>
      </c>
      <c r="N134" s="41" t="n">
        <v>0.4</v>
      </c>
      <c r="O134" s="42" t="inlineStr">
        <is>
          <t>53-11</t>
        </is>
      </c>
      <c r="P134" s="41" t="n">
        <v>2.2</v>
      </c>
      <c r="Q134" s="41" t="n">
        <v>7.2</v>
      </c>
    </row>
    <row r="135">
      <c r="A135" s="32" t="inlineStr">
        <is>
          <t>531178-02-1</t>
        </is>
      </c>
      <c r="B135" s="33" t="inlineStr">
        <is>
          <t>531178-02-1 (3) / GENERAL VISUAL INSPECTION OF COCKPIT WINDSHIELD, EXTERNAL VISIBLE PORTION OF RETAINERS.</t>
        </is>
      </c>
      <c r="C135" s="34" t="inlineStr">
        <is>
          <t>483</t>
        </is>
      </c>
      <c r="D135" s="35" t="inlineStr">
        <is>
          <t>FLIGHT DECK</t>
        </is>
      </c>
      <c r="E135" s="36" t="inlineStr">
        <is>
          <t>Open</t>
        </is>
      </c>
      <c r="F135" s="36" t="inlineStr">
        <is>
          <t>Normal</t>
        </is>
      </c>
      <c r="G135" s="35" t="inlineStr">
        <is>
          <t>AP</t>
        </is>
      </c>
      <c r="H135" s="37" t="inlineStr">
        <is>
          <t>Requested</t>
        </is>
      </c>
      <c r="I135" s="38" t="inlineStr">
        <is>
          <t>AP + INSP</t>
        </is>
      </c>
      <c r="J135" s="36" t="inlineStr">
        <is>
          <t>N/A</t>
        </is>
      </c>
      <c r="K135" s="36" t="inlineStr">
        <is>
          <t>FWD</t>
        </is>
      </c>
      <c r="L135" s="39" t="n"/>
      <c r="M135" s="40" t="n"/>
      <c r="N135" s="41" t="n">
        <v>2.3</v>
      </c>
      <c r="O135" s="42" t="inlineStr">
        <is>
          <t>53-11</t>
        </is>
      </c>
      <c r="P135" s="41" t="n">
        <v>11</v>
      </c>
      <c r="Q135" s="41" t="n">
        <v>25.5</v>
      </c>
    </row>
    <row r="136">
      <c r="A136" s="32" t="inlineStr">
        <is>
          <t>531182-02-1</t>
        </is>
      </c>
      <c r="B136" s="33" t="inlineStr">
        <is>
          <t>531182-02-1 (1) / DET INSP OF SLIDING WINDOW FRAME, UPPER AND LOWER FRAMES AND FR4 &amp; FR8 FRAMES, INTERNAL STR FROM FR4 TO FR8 LH/RH</t>
        </is>
      </c>
      <c r="C136" s="34" t="inlineStr">
        <is>
          <t>484</t>
        </is>
      </c>
      <c r="D136" s="35" t="inlineStr">
        <is>
          <t>FLIGHT DECK</t>
        </is>
      </c>
      <c r="E136" s="36" t="inlineStr">
        <is>
          <t>Open</t>
        </is>
      </c>
      <c r="F136" s="36" t="inlineStr">
        <is>
          <t>Normal</t>
        </is>
      </c>
      <c r="G136" s="35" t="inlineStr">
        <is>
          <t>CAB</t>
        </is>
      </c>
      <c r="H136" s="37" t="inlineStr">
        <is>
          <t>Requested</t>
        </is>
      </c>
      <c r="I136" s="38" t="inlineStr">
        <is>
          <t>CAB + INSP</t>
        </is>
      </c>
      <c r="J136" s="36" t="inlineStr">
        <is>
          <t>N/A</t>
        </is>
      </c>
      <c r="K136" s="36" t="inlineStr">
        <is>
          <t>FWD</t>
        </is>
      </c>
      <c r="L136" s="39" t="n"/>
      <c r="M136" s="40" t="n"/>
      <c r="N136" s="41" t="n">
        <v>2.3</v>
      </c>
      <c r="O136" s="42" t="inlineStr">
        <is>
          <t>53-11</t>
        </is>
      </c>
      <c r="P136" s="41" t="n"/>
      <c r="Q136" s="41" t="n"/>
    </row>
    <row r="137">
      <c r="A137" s="32" t="inlineStr">
        <is>
          <t>561200-02-1</t>
        </is>
      </c>
      <c r="B137" s="33" t="inlineStr">
        <is>
          <t>561200-02-1 (2) / COCKPIT SLIDING WINDOW LUBRICATION</t>
        </is>
      </c>
      <c r="C137" s="34" t="inlineStr">
        <is>
          <t>509</t>
        </is>
      </c>
      <c r="D137" s="35" t="inlineStr">
        <is>
          <t>FLIGHT DECK</t>
        </is>
      </c>
      <c r="E137" s="36" t="inlineStr">
        <is>
          <t>Open</t>
        </is>
      </c>
      <c r="F137" s="36" t="inlineStr">
        <is>
          <t>Normal</t>
        </is>
      </c>
      <c r="G137" s="35" t="inlineStr">
        <is>
          <t>CAB</t>
        </is>
      </c>
      <c r="H137" s="37" t="n"/>
      <c r="I137" s="38" t="inlineStr">
        <is>
          <t>P/S 4509339</t>
        </is>
      </c>
      <c r="J137" s="36" t="inlineStr">
        <is>
          <t>N/A</t>
        </is>
      </c>
      <c r="K137" s="36" t="inlineStr">
        <is>
          <t>FWD</t>
        </is>
      </c>
      <c r="L137" s="39" t="n"/>
      <c r="M137" s="40" t="n"/>
      <c r="N137" s="41" t="n">
        <v>0.4</v>
      </c>
      <c r="O137" s="42" t="inlineStr">
        <is>
          <t>12-22</t>
        </is>
      </c>
      <c r="P137" s="41" t="n"/>
      <c r="Q137" s="41" t="n"/>
    </row>
    <row r="138">
      <c r="A138" s="32" t="inlineStr">
        <is>
          <t>38-10-00-SVA</t>
        </is>
      </c>
      <c r="B138" s="33" t="inlineStr">
        <is>
          <t>38-10-00-SVA (01) / DECALCIFICATION OF THE POTABLE WATER TANK AND DISTRIBUTION SYSTEM</t>
        </is>
      </c>
      <c r="C138" s="34" t="inlineStr">
        <is>
          <t>591</t>
        </is>
      </c>
      <c r="D138" s="35" t="inlineStr">
        <is>
          <t>ACFT GENERAL T/C</t>
        </is>
      </c>
      <c r="E138" s="36" t="inlineStr">
        <is>
          <t>Open</t>
        </is>
      </c>
      <c r="F138" s="36" t="inlineStr">
        <is>
          <t>Normal</t>
        </is>
      </c>
      <c r="G138" s="35" t="inlineStr">
        <is>
          <t>CAB</t>
        </is>
      </c>
      <c r="H138" s="37" t="inlineStr">
        <is>
          <t>Requested</t>
        </is>
      </c>
      <c r="I138" s="38" t="inlineStr">
        <is>
          <t>CAB</t>
        </is>
      </c>
      <c r="J138" s="36" t="inlineStr">
        <is>
          <t>N/A</t>
        </is>
      </c>
      <c r="K138" s="36" t="inlineStr">
        <is>
          <t>JOINT</t>
        </is>
      </c>
      <c r="L138" s="39" t="n"/>
      <c r="M138" s="40" t="n"/>
      <c r="N138" s="41" t="n">
        <v>10</v>
      </c>
      <c r="O138" s="42" t="inlineStr">
        <is>
          <t>38-10</t>
        </is>
      </c>
      <c r="P138" s="41" t="n"/>
      <c r="Q138" s="41" t="n"/>
    </row>
    <row r="139">
      <c r="A139" s="32" t="inlineStr">
        <is>
          <t>521000-14-1</t>
        </is>
      </c>
      <c r="B139" s="33" t="inlineStr">
        <is>
          <t>521000-14-1 (7) / FWD AND AFT PASS/CREW DOOR HINGE LUB</t>
        </is>
      </c>
      <c r="C139" s="34" t="inlineStr">
        <is>
          <t>594</t>
        </is>
      </c>
      <c r="D139" s="35" t="inlineStr">
        <is>
          <t>PAX DOORS</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0.9</v>
      </c>
      <c r="O139" s="42" t="inlineStr">
        <is>
          <t>12-22</t>
        </is>
      </c>
      <c r="P139" s="41" t="n"/>
      <c r="Q139" s="41" t="n"/>
    </row>
    <row r="140">
      <c r="A140" s="32" t="inlineStr">
        <is>
          <t>521121-01-1</t>
        </is>
      </c>
      <c r="B140" s="33" t="inlineStr">
        <is>
          <t>521121-01-1 (4) / FWD AND AFT PASS/CREW DOOR EXT LUB</t>
        </is>
      </c>
      <c r="C140" s="34" t="inlineStr">
        <is>
          <t>595</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ZL-831-01-1</t>
        </is>
      </c>
      <c r="B141" s="33" t="inlineStr">
        <is>
          <t>ZL-831-01-1 (05) / AFT PASSENGER/CREW DOOR</t>
        </is>
      </c>
      <c r="C141" s="34" t="inlineStr">
        <is>
          <t>602</t>
        </is>
      </c>
      <c r="D141" s="35" t="inlineStr">
        <is>
          <t>PAX DOORS</t>
        </is>
      </c>
      <c r="E141" s="36" t="inlineStr">
        <is>
          <t>Closed</t>
        </is>
      </c>
      <c r="F141" s="36" t="inlineStr">
        <is>
          <t>Normal</t>
        </is>
      </c>
      <c r="G141" s="35" t="inlineStr">
        <is>
          <t>CAB</t>
        </is>
      </c>
      <c r="H141" s="37" t="n"/>
      <c r="I141" s="38" t="inlineStr">
        <is>
          <t>INSP</t>
        </is>
      </c>
      <c r="J141" s="36" t="inlineStr">
        <is>
          <t>N/A</t>
        </is>
      </c>
      <c r="K141" s="36" t="inlineStr">
        <is>
          <t>AFT</t>
        </is>
      </c>
      <c r="L141" s="39" t="n">
        <v>46223</v>
      </c>
      <c r="M141" s="40" t="n">
        <v>46223</v>
      </c>
      <c r="N141" s="41" t="n">
        <v>0.2</v>
      </c>
      <c r="O141" s="42" t="inlineStr">
        <is>
          <t>05-28</t>
        </is>
      </c>
      <c r="P141" s="41" t="n">
        <v>1</v>
      </c>
      <c r="Q141" s="41" t="n">
        <v>1</v>
      </c>
    </row>
    <row r="142">
      <c r="A142" s="32" t="inlineStr">
        <is>
          <t>05-00-00-01-0-A</t>
        </is>
      </c>
      <c r="B142" s="33" t="inlineStr">
        <is>
          <t>05-00-00-01-0-A (04) / AIRCRAFT C&amp;D CHECKS DATA REVIEW</t>
        </is>
      </c>
      <c r="C142" s="34" t="inlineStr">
        <is>
          <t>603</t>
        </is>
      </c>
      <c r="D142" s="35" t="inlineStr">
        <is>
          <t>ACFT GENERAL T/C</t>
        </is>
      </c>
      <c r="E142" s="36" t="inlineStr">
        <is>
          <t>Open</t>
        </is>
      </c>
      <c r="F142" s="36" t="inlineStr">
        <is>
          <t>Normal</t>
        </is>
      </c>
      <c r="G142" s="35" t="inlineStr">
        <is>
          <t>PLNG</t>
        </is>
      </c>
      <c r="H142" s="37" t="n"/>
      <c r="I142" s="38" t="inlineStr">
        <is>
          <t>PLNG</t>
        </is>
      </c>
      <c r="J142" s="36" t="inlineStr">
        <is>
          <t>N/A</t>
        </is>
      </c>
      <c r="K142" s="36" t="inlineStr">
        <is>
          <t>JOINT</t>
        </is>
      </c>
      <c r="L142" s="39" t="n"/>
      <c r="M142" s="40" t="n"/>
      <c r="N142" s="41" t="n">
        <v>1</v>
      </c>
      <c r="O142" s="42" t="inlineStr">
        <is>
          <t>05-11</t>
        </is>
      </c>
      <c r="P142" s="41" t="n"/>
      <c r="Q142" s="41" t="n"/>
    </row>
    <row r="143">
      <c r="A143" s="32" t="inlineStr">
        <is>
          <t>521000-20-1</t>
        </is>
      </c>
      <c r="B143" s="33" t="inlineStr">
        <is>
          <t>521000-20-1 (1) / OPERATIONAL CHECK OF DOOR DAMPING.</t>
        </is>
      </c>
      <c r="C143" s="34" t="inlineStr">
        <is>
          <t>609</t>
        </is>
      </c>
      <c r="D143" s="35" t="inlineStr">
        <is>
          <t>PAX DOORS</t>
        </is>
      </c>
      <c r="E143" s="36" t="inlineStr">
        <is>
          <t>Closed</t>
        </is>
      </c>
      <c r="F143" s="36" t="inlineStr">
        <is>
          <t>Normal</t>
        </is>
      </c>
      <c r="G143" s="35" t="inlineStr">
        <is>
          <t>CAB</t>
        </is>
      </c>
      <c r="H143" s="37" t="n"/>
      <c r="I143" s="38" t="inlineStr">
        <is>
          <t>CAB</t>
        </is>
      </c>
      <c r="J143" s="36" t="inlineStr">
        <is>
          <t>N/A</t>
        </is>
      </c>
      <c r="K143" s="36" t="inlineStr">
        <is>
          <t>JOINT</t>
        </is>
      </c>
      <c r="L143" s="39" t="n">
        <v>46230</v>
      </c>
      <c r="M143" s="40" t="n">
        <v>46230</v>
      </c>
      <c r="N143" s="41" t="n">
        <v>2.5</v>
      </c>
      <c r="O143" s="42" t="inlineStr">
        <is>
          <t>52-10</t>
        </is>
      </c>
      <c r="P143" s="41" t="n">
        <v>2.5</v>
      </c>
      <c r="Q143" s="41" t="n">
        <v>0.5</v>
      </c>
    </row>
    <row r="144">
      <c r="A144" s="32" t="inlineStr">
        <is>
          <t>521104-01-1</t>
        </is>
      </c>
      <c r="B144" s="33" t="inlineStr">
        <is>
          <t>521104-01-1 (02) / FWD PAX DOOR INTERNAL STRUCTURE INSP</t>
        </is>
      </c>
      <c r="C144" s="34" t="inlineStr">
        <is>
          <t>610</t>
        </is>
      </c>
      <c r="D144" s="35" t="inlineStr">
        <is>
          <t>PAX DOORS</t>
        </is>
      </c>
      <c r="E144" s="36" t="inlineStr">
        <is>
          <t>Open</t>
        </is>
      </c>
      <c r="F144" s="36" t="inlineStr">
        <is>
          <t>Normal</t>
        </is>
      </c>
      <c r="G144" s="35" t="inlineStr">
        <is>
          <t>JOINT</t>
        </is>
      </c>
      <c r="H144" s="37" t="inlineStr">
        <is>
          <t>Requested</t>
        </is>
      </c>
      <c r="I144" s="38" t="inlineStr">
        <is>
          <t>CAB + INSP</t>
        </is>
      </c>
      <c r="J144" s="36" t="inlineStr">
        <is>
          <t>N/A</t>
        </is>
      </c>
      <c r="K144" s="36" t="inlineStr">
        <is>
          <t>FWD</t>
        </is>
      </c>
      <c r="L144" s="39" t="n"/>
      <c r="M144" s="40" t="n"/>
      <c r="N144" s="41" t="n">
        <v>1.8</v>
      </c>
      <c r="O144" s="42" t="inlineStr">
        <is>
          <t>25-62</t>
        </is>
      </c>
      <c r="P144" s="41" t="n">
        <v>34</v>
      </c>
      <c r="Q144" s="41" t="n">
        <v>89.59999999999999</v>
      </c>
    </row>
    <row r="145">
      <c r="A145" s="32" t="inlineStr">
        <is>
          <t>521304-01-1</t>
        </is>
      </c>
      <c r="B145" s="33" t="inlineStr">
        <is>
          <t>521304-01-1 (02) / AFT PAX DOOR INTERNAL STRUCTURE INSP</t>
        </is>
      </c>
      <c r="C145" s="34" t="inlineStr">
        <is>
          <t>611</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AFT</t>
        </is>
      </c>
      <c r="L145" s="39" t="n"/>
      <c r="M145" s="40" t="n"/>
      <c r="N145" s="41" t="n">
        <v>1.9</v>
      </c>
      <c r="O145" s="42" t="inlineStr">
        <is>
          <t>52-13</t>
        </is>
      </c>
      <c r="P145" s="41" t="n">
        <v>16</v>
      </c>
      <c r="Q145" s="41" t="n">
        <v>69</v>
      </c>
    </row>
    <row r="146">
      <c r="A146" s="32" t="inlineStr">
        <is>
          <t>522102-01-1</t>
        </is>
      </c>
      <c r="B146" s="33" t="inlineStr">
        <is>
          <t>522102-01-1 (04) / EMERGENCY EXITS STRUCTURE INSPECTION</t>
        </is>
      </c>
      <c r="C146" s="34" t="inlineStr">
        <is>
          <t>612</t>
        </is>
      </c>
      <c r="D146" s="35" t="inlineStr">
        <is>
          <t>PAX DOORS</t>
        </is>
      </c>
      <c r="E146" s="36" t="inlineStr">
        <is>
          <t>Open</t>
        </is>
      </c>
      <c r="F146" s="36" t="inlineStr">
        <is>
          <t>Normal</t>
        </is>
      </c>
      <c r="G146" s="35" t="inlineStr">
        <is>
          <t>AP</t>
        </is>
      </c>
      <c r="H146" s="37" t="inlineStr">
        <is>
          <t>Requested</t>
        </is>
      </c>
      <c r="I146" s="38" t="inlineStr">
        <is>
          <t>AP + INSP</t>
        </is>
      </c>
      <c r="J146" s="36" t="inlineStr">
        <is>
          <t>N/A</t>
        </is>
      </c>
      <c r="K146" s="36" t="inlineStr">
        <is>
          <t>JOINT</t>
        </is>
      </c>
      <c r="L146" s="39" t="n"/>
      <c r="M146" s="40" t="n"/>
      <c r="N146" s="41" t="n">
        <v>10.1</v>
      </c>
      <c r="O146" s="42" t="inlineStr">
        <is>
          <t>52-21</t>
        </is>
      </c>
      <c r="P146" s="41" t="n"/>
      <c r="Q146" s="41" t="n"/>
    </row>
    <row r="147">
      <c r="A147" s="32" t="inlineStr">
        <is>
          <t>531163-01-1</t>
        </is>
      </c>
      <c r="B147" s="33" t="inlineStr">
        <is>
          <t>531163-01-1 (03) / FWD PAX/CREW DOOR SURROUND INSP</t>
        </is>
      </c>
      <c r="C147" s="34" t="inlineStr">
        <is>
          <t>618</t>
        </is>
      </c>
      <c r="D147" s="35" t="inlineStr">
        <is>
          <t>PAX DOORS</t>
        </is>
      </c>
      <c r="E147" s="36" t="inlineStr">
        <is>
          <t>Open</t>
        </is>
      </c>
      <c r="F147" s="36" t="inlineStr">
        <is>
          <t>Normal</t>
        </is>
      </c>
      <c r="G147" s="35" t="inlineStr">
        <is>
          <t>JOINT</t>
        </is>
      </c>
      <c r="H147" s="37" t="inlineStr">
        <is>
          <t>Requested</t>
        </is>
      </c>
      <c r="I147" s="38" t="inlineStr">
        <is>
          <t>CAB + INSP</t>
        </is>
      </c>
      <c r="J147" s="36" t="inlineStr">
        <is>
          <t>N/A</t>
        </is>
      </c>
      <c r="K147" s="36" t="inlineStr">
        <is>
          <t>FWD</t>
        </is>
      </c>
      <c r="L147" s="39" t="n"/>
      <c r="M147" s="40" t="n"/>
      <c r="N147" s="41" t="n">
        <v>3</v>
      </c>
      <c r="O147" s="42" t="inlineStr">
        <is>
          <t>53-11</t>
        </is>
      </c>
      <c r="P147" s="41" t="n">
        <v>9.5</v>
      </c>
      <c r="Q147" s="41" t="n">
        <v>63</v>
      </c>
    </row>
    <row r="148">
      <c r="A148" s="32" t="inlineStr">
        <is>
          <t>533129-07-1</t>
        </is>
      </c>
      <c r="B148" s="33" t="inlineStr">
        <is>
          <t>533129-07-1 (0) / EMERGENCY EXIT CUTOUTS</t>
        </is>
      </c>
      <c r="C148" s="34" t="inlineStr">
        <is>
          <t>626</t>
        </is>
      </c>
      <c r="D148" s="35" t="inlineStr">
        <is>
          <t>ACFT GENERAL T/C</t>
        </is>
      </c>
      <c r="E148" s="36" t="inlineStr">
        <is>
          <t>Open</t>
        </is>
      </c>
      <c r="F148" s="36" t="inlineStr">
        <is>
          <t>Normal</t>
        </is>
      </c>
      <c r="G148" s="35" t="inlineStr">
        <is>
          <t>AP</t>
        </is>
      </c>
      <c r="H148" s="37" t="n"/>
      <c r="I148" s="38" t="inlineStr">
        <is>
          <t>AP + INSP</t>
        </is>
      </c>
      <c r="J148" s="36" t="inlineStr">
        <is>
          <t>N/A</t>
        </is>
      </c>
      <c r="K148" s="36" t="inlineStr">
        <is>
          <t>FWD</t>
        </is>
      </c>
      <c r="L148" s="39" t="n"/>
      <c r="M148" s="40" t="n"/>
      <c r="N148" s="41" t="n">
        <v>2.1</v>
      </c>
      <c r="O148" s="42" t="inlineStr">
        <is>
          <t>53</t>
        </is>
      </c>
      <c r="P148" s="41" t="n">
        <v>6.2</v>
      </c>
      <c r="Q148" s="41" t="n">
        <v>21.3</v>
      </c>
    </row>
    <row r="149">
      <c r="A149" s="32" t="inlineStr">
        <is>
          <t>534123-01-3</t>
        </is>
      </c>
      <c r="B149" s="33" t="inlineStr">
        <is>
          <t>534123-01-3 (06) / GUSSET PLATE FASTENER HOLE NDT INSP</t>
        </is>
      </c>
      <c r="C149" s="34" t="inlineStr">
        <is>
          <t>630</t>
        </is>
      </c>
      <c r="D149" s="35" t="inlineStr">
        <is>
          <t>ACFT GENERAL T/C</t>
        </is>
      </c>
      <c r="E149" s="36" t="inlineStr">
        <is>
          <t>Open</t>
        </is>
      </c>
      <c r="F149" s="36" t="inlineStr">
        <is>
          <t>Normal</t>
        </is>
      </c>
      <c r="G149" s="35" t="n"/>
      <c r="H149" s="37" t="inlineStr">
        <is>
          <t>Requested</t>
        </is>
      </c>
      <c r="I149" s="38" t="inlineStr">
        <is>
          <t>ACCESS (AFT GALLEY/LAVS - AFT DOOR LININGS - BLANKETS)</t>
        </is>
      </c>
      <c r="J149" s="36" t="inlineStr">
        <is>
          <t>N/A</t>
        </is>
      </c>
      <c r="K149" s="36" t="inlineStr">
        <is>
          <t>AFT</t>
        </is>
      </c>
      <c r="L149" s="39" t="n"/>
      <c r="M149" s="40" t="n"/>
      <c r="N149" s="41" t="n">
        <v>16.4</v>
      </c>
      <c r="O149" s="42" t="inlineStr">
        <is>
          <t>53-41</t>
        </is>
      </c>
      <c r="P149" s="41" t="n"/>
      <c r="Q149" s="41" t="n"/>
    </row>
    <row r="150">
      <c r="A150" s="32" t="inlineStr">
        <is>
          <t>534135-02-1</t>
        </is>
      </c>
      <c r="B150" s="33" t="inlineStr">
        <is>
          <t>534135-02-1 (0) / REAR FUSELAGE</t>
        </is>
      </c>
      <c r="C150" s="34" t="inlineStr">
        <is>
          <t>631</t>
        </is>
      </c>
      <c r="D150" s="35" t="inlineStr">
        <is>
          <t>ACFT GENERAL T/C</t>
        </is>
      </c>
      <c r="E150" s="36" t="inlineStr">
        <is>
          <t>Open</t>
        </is>
      </c>
      <c r="F150" s="36" t="inlineStr">
        <is>
          <t>Normal</t>
        </is>
      </c>
      <c r="G150" s="35" t="n"/>
      <c r="H150" s="37" t="n"/>
      <c r="I150" s="38" t="inlineStr">
        <is>
          <t>ACCESS (AFT GALLEY/LAVS - AFT DOOR LININGS - BLANKETS)</t>
        </is>
      </c>
      <c r="J150" s="36" t="inlineStr">
        <is>
          <t>N/A</t>
        </is>
      </c>
      <c r="K150" s="36" t="inlineStr">
        <is>
          <t>AFT</t>
        </is>
      </c>
      <c r="L150" s="39" t="n"/>
      <c r="M150" s="40" t="n"/>
      <c r="N150" s="41" t="n">
        <v>0.7</v>
      </c>
      <c r="O150" s="42" t="inlineStr">
        <is>
          <t>57-21</t>
        </is>
      </c>
      <c r="P150" s="41" t="n"/>
      <c r="Q150" s="41" t="n"/>
    </row>
    <row r="151">
      <c r="A151" s="32" t="inlineStr">
        <is>
          <t>534143-01-3</t>
        </is>
      </c>
      <c r="B151" s="33" t="inlineStr">
        <is>
          <t>534143-01-3 (03) / AFT PASSENGER/CREW DOOR CUTOUT INSP</t>
        </is>
      </c>
      <c r="C151" s="34" t="inlineStr">
        <is>
          <t>632</t>
        </is>
      </c>
      <c r="D151" s="35" t="inlineStr">
        <is>
          <t>ACFT GENERAL T/C</t>
        </is>
      </c>
      <c r="E151" s="36" t="inlineStr">
        <is>
          <t>Open</t>
        </is>
      </c>
      <c r="F151" s="36" t="inlineStr">
        <is>
          <t>Normal</t>
        </is>
      </c>
      <c r="G151" s="35" t="inlineStr">
        <is>
          <t>JOINT</t>
        </is>
      </c>
      <c r="H151" s="37" t="inlineStr">
        <is>
          <t>Requested</t>
        </is>
      </c>
      <c r="I151" s="38" t="inlineStr">
        <is>
          <t>CAB + INSP</t>
        </is>
      </c>
      <c r="J151" s="36" t="inlineStr">
        <is>
          <t>N/A</t>
        </is>
      </c>
      <c r="K151" s="36" t="inlineStr">
        <is>
          <t>AFT</t>
        </is>
      </c>
      <c r="L151" s="39" t="n"/>
      <c r="M151" s="40" t="n"/>
      <c r="N151" s="41" t="n">
        <v>1.6</v>
      </c>
      <c r="O151" s="42" t="inlineStr">
        <is>
          <t>53-41</t>
        </is>
      </c>
      <c r="P151" s="41" t="n">
        <v>9</v>
      </c>
      <c r="Q151" s="41" t="n">
        <v>63.1</v>
      </c>
    </row>
    <row r="152">
      <c r="A152" s="32" t="inlineStr">
        <is>
          <t>534195-01-1</t>
        </is>
      </c>
      <c r="B152" s="33" t="inlineStr">
        <is>
          <t>534195-01-1 (0) / CABIN FLOOR STRUCTURE AFT ENTRANCE A</t>
        </is>
      </c>
      <c r="C152" s="34" t="inlineStr">
        <is>
          <t>635</t>
        </is>
      </c>
      <c r="D152" s="35" t="inlineStr">
        <is>
          <t>ACFT GENERAL T/C</t>
        </is>
      </c>
      <c r="E152" s="36" t="inlineStr">
        <is>
          <t>Open</t>
        </is>
      </c>
      <c r="F152" s="36" t="inlineStr">
        <is>
          <t>Normal</t>
        </is>
      </c>
      <c r="G152" s="35" t="n"/>
      <c r="H152" s="37" t="inlineStr">
        <is>
          <t>Requested</t>
        </is>
      </c>
      <c r="I152" s="38" t="inlineStr">
        <is>
          <t>ACCESS (AFT AREA)</t>
        </is>
      </c>
      <c r="J152" s="36" t="inlineStr">
        <is>
          <t>N/A</t>
        </is>
      </c>
      <c r="K152" s="36" t="inlineStr">
        <is>
          <t>AFT</t>
        </is>
      </c>
      <c r="L152" s="39" t="n"/>
      <c r="M152" s="40" t="n"/>
      <c r="N152" s="41" t="n">
        <v>6.2</v>
      </c>
      <c r="O152" s="42" t="inlineStr">
        <is>
          <t>53-41</t>
        </is>
      </c>
      <c r="P152" s="41" t="n"/>
      <c r="Q152" s="41" t="n"/>
    </row>
    <row r="153">
      <c r="A153" s="32" t="inlineStr">
        <is>
          <t>534395-01-2</t>
        </is>
      </c>
      <c r="B153" s="33" t="inlineStr">
        <is>
          <t>534395-01-2 (0) / LATERAL SHEAR PLATES BETWEEN FRAME 6</t>
        </is>
      </c>
      <c r="C153" s="34" t="inlineStr">
        <is>
          <t>636</t>
        </is>
      </c>
      <c r="D153" s="35" t="inlineStr">
        <is>
          <t>ACFT GENERAL T/C</t>
        </is>
      </c>
      <c r="E153" s="36" t="inlineStr">
        <is>
          <t>Open</t>
        </is>
      </c>
      <c r="F153" s="36" t="inlineStr">
        <is>
          <t>Normal</t>
        </is>
      </c>
      <c r="G153" s="35" t="n"/>
      <c r="H153" s="37" t="inlineStr">
        <is>
          <t>Requested</t>
        </is>
      </c>
      <c r="I153" s="38" t="inlineStr">
        <is>
          <t>ACCESS (AFT AREA - GALLEY/LAVS)</t>
        </is>
      </c>
      <c r="J153" s="36" t="inlineStr">
        <is>
          <t>N/A</t>
        </is>
      </c>
      <c r="K153" s="36" t="inlineStr">
        <is>
          <t>AFT</t>
        </is>
      </c>
      <c r="L153" s="39" t="n"/>
      <c r="M153" s="40" t="n"/>
      <c r="N153" s="41" t="n">
        <v>3.5</v>
      </c>
      <c r="O153" s="42" t="inlineStr">
        <is>
          <t>53-51</t>
        </is>
      </c>
      <c r="P153" s="41" t="n"/>
      <c r="Q153" s="41" t="n"/>
    </row>
    <row r="154">
      <c r="A154" s="32" t="inlineStr">
        <is>
          <t>29294847</t>
        </is>
      </c>
      <c r="B154" s="33" t="inlineStr">
        <is>
          <t>252582/AD-A320/A321, INSPECTION OF ALL LAVATORY WASTE RECEPTACLE DOORS</t>
        </is>
      </c>
      <c r="C154" s="34" t="inlineStr">
        <is>
          <t>706</t>
        </is>
      </c>
      <c r="D154" s="35" t="inlineStr">
        <is>
          <t>LAVATORY</t>
        </is>
      </c>
      <c r="E154" s="36" t="inlineStr">
        <is>
          <t>Closed</t>
        </is>
      </c>
      <c r="F154" s="36" t="inlineStr">
        <is>
          <t>Normal</t>
        </is>
      </c>
      <c r="G154" s="35" t="inlineStr">
        <is>
          <t>INSP</t>
        </is>
      </c>
      <c r="H154" s="37" t="n"/>
      <c r="I154" s="38" t="inlineStr">
        <is>
          <t>INSP</t>
        </is>
      </c>
      <c r="J154" s="36" t="inlineStr">
        <is>
          <t>N/A</t>
        </is>
      </c>
      <c r="K154" s="36" t="inlineStr">
        <is>
          <t>JOINT</t>
        </is>
      </c>
      <c r="L154" s="39" t="n">
        <v>46225</v>
      </c>
      <c r="M154" s="40" t="n">
        <v>46225</v>
      </c>
      <c r="N154" s="41" t="n">
        <v>1.5</v>
      </c>
      <c r="O154" s="42" t="inlineStr">
        <is>
          <t>25</t>
        </is>
      </c>
      <c r="P154" s="41" t="n">
        <v>5</v>
      </c>
      <c r="Q154" s="41" t="n">
        <v>3.6</v>
      </c>
    </row>
    <row r="155">
      <c r="A155" s="32" t="inlineStr">
        <is>
          <t>30970374</t>
        </is>
      </c>
      <c r="B155" s="33" t="inlineStr">
        <is>
          <t>EOD-320-25-00052-R00/PAD-THIRD OCCUPANT SEAT – 168 SERIES BOTTOM EQUIPPED SCREW REPLACEMENT</t>
        </is>
      </c>
      <c r="C155" s="34" t="inlineStr">
        <is>
          <t>711</t>
        </is>
      </c>
      <c r="D155" s="35" t="inlineStr">
        <is>
          <t>FLIGHT DECK</t>
        </is>
      </c>
      <c r="E155" s="36" t="inlineStr">
        <is>
          <t>Open</t>
        </is>
      </c>
      <c r="F155" s="36" t="inlineStr">
        <is>
          <t>Normal</t>
        </is>
      </c>
      <c r="G155" s="35" t="inlineStr">
        <is>
          <t>CAB</t>
        </is>
      </c>
      <c r="H155" s="37" t="inlineStr">
        <is>
          <t>Requested</t>
        </is>
      </c>
      <c r="I155" s="38" t="inlineStr">
        <is>
          <t>P/S 4509340</t>
        </is>
      </c>
      <c r="J155" s="36" t="inlineStr">
        <is>
          <t>N/A</t>
        </is>
      </c>
      <c r="K155" s="36" t="inlineStr">
        <is>
          <t>FWD</t>
        </is>
      </c>
      <c r="L155" s="39" t="n">
        <v>46222</v>
      </c>
      <c r="M155" s="40" t="n"/>
      <c r="N155" s="41" t="n">
        <v>0.5</v>
      </c>
      <c r="O155" s="42" t="inlineStr">
        <is>
          <t>25</t>
        </is>
      </c>
      <c r="P155" s="41" t="n"/>
      <c r="Q155" s="41" t="n"/>
    </row>
    <row r="156">
      <c r="A156" s="32" t="inlineStr">
        <is>
          <t>29155624</t>
        </is>
      </c>
      <c r="B156" s="33" t="inlineStr">
        <is>
          <t>EOD-320-31-00010-R00/FDIMU - TELEDYNE DMU SOFTWARE CAPABLE FOMAX</t>
        </is>
      </c>
      <c r="C156" s="34" t="inlineStr">
        <is>
          <t>720</t>
        </is>
      </c>
      <c r="D156" s="35" t="inlineStr">
        <is>
          <t>ACFT GENERAL T/C</t>
        </is>
      </c>
      <c r="E156" s="36" t="inlineStr">
        <is>
          <t>Open</t>
        </is>
      </c>
      <c r="F156" s="36" t="inlineStr">
        <is>
          <t>Normal</t>
        </is>
      </c>
      <c r="G156" s="35" t="inlineStr">
        <is>
          <t>AV</t>
        </is>
      </c>
      <c r="H156" s="37" t="inlineStr">
        <is>
          <t>Requested</t>
        </is>
      </c>
      <c r="I156" s="38" t="inlineStr">
        <is>
          <t>FOMAX</t>
        </is>
      </c>
      <c r="J156" s="36" t="inlineStr">
        <is>
          <t>N/A</t>
        </is>
      </c>
      <c r="K156" s="36" t="inlineStr">
        <is>
          <t>JOINT</t>
        </is>
      </c>
      <c r="L156" s="39" t="n"/>
      <c r="M156" s="40" t="n"/>
      <c r="N156" s="41" t="n">
        <v>2.5</v>
      </c>
      <c r="O156" s="42" t="inlineStr">
        <is>
          <t>31</t>
        </is>
      </c>
      <c r="P156" s="41" t="n">
        <v>18</v>
      </c>
      <c r="Q156" s="41" t="n">
        <v>43.2</v>
      </c>
    </row>
    <row r="157">
      <c r="A157" s="32" t="inlineStr">
        <is>
          <t>29155749</t>
        </is>
      </c>
      <c r="B157" s="33" t="inlineStr">
        <is>
          <t>EOD-320-31-00011-R00/FDIMU - TELEDYNE ETHERNET AND ADC ACTIVATION FOR FOMAX</t>
        </is>
      </c>
      <c r="C157" s="34" t="inlineStr">
        <is>
          <t>721</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c r="Q157" s="41" t="n"/>
    </row>
    <row r="158">
      <c r="A158" s="32" t="inlineStr">
        <is>
          <t>29155864</t>
        </is>
      </c>
      <c r="B158" s="33" t="inlineStr">
        <is>
          <t>EOD-320-31-00012-R00/FDIMU - INSTALL NEW ADC DMU SW FOR FOMAX</t>
        </is>
      </c>
      <c r="C158" s="34" t="inlineStr">
        <is>
          <t>722</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v>
      </c>
      <c r="O158" s="42" t="inlineStr">
        <is>
          <t>31</t>
        </is>
      </c>
      <c r="P158" s="41" t="n"/>
      <c r="Q158" s="41" t="n"/>
    </row>
    <row r="159">
      <c r="A159" s="32" t="inlineStr">
        <is>
          <t>30817926</t>
        </is>
      </c>
      <c r="B159" s="33" t="inlineStr">
        <is>
          <t>EOD-320-44-00014-R00/ECLIPSE CONNECTIVITY MODIFICATION</t>
        </is>
      </c>
      <c r="C159" s="34" t="inlineStr">
        <is>
          <t>727</t>
        </is>
      </c>
      <c r="D159" s="35" t="inlineStr">
        <is>
          <t>ACFT GENERAL T/C</t>
        </is>
      </c>
      <c r="E159" s="36" t="inlineStr">
        <is>
          <t>Open</t>
        </is>
      </c>
      <c r="F159" s="36" t="inlineStr">
        <is>
          <t>Normal</t>
        </is>
      </c>
      <c r="G159" s="35" t="inlineStr">
        <is>
          <t>AV</t>
        </is>
      </c>
      <c r="H159" s="37" t="inlineStr">
        <is>
          <t>Requested</t>
        </is>
      </c>
      <c r="I159" s="38" t="inlineStr">
        <is>
          <t>REVIEW FOR ACCESS</t>
        </is>
      </c>
      <c r="J159" s="36" t="inlineStr">
        <is>
          <t>N/A</t>
        </is>
      </c>
      <c r="K159" s="36" t="inlineStr">
        <is>
          <t>JOINT</t>
        </is>
      </c>
      <c r="L159" s="39" t="n"/>
      <c r="M159" s="40" t="n"/>
      <c r="N159" s="41" t="n">
        <v>471</v>
      </c>
      <c r="O159" s="42" t="inlineStr">
        <is>
          <t>44</t>
        </is>
      </c>
      <c r="P159" s="41" t="n">
        <v>29.1</v>
      </c>
      <c r="Q159" s="41" t="n">
        <v>51.7</v>
      </c>
    </row>
    <row r="160">
      <c r="A160" s="32" t="inlineStr">
        <is>
          <t>31328631</t>
        </is>
      </c>
      <c r="B160" s="33" t="inlineStr">
        <is>
          <t>EOD-320-44-00028-R00/DE-MOD TAQNIA SYSTEM REMOVAL</t>
        </is>
      </c>
      <c r="C160" s="34" t="inlineStr">
        <is>
          <t>728</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170</v>
      </c>
      <c r="O160" s="42" t="inlineStr">
        <is>
          <t>44</t>
        </is>
      </c>
      <c r="P160" s="41" t="n"/>
      <c r="Q160" s="41" t="n"/>
    </row>
    <row r="161">
      <c r="A161" s="32" t="inlineStr">
        <is>
          <t>29155915</t>
        </is>
      </c>
      <c r="B161" s="33" t="inlineStr">
        <is>
          <t>EOD-320-46-00004-R00/INSTALL FOMAX SYSTEM PROVISIONS</t>
        </is>
      </c>
      <c r="C161" s="34" t="inlineStr">
        <is>
          <t>729</t>
        </is>
      </c>
      <c r="D161" s="35" t="inlineStr">
        <is>
          <t>ACFT GENERAL T/C</t>
        </is>
      </c>
      <c r="E161" s="36" t="inlineStr">
        <is>
          <t>Open</t>
        </is>
      </c>
      <c r="F161" s="36" t="inlineStr">
        <is>
          <t>Normal</t>
        </is>
      </c>
      <c r="G161" s="35" t="inlineStr">
        <is>
          <t>AV</t>
        </is>
      </c>
      <c r="H161" s="37" t="inlineStr">
        <is>
          <t>Requested</t>
        </is>
      </c>
      <c r="I161" s="38" t="inlineStr">
        <is>
          <t>FOMAX (ACCESS COCKPIT)</t>
        </is>
      </c>
      <c r="J161" s="36" t="inlineStr">
        <is>
          <t>N/A</t>
        </is>
      </c>
      <c r="K161" s="36" t="inlineStr">
        <is>
          <t>JOINT</t>
        </is>
      </c>
      <c r="L161" s="39" t="n"/>
      <c r="M161" s="40" t="n"/>
      <c r="N161" s="41" t="n">
        <v>23.2</v>
      </c>
      <c r="O161" s="42" t="inlineStr">
        <is>
          <t>46</t>
        </is>
      </c>
      <c r="P161" s="41" t="n">
        <v>2</v>
      </c>
      <c r="Q161" s="41" t="n">
        <v>89.2</v>
      </c>
    </row>
    <row r="162">
      <c r="A162" s="32" t="inlineStr">
        <is>
          <t>29156039</t>
        </is>
      </c>
      <c r="B162" s="33" t="inlineStr">
        <is>
          <t>EOD-320-46-00005-R00/INSTALL INTERNAL GATELINK ANTENNA FOR FOMAX</t>
        </is>
      </c>
      <c r="C162" s="34" t="inlineStr">
        <is>
          <t>730</t>
        </is>
      </c>
      <c r="D162" s="35" t="inlineStr">
        <is>
          <t>ACFT GENERAL T/C</t>
        </is>
      </c>
      <c r="E162" s="36" t="inlineStr">
        <is>
          <t>Open</t>
        </is>
      </c>
      <c r="F162" s="36" t="inlineStr">
        <is>
          <t>Normal</t>
        </is>
      </c>
      <c r="G162" s="35" t="inlineStr">
        <is>
          <t>AV</t>
        </is>
      </c>
      <c r="H162" s="37" t="inlineStr">
        <is>
          <t>Requested</t>
        </is>
      </c>
      <c r="I162" s="38" t="inlineStr">
        <is>
          <t>FOMAX (B/C BLANKETS REMOVAL)</t>
        </is>
      </c>
      <c r="J162" s="36" t="inlineStr">
        <is>
          <t>N/A</t>
        </is>
      </c>
      <c r="K162" s="36" t="inlineStr">
        <is>
          <t>JOINT</t>
        </is>
      </c>
      <c r="L162" s="39" t="n"/>
      <c r="M162" s="40" t="n"/>
      <c r="N162" s="41" t="n">
        <v>18</v>
      </c>
      <c r="O162" s="42" t="inlineStr">
        <is>
          <t>46</t>
        </is>
      </c>
      <c r="P162" s="41" t="n">
        <v>25.7</v>
      </c>
      <c r="Q162" s="41" t="n">
        <v>90.59999999999999</v>
      </c>
    </row>
    <row r="163">
      <c r="A163" s="32" t="inlineStr">
        <is>
          <t>29156133</t>
        </is>
      </c>
      <c r="B163" s="33" t="inlineStr">
        <is>
          <t>EOD-320-46-00006-R00/INSTALL COCKPIT WIFI ANTENNA FOR FOMAX</t>
        </is>
      </c>
      <c r="C163" s="34" t="inlineStr">
        <is>
          <t>731</t>
        </is>
      </c>
      <c r="D163" s="35" t="inlineStr">
        <is>
          <t>ACFT GENERAL T/C</t>
        </is>
      </c>
      <c r="E163" s="36" t="inlineStr">
        <is>
          <t>Open</t>
        </is>
      </c>
      <c r="F163" s="36" t="inlineStr">
        <is>
          <t>Normal</t>
        </is>
      </c>
      <c r="G163" s="35" t="inlineStr">
        <is>
          <t>AV</t>
        </is>
      </c>
      <c r="H163" s="37" t="inlineStr">
        <is>
          <t>Requested</t>
        </is>
      </c>
      <c r="I163" s="38" t="inlineStr">
        <is>
          <t>FOMAX</t>
        </is>
      </c>
      <c r="J163" s="36" t="inlineStr">
        <is>
          <t>N/A</t>
        </is>
      </c>
      <c r="K163" s="36" t="inlineStr">
        <is>
          <t>FWD</t>
        </is>
      </c>
      <c r="L163" s="39" t="n"/>
      <c r="M163" s="40" t="n"/>
      <c r="N163" s="41" t="n">
        <v>18.5</v>
      </c>
      <c r="O163" s="42" t="inlineStr">
        <is>
          <t>46</t>
        </is>
      </c>
      <c r="P163" s="41" t="n">
        <v>18</v>
      </c>
      <c r="Q163" s="41" t="n">
        <v>70.09999999999999</v>
      </c>
    </row>
    <row r="164">
      <c r="A164" s="32" t="inlineStr">
        <is>
          <t>29156195</t>
        </is>
      </c>
      <c r="B164" s="33" t="inlineStr">
        <is>
          <t>EOD-320-46-00007-R00/CONNECT ETHERNET LINK BETWEEN FOMAX AND FDIMU</t>
        </is>
      </c>
      <c r="C164" s="34" t="inlineStr">
        <is>
          <t>732</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JOINT</t>
        </is>
      </c>
      <c r="L164" s="39" t="n"/>
      <c r="M164" s="40" t="n"/>
      <c r="N164" s="41" t="n">
        <v>2.5</v>
      </c>
      <c r="O164" s="42" t="inlineStr">
        <is>
          <t>46</t>
        </is>
      </c>
      <c r="P164" s="41" t="n"/>
      <c r="Q164" s="41" t="n"/>
    </row>
    <row r="165">
      <c r="A165" s="32" t="inlineStr">
        <is>
          <t>29157165</t>
        </is>
      </c>
      <c r="B165" s="33" t="inlineStr">
        <is>
          <t>EOD-320-46-00008-R00/FOMAX 4 ACTIVATION</t>
        </is>
      </c>
      <c r="C165" s="34" t="inlineStr">
        <is>
          <t>733</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4</v>
      </c>
      <c r="O165" s="42" t="inlineStr">
        <is>
          <t>46</t>
        </is>
      </c>
      <c r="P165" s="41" t="n"/>
      <c r="Q165" s="41" t="n"/>
    </row>
    <row r="166">
      <c r="A166" s="32" t="inlineStr">
        <is>
          <t>29156249</t>
        </is>
      </c>
      <c r="B166" s="33" t="inlineStr">
        <is>
          <t>EOD-320-46-00009-R00/ACTIVATE FOMAX OPTION 1</t>
        </is>
      </c>
      <c r="C166" s="34" t="inlineStr">
        <is>
          <t>734</t>
        </is>
      </c>
      <c r="D166" s="35" t="inlineStr">
        <is>
          <t>ACFT GENERAL T/C</t>
        </is>
      </c>
      <c r="E166" s="36" t="inlineStr">
        <is>
          <t>Open</t>
        </is>
      </c>
      <c r="F166" s="36" t="inlineStr">
        <is>
          <t>Normal</t>
        </is>
      </c>
      <c r="G166" s="35" t="inlineStr">
        <is>
          <t>AV</t>
        </is>
      </c>
      <c r="H166" s="37" t="n"/>
      <c r="I166" s="38" t="inlineStr">
        <is>
          <t>FOMAX</t>
        </is>
      </c>
      <c r="J166" s="36" t="inlineStr">
        <is>
          <t>N/A</t>
        </is>
      </c>
      <c r="K166" s="36" t="inlineStr">
        <is>
          <t>JOINT</t>
        </is>
      </c>
      <c r="L166" s="39" t="n"/>
      <c r="M166" s="40" t="n"/>
      <c r="N166" s="41" t="n">
        <v>2.5</v>
      </c>
      <c r="O166" s="42" t="inlineStr">
        <is>
          <t>46</t>
        </is>
      </c>
      <c r="P166" s="41" t="n"/>
      <c r="Q166" s="41" t="n"/>
    </row>
    <row r="167">
      <c r="A167" s="32" t="inlineStr">
        <is>
          <t>18607800</t>
        </is>
      </c>
      <c r="B167" s="33" t="inlineStr">
        <is>
          <t>EOD-320-53-00023-R00/CENTER FUSELAGE -MODIFY FASTENER HOLE OF FRAME FEET COUPLING</t>
        </is>
      </c>
      <c r="C167" s="34" t="inlineStr">
        <is>
          <t>740</t>
        </is>
      </c>
      <c r="D167" s="35" t="inlineStr">
        <is>
          <t>ACFT GENERAL T/C</t>
        </is>
      </c>
      <c r="E167" s="36" t="inlineStr">
        <is>
          <t>Open</t>
        </is>
      </c>
      <c r="F167" s="36" t="inlineStr">
        <is>
          <t>Normal</t>
        </is>
      </c>
      <c r="G167" s="35" t="n"/>
      <c r="H167" s="37" t="inlineStr">
        <is>
          <t>Requested</t>
        </is>
      </c>
      <c r="I167" s="38" t="inlineStr">
        <is>
          <t>CABIN ACCESS</t>
        </is>
      </c>
      <c r="J167" s="36" t="inlineStr">
        <is>
          <t>N/A</t>
        </is>
      </c>
      <c r="K167" s="36" t="n"/>
      <c r="L167" s="39" t="n"/>
      <c r="M167" s="40" t="n"/>
      <c r="N167" s="41" t="n">
        <v>62</v>
      </c>
      <c r="O167" s="42" t="inlineStr">
        <is>
          <t>53</t>
        </is>
      </c>
      <c r="P167" s="41" t="n">
        <v>2.2</v>
      </c>
      <c r="Q167" s="41" t="n">
        <v>2.7</v>
      </c>
    </row>
    <row r="168">
      <c r="A168" s="32" t="inlineStr">
        <is>
          <t>29441536</t>
        </is>
      </c>
      <c r="B168" s="33" t="inlineStr">
        <is>
          <t>EOD-320-53-00026-R01/A320- FUSELAGE - REAR FUSELAGE - INSPECTION FOR CRACKS AT FR68</t>
        </is>
      </c>
      <c r="C168" s="34" t="inlineStr">
        <is>
          <t>741</t>
        </is>
      </c>
      <c r="D168" s="35" t="inlineStr">
        <is>
          <t>ACFT GENERAL T/C</t>
        </is>
      </c>
      <c r="E168" s="36" t="inlineStr">
        <is>
          <t>Open</t>
        </is>
      </c>
      <c r="F168" s="36" t="inlineStr">
        <is>
          <t>Normal</t>
        </is>
      </c>
      <c r="G168" s="35" t="n"/>
      <c r="H168" s="37" t="inlineStr">
        <is>
          <t>Requested</t>
        </is>
      </c>
      <c r="I168" s="38" t="inlineStr">
        <is>
          <t>AFT AREA / OPEN UP</t>
        </is>
      </c>
      <c r="J168" s="36" t="inlineStr">
        <is>
          <t>N/A</t>
        </is>
      </c>
      <c r="K168" s="36" t="inlineStr">
        <is>
          <t>AFT</t>
        </is>
      </c>
      <c r="L168" s="39" t="n"/>
      <c r="M168" s="40" t="n"/>
      <c r="N168" s="41" t="n">
        <v>33.8</v>
      </c>
      <c r="O168" s="42" t="inlineStr">
        <is>
          <t>53</t>
        </is>
      </c>
      <c r="P168" s="41" t="n">
        <v>18.1</v>
      </c>
      <c r="Q168" s="41" t="n">
        <v>48.6</v>
      </c>
    </row>
    <row r="169">
      <c r="A169" s="32" t="inlineStr">
        <is>
          <t>31381248</t>
        </is>
      </c>
      <c r="B169" s="33" t="inlineStr">
        <is>
          <t>EOD-320-53-00047-R00/AD-REAR FUSELAGE - EXCHANGE NYLON BUSHES REF SB 53-1542</t>
        </is>
      </c>
      <c r="C169" s="34" t="inlineStr">
        <is>
          <t>743</t>
        </is>
      </c>
      <c r="D169" s="35" t="inlineStr">
        <is>
          <t>ACFT GENERAL T/C</t>
        </is>
      </c>
      <c r="E169" s="36" t="inlineStr">
        <is>
          <t>Open</t>
        </is>
      </c>
      <c r="F169" s="36" t="inlineStr">
        <is>
          <t>Normal</t>
        </is>
      </c>
      <c r="G169" s="35" t="n"/>
      <c r="H169" s="37" t="inlineStr">
        <is>
          <t>Requested</t>
        </is>
      </c>
      <c r="I169" s="38" t="inlineStr">
        <is>
          <t>SEATS REMOVAL</t>
        </is>
      </c>
      <c r="J169" s="36" t="inlineStr">
        <is>
          <t>N/A</t>
        </is>
      </c>
      <c r="K169" s="36" t="inlineStr">
        <is>
          <t>AFT</t>
        </is>
      </c>
      <c r="L169" s="39" t="n"/>
      <c r="M169" s="40" t="n"/>
      <c r="N169" s="41" t="n">
        <v>42.2</v>
      </c>
      <c r="O169" s="42" t="inlineStr">
        <is>
          <t>53</t>
        </is>
      </c>
      <c r="P169" s="41" t="n"/>
      <c r="Q169" s="41" t="n"/>
    </row>
    <row r="170">
      <c r="A170" s="32" t="inlineStr">
        <is>
          <t>31053001</t>
        </is>
      </c>
      <c r="B170" s="33" t="inlineStr">
        <is>
          <t>EOD-333-25-00024-R00/AD- A330/A320- INSPECT EACH BUCKLE SCREW FOR CRACKED,LOOSE</t>
        </is>
      </c>
      <c r="C170" s="34" t="inlineStr">
        <is>
          <t>745</t>
        </is>
      </c>
      <c r="D170" s="35" t="inlineStr">
        <is>
          <t>PAX SEAT</t>
        </is>
      </c>
      <c r="E170" s="36" t="inlineStr">
        <is>
          <t>Open</t>
        </is>
      </c>
      <c r="F170" s="36" t="inlineStr">
        <is>
          <t>Normal</t>
        </is>
      </c>
      <c r="G170" s="35" t="inlineStr">
        <is>
          <t>JOINT</t>
        </is>
      </c>
      <c r="H170" s="37" t="inlineStr">
        <is>
          <t>Requested</t>
        </is>
      </c>
      <c r="I170" s="38" t="inlineStr">
        <is>
          <t>CAB + INSP</t>
        </is>
      </c>
      <c r="J170" s="36" t="inlineStr">
        <is>
          <t>N/A</t>
        </is>
      </c>
      <c r="K170" s="36" t="inlineStr">
        <is>
          <t>JOINT</t>
        </is>
      </c>
      <c r="L170" s="39" t="n"/>
      <c r="M170" s="40" t="n"/>
      <c r="N170" s="41" t="n">
        <v>1.7</v>
      </c>
      <c r="O170" s="42" t="inlineStr">
        <is>
          <t>25</t>
        </is>
      </c>
      <c r="P170" s="41" t="n"/>
      <c r="Q170" s="41" t="n"/>
    </row>
    <row r="171">
      <c r="A171" s="32" t="inlineStr">
        <is>
          <t>31053051</t>
        </is>
      </c>
      <c r="B171" s="33" t="inlineStr">
        <is>
          <t>EOD-333-25-00024-R00/AD- A330/A320- INSPECT EACH BUCKLE SCREW FOR CRACKED,LOOSE</t>
        </is>
      </c>
      <c r="C171" s="34" t="inlineStr">
        <is>
          <t>746</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30936889</t>
        </is>
      </c>
      <c r="B172" s="33" t="inlineStr">
        <is>
          <t>S32-R10370/A32S - LANDING GEAR - FLEET CAMPIAGN FOR FREE FALL MECHANISM</t>
        </is>
      </c>
      <c r="C172" s="34" t="inlineStr">
        <is>
          <t>751</t>
        </is>
      </c>
      <c r="D172" s="35" t="inlineStr">
        <is>
          <t>ACFT GENERAL T/C</t>
        </is>
      </c>
      <c r="E172" s="36" t="inlineStr">
        <is>
          <t>Open</t>
        </is>
      </c>
      <c r="F172" s="36" t="inlineStr">
        <is>
          <t>Normal</t>
        </is>
      </c>
      <c r="G172" s="35" t="n"/>
      <c r="H172" s="37" t="inlineStr">
        <is>
          <t>Requested</t>
        </is>
      </c>
      <c r="I172" s="38" t="inlineStr">
        <is>
          <t>ACCESS (FLOOR PANLES/SEATS)</t>
        </is>
      </c>
      <c r="J172" s="36" t="inlineStr">
        <is>
          <t>N/A</t>
        </is>
      </c>
      <c r="K172" s="36" t="n"/>
      <c r="L172" s="39" t="n"/>
      <c r="M172" s="40" t="n"/>
      <c r="N172" s="41" t="n">
        <v>22.5</v>
      </c>
      <c r="O172" s="42" t="inlineStr">
        <is>
          <t>32-33</t>
        </is>
      </c>
      <c r="P172" s="41" t="n">
        <v>16.3</v>
      </c>
      <c r="Q172" s="41" t="n">
        <v>191.4</v>
      </c>
    </row>
    <row r="173">
      <c r="A173" s="32" t="inlineStr">
        <is>
          <t>31197928</t>
        </is>
      </c>
      <c r="B173" s="33" t="inlineStr">
        <is>
          <t>REPLACE MF20-534/B005068 (FULL FACE QUICK DONN MASK REGULATOR)</t>
        </is>
      </c>
      <c r="C173" s="34" t="inlineStr">
        <is>
          <t>763</t>
        </is>
      </c>
      <c r="D173" s="35" t="inlineStr">
        <is>
          <t>FLIGHT DECK</t>
        </is>
      </c>
      <c r="E173" s="36" t="inlineStr">
        <is>
          <t>Open</t>
        </is>
      </c>
      <c r="F173" s="36" t="inlineStr">
        <is>
          <t>Normal</t>
        </is>
      </c>
      <c r="G173" s="35" t="inlineStr">
        <is>
          <t>CAB</t>
        </is>
      </c>
      <c r="H173" s="37" t="inlineStr">
        <is>
          <t>Requested</t>
        </is>
      </c>
      <c r="I173" s="38" t="inlineStr">
        <is>
          <t>CAB</t>
        </is>
      </c>
      <c r="J173" s="36" t="inlineStr">
        <is>
          <t>N/A</t>
        </is>
      </c>
      <c r="K173" s="36" t="inlineStr">
        <is>
          <t>FWD</t>
        </is>
      </c>
      <c r="L173" s="39" t="n"/>
      <c r="M173" s="40" t="n"/>
      <c r="N173" s="41" t="n">
        <v>0</v>
      </c>
      <c r="O173" s="42" t="inlineStr">
        <is>
          <t>20-00</t>
        </is>
      </c>
      <c r="P173" s="41" t="n"/>
      <c r="Q173" s="41" t="n"/>
    </row>
    <row r="174">
      <c r="A174" s="32" t="inlineStr">
        <is>
          <t>80944787</t>
        </is>
      </c>
      <c r="B174" s="33" t="inlineStr">
        <is>
          <t>PANEL 41C CEILING PANEL FOUND DAMAGE</t>
        </is>
      </c>
      <c r="C174" s="34" t="inlineStr">
        <is>
          <t>772</t>
        </is>
      </c>
      <c r="D174" s="35" t="inlineStr">
        <is>
          <t>TEDLAR/SIDEWALL</t>
        </is>
      </c>
      <c r="E174" s="36" t="inlineStr">
        <is>
          <t>Open</t>
        </is>
      </c>
      <c r="F174" s="36" t="inlineStr">
        <is>
          <t>Normal</t>
        </is>
      </c>
      <c r="G174" s="35" t="inlineStr">
        <is>
          <t>CAB</t>
        </is>
      </c>
      <c r="H174" s="37" t="inlineStr">
        <is>
          <t>Requested</t>
        </is>
      </c>
      <c r="I174" s="38" t="inlineStr">
        <is>
          <t>LOGBOOK CABIN</t>
        </is>
      </c>
      <c r="J174" s="36" t="inlineStr">
        <is>
          <t>N/A</t>
        </is>
      </c>
      <c r="K174" s="36" t="inlineStr">
        <is>
          <t>AFT</t>
        </is>
      </c>
      <c r="L174" s="39" t="n"/>
      <c r="M174" s="40" t="n"/>
      <c r="N174" s="41" t="n">
        <v>0</v>
      </c>
      <c r="O174" s="42" t="inlineStr">
        <is>
          <t>25</t>
        </is>
      </c>
      <c r="P174" s="41" t="n">
        <v>16.2</v>
      </c>
      <c r="Q174" s="41" t="n">
        <v>6743.5</v>
      </c>
    </row>
    <row r="175">
      <c r="A175" s="32" t="inlineStr">
        <is>
          <t>81002632</t>
        </is>
      </c>
      <c r="B175" s="33" t="inlineStr">
        <is>
          <t>AFT GALLEY COMP COVERT ATTACHMENT FITTING S302 S303 S304 LOWER FLAP IS BROKEN AND DETACHED FROM FLOOR</t>
        </is>
      </c>
      <c r="C175" s="34" t="inlineStr">
        <is>
          <t>773</t>
        </is>
      </c>
      <c r="D175" s="35" t="inlineStr">
        <is>
          <t>GALLEY</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15</v>
      </c>
      <c r="Q175" s="41" t="n">
        <v>2236.1</v>
      </c>
    </row>
    <row r="176">
      <c r="A176" s="32" t="inlineStr">
        <is>
          <t>STJC-20-00-00-01-GA-GO</t>
        </is>
      </c>
      <c r="B176" s="33" t="inlineStr">
        <is>
          <t>HEAVY CHK AIRCRAFT (PRE-INSP)</t>
        </is>
      </c>
      <c r="C176" s="34" t="inlineStr">
        <is>
          <t>782</t>
        </is>
      </c>
      <c r="D176" s="35" t="inlineStr">
        <is>
          <t>ACFT GENERAL T/C</t>
        </is>
      </c>
      <c r="E176" s="36" t="inlineStr">
        <is>
          <t>Closed</t>
        </is>
      </c>
      <c r="F176" s="36" t="inlineStr">
        <is>
          <t>Normal</t>
        </is>
      </c>
      <c r="G176" s="35" t="n"/>
      <c r="H176" s="37" t="n"/>
      <c r="I176" s="38" t="n"/>
      <c r="J176" s="36" t="inlineStr">
        <is>
          <t>N/A</t>
        </is>
      </c>
      <c r="K176" s="36" t="inlineStr">
        <is>
          <t>JOINT</t>
        </is>
      </c>
      <c r="L176" s="39" t="n">
        <v>46223</v>
      </c>
      <c r="M176" s="40" t="n">
        <v>46223</v>
      </c>
      <c r="N176" s="41" t="n">
        <v>9</v>
      </c>
      <c r="O176" s="42" t="inlineStr">
        <is>
          <t>20</t>
        </is>
      </c>
      <c r="P176" s="41" t="n">
        <v>1.7</v>
      </c>
      <c r="Q176" s="41" t="n">
        <v>12.4</v>
      </c>
    </row>
    <row r="177">
      <c r="A177" s="32" t="inlineStr">
        <is>
          <t>STJC-20-00-00-06-A32S-SV</t>
        </is>
      </c>
      <c r="B177" s="33" t="inlineStr">
        <is>
          <t>HEAVEY CHECK PRE-HANGAR PREPARATION</t>
        </is>
      </c>
      <c r="C177" s="34" t="inlineStr">
        <is>
          <t>786</t>
        </is>
      </c>
      <c r="D177" s="35" t="inlineStr">
        <is>
          <t>ACFT GENERAL T/C</t>
        </is>
      </c>
      <c r="E177" s="36" t="inlineStr">
        <is>
          <t>Open</t>
        </is>
      </c>
      <c r="F177" s="36" t="inlineStr">
        <is>
          <t>Normal</t>
        </is>
      </c>
      <c r="G177" s="35" t="n"/>
      <c r="H177" s="37" t="inlineStr">
        <is>
          <t>Requested</t>
        </is>
      </c>
      <c r="I177" s="38" t="n"/>
      <c r="J177" s="36" t="inlineStr">
        <is>
          <t>N/A</t>
        </is>
      </c>
      <c r="K177" s="36" t="inlineStr">
        <is>
          <t>JOINT</t>
        </is>
      </c>
      <c r="L177" s="39" t="n"/>
      <c r="M177" s="40" t="n"/>
      <c r="N177" s="41" t="n">
        <v>13</v>
      </c>
      <c r="O177" s="42" t="inlineStr">
        <is>
          <t>20</t>
        </is>
      </c>
      <c r="P177" s="41" t="n"/>
      <c r="Q177" s="41" t="n"/>
    </row>
    <row r="178">
      <c r="A178" s="32" t="inlineStr">
        <is>
          <t>STJC-20-00-00-07-A32S-SV</t>
        </is>
      </c>
      <c r="B178" s="33" t="inlineStr">
        <is>
          <t>HEAVEY CHECK DE-HANGARING PREPARATION</t>
        </is>
      </c>
      <c r="C178" s="34" t="inlineStr">
        <is>
          <t>787</t>
        </is>
      </c>
      <c r="D178" s="35" t="inlineStr">
        <is>
          <t>ACFT GENERAL T/C</t>
        </is>
      </c>
      <c r="E178" s="36" t="inlineStr">
        <is>
          <t>Open</t>
        </is>
      </c>
      <c r="F178" s="36" t="inlineStr">
        <is>
          <t>Normal</t>
        </is>
      </c>
      <c r="G178" s="35" t="n"/>
      <c r="H178" s="37" t="n"/>
      <c r="I178" s="38" t="n"/>
      <c r="J178" s="36" t="inlineStr">
        <is>
          <t>N/A</t>
        </is>
      </c>
      <c r="K178" s="36" t="inlineStr">
        <is>
          <t>JOINT</t>
        </is>
      </c>
      <c r="L178" s="39" t="n"/>
      <c r="M178" s="40" t="n"/>
      <c r="N178" s="41" t="n">
        <v>22</v>
      </c>
      <c r="O178" s="42" t="inlineStr">
        <is>
          <t>20</t>
        </is>
      </c>
      <c r="P178" s="41" t="n"/>
      <c r="Q178" s="41" t="n"/>
    </row>
    <row r="179">
      <c r="A179" s="32" t="inlineStr">
        <is>
          <t>STJC-20-00-00-08-A32S-SV</t>
        </is>
      </c>
      <c r="B179" s="33" t="inlineStr">
        <is>
          <t>CABIN DOORS SAFETY PINS INSTALLATION/REMOVAL</t>
        </is>
      </c>
      <c r="C179" s="34" t="inlineStr">
        <is>
          <t>788</t>
        </is>
      </c>
      <c r="D179" s="35" t="inlineStr">
        <is>
          <t>PAX DOORS</t>
        </is>
      </c>
      <c r="E179" s="36" t="inlineStr">
        <is>
          <t>Open</t>
        </is>
      </c>
      <c r="F179" s="36" t="inlineStr">
        <is>
          <t>Normal</t>
        </is>
      </c>
      <c r="G179" s="35" t="inlineStr">
        <is>
          <t>CAB</t>
        </is>
      </c>
      <c r="H179" s="37" t="n"/>
      <c r="I179" s="38" t="inlineStr">
        <is>
          <t>CAB</t>
        </is>
      </c>
      <c r="J179" s="36" t="inlineStr">
        <is>
          <t>N/A</t>
        </is>
      </c>
      <c r="K179" s="36" t="inlineStr">
        <is>
          <t>JOINT</t>
        </is>
      </c>
      <c r="L179" s="39" t="n"/>
      <c r="M179" s="40" t="n"/>
      <c r="N179" s="41" t="n">
        <v>2</v>
      </c>
      <c r="O179" s="42" t="inlineStr">
        <is>
          <t>20</t>
        </is>
      </c>
      <c r="P179" s="41" t="n"/>
      <c r="Q179" s="41" t="n"/>
    </row>
    <row r="180">
      <c r="A180" s="32" t="inlineStr">
        <is>
          <t>STJC-AREAS-FINAL-INSPECTION-01-GA-GO</t>
        </is>
      </c>
      <c r="B180" s="33" t="inlineStr">
        <is>
          <t>AIRCRAFT FINAL INSPECTION</t>
        </is>
      </c>
      <c r="C180" s="34" t="inlineStr">
        <is>
          <t>789</t>
        </is>
      </c>
      <c r="D180" s="35" t="inlineStr">
        <is>
          <t>ACFT GENERAL T/C</t>
        </is>
      </c>
      <c r="E180" s="36" t="inlineStr">
        <is>
          <t>Open</t>
        </is>
      </c>
      <c r="F180" s="36" t="inlineStr">
        <is>
          <t>Normal</t>
        </is>
      </c>
      <c r="G180" s="35" t="n"/>
      <c r="H180" s="37" t="n"/>
      <c r="I180" s="38" t="n"/>
      <c r="J180" s="36" t="inlineStr">
        <is>
          <t>N/A</t>
        </is>
      </c>
      <c r="K180" s="36" t="inlineStr">
        <is>
          <t>JOINT</t>
        </is>
      </c>
      <c r="L180" s="39" t="n"/>
      <c r="M180" s="40" t="n"/>
      <c r="N180" s="41" t="n">
        <v>3</v>
      </c>
      <c r="O180" s="42" t="inlineStr">
        <is>
          <t>05-00</t>
        </is>
      </c>
      <c r="P180" s="41" t="n"/>
      <c r="Q180" s="41" t="n"/>
    </row>
    <row r="181">
      <c r="A181" s="32" t="inlineStr">
        <is>
          <t>STJC-AREAS-FINAL-INSPECTION-02-GA-GO</t>
        </is>
      </c>
      <c r="B181" s="33" t="inlineStr">
        <is>
          <t>COCKPIT AND PAX CABIN FINAL INSPECTION</t>
        </is>
      </c>
      <c r="C181" s="34" t="inlineStr">
        <is>
          <t>790</t>
        </is>
      </c>
      <c r="D181" s="35" t="inlineStr">
        <is>
          <t>ACFT GENERAL T/C</t>
        </is>
      </c>
      <c r="E181" s="36" t="inlineStr">
        <is>
          <t>Open</t>
        </is>
      </c>
      <c r="F181" s="36" t="inlineStr">
        <is>
          <t>Normal</t>
        </is>
      </c>
      <c r="G181" s="35" t="inlineStr">
        <is>
          <t>CAB</t>
        </is>
      </c>
      <c r="H181" s="37" t="n"/>
      <c r="I181" s="38" t="inlineStr">
        <is>
          <t>CAB</t>
        </is>
      </c>
      <c r="J181" s="36" t="inlineStr">
        <is>
          <t>N/A</t>
        </is>
      </c>
      <c r="K181" s="36" t="inlineStr">
        <is>
          <t>FWD</t>
        </is>
      </c>
      <c r="L181" s="39" t="n"/>
      <c r="M181" s="40" t="n"/>
      <c r="N181" s="41" t="n">
        <v>2</v>
      </c>
      <c r="O181" s="42" t="inlineStr">
        <is>
          <t>05-00</t>
        </is>
      </c>
      <c r="P181" s="41" t="n"/>
      <c r="Q181" s="41" t="n"/>
    </row>
    <row r="182">
      <c r="A182" s="32" t="inlineStr">
        <is>
          <t>STJC-CRS-GA-SV</t>
        </is>
      </c>
      <c r="B182" s="33" t="inlineStr">
        <is>
          <t>CERTIFICATE OF RELEASE TO SERVICE (CRS)</t>
        </is>
      </c>
      <c r="C182" s="34" t="inlineStr">
        <is>
          <t>798</t>
        </is>
      </c>
      <c r="D182" s="35" t="inlineStr">
        <is>
          <t>ACFT GENERAL T/C</t>
        </is>
      </c>
      <c r="E182" s="36" t="inlineStr">
        <is>
          <t>Open</t>
        </is>
      </c>
      <c r="F182" s="36" t="inlineStr">
        <is>
          <t>Normal</t>
        </is>
      </c>
      <c r="G182" s="35" t="n"/>
      <c r="H182" s="37" t="n"/>
      <c r="I182" s="38" t="n"/>
      <c r="J182" s="36" t="inlineStr">
        <is>
          <t>N/A</t>
        </is>
      </c>
      <c r="K182" s="36" t="inlineStr">
        <is>
          <t>JOINT</t>
        </is>
      </c>
      <c r="L182" s="39" t="n"/>
      <c r="M182" s="40" t="n"/>
      <c r="N182" s="41" t="n">
        <v>0.5</v>
      </c>
      <c r="O182" s="42" t="inlineStr">
        <is>
          <t>05-11</t>
        </is>
      </c>
      <c r="P182" s="41" t="n"/>
      <c r="Q182" s="41" t="n"/>
    </row>
    <row r="183">
      <c r="A183" s="32" t="inlineStr">
        <is>
          <t>STJC-RTS-03-A32S-SV</t>
        </is>
      </c>
      <c r="B183" s="33" t="inlineStr">
        <is>
          <t>AIRCRAFT RETURN TO SERVICE FOR HEAVEY CHECK</t>
        </is>
      </c>
      <c r="C183" s="34" t="inlineStr">
        <is>
          <t>799</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7</v>
      </c>
      <c r="O183" s="42" t="inlineStr">
        <is>
          <t>05-00</t>
        </is>
      </c>
      <c r="P183" s="41" t="n"/>
      <c r="Q183" s="41" t="n"/>
    </row>
    <row r="184">
      <c r="A184" s="32" t="inlineStr">
        <is>
          <t>381000-01-1</t>
        </is>
      </c>
      <c r="B184" s="33" t="inlineStr">
        <is>
          <t>381000-01-1 (3) / WATER TANK DISINFECTION</t>
        </is>
      </c>
      <c r="C184" s="34" t="inlineStr">
        <is>
          <t>803</t>
        </is>
      </c>
      <c r="D184" s="35" t="inlineStr">
        <is>
          <t>ACFT GENERAL T/C</t>
        </is>
      </c>
      <c r="E184" s="36" t="inlineStr">
        <is>
          <t>Open</t>
        </is>
      </c>
      <c r="F184" s="36" t="inlineStr">
        <is>
          <t>Normal</t>
        </is>
      </c>
      <c r="G184" s="35" t="inlineStr">
        <is>
          <t>CAB</t>
        </is>
      </c>
      <c r="H184" s="37" t="inlineStr">
        <is>
          <t>Requested</t>
        </is>
      </c>
      <c r="I184" s="38" t="inlineStr">
        <is>
          <t>CAB</t>
        </is>
      </c>
      <c r="J184" s="36" t="inlineStr">
        <is>
          <t>N/A</t>
        </is>
      </c>
      <c r="K184" s="36" t="inlineStr">
        <is>
          <t>JOINT</t>
        </is>
      </c>
      <c r="L184" s="39" t="n"/>
      <c r="M184" s="40" t="n"/>
      <c r="N184" s="41" t="n">
        <v>16</v>
      </c>
      <c r="O184" s="42" t="inlineStr">
        <is>
          <t>38-10</t>
        </is>
      </c>
      <c r="P184" s="41" t="n"/>
      <c r="Q184" s="41" t="n"/>
    </row>
    <row r="185">
      <c r="A185" s="32" t="inlineStr">
        <is>
          <t>32840057</t>
        </is>
      </c>
      <c r="B185" s="33" t="inlineStr">
        <is>
          <t>DCC-32S (13) / DCC A32S DAILY CABIN CHECK</t>
        </is>
      </c>
      <c r="C185" s="34" t="inlineStr">
        <is>
          <t>804</t>
        </is>
      </c>
      <c r="D185" s="35" t="inlineStr">
        <is>
          <t>GENERAL CABIN</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10</v>
      </c>
      <c r="O185" s="42" t="inlineStr">
        <is>
          <t>25-00</t>
        </is>
      </c>
      <c r="P185" s="41" t="n">
        <v>97</v>
      </c>
      <c r="Q185" s="41" t="n">
        <v>25.8</v>
      </c>
    </row>
    <row r="186">
      <c r="A186" s="32" t="inlineStr">
        <is>
          <t>CCC-32S</t>
        </is>
      </c>
      <c r="B186" s="33" t="inlineStr">
        <is>
          <t>CCC-32S (05) / A32S CABIN CRITICAL CHECK</t>
        </is>
      </c>
      <c r="C186" s="34" t="inlineStr">
        <is>
          <t>810</t>
        </is>
      </c>
      <c r="D186" s="35" t="inlineStr">
        <is>
          <t>GENERAL CABIN</t>
        </is>
      </c>
      <c r="E186" s="36" t="inlineStr">
        <is>
          <t>Open</t>
        </is>
      </c>
      <c r="F186" s="36" t="inlineStr">
        <is>
          <t>Normal</t>
        </is>
      </c>
      <c r="G186" s="35" t="inlineStr">
        <is>
          <t>CAB</t>
        </is>
      </c>
      <c r="H186" s="37" t="n"/>
      <c r="I186" s="38" t="inlineStr">
        <is>
          <t>CAB</t>
        </is>
      </c>
      <c r="J186" s="36" t="inlineStr">
        <is>
          <t>N/A</t>
        </is>
      </c>
      <c r="K186" s="36" t="inlineStr">
        <is>
          <t>JOINT</t>
        </is>
      </c>
      <c r="L186" s="39" t="n"/>
      <c r="M186" s="40" t="n"/>
      <c r="N186" s="41" t="n">
        <v>3.2</v>
      </c>
      <c r="O186" s="42" t="inlineStr">
        <is>
          <t>25-00</t>
        </is>
      </c>
      <c r="P186" s="41" t="n"/>
      <c r="Q186" s="41" t="n"/>
    </row>
    <row r="187">
      <c r="A187" s="32" t="n">
        <v>32978848</v>
      </c>
      <c r="B187" s="33" t="inlineStr">
        <is>
          <t>FINDING (NRC) TASKCARD 25-SVA-03 (01) / ITEM ONE ALL B/C SEAT STRUCTURE  DIRTY</t>
        </is>
      </c>
      <c r="C187" s="34" t="n">
        <v>874</v>
      </c>
      <c r="D187" s="35" t="inlineStr">
        <is>
          <t>PAX SEAT</t>
        </is>
      </c>
      <c r="E187" s="36" t="inlineStr">
        <is>
          <t>Closed</t>
        </is>
      </c>
      <c r="F187" s="36" t="inlineStr">
        <is>
          <t>Normal</t>
        </is>
      </c>
      <c r="G187" s="35" t="inlineStr">
        <is>
          <t>SEAT</t>
        </is>
      </c>
      <c r="H187" s="37" t="n"/>
      <c r="I187" s="38" t="n"/>
      <c r="J187" s="36" t="n"/>
      <c r="K187" s="36" t="inlineStr">
        <is>
          <t>N/A</t>
        </is>
      </c>
      <c r="L187" s="39" t="n">
        <v>46224</v>
      </c>
      <c r="M187" s="40" t="n">
        <v>46224</v>
      </c>
      <c r="N187" s="41" t="n">
        <v>12</v>
      </c>
      <c r="O187" s="42" t="n"/>
      <c r="P187" s="41" t="n">
        <v>12</v>
      </c>
      <c r="Q187" s="41" t="n">
        <v>6</v>
      </c>
    </row>
    <row r="188">
      <c r="A188" s="32" t="n">
        <v>32978869</v>
      </c>
      <c r="B188" s="33" t="inlineStr">
        <is>
          <t>FINDING (NRC) TASKCARD 25-SVA-03 (01) / ITEM ONE ALL B/C SEAT ARMCAP AISLE AND CTR DIRTY</t>
        </is>
      </c>
      <c r="C188" s="34" t="n">
        <v>875</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120</v>
      </c>
      <c r="O188" s="42" t="n"/>
      <c r="P188" s="41" t="n">
        <v>120.5</v>
      </c>
      <c r="Q188" s="41" t="n">
        <v>53.3</v>
      </c>
    </row>
    <row r="189">
      <c r="A189" s="32" t="n">
        <v>32978879</v>
      </c>
      <c r="B189" s="33" t="inlineStr">
        <is>
          <t>FINDING (NRC) TASKCARD 25-SVA-03 (01) / ITEM ONE ALL B/C SEAT BELT DIRTY</t>
        </is>
      </c>
      <c r="C189" s="34" t="n">
        <v>876</v>
      </c>
      <c r="D189" s="35" t="inlineStr">
        <is>
          <t>PAX SEAT</t>
        </is>
      </c>
      <c r="E189" s="36" t="inlineStr">
        <is>
          <t>Open</t>
        </is>
      </c>
      <c r="F189" s="36" t="inlineStr">
        <is>
          <t>Normal</t>
        </is>
      </c>
      <c r="G189" s="35" t="inlineStr">
        <is>
          <t>SEAT</t>
        </is>
      </c>
      <c r="H189" s="37" t="n"/>
      <c r="I189" s="38" t="n"/>
      <c r="J189" s="36" t="n"/>
      <c r="K189" s="36" t="inlineStr">
        <is>
          <t>N/A</t>
        </is>
      </c>
      <c r="L189" s="39" t="n"/>
      <c r="M189" s="40" t="n"/>
      <c r="N189" s="41" t="n">
        <v>2</v>
      </c>
      <c r="O189" s="42" t="n"/>
      <c r="P189" s="41" t="n"/>
      <c r="Q189" s="41" t="n"/>
    </row>
    <row r="190">
      <c r="A190" s="32" t="n">
        <v>32978900</v>
      </c>
      <c r="B190" s="33" t="inlineStr">
        <is>
          <t>FINDING (NRC) TASKCARD 25-SVA-03 (01) / ITEM ONE B/C SEAT# 1A,C,J , 2J,L , 3A,C,L 4C , 5C,J,L FOOD TRAY DOOR - SHROUD ASSEMBLY DAMAGED</t>
        </is>
      </c>
      <c r="C190" s="34" t="n">
        <v>877</v>
      </c>
      <c r="D190" s="35" t="inlineStr">
        <is>
          <t>PAX SEAT</t>
        </is>
      </c>
      <c r="E190" s="36" t="inlineStr">
        <is>
          <t>Closed</t>
        </is>
      </c>
      <c r="F190" s="36" t="inlineStr">
        <is>
          <t>Normal</t>
        </is>
      </c>
      <c r="G190" s="35" t="inlineStr">
        <is>
          <t>SEAT</t>
        </is>
      </c>
      <c r="H190" s="37" t="inlineStr">
        <is>
          <t>Requested</t>
        </is>
      </c>
      <c r="I190" s="38" t="n"/>
      <c r="J190" s="36" t="n"/>
      <c r="K190" s="36" t="inlineStr">
        <is>
          <t>N/A</t>
        </is>
      </c>
      <c r="L190" s="39" t="n">
        <v>46229</v>
      </c>
      <c r="M190" s="40" t="n">
        <v>46229</v>
      </c>
      <c r="N190" s="41" t="n">
        <v>22</v>
      </c>
      <c r="O190" s="42" t="n"/>
      <c r="P190" s="41" t="n">
        <v>22</v>
      </c>
      <c r="Q190" s="41" t="n">
        <v>106.1</v>
      </c>
    </row>
    <row r="191">
      <c r="A191" s="32" t="n">
        <v>32978919</v>
      </c>
      <c r="B191" s="33" t="inlineStr">
        <is>
          <t>FINDING (NRC) TASKCARD 25-SVA-03 (01) / ITEM ONE B/C SEATS OVERRIDE - MANUAL CABLE DAMAGED.  RECLINE CABLE AT SEAT # 4L LEGREST CABLE AT SEATS# 2J,3L,5A,J</t>
        </is>
      </c>
      <c r="C191" s="34" t="n">
        <v>878</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46224</v>
      </c>
      <c r="M191" s="40" t="n">
        <v>46224</v>
      </c>
      <c r="N191" s="41" t="n">
        <v>5</v>
      </c>
      <c r="O191" s="42" t="n"/>
      <c r="P191" s="41" t="n">
        <v>5</v>
      </c>
      <c r="Q191" s="41" t="n">
        <v>5</v>
      </c>
    </row>
    <row r="192">
      <c r="A192" s="32" t="n">
        <v>32978925</v>
      </c>
      <c r="B192" s="33" t="inlineStr">
        <is>
          <t>FINDING (NRC) TASKCARD 25-SVA-03 (01) / ITEM ONE B/C SEAT# 1C , 2A , 4A ARMREST LOOSE</t>
        </is>
      </c>
      <c r="C192" s="34" t="n">
        <v>879</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3</v>
      </c>
      <c r="O192" s="42" t="n"/>
      <c r="P192" s="41" t="n">
        <v>3</v>
      </c>
      <c r="Q192" s="41" t="n">
        <v>1.5</v>
      </c>
    </row>
    <row r="193">
      <c r="A193" s="32" t="n">
        <v>32978965</v>
      </c>
      <c r="B193" s="33" t="inlineStr">
        <is>
          <t>FINDING (NRC) TASKCARD 25-SVA-03 (01) / ITEM ONE B/C SEAT# 1J,2J,3J  RUBSTRIP - SHELL DAMAGED</t>
        </is>
      </c>
      <c r="C193" s="34" t="n">
        <v>880</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3</v>
      </c>
    </row>
    <row r="194">
      <c r="A194" s="32" t="n">
        <v>32979121</v>
      </c>
      <c r="B194" s="33" t="inlineStr">
        <is>
          <t>FINDING (NRC) TASKCARD 25-SVA-03 (01) / ITEM ONE ALL B/C SEAT LANYARD AND PIN - DETENT  MISSING</t>
        </is>
      </c>
      <c r="C194" s="34" t="n">
        <v>881</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46229</v>
      </c>
      <c r="M194" s="40" t="n">
        <v>46229</v>
      </c>
      <c r="N194" s="41" t="n">
        <v>13</v>
      </c>
      <c r="O194" s="42" t="n"/>
      <c r="P194" s="41" t="n">
        <v>13</v>
      </c>
      <c r="Q194" s="41" t="n">
        <v>105.7</v>
      </c>
    </row>
    <row r="195">
      <c r="A195" s="32" t="n">
        <v>32979157</v>
      </c>
      <c r="B195" s="33" t="inlineStr">
        <is>
          <t>FINDING (NRC) TASKCARD 25-SVA-03 (01) / ITEM ONE B/C SEAT# 1AC , 5AC SHROUD - CONSOLE, FRONT LOWER DAMAGED</t>
        </is>
      </c>
      <c r="C195" s="34" t="n">
        <v>882</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46225</v>
      </c>
      <c r="M195" s="40" t="n">
        <v>46225</v>
      </c>
      <c r="N195" s="41" t="n">
        <v>3</v>
      </c>
      <c r="O195" s="42" t="n"/>
      <c r="P195" s="41" t="n">
        <v>3</v>
      </c>
      <c r="Q195" s="41" t="n">
        <v>3</v>
      </c>
    </row>
    <row r="196">
      <c r="A196" s="32" t="n">
        <v>32979231</v>
      </c>
      <c r="B196" s="33" t="inlineStr">
        <is>
          <t>FINDING (NRC) TASKCARD 25-SVA-03 (01) / ITEM ONE B/C SEAT# 1C , 3J RUBSTRIP - FRONT DAMAGED</t>
        </is>
      </c>
      <c r="C196" s="34" t="n">
        <v>885</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46224</v>
      </c>
      <c r="M196" s="40" t="n">
        <v>46224</v>
      </c>
      <c r="N196" s="41" t="n">
        <v>2</v>
      </c>
      <c r="O196" s="42" t="n"/>
      <c r="P196" s="41" t="n">
        <v>2</v>
      </c>
      <c r="Q196" s="41" t="n">
        <v>2</v>
      </c>
    </row>
    <row r="197">
      <c r="A197" s="32" t="n">
        <v>32979530</v>
      </c>
      <c r="B197" s="33" t="inlineStr">
        <is>
          <t>FINDING (NRC) TASKCARD 25-65-00-01-0-SVA (02) / RII/AVN AFT MEGAPHONE P/N A12SA S/N 1142984 WILL EXPIRE 09 /10/ 2026 LESS THAN 80 DAYS</t>
        </is>
      </c>
      <c r="C197" s="34" t="n">
        <v>892</v>
      </c>
      <c r="D197" s="35" t="inlineStr">
        <is>
          <t>GENERAL CABIN</t>
        </is>
      </c>
      <c r="E197" s="36" t="inlineStr">
        <is>
          <t>Closed</t>
        </is>
      </c>
      <c r="F197" s="36" t="inlineStr">
        <is>
          <t>Normal</t>
        </is>
      </c>
      <c r="G197" s="35" t="inlineStr">
        <is>
          <t>AV</t>
        </is>
      </c>
      <c r="H197" s="37" t="inlineStr">
        <is>
          <t>Requested</t>
        </is>
      </c>
      <c r="I197" s="38" t="n"/>
      <c r="J197" s="36" t="n"/>
      <c r="K197" s="36" t="inlineStr">
        <is>
          <t>AFT</t>
        </is>
      </c>
      <c r="L197" s="39" t="n">
        <v>46229</v>
      </c>
      <c r="M197" s="40" t="n">
        <v>46229</v>
      </c>
      <c r="N197" s="42" t="n"/>
      <c r="O197" s="42" t="n"/>
      <c r="P197" s="41" t="n">
        <v>12.5</v>
      </c>
      <c r="Q197" s="41" t="n">
        <v>114.1</v>
      </c>
    </row>
    <row r="198">
      <c r="A198" s="32" t="n">
        <v>32979557</v>
      </c>
      <c r="B198" s="33" t="inlineStr">
        <is>
          <t>FINDING (NRC) TASKCARD 25-65-00-01-0-SVA-001 /RII/CABIN AFT BOTH FIRST  AID KIT WILL EXPIRE ON 06/2026 LESS THAN 6 MONTH</t>
        </is>
      </c>
      <c r="C198" s="34" t="n">
        <v>893</v>
      </c>
      <c r="D198" s="35" t="inlineStr">
        <is>
          <t>GENERAL CABIN</t>
        </is>
      </c>
      <c r="E198" s="36" t="inlineStr">
        <is>
          <t>Open</t>
        </is>
      </c>
      <c r="F198" s="36" t="inlineStr">
        <is>
          <t>Normal</t>
        </is>
      </c>
      <c r="G198" s="35" t="inlineStr">
        <is>
          <t>CAB</t>
        </is>
      </c>
      <c r="H198" s="37" t="n"/>
      <c r="I198" s="38" t="n"/>
      <c r="J198" s="36" t="n"/>
      <c r="K198" s="36" t="inlineStr">
        <is>
          <t>AFT</t>
        </is>
      </c>
      <c r="L198" s="39" t="n"/>
      <c r="M198" s="40" t="n"/>
      <c r="N198" s="41" t="n">
        <v>1</v>
      </c>
      <c r="O198" s="42" t="n"/>
      <c r="P198" s="41" t="n"/>
      <c r="Q198" s="41" t="n"/>
    </row>
    <row r="199">
      <c r="A199" s="32" t="n">
        <v>32979661</v>
      </c>
      <c r="B199" s="33" t="inlineStr">
        <is>
          <t>FINDING (NRC) TASKCARD 353000-07-1 /CABIN/ NO CALLBACK PORTABLE OXYGEN MASK BEHIND SEAT 5 J WILL EXPIRE ON 09/2026</t>
        </is>
      </c>
      <c r="C199" s="34" t="n">
        <v>894</v>
      </c>
      <c r="D199" s="35" t="inlineStr">
        <is>
          <t>GENERAL CABIN</t>
        </is>
      </c>
      <c r="E199" s="36" t="inlineStr">
        <is>
          <t>Open</t>
        </is>
      </c>
      <c r="F199" s="36" t="inlineStr">
        <is>
          <t>Normal</t>
        </is>
      </c>
      <c r="G199" s="35" t="inlineStr">
        <is>
          <t>CAB</t>
        </is>
      </c>
      <c r="H199" s="37" t="n"/>
      <c r="I199" s="38" t="n"/>
      <c r="J199" s="36" t="n"/>
      <c r="K199" s="36" t="inlineStr">
        <is>
          <t>FWD</t>
        </is>
      </c>
      <c r="L199" s="39" t="n"/>
      <c r="M199" s="40" t="n"/>
      <c r="N199" s="42" t="n"/>
      <c r="O199" s="42" t="n"/>
      <c r="P199" s="41" t="n"/>
      <c r="Q199" s="41" t="n"/>
    </row>
    <row r="200">
      <c r="A200" s="32" t="n">
        <v>32979981</v>
      </c>
      <c r="B200" s="33" t="inlineStr">
        <is>
          <t>FINDING (NRC) TASKCARD 25-SVA-05 (01) / ITEM ONE ALL G/C SEAT MAGAZINE SPRING LOOSE</t>
        </is>
      </c>
      <c r="C200" s="34" t="n">
        <v>897</v>
      </c>
      <c r="D200" s="35" t="inlineStr">
        <is>
          <t>PAX SEAT</t>
        </is>
      </c>
      <c r="E200" s="36" t="inlineStr">
        <is>
          <t>Closed</t>
        </is>
      </c>
      <c r="F200" s="36" t="inlineStr">
        <is>
          <t>Normal</t>
        </is>
      </c>
      <c r="G200" s="35" t="inlineStr">
        <is>
          <t>SEAT</t>
        </is>
      </c>
      <c r="H200" s="37" t="n"/>
      <c r="I200" s="38" t="n"/>
      <c r="J200" s="36" t="n"/>
      <c r="K200" s="36" t="inlineStr">
        <is>
          <t>N/A</t>
        </is>
      </c>
      <c r="L200" s="39" t="n">
        <v>46229</v>
      </c>
      <c r="M200" s="40" t="n">
        <v>46229</v>
      </c>
      <c r="N200" s="41" t="n">
        <v>24</v>
      </c>
      <c r="O200" s="42" t="n"/>
      <c r="P200" s="41" t="n">
        <v>24</v>
      </c>
      <c r="Q200" s="41" t="n">
        <v>128.6</v>
      </c>
    </row>
    <row r="201">
      <c r="A201" s="32" t="n">
        <v>32980018</v>
      </c>
      <c r="B201" s="33" t="inlineStr">
        <is>
          <t>FINDING (NRC) TASKCARD 25-SVA-05 (01) / ITEM ONE ALL G/C SEAT STRUCTURE DIRTY</t>
        </is>
      </c>
      <c r="C201" s="34" t="n">
        <v>898</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24</v>
      </c>
      <c r="O201" s="42" t="n"/>
      <c r="P201" s="41" t="n">
        <v>24</v>
      </c>
      <c r="Q201" s="41" t="n">
        <v>8</v>
      </c>
    </row>
    <row r="202">
      <c r="A202" s="32" t="n">
        <v>32980020</v>
      </c>
      <c r="B202" s="33" t="inlineStr">
        <is>
          <t>FINDING (NRC) TASKCARD 25-SVA-05 (01) / ITEM ONE ALL G/C SEAT ARMREST LOOSE</t>
        </is>
      </c>
      <c r="C202" s="34" t="n">
        <v>899</v>
      </c>
      <c r="D202" s="35" t="inlineStr">
        <is>
          <t>PAX SEAT</t>
        </is>
      </c>
      <c r="E202" s="36" t="inlineStr">
        <is>
          <t>Closed</t>
        </is>
      </c>
      <c r="F202" s="36" t="inlineStr">
        <is>
          <t>Normal</t>
        </is>
      </c>
      <c r="G202" s="35" t="inlineStr">
        <is>
          <t>SEAT</t>
        </is>
      </c>
      <c r="H202" s="37" t="n"/>
      <c r="I202" s="38" t="n"/>
      <c r="J202" s="36" t="n"/>
      <c r="K202" s="36" t="inlineStr">
        <is>
          <t>N/A</t>
        </is>
      </c>
      <c r="L202" s="39" t="n">
        <v>46229</v>
      </c>
      <c r="M202" s="40" t="n">
        <v>46229</v>
      </c>
      <c r="N202" s="41" t="n">
        <v>47</v>
      </c>
      <c r="O202" s="42" t="n"/>
      <c r="P202" s="41" t="n">
        <v>47</v>
      </c>
      <c r="Q202" s="41" t="n">
        <v>56.1</v>
      </c>
    </row>
    <row r="203">
      <c r="A203" s="32" t="n">
        <v>32980022</v>
      </c>
      <c r="B203" s="33" t="inlineStr">
        <is>
          <t>FINDING (NRC) TASKCARD 25-SVA-05 (01) / ITEM ONE ALL G/C SEAT HEADREST REQUIRE REMOVE FOR ACCESS</t>
        </is>
      </c>
      <c r="C203" s="34" t="n">
        <v>900</v>
      </c>
      <c r="D203" s="35" t="inlineStr">
        <is>
          <t>PAX SEAT</t>
        </is>
      </c>
      <c r="E203" s="36" t="inlineStr">
        <is>
          <t>Open</t>
        </is>
      </c>
      <c r="F203" s="36" t="inlineStr">
        <is>
          <t>Normal</t>
        </is>
      </c>
      <c r="G203" s="35" t="inlineStr">
        <is>
          <t>SEAT</t>
        </is>
      </c>
      <c r="H203" s="37" t="n"/>
      <c r="I203" s="38" t="n"/>
      <c r="J203" s="36" t="n"/>
      <c r="K203" s="36" t="inlineStr">
        <is>
          <t>N/A</t>
        </is>
      </c>
      <c r="L203" s="39" t="n"/>
      <c r="M203" s="40" t="n"/>
      <c r="N203" s="41" t="n">
        <v>6.5</v>
      </c>
      <c r="O203" s="42" t="n"/>
      <c r="P203" s="41" t="n">
        <v>6.5</v>
      </c>
      <c r="Q203" s="41" t="n">
        <v>169.3</v>
      </c>
    </row>
    <row r="204">
      <c r="A204" s="32" t="n">
        <v>81172702</v>
      </c>
      <c r="B204" s="33" t="inlineStr">
        <is>
          <t>IFE REMOTE CONTROL VHS REMOTE CONTROL FOR 1L IS BROKEN  BY CREW: 11013005</t>
        </is>
      </c>
      <c r="C204" s="34" t="n">
        <v>905</v>
      </c>
      <c r="D204" s="35" t="inlineStr">
        <is>
          <t>GENERAL CABIN</t>
        </is>
      </c>
      <c r="E204" s="36" t="inlineStr">
        <is>
          <t>Open</t>
        </is>
      </c>
      <c r="F204" s="36" t="inlineStr">
        <is>
          <t>Normal</t>
        </is>
      </c>
      <c r="G204" s="35" t="inlineStr">
        <is>
          <t>AV</t>
        </is>
      </c>
      <c r="H204" s="37" t="inlineStr">
        <is>
          <t>Requested</t>
        </is>
      </c>
      <c r="I204" s="38" t="n"/>
      <c r="J204" s="36" t="n"/>
      <c r="K204" s="36" t="inlineStr">
        <is>
          <t>N/A</t>
        </is>
      </c>
      <c r="L204" s="39" t="n"/>
      <c r="M204" s="40" t="n"/>
      <c r="N204" s="42" t="n"/>
      <c r="O204" s="42" t="n"/>
      <c r="P204" s="41" t="n">
        <v>3.5</v>
      </c>
      <c r="Q204" s="41" t="n">
        <v>645.2</v>
      </c>
    </row>
    <row r="205">
      <c r="A205" s="32" t="n">
        <v>28611923</v>
      </c>
      <c r="B205" s="33" t="inlineStr">
        <is>
          <t>S25-R10381/HZ-ASD - FWD GALLEY COMP 104 WORKDECK BULGING REPEAT INSPECTION</t>
        </is>
      </c>
      <c r="C205" s="34" t="n">
        <v>918</v>
      </c>
      <c r="D205" s="35" t="inlineStr">
        <is>
          <t>GALLEY</t>
        </is>
      </c>
      <c r="E205" s="36" t="inlineStr">
        <is>
          <t>Open</t>
        </is>
      </c>
      <c r="F205" s="36" t="inlineStr">
        <is>
          <t>Normal</t>
        </is>
      </c>
      <c r="G205" s="35" t="inlineStr">
        <is>
          <t>CAB</t>
        </is>
      </c>
      <c r="H205" s="37" t="n"/>
      <c r="I205" s="38" t="n"/>
      <c r="J205" s="36" t="n"/>
      <c r="K205" s="36" t="inlineStr">
        <is>
          <t>FWD</t>
        </is>
      </c>
      <c r="L205" s="39" t="n"/>
      <c r="M205" s="40" t="n"/>
      <c r="N205" s="41" t="n">
        <v>1.5</v>
      </c>
      <c r="O205" s="42" t="n"/>
      <c r="P205" s="41" t="n">
        <v>0.4</v>
      </c>
      <c r="Q205" s="41" t="n">
        <v>69.59999999999999</v>
      </c>
    </row>
    <row r="206">
      <c r="A206" s="32" t="n">
        <v>32930830</v>
      </c>
      <c r="B206" s="33" t="inlineStr">
        <is>
          <t>S38-D10019/A320/21 - VERIFICATION OF WATER-HEATER; LAVATORY</t>
        </is>
      </c>
      <c r="C206" s="34" t="n">
        <v>925</v>
      </c>
      <c r="D206" s="35" t="inlineStr">
        <is>
          <t>GENERAL CABIN</t>
        </is>
      </c>
      <c r="E206" s="36" t="inlineStr">
        <is>
          <t>Closed</t>
        </is>
      </c>
      <c r="F206" s="36" t="inlineStr">
        <is>
          <t>Normal</t>
        </is>
      </c>
      <c r="G206" s="35" t="inlineStr">
        <is>
          <t>CAB</t>
        </is>
      </c>
      <c r="H206" s="37" t="n"/>
      <c r="I206" s="38" t="n"/>
      <c r="J206" s="36" t="n"/>
      <c r="K206" s="36" t="inlineStr">
        <is>
          <t>JOINT</t>
        </is>
      </c>
      <c r="L206" s="39" t="n">
        <v>46222</v>
      </c>
      <c r="M206" s="40" t="n">
        <v>46222</v>
      </c>
      <c r="N206" s="41" t="n">
        <v>2</v>
      </c>
      <c r="O206" s="42" t="n"/>
      <c r="P206" s="41" t="n">
        <v>4</v>
      </c>
      <c r="Q206" s="41" t="n">
        <v>4.4</v>
      </c>
    </row>
    <row r="207">
      <c r="A207" s="32" t="n">
        <v>32980026</v>
      </c>
      <c r="B207" s="33" t="inlineStr">
        <is>
          <t>FINDING (NRC) TASKCARD 25-SVA-05 (01) / ITEM ONE ALL G/C SEATS FOODTRAY DIRTY</t>
        </is>
      </c>
      <c r="C207" s="34" t="n">
        <v>926</v>
      </c>
      <c r="D207" s="35" t="inlineStr">
        <is>
          <t>PAX SEAT</t>
        </is>
      </c>
      <c r="E207" s="36" t="inlineStr">
        <is>
          <t>Open</t>
        </is>
      </c>
      <c r="F207" s="36" t="inlineStr">
        <is>
          <t>Normal</t>
        </is>
      </c>
      <c r="G207" s="35" t="inlineStr">
        <is>
          <t>SEAT</t>
        </is>
      </c>
      <c r="H207" s="37" t="inlineStr">
        <is>
          <t>Requested</t>
        </is>
      </c>
      <c r="I207" s="38" t="n"/>
      <c r="J207" s="36" t="n"/>
      <c r="K207" s="36" t="inlineStr">
        <is>
          <t>N/A</t>
        </is>
      </c>
      <c r="L207" s="39" t="n"/>
      <c r="M207" s="40" t="n"/>
      <c r="N207" s="41" t="n">
        <v>24</v>
      </c>
      <c r="O207" s="42" t="n"/>
      <c r="P207" s="41" t="n"/>
      <c r="Q207" s="41" t="n"/>
    </row>
    <row r="208">
      <c r="A208" s="32" t="n">
        <v>32980031</v>
      </c>
      <c r="B208" s="33" t="inlineStr">
        <is>
          <t>FINDING (NRC) TASKCARD 25-SVA-05 (01) / ITEM ONE G/C SEATS #30C LINER CRACKED</t>
        </is>
      </c>
      <c r="C208" s="34" t="n">
        <v>927</v>
      </c>
      <c r="D208" s="35" t="inlineStr">
        <is>
          <t>PAX SEAT</t>
        </is>
      </c>
      <c r="E208" s="36" t="inlineStr">
        <is>
          <t>Closed</t>
        </is>
      </c>
      <c r="F208" s="36" t="inlineStr">
        <is>
          <t>Normal</t>
        </is>
      </c>
      <c r="G208" s="35" t="inlineStr">
        <is>
          <t>SEAT</t>
        </is>
      </c>
      <c r="H208" s="37" t="inlineStr">
        <is>
          <t>Requested</t>
        </is>
      </c>
      <c r="I208" s="38" t="n"/>
      <c r="J208" s="36" t="n"/>
      <c r="K208" s="36" t="inlineStr">
        <is>
          <t>N/A</t>
        </is>
      </c>
      <c r="L208" s="39" t="n">
        <v>46224</v>
      </c>
      <c r="M208" s="40" t="n">
        <v>46224</v>
      </c>
      <c r="N208" s="41" t="n">
        <v>1</v>
      </c>
      <c r="O208" s="42" t="n"/>
      <c r="P208" s="41" t="n">
        <v>1</v>
      </c>
      <c r="Q208" s="41" t="n">
        <v>1</v>
      </c>
    </row>
    <row r="209">
      <c r="A209" s="32" t="n">
        <v>32980070</v>
      </c>
      <c r="B209" s="33" t="inlineStr">
        <is>
          <t>FINDING (NRC) TASKCARD 25-SVA-05 (01) / ITEM ONE G/C SEATS#30A,B,C,J,K,L  FOOD TRAY DIRTEY</t>
        </is>
      </c>
      <c r="C209" s="34" t="n">
        <v>933</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46229</v>
      </c>
      <c r="M209" s="40" t="n">
        <v>46229</v>
      </c>
      <c r="N209" s="41" t="n">
        <v>6.5</v>
      </c>
      <c r="O209" s="42" t="n"/>
      <c r="P209" s="41" t="n">
        <v>6.5</v>
      </c>
      <c r="Q209" s="41" t="n">
        <v>59.3</v>
      </c>
    </row>
    <row r="210">
      <c r="A210" s="32" t="n">
        <v>32980087</v>
      </c>
      <c r="B210" s="33" t="inlineStr">
        <is>
          <t>FINDING (NRC) TASKCARD 25-SVA-05 (01) / ITEM ONE G/C SEATS# 33J, 34C,J ,37C, 38C, 40C, 41J AISLE BUMBER DAMAGE</t>
        </is>
      </c>
      <c r="C210" s="34" t="n">
        <v>940</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3.5</v>
      </c>
      <c r="O210" s="42" t="n"/>
      <c r="P210" s="41" t="n">
        <v>3</v>
      </c>
      <c r="Q210" s="41" t="n">
        <v>1.5</v>
      </c>
    </row>
    <row r="211">
      <c r="A211" s="32" t="n">
        <v>32980133</v>
      </c>
      <c r="B211" s="33" t="inlineStr">
        <is>
          <t>FINDING (NRC) TASKCARD 25-SVA-05 (01) / ITEM ONE ALL G/C SEATS BACKREST LOOSE</t>
        </is>
      </c>
      <c r="C211" s="34" t="n">
        <v>942</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46229</v>
      </c>
      <c r="M211" s="40" t="n">
        <v>46229</v>
      </c>
      <c r="N211" s="41" t="n">
        <v>29</v>
      </c>
      <c r="O211" s="42" t="n"/>
      <c r="P211" s="41" t="n">
        <v>29</v>
      </c>
      <c r="Q211" s="41" t="n">
        <v>128.6</v>
      </c>
    </row>
    <row r="212">
      <c r="A212" s="32" t="inlineStr">
        <is>
          <t>44-SVA-01</t>
        </is>
      </c>
      <c r="B212" s="33" t="inlineStr">
        <is>
          <t>44-SVA-01 (01) / PANASONIC LEVEL 1 CHECK</t>
        </is>
      </c>
      <c r="C212" s="34" t="n">
        <v>943</v>
      </c>
      <c r="D212" s="35" t="inlineStr">
        <is>
          <t>GENERAL CABIN</t>
        </is>
      </c>
      <c r="E212" s="36" t="inlineStr">
        <is>
          <t>Open</t>
        </is>
      </c>
      <c r="F212" s="36" t="inlineStr">
        <is>
          <t>Normal</t>
        </is>
      </c>
      <c r="G212" s="35" t="inlineStr">
        <is>
          <t>AV</t>
        </is>
      </c>
      <c r="H212" s="37" t="n"/>
      <c r="I212" s="38" t="n"/>
      <c r="J212" s="36" t="n"/>
      <c r="K212" s="36" t="inlineStr">
        <is>
          <t>N/A</t>
        </is>
      </c>
      <c r="L212" s="39" t="n"/>
      <c r="M212" s="40" t="n"/>
      <c r="N212" s="41" t="n">
        <v>1.5</v>
      </c>
      <c r="O212" s="42" t="n"/>
      <c r="P212" s="41" t="n"/>
      <c r="Q212" s="41" t="n"/>
    </row>
    <row r="213">
      <c r="A213" s="32" t="n">
        <v>32917899</v>
      </c>
      <c r="B213" s="33" t="inlineStr">
        <is>
          <t>ISC/IN SERVCE CHECK_N</t>
        </is>
      </c>
      <c r="C213" s="34" t="n">
        <v>944</v>
      </c>
      <c r="D213" s="35" t="inlineStr">
        <is>
          <t>ACFT GENERAL T/C</t>
        </is>
      </c>
      <c r="E213" s="36" t="inlineStr">
        <is>
          <t>Open</t>
        </is>
      </c>
      <c r="F213" s="36" t="inlineStr">
        <is>
          <t>Normal</t>
        </is>
      </c>
      <c r="G213" s="35" t="inlineStr">
        <is>
          <t>AP</t>
        </is>
      </c>
      <c r="H213" s="37" t="n"/>
      <c r="I213" s="38" t="n"/>
      <c r="J213" s="36" t="n"/>
      <c r="K213" s="36" t="inlineStr">
        <is>
          <t>N/A</t>
        </is>
      </c>
      <c r="L213" s="39" t="n"/>
      <c r="M213" s="40" t="n"/>
      <c r="N213" s="42" t="n"/>
      <c r="O213" s="42" t="n"/>
      <c r="P213" s="41" t="n"/>
      <c r="Q213" s="41" t="n"/>
    </row>
    <row r="214">
      <c r="A214" s="32" t="n">
        <v>32420054</v>
      </c>
      <c r="B214" s="33" t="inlineStr">
        <is>
          <t>W_N/WEEKLY CHECK</t>
        </is>
      </c>
      <c r="C214" s="34" t="n">
        <v>945</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32980135</v>
      </c>
      <c r="B215" s="33" t="inlineStr">
        <is>
          <t>FINDING (NRC) TASKCARD 25-SVA-05 (01) / ITEM ONE G/C SEAT#30L ARM MONITOR LOOSE</t>
        </is>
      </c>
      <c r="C215" s="34" t="n">
        <v>946</v>
      </c>
      <c r="D215" s="35" t="inlineStr">
        <is>
          <t>PAX SEAT</t>
        </is>
      </c>
      <c r="E215" s="36" t="inlineStr">
        <is>
          <t>Closed</t>
        </is>
      </c>
      <c r="F215" s="36" t="inlineStr">
        <is>
          <t>Normal</t>
        </is>
      </c>
      <c r="G215" s="35" t="inlineStr">
        <is>
          <t>SEAT</t>
        </is>
      </c>
      <c r="H215" s="37" t="n"/>
      <c r="I215" s="38" t="n"/>
      <c r="J215" s="36" t="n"/>
      <c r="K215" s="36" t="inlineStr">
        <is>
          <t>N/A</t>
        </is>
      </c>
      <c r="L215" s="39" t="n">
        <v>46225</v>
      </c>
      <c r="M215" s="40" t="n">
        <v>46225</v>
      </c>
      <c r="N215" s="41" t="n">
        <v>2</v>
      </c>
      <c r="O215" s="42" t="n"/>
      <c r="P215" s="41" t="n">
        <v>2</v>
      </c>
      <c r="Q215" s="41" t="n">
        <v>2</v>
      </c>
    </row>
    <row r="216">
      <c r="A216" s="32" t="inlineStr">
        <is>
          <t>ISC-32S</t>
        </is>
      </c>
      <c r="B216" s="33" t="inlineStr">
        <is>
          <t>ISC-32S (14) / 32S IN-SERVEICE-CHECK (ISC)</t>
        </is>
      </c>
      <c r="C216" s="34" t="n">
        <v>947</v>
      </c>
      <c r="D216" s="35" t="inlineStr">
        <is>
          <t>ACFT GENERAL T/C</t>
        </is>
      </c>
      <c r="E216" s="36" t="inlineStr">
        <is>
          <t>Open</t>
        </is>
      </c>
      <c r="F216" s="36" t="inlineStr">
        <is>
          <t>Normal</t>
        </is>
      </c>
      <c r="G216" s="35" t="inlineStr">
        <is>
          <t>AP</t>
        </is>
      </c>
      <c r="H216" s="37" t="n"/>
      <c r="I216" s="38" t="n"/>
      <c r="J216" s="36" t="n"/>
      <c r="K216" s="36" t="inlineStr">
        <is>
          <t>N/A</t>
        </is>
      </c>
      <c r="L216" s="39" t="n"/>
      <c r="M216" s="40" t="n"/>
      <c r="N216" s="41" t="n">
        <v>2.8</v>
      </c>
      <c r="O216" s="42" t="n"/>
      <c r="P216" s="41" t="n"/>
      <c r="Q216" s="41" t="n"/>
    </row>
    <row r="217">
      <c r="A217" s="32" t="inlineStr">
        <is>
          <t>WEEKLY-32S</t>
        </is>
      </c>
      <c r="B217" s="33" t="inlineStr">
        <is>
          <t>WEEKLY-32S (05) / WEEKLY 32S CHECK</t>
        </is>
      </c>
      <c r="C217" s="34" t="n">
        <v>948</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5.9</v>
      </c>
      <c r="O217" s="42" t="n"/>
      <c r="P217" s="41" t="n"/>
      <c r="Q217" s="41" t="n"/>
    </row>
    <row r="218">
      <c r="A218" s="32" t="n">
        <v>32981647</v>
      </c>
      <c r="B218" s="33" t="inlineStr">
        <is>
          <t>AFT R/H PAX/CREW DOOR---CAB---NO CALLBACK DURING INSP, FOUND AFT R/H PAX/CREW DOOR SEAL DUSTY</t>
        </is>
      </c>
      <c r="C218" s="34" t="n">
        <v>956</v>
      </c>
      <c r="D218" s="35" t="inlineStr">
        <is>
          <t>GENERAL CABIN</t>
        </is>
      </c>
      <c r="E218" s="36" t="inlineStr">
        <is>
          <t>Open</t>
        </is>
      </c>
      <c r="F218" s="36" t="inlineStr">
        <is>
          <t>Normal</t>
        </is>
      </c>
      <c r="G218" s="35" t="inlineStr">
        <is>
          <t>CAB</t>
        </is>
      </c>
      <c r="H218" s="37" t="n"/>
      <c r="I218" s="38" t="n"/>
      <c r="J218" s="36" t="n"/>
      <c r="K218" s="36" t="inlineStr">
        <is>
          <t>AFT</t>
        </is>
      </c>
      <c r="L218" s="39" t="n"/>
      <c r="M218" s="40" t="n"/>
      <c r="N218" s="42" t="n"/>
      <c r="O218" s="42" t="n"/>
      <c r="P218" s="41" t="n">
        <v>14</v>
      </c>
      <c r="Q218" s="41" t="n">
        <v>18.4</v>
      </c>
    </row>
    <row r="219">
      <c r="A219" s="32" t="n">
        <v>32981683</v>
      </c>
      <c r="B219" s="33" t="inlineStr">
        <is>
          <t>FINDING (NRC) TASKCARD 25-SVA-03 (01) / ITEM ONE B/C SEAT#1A,L, AND 4A, SHROUD/VELCRO ASSEMBLY DAMAGED.</t>
        </is>
      </c>
      <c r="C219" s="34" t="n">
        <v>957</v>
      </c>
      <c r="D219" s="35" t="inlineStr">
        <is>
          <t>PAX SEAT</t>
        </is>
      </c>
      <c r="E219" s="36" t="inlineStr">
        <is>
          <t>Open</t>
        </is>
      </c>
      <c r="F219" s="36" t="inlineStr">
        <is>
          <t>Normal</t>
        </is>
      </c>
      <c r="G219" s="35" t="inlineStr">
        <is>
          <t>SEAT</t>
        </is>
      </c>
      <c r="H219" s="37" t="inlineStr">
        <is>
          <t>Requested</t>
        </is>
      </c>
      <c r="I219" s="38" t="n"/>
      <c r="J219" s="36" t="n"/>
      <c r="K219" s="36" t="inlineStr">
        <is>
          <t>N/A</t>
        </is>
      </c>
      <c r="L219" s="39" t="n"/>
      <c r="M219" s="40" t="n"/>
      <c r="N219" s="41" t="n">
        <v>3</v>
      </c>
      <c r="O219" s="42" t="n"/>
      <c r="P219" s="41" t="n"/>
      <c r="Q219" s="41" t="n"/>
    </row>
    <row r="220">
      <c r="A220" s="32" t="n">
        <v>32981716</v>
      </c>
      <c r="B220" s="33" t="inlineStr">
        <is>
          <t>FINDING (NRC) TASKCARD 25-SVA-03 (01) / ITEM ONE B/C SEAT#2L, 4L, COVER - ARM SHROUD MISSING.</t>
        </is>
      </c>
      <c r="C220" s="34" t="n">
        <v>958</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46225</v>
      </c>
      <c r="M220" s="40" t="n">
        <v>46225</v>
      </c>
      <c r="N220" s="41" t="n">
        <v>2</v>
      </c>
      <c r="O220" s="42" t="n"/>
      <c r="P220" s="41" t="n">
        <v>2</v>
      </c>
      <c r="Q220" s="41" t="n">
        <v>2</v>
      </c>
    </row>
    <row r="221">
      <c r="A221" s="32" t="n">
        <v>32981721</v>
      </c>
      <c r="B221" s="33" t="inlineStr">
        <is>
          <t>FINDING (NRC) TASKCARD 25-SVA-03 (01) / ITEM ONE B/C SEAT#1L, 2A,C, 3L, 4L, 5A, SEAT CLOSEOUT ASSEMBLY DAMAGED.</t>
        </is>
      </c>
      <c r="C221" s="34" t="n">
        <v>959</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6</v>
      </c>
      <c r="O221" s="42" t="n"/>
      <c r="P221" s="41" t="n">
        <v>6</v>
      </c>
      <c r="Q221" s="41" t="n">
        <v>6</v>
      </c>
    </row>
    <row r="222">
      <c r="A222" s="32" t="n">
        <v>32981726</v>
      </c>
      <c r="B222" s="33" t="inlineStr">
        <is>
          <t>FINDING (NRC) TASKCARD 25-SVA-03 (01) / ITEM ONE B/C SEAT# 1J, 2J, 3C, 4A,C,  5A,C,J,  LATCH - BACK MISSING</t>
        </is>
      </c>
      <c r="C222" s="34" t="n">
        <v>960</v>
      </c>
      <c r="D222" s="35" t="inlineStr">
        <is>
          <t>PAX SEAT</t>
        </is>
      </c>
      <c r="E222" s="36" t="inlineStr">
        <is>
          <t>Open</t>
        </is>
      </c>
      <c r="F222" s="36" t="inlineStr">
        <is>
          <t>Normal</t>
        </is>
      </c>
      <c r="G222" s="35" t="inlineStr">
        <is>
          <t>SEAT</t>
        </is>
      </c>
      <c r="H222" s="37" t="inlineStr">
        <is>
          <t>Requested</t>
        </is>
      </c>
      <c r="I222" s="38" t="n"/>
      <c r="J222" s="36" t="n"/>
      <c r="K222" s="36" t="inlineStr">
        <is>
          <t>N/A</t>
        </is>
      </c>
      <c r="L222" s="39" t="n"/>
      <c r="M222" s="40" t="n"/>
      <c r="N222" s="41" t="n">
        <v>6</v>
      </c>
      <c r="O222" s="42" t="n"/>
      <c r="P222" s="41" t="n"/>
      <c r="Q222" s="41" t="n"/>
    </row>
    <row r="223">
      <c r="A223" s="32" t="n">
        <v>32981754</v>
      </c>
      <c r="B223" s="33" t="inlineStr">
        <is>
          <t>FINDING (NRC) TASKCARD 25-SVA-03 (01) / ITEM ONE B/C SEAT# 1L, 3L, 4A, 5A,C LIFE VEST DOOR, DUAL PAWL ASSEMBLY - NON LOCKABLE DAMAGED.</t>
        </is>
      </c>
      <c r="C223" s="34" t="n">
        <v>961</v>
      </c>
      <c r="D223" s="35" t="inlineStr">
        <is>
          <t>PAX SEAT</t>
        </is>
      </c>
      <c r="E223" s="36" t="inlineStr">
        <is>
          <t>Closed</t>
        </is>
      </c>
      <c r="F223" s="36" t="inlineStr">
        <is>
          <t>Normal</t>
        </is>
      </c>
      <c r="G223" s="35" t="inlineStr">
        <is>
          <t>SEAT</t>
        </is>
      </c>
      <c r="H223" s="37" t="inlineStr">
        <is>
          <t>Requested</t>
        </is>
      </c>
      <c r="I223" s="38" t="n"/>
      <c r="J223" s="36" t="n"/>
      <c r="K223" s="36" t="inlineStr">
        <is>
          <t>N/A</t>
        </is>
      </c>
      <c r="L223" s="39" t="n">
        <v>46224</v>
      </c>
      <c r="M223" s="40" t="n">
        <v>46224</v>
      </c>
      <c r="N223" s="41" t="n">
        <v>5</v>
      </c>
      <c r="O223" s="42" t="n"/>
      <c r="P223" s="41" t="n">
        <v>5</v>
      </c>
      <c r="Q223" s="41" t="n">
        <v>3</v>
      </c>
    </row>
    <row r="224">
      <c r="A224" s="32" t="n">
        <v>32981772</v>
      </c>
      <c r="B224" s="33" t="inlineStr">
        <is>
          <t>FINDING (NRC) TASKCARD 25-SVA-03 (01) / ITEM ONE B/C SEAT#2A, 4J  PANEL ASSEMBLY - ACCESS DAMAGED.</t>
        </is>
      </c>
      <c r="C224" s="34" t="n">
        <v>962</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46229</v>
      </c>
      <c r="M224" s="40" t="n">
        <v>46229</v>
      </c>
      <c r="N224" s="41" t="n">
        <v>2</v>
      </c>
      <c r="O224" s="42" t="n"/>
      <c r="P224" s="41" t="n">
        <v>2</v>
      </c>
      <c r="Q224" s="41" t="n">
        <v>44.3</v>
      </c>
    </row>
    <row r="225">
      <c r="A225" s="32" t="n">
        <v>32981774</v>
      </c>
      <c r="B225" s="33" t="inlineStr">
        <is>
          <t>FINDING (NRC) TASKCARD 25-SVA-03 (01) / ITEM ONE B/C SEAT#3JL COCKTAIL TABLE ASSEMBLY  WITH SCRATCH.</t>
        </is>
      </c>
      <c r="C225" s="34" t="n">
        <v>963</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46225</v>
      </c>
      <c r="M225" s="40" t="n">
        <v>46225</v>
      </c>
      <c r="N225" s="41" t="n">
        <v>2</v>
      </c>
      <c r="O225" s="42" t="n"/>
      <c r="P225" s="41" t="n">
        <v>2</v>
      </c>
      <c r="Q225" s="41" t="n">
        <v>2</v>
      </c>
    </row>
    <row r="226">
      <c r="A226" s="32" t="n">
        <v>32981816</v>
      </c>
      <c r="B226" s="33" t="inlineStr">
        <is>
          <t>FINDING (NRC) TASKCARD 25-SVA-03 (01) / ITEM ONE B/C SEAT#1J, 2A,L, 4A, 5J, SHROUD - CONSOLE SIDE DAMAGED.</t>
        </is>
      </c>
      <c r="C226" s="34" t="n">
        <v>964</v>
      </c>
      <c r="D226" s="35" t="inlineStr">
        <is>
          <t>PAX SEAT</t>
        </is>
      </c>
      <c r="E226" s="36" t="inlineStr">
        <is>
          <t>Open</t>
        </is>
      </c>
      <c r="F226" s="36" t="inlineStr">
        <is>
          <t>Normal</t>
        </is>
      </c>
      <c r="G226" s="35" t="inlineStr">
        <is>
          <t>SEAT</t>
        </is>
      </c>
      <c r="H226" s="37" t="inlineStr">
        <is>
          <t>Requested</t>
        </is>
      </c>
      <c r="I226" s="38" t="n"/>
      <c r="J226" s="36" t="n"/>
      <c r="K226" s="36" t="inlineStr">
        <is>
          <t>N/A</t>
        </is>
      </c>
      <c r="L226" s="39" t="n"/>
      <c r="M226" s="40" t="n"/>
      <c r="N226" s="41" t="n">
        <v>15</v>
      </c>
      <c r="O226" s="42" t="n"/>
      <c r="P226" s="41" t="n">
        <v>7</v>
      </c>
      <c r="Q226" s="41" t="n">
        <v>56</v>
      </c>
    </row>
    <row r="227">
      <c r="A227" s="32" t="n">
        <v>32982133</v>
      </c>
      <c r="B227" s="33" t="inlineStr">
        <is>
          <t>CAB RII  - OXYGEN MASK F/O OXYGEN MASK VALVE DISK MISSING</t>
        </is>
      </c>
      <c r="C227" s="34" t="n">
        <v>965</v>
      </c>
      <c r="D227" s="35" t="inlineStr">
        <is>
          <t>FLIGHT DECK</t>
        </is>
      </c>
      <c r="E227" s="36" t="inlineStr">
        <is>
          <t>Closed</t>
        </is>
      </c>
      <c r="F227" s="36" t="inlineStr">
        <is>
          <t>Normal</t>
        </is>
      </c>
      <c r="G227" s="35" t="inlineStr">
        <is>
          <t>CAB</t>
        </is>
      </c>
      <c r="H227" s="37" t="inlineStr">
        <is>
          <t>Requested</t>
        </is>
      </c>
      <c r="I227" s="38" t="n"/>
      <c r="J227" s="36" t="n"/>
      <c r="K227" s="36" t="inlineStr">
        <is>
          <t>FWD</t>
        </is>
      </c>
      <c r="L227" s="39" t="n">
        <v>46223</v>
      </c>
      <c r="M227" s="40" t="n">
        <v>46223</v>
      </c>
      <c r="N227" s="42" t="n"/>
      <c r="O227" s="42" t="n"/>
      <c r="P227" s="41" t="n">
        <v>4.5</v>
      </c>
      <c r="Q227" s="41" t="n">
        <v>2.4</v>
      </c>
    </row>
    <row r="228">
      <c r="A228" s="32" t="n">
        <v>32982172</v>
      </c>
      <c r="B228" s="33" t="inlineStr">
        <is>
          <t>AFT GALLY  SM--CALL BACK AFT GALLEY LOWER ATTACHMENT POINTS  FITTING WITH 3 EA PLAT RUSTY</t>
        </is>
      </c>
      <c r="C228" s="34" t="n">
        <v>966</v>
      </c>
      <c r="D228" s="35" t="inlineStr">
        <is>
          <t>GALLEY</t>
        </is>
      </c>
      <c r="E228" s="36" t="inlineStr">
        <is>
          <t>Open</t>
        </is>
      </c>
      <c r="F228" s="36" t="inlineStr">
        <is>
          <t>Normal</t>
        </is>
      </c>
      <c r="G228" s="35" t="inlineStr">
        <is>
          <t>S/M</t>
        </is>
      </c>
      <c r="H228" s="37" t="n"/>
      <c r="I228" s="38" t="n"/>
      <c r="J228" s="36" t="n"/>
      <c r="K228" s="36" t="inlineStr">
        <is>
          <t>AFT</t>
        </is>
      </c>
      <c r="L228" s="39" t="n"/>
      <c r="M228" s="40" t="n"/>
      <c r="N228" s="41" t="n">
        <v>8</v>
      </c>
      <c r="O228" s="42" t="n"/>
      <c r="P228" s="41" t="n">
        <v>0.5</v>
      </c>
      <c r="Q228" s="41" t="n">
        <v>68.8</v>
      </c>
    </row>
    <row r="229">
      <c r="A229" s="32" t="n">
        <v>32982191</v>
      </c>
      <c r="B229" s="33" t="inlineStr">
        <is>
          <t>S/M L2 STOWAGE LOWER DIVIDER PACKER WITH 4 EACH FROZEN SCREWS</t>
        </is>
      </c>
      <c r="C229" s="34" t="n">
        <v>967</v>
      </c>
      <c r="D229" s="35" t="inlineStr">
        <is>
          <t>GENERAL CABIN</t>
        </is>
      </c>
      <c r="E229" s="36" t="inlineStr">
        <is>
          <t>Closed</t>
        </is>
      </c>
      <c r="F229" s="36" t="inlineStr">
        <is>
          <t>Normal</t>
        </is>
      </c>
      <c r="G229" s="35" t="inlineStr">
        <is>
          <t>S/M</t>
        </is>
      </c>
      <c r="H229" s="37" t="n"/>
      <c r="I229" s="38" t="n"/>
      <c r="J229" s="36" t="n"/>
      <c r="K229" s="36" t="inlineStr">
        <is>
          <t>AFT</t>
        </is>
      </c>
      <c r="L229" s="39" t="n">
        <v>46223</v>
      </c>
      <c r="M229" s="40" t="n">
        <v>46223</v>
      </c>
      <c r="N229" s="42" t="n"/>
      <c r="O229" s="42" t="n"/>
      <c r="P229" s="41" t="n">
        <v>6</v>
      </c>
      <c r="Q229" s="41" t="n">
        <v>2.2</v>
      </c>
    </row>
    <row r="230">
      <c r="A230" s="32" t="n">
        <v>32982194</v>
      </c>
      <c r="B230" s="33" t="inlineStr">
        <is>
          <t>CAB-CALLBACK L2 STOWAGE REMOVAL FOR ACCESS</t>
        </is>
      </c>
      <c r="C230" s="34" t="n">
        <v>968</v>
      </c>
      <c r="D230" s="35" t="inlineStr">
        <is>
          <t>GENERAL CABIN</t>
        </is>
      </c>
      <c r="E230" s="36" t="inlineStr">
        <is>
          <t>Open</t>
        </is>
      </c>
      <c r="F230" s="36" t="inlineStr">
        <is>
          <t>ACCESS</t>
        </is>
      </c>
      <c r="G230" s="35" t="inlineStr">
        <is>
          <t>CAB</t>
        </is>
      </c>
      <c r="H230" s="37" t="n"/>
      <c r="I230" s="38" t="n"/>
      <c r="J230" s="36" t="n"/>
      <c r="K230" s="36" t="inlineStr">
        <is>
          <t>AFT</t>
        </is>
      </c>
      <c r="L230" s="39" t="n"/>
      <c r="M230" s="40" t="n"/>
      <c r="N230" s="42" t="n"/>
      <c r="O230" s="42" t="n"/>
      <c r="P230" s="41" t="n">
        <v>7.5</v>
      </c>
      <c r="Q230" s="41" t="n">
        <v>229.6</v>
      </c>
    </row>
    <row r="231">
      <c r="A231" s="32" t="n">
        <v>32982195</v>
      </c>
      <c r="B231" s="33" t="inlineStr">
        <is>
          <t>S/M NO CALLBACK L2 STOWAGE RAMP ASSY FOUND ALL INSERTS REMOVED</t>
        </is>
      </c>
      <c r="C231" s="34" t="n">
        <v>969</v>
      </c>
      <c r="D231" s="35" t="inlineStr">
        <is>
          <t>GENERAL CABIN</t>
        </is>
      </c>
      <c r="E231" s="36" t="inlineStr">
        <is>
          <t>Open</t>
        </is>
      </c>
      <c r="F231" s="36" t="inlineStr">
        <is>
          <t>Normal</t>
        </is>
      </c>
      <c r="G231" s="35" t="inlineStr">
        <is>
          <t>CAB</t>
        </is>
      </c>
      <c r="H231" s="37" t="n"/>
      <c r="I231" s="38" t="n"/>
      <c r="J231" s="36" t="n"/>
      <c r="K231" s="36" t="inlineStr">
        <is>
          <t>AFT</t>
        </is>
      </c>
      <c r="L231" s="39" t="n"/>
      <c r="M231" s="40" t="n"/>
      <c r="N231" s="42" t="n"/>
      <c r="O231" s="42" t="n"/>
      <c r="P231" s="41" t="n"/>
      <c r="Q231" s="41" t="n"/>
    </row>
    <row r="232">
      <c r="A232" s="32" t="n">
        <v>32982197</v>
      </c>
      <c r="B232" s="33" t="inlineStr">
        <is>
          <t>CAB-CALLBACK R2 STOWAGE REMOVED FOR ACCESS</t>
        </is>
      </c>
      <c r="C232" s="34" t="n">
        <v>970</v>
      </c>
      <c r="D232" s="35" t="inlineStr">
        <is>
          <t>GENERAL CABIN</t>
        </is>
      </c>
      <c r="E232" s="36" t="inlineStr">
        <is>
          <t>Open</t>
        </is>
      </c>
      <c r="F232" s="36" t="inlineStr">
        <is>
          <t>ACCESS</t>
        </is>
      </c>
      <c r="G232" s="35" t="inlineStr">
        <is>
          <t>CAB</t>
        </is>
      </c>
      <c r="H232" s="37" t="n"/>
      <c r="I232" s="38" t="n"/>
      <c r="J232" s="36" t="n"/>
      <c r="K232" s="36" t="inlineStr">
        <is>
          <t>AFT</t>
        </is>
      </c>
      <c r="L232" s="39" t="n"/>
      <c r="M232" s="40" t="n"/>
      <c r="N232" s="42" t="n"/>
      <c r="O232" s="42" t="n"/>
      <c r="P232" s="41" t="n">
        <v>9.5</v>
      </c>
      <c r="Q232" s="41" t="n">
        <v>254.7</v>
      </c>
    </row>
    <row r="233">
      <c r="A233" s="32" t="n">
        <v>32982199</v>
      </c>
      <c r="B233" s="33" t="inlineStr">
        <is>
          <t>L1 INBOARD AND OUTBOARD WALL-MOUNTED FLIGHT ATTENDANT SEAT REQUIRE REMOVAL FOR ACCESS.</t>
        </is>
      </c>
      <c r="C233" s="34" t="n">
        <v>971</v>
      </c>
      <c r="D233" s="35" t="inlineStr">
        <is>
          <t>F/A SEAT</t>
        </is>
      </c>
      <c r="E233" s="36" t="inlineStr">
        <is>
          <t>Open</t>
        </is>
      </c>
      <c r="F233" s="36" t="inlineStr">
        <is>
          <t>ACCESS</t>
        </is>
      </c>
      <c r="G233" s="35" t="inlineStr">
        <is>
          <t>CAB</t>
        </is>
      </c>
      <c r="H233" s="37" t="n"/>
      <c r="I233" s="38" t="n"/>
      <c r="J233" s="36" t="n"/>
      <c r="K233" s="36" t="inlineStr">
        <is>
          <t>FWD</t>
        </is>
      </c>
      <c r="L233" s="39" t="n"/>
      <c r="M233" s="40" t="n"/>
      <c r="N233" s="42" t="n"/>
      <c r="O233" s="42" t="n"/>
      <c r="P233" s="41" t="n">
        <v>1.5</v>
      </c>
      <c r="Q233" s="41" t="n">
        <v>252.4</v>
      </c>
    </row>
    <row r="234">
      <c r="A234" s="32" t="n">
        <v>32982200</v>
      </c>
      <c r="B234" s="33" t="inlineStr">
        <is>
          <t>SWIVEL FLIGHT ATTENDANT SEAT REQUIRE REMOVAL FOR ACCESS</t>
        </is>
      </c>
      <c r="C234" s="34" t="n">
        <v>972</v>
      </c>
      <c r="D234" s="35" t="inlineStr">
        <is>
          <t>F/A SEAT</t>
        </is>
      </c>
      <c r="E234" s="36" t="inlineStr">
        <is>
          <t>Open</t>
        </is>
      </c>
      <c r="F234" s="36" t="inlineStr">
        <is>
          <t>AOG</t>
        </is>
      </c>
      <c r="G234" s="35" t="inlineStr">
        <is>
          <t>CAB</t>
        </is>
      </c>
      <c r="H234" s="37" t="inlineStr">
        <is>
          <t>Requested</t>
        </is>
      </c>
      <c r="I234" s="38" t="n"/>
      <c r="J234" s="36" t="n"/>
      <c r="K234" s="36" t="inlineStr">
        <is>
          <t>AFT</t>
        </is>
      </c>
      <c r="L234" s="39" t="n"/>
      <c r="M234" s="40" t="n"/>
      <c r="N234" s="42" t="n"/>
      <c r="O234" s="42" t="n"/>
      <c r="P234" s="41" t="n">
        <v>2</v>
      </c>
      <c r="Q234" s="41" t="n">
        <v>252.6</v>
      </c>
    </row>
    <row r="235">
      <c r="A235" s="32" t="n">
        <v>32982202</v>
      </c>
      <c r="B235" s="33" t="inlineStr">
        <is>
          <t>R2 DOUBLE WALL-MOUNTED FLIGHT ATTENDANT SEAT REQUIRE REMOVAL FOR ACCESS</t>
        </is>
      </c>
      <c r="C235" s="34" t="n">
        <v>973</v>
      </c>
      <c r="D235" s="35" t="inlineStr">
        <is>
          <t>F/A SEAT</t>
        </is>
      </c>
      <c r="E235" s="36" t="inlineStr">
        <is>
          <t>Open</t>
        </is>
      </c>
      <c r="F235" s="36" t="inlineStr">
        <is>
          <t>ACCESS</t>
        </is>
      </c>
      <c r="G235" s="35" t="inlineStr">
        <is>
          <t>CAB</t>
        </is>
      </c>
      <c r="H235" s="37" t="n"/>
      <c r="I235" s="38" t="n"/>
      <c r="J235" s="36" t="n"/>
      <c r="K235" s="36" t="inlineStr">
        <is>
          <t>AFT</t>
        </is>
      </c>
      <c r="L235" s="39" t="n"/>
      <c r="M235" s="40" t="n"/>
      <c r="N235" s="42" t="n"/>
      <c r="O235" s="42" t="n"/>
      <c r="P235" s="41" t="n"/>
      <c r="Q235" s="41" t="n"/>
    </row>
    <row r="236">
      <c r="A236" s="32" t="n">
        <v>32982203</v>
      </c>
      <c r="B236" s="33" t="inlineStr">
        <is>
          <t>L1 INBOARD AND OUTBOARD WALL-MOUNTED FLIGHT ATTENDANT SEAT REQUIRE REMOVAL FOR ACCESS.</t>
        </is>
      </c>
      <c r="C236" s="34" t="n">
        <v>974</v>
      </c>
      <c r="D236" s="35" t="inlineStr">
        <is>
          <t>F/A SEAT</t>
        </is>
      </c>
      <c r="E236" s="36" t="inlineStr">
        <is>
          <t>Open</t>
        </is>
      </c>
      <c r="F236" s="36" t="inlineStr">
        <is>
          <t>ACCESS</t>
        </is>
      </c>
      <c r="G236" s="35" t="inlineStr">
        <is>
          <t>CAB</t>
        </is>
      </c>
      <c r="H236" s="37" t="n"/>
      <c r="I236" s="38" t="n"/>
      <c r="J236" s="36" t="n"/>
      <c r="K236" s="36" t="inlineStr">
        <is>
          <t>FWD</t>
        </is>
      </c>
      <c r="L236" s="39" t="n"/>
      <c r="M236" s="40" t="n"/>
      <c r="N236" s="42" t="n"/>
      <c r="O236" s="42" t="n"/>
      <c r="P236" s="41" t="n">
        <v>4</v>
      </c>
      <c r="Q236" s="41" t="n">
        <v>252.9</v>
      </c>
    </row>
    <row r="237">
      <c r="A237" s="32" t="n">
        <v>32983996</v>
      </c>
      <c r="B237" s="33" t="inlineStr">
        <is>
          <t>CAB - NO CALLBACK - LIFE VESTS ALL LIFE VESTS WILL EXPIRE WITHIN 3 YEARS.</t>
        </is>
      </c>
      <c r="C237" s="34" t="n">
        <v>992</v>
      </c>
      <c r="D237" s="35" t="inlineStr">
        <is>
          <t>GENERAL CABIN</t>
        </is>
      </c>
      <c r="E237" s="36" t="inlineStr">
        <is>
          <t>Open</t>
        </is>
      </c>
      <c r="F237" s="36" t="inlineStr">
        <is>
          <t>Normal</t>
        </is>
      </c>
      <c r="G237" s="35" t="inlineStr">
        <is>
          <t>CAB</t>
        </is>
      </c>
      <c r="H237" s="37" t="inlineStr">
        <is>
          <t>Requested</t>
        </is>
      </c>
      <c r="I237" s="38" t="n"/>
      <c r="J237" s="36" t="n"/>
      <c r="K237" s="36" t="inlineStr">
        <is>
          <t>JOINT</t>
        </is>
      </c>
      <c r="L237" s="39" t="n"/>
      <c r="M237" s="40" t="n"/>
      <c r="N237" s="41" t="n">
        <v>8.5</v>
      </c>
      <c r="O237" s="42" t="n"/>
      <c r="P237" s="41" t="n"/>
      <c r="Q237" s="41" t="n"/>
    </row>
    <row r="238">
      <c r="A238" s="32" t="n">
        <v>32984263</v>
      </c>
      <c r="B238" s="33" t="inlineStr">
        <is>
          <t>FINDING (NRC) TASKCARD 25-SVA-03 (01) / ITEM ONE ALL B/C SEAT FOOTWELL ASSEMBLY REQUIRE REMOVE FOR ACCESS</t>
        </is>
      </c>
      <c r="C238" s="34" t="n">
        <v>999</v>
      </c>
      <c r="D238" s="35" t="inlineStr">
        <is>
          <t>PAX SEAT</t>
        </is>
      </c>
      <c r="E238" s="36" t="inlineStr">
        <is>
          <t>Open</t>
        </is>
      </c>
      <c r="F238" s="36" t="inlineStr">
        <is>
          <t>Normal</t>
        </is>
      </c>
      <c r="G238" s="35" t="inlineStr">
        <is>
          <t>SEAT</t>
        </is>
      </c>
      <c r="H238" s="37" t="n"/>
      <c r="I238" s="38" t="n"/>
      <c r="J238" s="36" t="n"/>
      <c r="K238" s="36" t="inlineStr">
        <is>
          <t>N/A</t>
        </is>
      </c>
      <c r="L238" s="39" t="n"/>
      <c r="M238" s="40" t="n"/>
      <c r="N238" s="41" t="n">
        <v>10</v>
      </c>
      <c r="O238" s="42" t="n"/>
      <c r="P238" s="41" t="n">
        <v>9.5</v>
      </c>
      <c r="Q238" s="41" t="n">
        <v>191.4</v>
      </c>
    </row>
    <row r="239">
      <c r="A239" s="32" t="n">
        <v>32984585</v>
      </c>
      <c r="B239" s="33" t="inlineStr">
        <is>
          <t>FINDING (NRC) TASKCARD 25-SVA-03 (01) / ITEM ONE ALL B/C SEAT PANEL ASSEMBLY - ACCESS REQUIRE REMOVE FOR ACCESS</t>
        </is>
      </c>
      <c r="C239" s="34" t="n">
        <v>1003</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12</v>
      </c>
      <c r="O239" s="42" t="n"/>
      <c r="P239" s="41" t="n">
        <v>11.5</v>
      </c>
      <c r="Q239" s="41" t="n">
        <v>219.9</v>
      </c>
    </row>
    <row r="240">
      <c r="A240" s="32" t="n">
        <v>32984729</v>
      </c>
      <c r="B240" s="33" t="inlineStr">
        <is>
          <t>CAB - NO CALLBACK - AFT GALLEY AFT GALLEY COUNTERTOP SEALANT DETERIORATED.</t>
        </is>
      </c>
      <c r="C240" s="34" t="n">
        <v>1004</v>
      </c>
      <c r="D240" s="35" t="inlineStr">
        <is>
          <t>GALLEY</t>
        </is>
      </c>
      <c r="E240" s="36" t="inlineStr">
        <is>
          <t>Open</t>
        </is>
      </c>
      <c r="F240" s="36" t="inlineStr">
        <is>
          <t>Normal</t>
        </is>
      </c>
      <c r="G240" s="35" t="inlineStr">
        <is>
          <t>CAB</t>
        </is>
      </c>
      <c r="H240" s="37" t="inlineStr">
        <is>
          <t>Requested</t>
        </is>
      </c>
      <c r="I240" s="38" t="n"/>
      <c r="J240" s="36" t="n"/>
      <c r="K240" s="36" t="inlineStr">
        <is>
          <t>AFT</t>
        </is>
      </c>
      <c r="L240" s="39" t="n"/>
      <c r="M240" s="40" t="n"/>
      <c r="N240" s="41" t="n">
        <v>3</v>
      </c>
      <c r="O240" s="42" t="n"/>
      <c r="P240" s="41" t="n"/>
      <c r="Q240" s="41" t="n"/>
    </row>
    <row r="241">
      <c r="A241" s="32" t="n">
        <v>32984742</v>
      </c>
      <c r="B241" s="33" t="inlineStr">
        <is>
          <t>CAB - NO CALLBACK - AFT GALLEY AFT 7 EA LONG AND 7 EA SHORT CART TURN CATCHES PAINT DETERIORATED.</t>
        </is>
      </c>
      <c r="C241" s="34" t="n">
        <v>1005</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2</v>
      </c>
      <c r="O241" s="42" t="n"/>
      <c r="P241" s="41" t="n"/>
      <c r="Q241" s="41" t="n"/>
    </row>
    <row r="242">
      <c r="A242" s="32" t="n">
        <v>32984765</v>
      </c>
      <c r="B242" s="33" t="inlineStr">
        <is>
          <t>CAB - NO CALLBACK - AFT GALLEY AFT GALLEY COMPT. 517 UPPER COVER IS MISSING.</t>
        </is>
      </c>
      <c r="C242" s="34" t="n">
        <v>1006</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32984781</v>
      </c>
      <c r="B243" s="33" t="inlineStr">
        <is>
          <t>CAB - NO CALLBACK - FWD GALLEY G1 GALLEY 4 EA LONG AND 4 EA SMALL CART TURN CATCHES PAINT DETERIORATED.</t>
        </is>
      </c>
      <c r="C243" s="34" t="n">
        <v>1007</v>
      </c>
      <c r="D243" s="35" t="inlineStr">
        <is>
          <t>GALLEY</t>
        </is>
      </c>
      <c r="E243" s="36" t="inlineStr">
        <is>
          <t>Open</t>
        </is>
      </c>
      <c r="F243" s="36" t="inlineStr">
        <is>
          <t>Normal</t>
        </is>
      </c>
      <c r="G243" s="35" t="inlineStr">
        <is>
          <t>CAB</t>
        </is>
      </c>
      <c r="H243" s="37" t="inlineStr">
        <is>
          <t>Requested</t>
        </is>
      </c>
      <c r="I243" s="38" t="n"/>
      <c r="J243" s="36" t="n"/>
      <c r="K243" s="36" t="inlineStr">
        <is>
          <t>FWD</t>
        </is>
      </c>
      <c r="L243" s="39" t="n"/>
      <c r="M243" s="40" t="n"/>
      <c r="N243" s="41" t="n">
        <v>2</v>
      </c>
      <c r="O243" s="42" t="n"/>
      <c r="P243" s="41" t="n"/>
      <c r="Q243" s="41" t="n"/>
    </row>
    <row r="244">
      <c r="A244" s="32" t="n">
        <v>32984766</v>
      </c>
      <c r="B244" s="33" t="inlineStr">
        <is>
          <t>CABIN AREA -AV -NO CALL BACK (NRC) TASKCARD 25-SVA-02 (01) / ITEM ONE PSU LIGTH COVER NOT SECUERD ABOVE SEAT 32C,38L</t>
        </is>
      </c>
      <c r="C244" s="34" t="n">
        <v>1008</v>
      </c>
      <c r="D244" s="35" t="inlineStr">
        <is>
          <t>GENERAL CABIN</t>
        </is>
      </c>
      <c r="E244" s="36" t="inlineStr">
        <is>
          <t>Open</t>
        </is>
      </c>
      <c r="F244" s="36" t="inlineStr">
        <is>
          <t>Normal</t>
        </is>
      </c>
      <c r="G244" s="35" t="inlineStr">
        <is>
          <t>AV</t>
        </is>
      </c>
      <c r="H244" s="37" t="inlineStr">
        <is>
          <t>Requested</t>
        </is>
      </c>
      <c r="I244" s="38" t="n"/>
      <c r="J244" s="36" t="n"/>
      <c r="K244" s="36" t="inlineStr">
        <is>
          <t>N/A</t>
        </is>
      </c>
      <c r="L244" s="39" t="n"/>
      <c r="M244" s="40" t="n"/>
      <c r="N244" s="42" t="n"/>
      <c r="O244" s="42" t="n"/>
      <c r="P244" s="41" t="n"/>
      <c r="Q244" s="41" t="n"/>
    </row>
    <row r="245">
      <c r="A245" s="32" t="n">
        <v>32984823</v>
      </c>
      <c r="B245" s="33" t="inlineStr">
        <is>
          <t>PNT - NO CALLBACK - LAV A LAV A WASHBASIN PANEL PAINT SCRATCHED.</t>
        </is>
      </c>
      <c r="C245" s="34" t="n">
        <v>1009</v>
      </c>
      <c r="D245" s="35" t="inlineStr">
        <is>
          <t>LAVATORY</t>
        </is>
      </c>
      <c r="E245" s="36" t="inlineStr">
        <is>
          <t>Closed</t>
        </is>
      </c>
      <c r="F245" s="36" t="inlineStr">
        <is>
          <t>Normal</t>
        </is>
      </c>
      <c r="G245" s="35" t="inlineStr">
        <is>
          <t>PAINT</t>
        </is>
      </c>
      <c r="H245" s="37" t="n"/>
      <c r="I245" s="38" t="n"/>
      <c r="J245" s="36" t="n"/>
      <c r="K245" s="36" t="inlineStr">
        <is>
          <t>FWD</t>
        </is>
      </c>
      <c r="L245" s="39" t="n">
        <v>46226</v>
      </c>
      <c r="M245" s="40" t="n">
        <v>46226</v>
      </c>
      <c r="N245" s="41" t="n">
        <v>4</v>
      </c>
      <c r="O245" s="42" t="n"/>
      <c r="P245" s="41" t="n">
        <v>4.5</v>
      </c>
      <c r="Q245" s="41" t="n">
        <v>4.5</v>
      </c>
    </row>
    <row r="246">
      <c r="A246" s="32" t="n">
        <v>32984820</v>
      </c>
      <c r="B246" s="33" t="inlineStr">
        <is>
          <t>CABIN AREA -AV -NO CALL BACK (NRC) TASKCARD 25-SVA-02 (01) / ITEM ONE PSU SEAT BELT LIGTH INOP AT ABOVE SEAT NO 43K</t>
        </is>
      </c>
      <c r="C246" s="34" t="n">
        <v>1010</v>
      </c>
      <c r="D246" s="35" t="inlineStr">
        <is>
          <t>GENERAL CABIN</t>
        </is>
      </c>
      <c r="E246" s="36" t="inlineStr">
        <is>
          <t>Open</t>
        </is>
      </c>
      <c r="F246" s="36" t="inlineStr">
        <is>
          <t>Normal</t>
        </is>
      </c>
      <c r="G246" s="35" t="inlineStr">
        <is>
          <t>AV</t>
        </is>
      </c>
      <c r="H246" s="37" t="inlineStr">
        <is>
          <t>Requested</t>
        </is>
      </c>
      <c r="I246" s="38" t="n"/>
      <c r="J246" s="36" t="n"/>
      <c r="K246" s="36" t="inlineStr">
        <is>
          <t>N/A</t>
        </is>
      </c>
      <c r="L246" s="39" t="n"/>
      <c r="M246" s="40" t="n"/>
      <c r="N246" s="42" t="n"/>
      <c r="O246" s="42" t="n"/>
      <c r="P246" s="41" t="n"/>
      <c r="Q246" s="41" t="n"/>
    </row>
    <row r="247">
      <c r="A247" s="32" t="n">
        <v>32984829</v>
      </c>
      <c r="B247" s="33" t="inlineStr">
        <is>
          <t>CAB - NO CALLBACK - G2 GALLEY G2 GALLEY 4 EA LONG AND 4 EA SMALL CART TURN CATCHES PAINT DETERIORATED.</t>
        </is>
      </c>
      <c r="C247" s="34" t="n">
        <v>1011</v>
      </c>
      <c r="D247" s="35" t="inlineStr">
        <is>
          <t>GALLEY</t>
        </is>
      </c>
      <c r="E247" s="36" t="inlineStr">
        <is>
          <t>Open</t>
        </is>
      </c>
      <c r="F247" s="36" t="inlineStr">
        <is>
          <t>Normal</t>
        </is>
      </c>
      <c r="G247" s="35" t="inlineStr">
        <is>
          <t>CAB</t>
        </is>
      </c>
      <c r="H247" s="37" t="inlineStr">
        <is>
          <t>Requested</t>
        </is>
      </c>
      <c r="I247" s="38" t="n"/>
      <c r="J247" s="36" t="n"/>
      <c r="K247" s="36" t="inlineStr">
        <is>
          <t>FWD</t>
        </is>
      </c>
      <c r="L247" s="39" t="n"/>
      <c r="M247" s="40" t="n"/>
      <c r="N247" s="41" t="n">
        <v>2</v>
      </c>
      <c r="O247" s="42" t="n"/>
      <c r="P247" s="41" t="n"/>
      <c r="Q247" s="41" t="n"/>
    </row>
    <row r="248">
      <c r="A248" s="32" t="n">
        <v>32984848</v>
      </c>
      <c r="B248" s="33" t="inlineStr">
        <is>
          <t>SM - NO CALLBACK - GALLEY G2 G2 GALLEY COMP.  205, 202, AND 209 MISSING STRIKER.</t>
        </is>
      </c>
      <c r="C248" s="34" t="n">
        <v>1012</v>
      </c>
      <c r="D248" s="35" t="inlineStr">
        <is>
          <t>GALLEY</t>
        </is>
      </c>
      <c r="E248" s="36" t="inlineStr">
        <is>
          <t>Open</t>
        </is>
      </c>
      <c r="F248" s="36" t="inlineStr">
        <is>
          <t>Normal</t>
        </is>
      </c>
      <c r="G248" s="35" t="inlineStr">
        <is>
          <t>S/M</t>
        </is>
      </c>
      <c r="H248" s="37" t="inlineStr">
        <is>
          <t>Requested</t>
        </is>
      </c>
      <c r="I248" s="38" t="n"/>
      <c r="J248" s="36" t="n"/>
      <c r="K248" s="36" t="inlineStr">
        <is>
          <t>FWD</t>
        </is>
      </c>
      <c r="L248" s="39" t="n"/>
      <c r="M248" s="40" t="n"/>
      <c r="N248" s="42" t="n"/>
      <c r="O248" s="42" t="n"/>
      <c r="P248" s="41" t="n">
        <v>14.3</v>
      </c>
      <c r="Q248" s="41" t="n">
        <v>81.3</v>
      </c>
    </row>
    <row r="249">
      <c r="A249" s="32" t="n">
        <v>32984883</v>
      </c>
      <c r="B249" s="33" t="inlineStr">
        <is>
          <t>PNT - NO CALLBACK - LAV A LAV A BABY NUSRING TABLE PAINT FADED.</t>
        </is>
      </c>
      <c r="C249" s="34" t="n">
        <v>1013</v>
      </c>
      <c r="D249" s="35" t="inlineStr">
        <is>
          <t>LAVATORY</t>
        </is>
      </c>
      <c r="E249" s="36" t="inlineStr">
        <is>
          <t>Closed</t>
        </is>
      </c>
      <c r="F249" s="36" t="inlineStr">
        <is>
          <t>Normal</t>
        </is>
      </c>
      <c r="G249" s="35" t="inlineStr">
        <is>
          <t>PAINT</t>
        </is>
      </c>
      <c r="H249" s="37" t="inlineStr">
        <is>
          <t>Requested</t>
        </is>
      </c>
      <c r="I249" s="38" t="n"/>
      <c r="J249" s="36" t="n"/>
      <c r="K249" s="36" t="inlineStr">
        <is>
          <t>FWD</t>
        </is>
      </c>
      <c r="L249" s="39" t="n">
        <v>46229</v>
      </c>
      <c r="M249" s="40" t="n">
        <v>46229</v>
      </c>
      <c r="N249" s="41" t="n">
        <v>4</v>
      </c>
      <c r="O249" s="42" t="n"/>
      <c r="P249" s="41" t="n">
        <v>4</v>
      </c>
      <c r="Q249" s="41" t="n">
        <v>4</v>
      </c>
    </row>
    <row r="250">
      <c r="A250" s="32" t="n">
        <v>32984906</v>
      </c>
      <c r="B250" s="33" t="inlineStr">
        <is>
          <t>CAB - RII - OXYGEN GENERATORS OXYGEN GENERATORS AT ROW 30 LH AND 34 LH WILL EXPIRE ON 05/2027 ROW 30 LH PN: E63440-00 SN: BEDE-F012-020  ROW 34 LH PN: E63440-00 SN: BEDE-F019-109</t>
        </is>
      </c>
      <c r="C250" s="34" t="n">
        <v>1014</v>
      </c>
      <c r="D250" s="35" t="inlineStr">
        <is>
          <t>GENERAL CABIN</t>
        </is>
      </c>
      <c r="E250" s="36" t="inlineStr">
        <is>
          <t>Open</t>
        </is>
      </c>
      <c r="F250" s="36" t="inlineStr">
        <is>
          <t>Normal</t>
        </is>
      </c>
      <c r="G250" s="35" t="inlineStr">
        <is>
          <t>CAB</t>
        </is>
      </c>
      <c r="H250" s="37" t="inlineStr">
        <is>
          <t>Requested</t>
        </is>
      </c>
      <c r="I250" s="38" t="n"/>
      <c r="J250" s="36" t="n"/>
      <c r="K250" s="36" t="inlineStr">
        <is>
          <t>AFT</t>
        </is>
      </c>
      <c r="L250" s="39" t="n"/>
      <c r="M250" s="40" t="n"/>
      <c r="N250" s="41" t="n">
        <v>6</v>
      </c>
      <c r="O250" s="42" t="n"/>
      <c r="P250" s="41" t="n">
        <v>6.5</v>
      </c>
      <c r="Q250" s="41" t="n">
        <v>217.6</v>
      </c>
    </row>
    <row r="251">
      <c r="A251" s="32" t="n">
        <v>32984905</v>
      </c>
      <c r="B251" s="33" t="inlineStr">
        <is>
          <t>PNT - NO CALLBACK - LAV A LAV A DECAL "PLEASE LOCK THE DOOR" AND FINE DECAL DISCOLORED.</t>
        </is>
      </c>
      <c r="C251" s="34" t="n">
        <v>1015</v>
      </c>
      <c r="D251" s="35" t="inlineStr">
        <is>
          <t>LAVATORY</t>
        </is>
      </c>
      <c r="E251" s="36" t="inlineStr">
        <is>
          <t>Closed</t>
        </is>
      </c>
      <c r="F251" s="36" t="inlineStr">
        <is>
          <t>Normal</t>
        </is>
      </c>
      <c r="G251" s="35" t="inlineStr">
        <is>
          <t>PAINT</t>
        </is>
      </c>
      <c r="H251" s="37" t="n"/>
      <c r="I251" s="38" t="n"/>
      <c r="J251" s="36" t="n"/>
      <c r="K251" s="36" t="inlineStr">
        <is>
          <t>FWD</t>
        </is>
      </c>
      <c r="L251" s="39" t="n">
        <v>46224</v>
      </c>
      <c r="M251" s="40" t="n">
        <v>46224</v>
      </c>
      <c r="N251" s="41" t="n">
        <v>2</v>
      </c>
      <c r="O251" s="42" t="n"/>
      <c r="P251" s="41" t="n">
        <v>2</v>
      </c>
      <c r="Q251" s="41" t="n">
        <v>1</v>
      </c>
    </row>
    <row r="252">
      <c r="A252" s="32" t="n">
        <v>32984945</v>
      </c>
      <c r="B252" s="33" t="inlineStr">
        <is>
          <t>PNT - NO CALLBACK - GALLEY G2 GALLEY G2 COMP. 209 DOOR PAINT CHIPPED.</t>
        </is>
      </c>
      <c r="C252" s="34" t="n">
        <v>1017</v>
      </c>
      <c r="D252" s="35" t="inlineStr">
        <is>
          <t>GALLEY</t>
        </is>
      </c>
      <c r="E252" s="36" t="inlineStr">
        <is>
          <t>Closed</t>
        </is>
      </c>
      <c r="F252" s="36" t="inlineStr">
        <is>
          <t>Normal</t>
        </is>
      </c>
      <c r="G252" s="35" t="inlineStr">
        <is>
          <t>PAINT</t>
        </is>
      </c>
      <c r="H252" s="37" t="inlineStr">
        <is>
          <t>Requested</t>
        </is>
      </c>
      <c r="I252" s="38" t="n"/>
      <c r="J252" s="36" t="n"/>
      <c r="K252" s="36" t="inlineStr">
        <is>
          <t>FWD</t>
        </is>
      </c>
      <c r="L252" s="39" t="n">
        <v>46231</v>
      </c>
      <c r="M252" s="40" t="n">
        <v>46231</v>
      </c>
      <c r="N252" s="41" t="n">
        <v>3</v>
      </c>
      <c r="O252" s="42" t="n"/>
      <c r="P252" s="41" t="n">
        <v>4</v>
      </c>
      <c r="Q252" s="41" t="n">
        <v>4</v>
      </c>
    </row>
    <row r="253">
      <c r="A253" s="32" t="n">
        <v>32985067</v>
      </c>
      <c r="B253" s="33" t="inlineStr">
        <is>
          <t>CAB - NO CALLBACK - G1 GALLEY G1 GALLEY WORK SLIDING TABLE STUCK.</t>
        </is>
      </c>
      <c r="C253" s="34" t="n">
        <v>1027</v>
      </c>
      <c r="D253" s="35" t="inlineStr">
        <is>
          <t>GALLEY</t>
        </is>
      </c>
      <c r="E253" s="36" t="inlineStr">
        <is>
          <t>Open</t>
        </is>
      </c>
      <c r="F253" s="36" t="inlineStr">
        <is>
          <t>Normal</t>
        </is>
      </c>
      <c r="G253" s="35" t="inlineStr">
        <is>
          <t>CAB</t>
        </is>
      </c>
      <c r="H253" s="37" t="n"/>
      <c r="I253" s="38" t="n"/>
      <c r="J253" s="36" t="n"/>
      <c r="K253" s="36" t="inlineStr">
        <is>
          <t>FWD</t>
        </is>
      </c>
      <c r="L253" s="39" t="n"/>
      <c r="M253" s="40" t="n"/>
      <c r="N253" s="41" t="n">
        <v>2</v>
      </c>
      <c r="O253" s="42" t="n"/>
      <c r="P253" s="41" t="n"/>
      <c r="Q253" s="41" t="n"/>
    </row>
    <row r="254">
      <c r="A254" s="32" t="n">
        <v>32985083</v>
      </c>
      <c r="B254" s="33" t="inlineStr">
        <is>
          <t>CAB - NO CALLBACK - G1 GALLEY G1 GALLEY COUNTERTOP SEALANT DETERIORATED.</t>
        </is>
      </c>
      <c r="C254" s="34" t="n">
        <v>1030</v>
      </c>
      <c r="D254" s="35" t="inlineStr">
        <is>
          <t>GALLEY</t>
        </is>
      </c>
      <c r="E254" s="36" t="inlineStr">
        <is>
          <t>Open</t>
        </is>
      </c>
      <c r="F254" s="36" t="inlineStr">
        <is>
          <t>Normal</t>
        </is>
      </c>
      <c r="G254" s="35" t="inlineStr">
        <is>
          <t>CAB</t>
        </is>
      </c>
      <c r="H254" s="37" t="inlineStr">
        <is>
          <t>Requested</t>
        </is>
      </c>
      <c r="I254" s="38" t="n"/>
      <c r="J254" s="36" t="n"/>
      <c r="K254" s="36" t="inlineStr">
        <is>
          <t>FWD</t>
        </is>
      </c>
      <c r="L254" s="39" t="n"/>
      <c r="M254" s="40" t="n"/>
      <c r="N254" s="41" t="n">
        <v>2</v>
      </c>
      <c r="O254" s="42" t="n"/>
      <c r="P254" s="41" t="n"/>
      <c r="Q254" s="41" t="n"/>
    </row>
    <row r="255">
      <c r="A255" s="32" t="n">
        <v>32985088</v>
      </c>
      <c r="B255" s="33" t="inlineStr">
        <is>
          <t>CAB - NO CALLBACK - G2 GALLEY G2 GALLEY COUNTERTOP SEALANT DETERIORATED.</t>
        </is>
      </c>
      <c r="C255" s="34" t="n">
        <v>1031</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32985127</v>
      </c>
      <c r="B256" s="33" t="inlineStr">
        <is>
          <t>CAB - NO CALLBACK - DESCENT DEVICE FLIGHT DECK FIRST OFFICER EMERGENCY DESCENT DEVICE COVER DETACHED.</t>
        </is>
      </c>
      <c r="C256" s="34" t="n">
        <v>1034</v>
      </c>
      <c r="D256" s="35" t="inlineStr">
        <is>
          <t>FLIGHT DECK</t>
        </is>
      </c>
      <c r="E256" s="36" t="inlineStr">
        <is>
          <t>Open</t>
        </is>
      </c>
      <c r="F256" s="36" t="inlineStr">
        <is>
          <t>Normal</t>
        </is>
      </c>
      <c r="G256" s="35" t="inlineStr">
        <is>
          <t>CAB</t>
        </is>
      </c>
      <c r="H256" s="37" t="n"/>
      <c r="I256" s="38" t="n"/>
      <c r="J256" s="36" t="n"/>
      <c r="K256" s="36" t="inlineStr">
        <is>
          <t>FWD</t>
        </is>
      </c>
      <c r="L256" s="39" t="n"/>
      <c r="M256" s="40" t="n"/>
      <c r="N256" s="41" t="n">
        <v>2</v>
      </c>
      <c r="O256" s="42" t="n"/>
      <c r="P256" s="41" t="n"/>
      <c r="Q256" s="41" t="n"/>
    </row>
    <row r="257">
      <c r="A257" s="32" t="n">
        <v>32985290</v>
      </c>
      <c r="B257" s="33" t="inlineStr">
        <is>
          <t>CAB - NO CALLBACK L1 DOOR INBOARD F/A SEAT UPPER BACK CUSHION WORN OUT</t>
        </is>
      </c>
      <c r="C257" s="34" t="n">
        <v>1035</v>
      </c>
      <c r="D257" s="35" t="inlineStr">
        <is>
          <t>F/A SEAT</t>
        </is>
      </c>
      <c r="E257" s="36" t="inlineStr">
        <is>
          <t>Open</t>
        </is>
      </c>
      <c r="F257" s="36" t="inlineStr">
        <is>
          <t>Normal</t>
        </is>
      </c>
      <c r="G257" s="35" t="inlineStr">
        <is>
          <t>CAB</t>
        </is>
      </c>
      <c r="H257" s="37" t="inlineStr">
        <is>
          <t>Requested</t>
        </is>
      </c>
      <c r="I257" s="38" t="n"/>
      <c r="J257" s="36" t="n"/>
      <c r="K257" s="36" t="inlineStr">
        <is>
          <t>FWD</t>
        </is>
      </c>
      <c r="L257" s="39" t="n"/>
      <c r="M257" s="40" t="n"/>
      <c r="N257" s="42" t="n"/>
      <c r="O257" s="42" t="n"/>
      <c r="P257" s="41" t="n"/>
      <c r="Q257" s="41" t="n"/>
    </row>
    <row r="258">
      <c r="A258" s="32" t="n">
        <v>32985304</v>
      </c>
      <c r="B258" s="33" t="inlineStr">
        <is>
          <t>CAB - NO CALLBACK L1 DOOR INBOARD F/A SEAT BACK CUSHION WORN OUT</t>
        </is>
      </c>
      <c r="C258" s="34" t="n">
        <v>1036</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32985321</v>
      </c>
      <c r="B259" s="33" t="inlineStr">
        <is>
          <t>CAB - NO CALLBACK L1 DOOR INBOARD F/A SEAT BOTTOM CUSHION WORN OUT</t>
        </is>
      </c>
      <c r="C259" s="34" t="n">
        <v>1037</v>
      </c>
      <c r="D259" s="35" t="inlineStr">
        <is>
          <t>F/A SEAT</t>
        </is>
      </c>
      <c r="E259" s="36" t="inlineStr">
        <is>
          <t>Open</t>
        </is>
      </c>
      <c r="F259" s="36" t="inlineStr">
        <is>
          <t>Normal</t>
        </is>
      </c>
      <c r="G259" s="35" t="inlineStr">
        <is>
          <t>CAB</t>
        </is>
      </c>
      <c r="H259" s="37" t="inlineStr">
        <is>
          <t>Requested</t>
        </is>
      </c>
      <c r="I259" s="38" t="n"/>
      <c r="J259" s="36" t="n"/>
      <c r="K259" s="36" t="inlineStr">
        <is>
          <t>FWD</t>
        </is>
      </c>
      <c r="L259" s="39" t="n"/>
      <c r="M259" s="40" t="n"/>
      <c r="N259" s="42" t="n"/>
      <c r="O259" s="42" t="n"/>
      <c r="P259" s="41" t="n"/>
      <c r="Q259" s="41" t="n"/>
    </row>
    <row r="260">
      <c r="A260" s="32" t="n">
        <v>32985332</v>
      </c>
      <c r="B260" s="33" t="inlineStr">
        <is>
          <t>CAB - NO CALL BACK L1 DOOR INBOARD F/A SEAT BELT DIRTY</t>
        </is>
      </c>
      <c r="C260" s="34" t="n">
        <v>1038</v>
      </c>
      <c r="D260" s="35" t="inlineStr">
        <is>
          <t>F/A SEAT</t>
        </is>
      </c>
      <c r="E260" s="36" t="inlineStr">
        <is>
          <t>Open</t>
        </is>
      </c>
      <c r="F260" s="36" t="inlineStr">
        <is>
          <t>AOG</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32985334</v>
      </c>
      <c r="B261" s="33" t="inlineStr">
        <is>
          <t>PNT - NO CALLBACK L1 DOOR INBOARD F/A SEAT LOWER BOTTOM CASE PAINT FADED</t>
        </is>
      </c>
      <c r="C261" s="34" t="n">
        <v>1039</v>
      </c>
      <c r="D261" s="35" t="inlineStr">
        <is>
          <t>F/A SEAT</t>
        </is>
      </c>
      <c r="E261" s="36" t="inlineStr">
        <is>
          <t>Closed</t>
        </is>
      </c>
      <c r="F261" s="36" t="inlineStr">
        <is>
          <t>Normal</t>
        </is>
      </c>
      <c r="G261" s="35" t="inlineStr">
        <is>
          <t>PAINT</t>
        </is>
      </c>
      <c r="H261" s="37" t="inlineStr">
        <is>
          <t>Requested</t>
        </is>
      </c>
      <c r="I261" s="38" t="n"/>
      <c r="J261" s="36" t="n"/>
      <c r="K261" s="36" t="inlineStr">
        <is>
          <t>FWD</t>
        </is>
      </c>
      <c r="L261" s="39" t="n">
        <v>46229</v>
      </c>
      <c r="M261" s="40" t="n">
        <v>46229</v>
      </c>
      <c r="N261" s="41" t="n">
        <v>4</v>
      </c>
      <c r="O261" s="42" t="n"/>
      <c r="P261" s="41" t="n">
        <v>5.8</v>
      </c>
      <c r="Q261" s="41" t="n">
        <v>2.1</v>
      </c>
    </row>
    <row r="262">
      <c r="A262" s="32" t="n">
        <v>32985336</v>
      </c>
      <c r="B262" s="33" t="inlineStr">
        <is>
          <t>PNT - NO CALLBACK L1 DOOR INBOARD F/A SEAT LEFT SIDE PAINT FADED</t>
        </is>
      </c>
      <c r="C262" s="34" t="n">
        <v>1040</v>
      </c>
      <c r="D262" s="35" t="inlineStr">
        <is>
          <t>F/A SEAT</t>
        </is>
      </c>
      <c r="E262" s="36" t="inlineStr">
        <is>
          <t>Closed</t>
        </is>
      </c>
      <c r="F262" s="36" t="inlineStr">
        <is>
          <t>Normal</t>
        </is>
      </c>
      <c r="G262" s="35" t="inlineStr">
        <is>
          <t>PAINT</t>
        </is>
      </c>
      <c r="H262" s="37" t="n"/>
      <c r="I262" s="38" t="n"/>
      <c r="J262" s="36" t="n"/>
      <c r="K262" s="36" t="inlineStr">
        <is>
          <t>FWD</t>
        </is>
      </c>
      <c r="L262" s="39" t="n">
        <v>46229</v>
      </c>
      <c r="M262" s="40" t="n">
        <v>46229</v>
      </c>
      <c r="N262" s="41" t="n">
        <v>4</v>
      </c>
      <c r="O262" s="42" t="n"/>
      <c r="P262" s="41" t="n">
        <v>6.2</v>
      </c>
      <c r="Q262" s="41" t="n">
        <v>2.5</v>
      </c>
    </row>
    <row r="263">
      <c r="A263" s="32" t="n">
        <v>32985337</v>
      </c>
      <c r="B263" s="33" t="inlineStr">
        <is>
          <t>CAB - NO CALLBACK R2 DOOR F/A SWIVEL SEAT BOTTOM CUSHION WORN OUT</t>
        </is>
      </c>
      <c r="C263" s="34" t="n">
        <v>1041</v>
      </c>
      <c r="D263" s="35" t="inlineStr">
        <is>
          <t>F/A SEAT</t>
        </is>
      </c>
      <c r="E263" s="36" t="inlineStr">
        <is>
          <t>Open</t>
        </is>
      </c>
      <c r="F263" s="36" t="inlineStr">
        <is>
          <t>Normal</t>
        </is>
      </c>
      <c r="G263" s="35" t="inlineStr">
        <is>
          <t>CAB</t>
        </is>
      </c>
      <c r="H263" s="37" t="inlineStr">
        <is>
          <t>Requested</t>
        </is>
      </c>
      <c r="I263" s="38" t="n"/>
      <c r="J263" s="36" t="n"/>
      <c r="K263" s="36" t="inlineStr">
        <is>
          <t>AFT</t>
        </is>
      </c>
      <c r="L263" s="39" t="n"/>
      <c r="M263" s="40" t="n"/>
      <c r="N263" s="42" t="n"/>
      <c r="O263" s="42" t="n"/>
      <c r="P263" s="41" t="n"/>
      <c r="Q263" s="41" t="n"/>
    </row>
    <row r="264">
      <c r="A264" s="32" t="n">
        <v>32985338</v>
      </c>
      <c r="B264" s="33" t="inlineStr">
        <is>
          <t>PNT - NO CALLBACK R2 DOOR F/A SWIVEL SEAT BOTH SIDES PAINT FADED</t>
        </is>
      </c>
      <c r="C264" s="34" t="n">
        <v>1042</v>
      </c>
      <c r="D264" s="35" t="inlineStr">
        <is>
          <t>F/A SEAT</t>
        </is>
      </c>
      <c r="E264" s="36" t="inlineStr">
        <is>
          <t>Closed</t>
        </is>
      </c>
      <c r="F264" s="36" t="inlineStr">
        <is>
          <t>Normal</t>
        </is>
      </c>
      <c r="G264" s="35" t="inlineStr">
        <is>
          <t>PAINT</t>
        </is>
      </c>
      <c r="H264" s="37" t="n"/>
      <c r="I264" s="38" t="n"/>
      <c r="J264" s="36" t="n"/>
      <c r="K264" s="36" t="inlineStr">
        <is>
          <t>AFT</t>
        </is>
      </c>
      <c r="L264" s="39" t="n">
        <v>46225</v>
      </c>
      <c r="M264" s="40" t="n">
        <v>46225</v>
      </c>
      <c r="N264" s="42" t="n"/>
      <c r="O264" s="42" t="n"/>
      <c r="P264" s="41" t="n">
        <v>3.5</v>
      </c>
      <c r="Q264" s="41" t="n">
        <v>3.5</v>
      </c>
    </row>
    <row r="265">
      <c r="A265" s="32" t="n">
        <v>32985341</v>
      </c>
      <c r="B265" s="33" t="inlineStr">
        <is>
          <t>PNT - NO CALLBACK R2 DOOR F/A SWIVEL SEAT HEAD CASE PAINT FADED</t>
        </is>
      </c>
      <c r="C265" s="34" t="n">
        <v>1043</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v>
      </c>
      <c r="Q265" s="41" t="n">
        <v>3</v>
      </c>
    </row>
    <row r="266">
      <c r="A266" s="32" t="n">
        <v>32985342</v>
      </c>
      <c r="B266" s="33" t="inlineStr">
        <is>
          <t>PNT - NO CALLBACK R2 DOOR F/A SWIVEL SEAT DOWN CASE PAINT FADED</t>
        </is>
      </c>
      <c r="C266" s="34" t="n">
        <v>1044</v>
      </c>
      <c r="D266" s="35" t="inlineStr">
        <is>
          <t>F/A SEAT</t>
        </is>
      </c>
      <c r="E266" s="36" t="inlineStr">
        <is>
          <t>Closed</t>
        </is>
      </c>
      <c r="F266" s="36" t="inlineStr">
        <is>
          <t>Normal</t>
        </is>
      </c>
      <c r="G266" s="35" t="inlineStr">
        <is>
          <t>PAINT</t>
        </is>
      </c>
      <c r="H266" s="37" t="n"/>
      <c r="I266" s="38" t="n"/>
      <c r="J266" s="36" t="n"/>
      <c r="K266" s="36" t="inlineStr">
        <is>
          <t>AFT</t>
        </is>
      </c>
      <c r="L266" s="39" t="n">
        <v>46229</v>
      </c>
      <c r="M266" s="40" t="n">
        <v>46229</v>
      </c>
      <c r="N266" s="41" t="n">
        <v>4</v>
      </c>
      <c r="O266" s="42" t="n"/>
      <c r="P266" s="41" t="n">
        <v>4</v>
      </c>
      <c r="Q266" s="41" t="n">
        <v>2</v>
      </c>
    </row>
    <row r="267">
      <c r="A267" s="32" t="n">
        <v>32985343</v>
      </c>
      <c r="B267" s="33" t="inlineStr">
        <is>
          <t>CAB - NO CALLBACK L1 DOOR OUTBOARD F/A SEAT BELT DIRTY</t>
        </is>
      </c>
      <c r="C267" s="34" t="n">
        <v>1045</v>
      </c>
      <c r="D267" s="35" t="inlineStr">
        <is>
          <t>F/A SEAT</t>
        </is>
      </c>
      <c r="E267" s="36" t="inlineStr">
        <is>
          <t>Open</t>
        </is>
      </c>
      <c r="F267" s="36" t="inlineStr">
        <is>
          <t>AOG</t>
        </is>
      </c>
      <c r="G267" s="35" t="inlineStr">
        <is>
          <t>CAB</t>
        </is>
      </c>
      <c r="H267" s="37" t="inlineStr">
        <is>
          <t>Requested</t>
        </is>
      </c>
      <c r="I267" s="38" t="n"/>
      <c r="J267" s="36" t="n"/>
      <c r="K267" s="36" t="inlineStr">
        <is>
          <t>FWD</t>
        </is>
      </c>
      <c r="L267" s="39" t="n"/>
      <c r="M267" s="40" t="n"/>
      <c r="N267" s="42" t="n"/>
      <c r="O267" s="42" t="n"/>
      <c r="P267" s="41" t="n"/>
      <c r="Q267" s="41" t="n"/>
    </row>
    <row r="268">
      <c r="A268" s="32" t="n">
        <v>32985344</v>
      </c>
      <c r="B268" s="33" t="inlineStr">
        <is>
          <t>CAB - NO CALLBACK L1 DOOR OUTBOARD F/A SEAT UPPER BUMPER DAMAGED</t>
        </is>
      </c>
      <c r="C268" s="34" t="n">
        <v>1046</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32985347</v>
      </c>
      <c r="B269" s="33" t="inlineStr">
        <is>
          <t>PNT - NO CALLBACK L1 DOOR OUTBOARD F/A SEAT LOWER BOTTOM CASE PAINT FADED</t>
        </is>
      </c>
      <c r="C269" s="34" t="n">
        <v>1047</v>
      </c>
      <c r="D269" s="35" t="inlineStr">
        <is>
          <t>F/A SEAT</t>
        </is>
      </c>
      <c r="E269" s="36" t="inlineStr">
        <is>
          <t>Closed</t>
        </is>
      </c>
      <c r="F269" s="36" t="inlineStr">
        <is>
          <t>Normal</t>
        </is>
      </c>
      <c r="G269" s="35" t="inlineStr">
        <is>
          <t>PAINT</t>
        </is>
      </c>
      <c r="H269" s="37" t="n"/>
      <c r="I269" s="38" t="n"/>
      <c r="J269" s="36" t="n"/>
      <c r="K269" s="36" t="inlineStr">
        <is>
          <t>FWD</t>
        </is>
      </c>
      <c r="L269" s="39" t="n">
        <v>46225</v>
      </c>
      <c r="M269" s="40" t="n">
        <v>46225</v>
      </c>
      <c r="N269" s="42" t="n"/>
      <c r="O269" s="42" t="n"/>
      <c r="P269" s="41" t="n">
        <v>3.5</v>
      </c>
      <c r="Q269" s="41" t="n">
        <v>3.5</v>
      </c>
    </row>
    <row r="270">
      <c r="A270" s="32" t="n">
        <v>32985349</v>
      </c>
      <c r="B270" s="33" t="inlineStr">
        <is>
          <t>CAB - NO CALLBACK L1 DOOR OUTBOARD F/A SEAT BOTTOM CUSHION WORN OUT</t>
        </is>
      </c>
      <c r="C270" s="34" t="n">
        <v>1048</v>
      </c>
      <c r="D270" s="35" t="inlineStr">
        <is>
          <t>F/A SEAT</t>
        </is>
      </c>
      <c r="E270" s="36" t="inlineStr">
        <is>
          <t>Open</t>
        </is>
      </c>
      <c r="F270" s="36" t="inlineStr">
        <is>
          <t>Normal</t>
        </is>
      </c>
      <c r="G270" s="35" t="inlineStr">
        <is>
          <t>CAB</t>
        </is>
      </c>
      <c r="H270" s="37" t="inlineStr">
        <is>
          <t>Requested</t>
        </is>
      </c>
      <c r="I270" s="38" t="n"/>
      <c r="J270" s="36" t="n"/>
      <c r="K270" s="36" t="inlineStr">
        <is>
          <t>FWD</t>
        </is>
      </c>
      <c r="L270" s="39" t="n"/>
      <c r="M270" s="40" t="n"/>
      <c r="N270" s="42" t="n"/>
      <c r="O270" s="42" t="n"/>
      <c r="P270" s="41" t="n"/>
      <c r="Q270" s="41" t="n"/>
    </row>
    <row r="271">
      <c r="A271" s="32" t="n">
        <v>32985350</v>
      </c>
      <c r="B271" s="33" t="inlineStr">
        <is>
          <t>CAB - NO CALLBACK L1 DOOR OUTBOARD F/A SEAT LOWER BACK CUSHION WORN OUT</t>
        </is>
      </c>
      <c r="C271" s="34" t="n">
        <v>1049</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32985351</v>
      </c>
      <c r="B272" s="33" t="inlineStr">
        <is>
          <t>PNT - NO CALLBACK L2 DOOR F/A SEAT LEFT SIDE PAINT FADED</t>
        </is>
      </c>
      <c r="C272" s="34" t="n">
        <v>1050</v>
      </c>
      <c r="D272" s="35" t="inlineStr">
        <is>
          <t>F/A SEAT</t>
        </is>
      </c>
      <c r="E272" s="36" t="inlineStr">
        <is>
          <t>Closed</t>
        </is>
      </c>
      <c r="F272" s="36" t="inlineStr">
        <is>
          <t>Normal</t>
        </is>
      </c>
      <c r="G272" s="35" t="inlineStr">
        <is>
          <t>PAINT</t>
        </is>
      </c>
      <c r="H272" s="37" t="n"/>
      <c r="I272" s="38" t="n"/>
      <c r="J272" s="36" t="n"/>
      <c r="K272" s="36" t="inlineStr">
        <is>
          <t>AFT</t>
        </is>
      </c>
      <c r="L272" s="39" t="n">
        <v>46225</v>
      </c>
      <c r="M272" s="40" t="n">
        <v>46225</v>
      </c>
      <c r="N272" s="42" t="n"/>
      <c r="O272" s="42" t="n"/>
      <c r="P272" s="41" t="n">
        <v>3.5</v>
      </c>
      <c r="Q272" s="41" t="n">
        <v>3.5</v>
      </c>
    </row>
    <row r="273">
      <c r="A273" s="32" t="n">
        <v>32985352</v>
      </c>
      <c r="B273" s="33" t="inlineStr">
        <is>
          <t>PNT - NO CALLBACK L2 DOOR F/A SEAT LOWER BOTTOM CASE PAINT FADED</t>
        </is>
      </c>
      <c r="C273" s="34" t="n">
        <v>1051</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v>
      </c>
      <c r="Q273" s="41" t="n">
        <v>3</v>
      </c>
    </row>
    <row r="274">
      <c r="A274" s="32" t="n">
        <v>32985353</v>
      </c>
      <c r="B274" s="33" t="inlineStr">
        <is>
          <t>CAB - NO CALLBACK L2 DOOR F/A SEAT BOTTOM CUSHION WORN OUT</t>
        </is>
      </c>
      <c r="C274" s="34" t="n">
        <v>1052</v>
      </c>
      <c r="D274" s="35" t="inlineStr">
        <is>
          <t>F/A SEAT</t>
        </is>
      </c>
      <c r="E274" s="36" t="inlineStr">
        <is>
          <t>Open</t>
        </is>
      </c>
      <c r="F274" s="36" t="inlineStr">
        <is>
          <t>Normal</t>
        </is>
      </c>
      <c r="G274" s="35" t="inlineStr">
        <is>
          <t>CAB</t>
        </is>
      </c>
      <c r="H274" s="37" t="inlineStr">
        <is>
          <t>Requested</t>
        </is>
      </c>
      <c r="I274" s="38" t="n"/>
      <c r="J274" s="36" t="n"/>
      <c r="K274" s="36" t="inlineStr">
        <is>
          <t>AFT</t>
        </is>
      </c>
      <c r="L274" s="39" t="n"/>
      <c r="M274" s="40" t="n"/>
      <c r="N274" s="42" t="n"/>
      <c r="O274" s="42" t="n"/>
      <c r="P274" s="41" t="n"/>
      <c r="Q274" s="41" t="n"/>
    </row>
    <row r="275">
      <c r="A275" s="32" t="n">
        <v>32985354</v>
      </c>
      <c r="B275" s="33" t="inlineStr">
        <is>
          <t>CAB - NO CALLBACK L2 DOOR F/A SEAT LOWER BACK CUSHION WORN OUT</t>
        </is>
      </c>
      <c r="C275" s="34" t="n">
        <v>1053</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c r="A276" s="32" t="n">
        <v>32985355</v>
      </c>
      <c r="B276" s="33" t="inlineStr">
        <is>
          <t>PNT - NO CALLBACK R2 DOOR F/A SEAT LOWER BOTTOM CASE PAINT FADED</t>
        </is>
      </c>
      <c r="C276" s="34" t="n">
        <v>1054</v>
      </c>
      <c r="D276" s="35" t="inlineStr">
        <is>
          <t>F/A SEAT</t>
        </is>
      </c>
      <c r="E276" s="36" t="inlineStr">
        <is>
          <t>Closed</t>
        </is>
      </c>
      <c r="F276" s="36" t="inlineStr">
        <is>
          <t>Normal</t>
        </is>
      </c>
      <c r="G276" s="35" t="inlineStr">
        <is>
          <t>PAINT</t>
        </is>
      </c>
      <c r="H276" s="37" t="n"/>
      <c r="I276" s="38" t="n"/>
      <c r="J276" s="36" t="n"/>
      <c r="K276" s="36" t="inlineStr">
        <is>
          <t>AFT</t>
        </is>
      </c>
      <c r="L276" s="39" t="n">
        <v>46225</v>
      </c>
      <c r="M276" s="40" t="n">
        <v>46225</v>
      </c>
      <c r="N276" s="42" t="n"/>
      <c r="O276" s="42" t="n"/>
      <c r="P276" s="41" t="n">
        <v>3</v>
      </c>
      <c r="Q276" s="41" t="n">
        <v>3</v>
      </c>
    </row>
    <row r="277">
      <c r="A277" s="32" t="n">
        <v>32985357</v>
      </c>
      <c r="B277" s="33" t="inlineStr">
        <is>
          <t>CAB - NO CALLBACK R2 DOOR F/A SEAT BOTTOM CUSHION WORN OUT</t>
        </is>
      </c>
      <c r="C277" s="34" t="n">
        <v>1055</v>
      </c>
      <c r="D277" s="35" t="inlineStr">
        <is>
          <t>F/A SEAT</t>
        </is>
      </c>
      <c r="E277" s="36" t="inlineStr">
        <is>
          <t>Open</t>
        </is>
      </c>
      <c r="F277" s="36" t="inlineStr">
        <is>
          <t>Normal</t>
        </is>
      </c>
      <c r="G277" s="35" t="inlineStr">
        <is>
          <t>CAB</t>
        </is>
      </c>
      <c r="H277" s="37" t="inlineStr">
        <is>
          <t>Requested</t>
        </is>
      </c>
      <c r="I277" s="38" t="n"/>
      <c r="J277" s="36" t="n"/>
      <c r="K277" s="36" t="inlineStr">
        <is>
          <t>AFT</t>
        </is>
      </c>
      <c r="L277" s="39" t="n"/>
      <c r="M277" s="40" t="n"/>
      <c r="N277" s="42" t="n"/>
      <c r="O277" s="42" t="n"/>
      <c r="P277" s="41" t="n"/>
      <c r="Q277" s="41" t="n"/>
    </row>
    <row r="278">
      <c r="A278" s="32" t="n">
        <v>32985832</v>
      </c>
      <c r="B278" s="33" t="inlineStr">
        <is>
          <t>CAB -RII DURING OXYGEN GENERATOR CHECK FOUND GREEN LANYARD MISSING AND  BRIDLE ASSY  AT SEAT# 1 AC,2AC ,4AC,5AC,30ABC,31ABC,32ABC,34ABC,35ABC,36ABC,37ABC,38ABC,40ABC,41ABC,42ABC,43ABC,44ABC,</t>
        </is>
      </c>
      <c r="C278" s="34" t="n">
        <v>1061</v>
      </c>
      <c r="D278" s="35" t="inlineStr">
        <is>
          <t>GENERAL CABIN</t>
        </is>
      </c>
      <c r="E278" s="36" t="inlineStr">
        <is>
          <t>Open</t>
        </is>
      </c>
      <c r="F278" s="36" t="inlineStr">
        <is>
          <t>AOG</t>
        </is>
      </c>
      <c r="G278" s="35" t="inlineStr">
        <is>
          <t>CAB</t>
        </is>
      </c>
      <c r="H278" s="37" t="inlineStr">
        <is>
          <t>Requested</t>
        </is>
      </c>
      <c r="I278" s="38" t="n"/>
      <c r="J278" s="36" t="n"/>
      <c r="K278" s="36" t="inlineStr">
        <is>
          <t>JOINT</t>
        </is>
      </c>
      <c r="L278" s="39" t="n">
        <v>46224</v>
      </c>
      <c r="M278" s="40" t="n"/>
      <c r="N278" s="42" t="n"/>
      <c r="O278" s="42" t="n"/>
      <c r="P278" s="41" t="n"/>
      <c r="Q278" s="41" t="n"/>
    </row>
    <row r="279">
      <c r="A279" s="32" t="n">
        <v>32985833</v>
      </c>
      <c r="B279" s="33" t="inlineStr">
        <is>
          <t>CAB -RII DURING OXYGEN GENERATOR CHECK FOUND GREEN LANYARD MISSING AND  BRIDLE ASSY  AT SEAT# 2JL,4JL,30JKL,31JKL32JKL,34JKL,36JKL,37JKL,38JKL,39JKL,40JKL,41JKL,42JKL,43JKL,44JKL.</t>
        </is>
      </c>
      <c r="C279" s="34" t="n">
        <v>1062</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32987066</v>
      </c>
      <c r="B280" s="33" t="inlineStr">
        <is>
          <t>FINDING (NRC) TASKCARD 25-SVA-05 (01) / ITEM ONE ALL G/C SEAT BELT DIRTY</t>
        </is>
      </c>
      <c r="C280" s="34" t="n">
        <v>1075</v>
      </c>
      <c r="D280" s="35" t="inlineStr">
        <is>
          <t>PAX SEAT</t>
        </is>
      </c>
      <c r="E280" s="36" t="inlineStr">
        <is>
          <t>Open</t>
        </is>
      </c>
      <c r="F280" s="36" t="inlineStr">
        <is>
          <t>Normal</t>
        </is>
      </c>
      <c r="G280" s="35" t="inlineStr">
        <is>
          <t>SEAT</t>
        </is>
      </c>
      <c r="H280" s="37" t="inlineStr">
        <is>
          <t>Requested</t>
        </is>
      </c>
      <c r="I280" s="38" t="n"/>
      <c r="J280" s="36" t="n"/>
      <c r="K280" s="36" t="inlineStr">
        <is>
          <t>N/A</t>
        </is>
      </c>
      <c r="L280" s="39" t="n"/>
      <c r="M280" s="40" t="n"/>
      <c r="N280" s="41" t="n">
        <v>6</v>
      </c>
      <c r="O280" s="42" t="n"/>
      <c r="P280" s="41" t="n"/>
      <c r="Q280" s="41" t="n"/>
    </row>
    <row r="281">
      <c r="A281" s="32" t="n">
        <v>32987097</v>
      </c>
      <c r="B281" s="33" t="inlineStr">
        <is>
          <t>CABIN FLOOR PANELS - CAB -CALLBACK CABIN FLOOR PANEL NO: 241EF, 241KF, 241LF, 241MF,  242FF, 242KF, 242LF AND 242MF REQUIRES REMOVAL FOR ACCESS.</t>
        </is>
      </c>
      <c r="C281" s="34" t="n">
        <v>1077</v>
      </c>
      <c r="D281" s="35" t="inlineStr">
        <is>
          <t>GENERAL CABIN</t>
        </is>
      </c>
      <c r="E281" s="36" t="inlineStr">
        <is>
          <t>Open</t>
        </is>
      </c>
      <c r="F281" s="36" t="inlineStr">
        <is>
          <t>ACCESS</t>
        </is>
      </c>
      <c r="G281" s="35" t="inlineStr">
        <is>
          <t>CAB</t>
        </is>
      </c>
      <c r="H281" s="37" t="inlineStr">
        <is>
          <t>Requested</t>
        </is>
      </c>
      <c r="I281" s="38" t="n"/>
      <c r="J281" s="36" t="n"/>
      <c r="K281" s="36" t="inlineStr">
        <is>
          <t>JOINT</t>
        </is>
      </c>
      <c r="L281" s="39" t="n"/>
      <c r="M281" s="40" t="n"/>
      <c r="N281" s="42" t="n"/>
      <c r="O281" s="42" t="n"/>
      <c r="P281" s="41" t="n">
        <v>29.5</v>
      </c>
      <c r="Q281" s="41" t="n">
        <v>185.8</v>
      </c>
    </row>
    <row r="282">
      <c r="A282" s="32" t="n">
        <v>94844868</v>
      </c>
      <c r="B282" s="33" t="inlineStr">
        <is>
          <t>L2 PAX DOOR REF. TO W/O: 94844866 LH-AFT PASSENGER DOOR SEAL RETAINER WITH DENT ON LOWER EDGE. L= 1.3"IN. W= 0.3"IN. D= 0.284"IN.</t>
        </is>
      </c>
      <c r="C282" s="34" t="n">
        <v>1082</v>
      </c>
      <c r="D282" s="35" t="inlineStr">
        <is>
          <t>PAX DOORS</t>
        </is>
      </c>
      <c r="E282" s="36" t="inlineStr">
        <is>
          <t>Open</t>
        </is>
      </c>
      <c r="F282" s="36" t="inlineStr">
        <is>
          <t>Normal</t>
        </is>
      </c>
      <c r="G282" s="35" t="inlineStr">
        <is>
          <t>CAB</t>
        </is>
      </c>
      <c r="H282" s="37" t="inlineStr">
        <is>
          <t>Requested</t>
        </is>
      </c>
      <c r="I282" s="38" t="n"/>
      <c r="J282" s="36" t="n"/>
      <c r="K282" s="36" t="inlineStr">
        <is>
          <t>AFT</t>
        </is>
      </c>
      <c r="L282" s="39" t="n"/>
      <c r="M282" s="40" t="n"/>
      <c r="N282" s="42" t="n"/>
      <c r="O282" s="42" t="n"/>
      <c r="P282" s="41" t="n">
        <v>35</v>
      </c>
      <c r="Q282" s="41" t="n">
        <v>348.3</v>
      </c>
    </row>
    <row r="283">
      <c r="A283" s="32" t="n">
        <v>32974165</v>
      </c>
      <c r="B283" s="33" t="inlineStr">
        <is>
          <t>S52-R10175/ASD // L2 PAX DOOR SEAL RETAINER WITH DENT &amp; GOUGE</t>
        </is>
      </c>
      <c r="C283" s="34" t="n">
        <v>1086</v>
      </c>
      <c r="D283" s="35" t="inlineStr">
        <is>
          <t>PAX DOORS</t>
        </is>
      </c>
      <c r="E283" s="36" t="inlineStr">
        <is>
          <t>Open</t>
        </is>
      </c>
      <c r="F283" s="36" t="inlineStr">
        <is>
          <t>Normal</t>
        </is>
      </c>
      <c r="G283" s="35" t="inlineStr">
        <is>
          <t>CAB</t>
        </is>
      </c>
      <c r="H283" s="37" t="n"/>
      <c r="I283" s="38" t="n"/>
      <c r="J283" s="36" t="n"/>
      <c r="K283" s="36" t="inlineStr">
        <is>
          <t>AFT</t>
        </is>
      </c>
      <c r="L283" s="39" t="n"/>
      <c r="M283" s="40" t="n"/>
      <c r="N283" s="41" t="n">
        <v>0.2</v>
      </c>
      <c r="O283" s="42" t="n"/>
      <c r="P283" s="41" t="n"/>
      <c r="Q283" s="41" t="n"/>
    </row>
    <row r="284">
      <c r="A284" s="32" t="n">
        <v>32974180</v>
      </c>
      <c r="B284" s="33" t="inlineStr">
        <is>
          <t>S52-R10176/ASD // L2 PAX DOOR SEAL RETAINER WITH DENT &amp; GOUGE</t>
        </is>
      </c>
      <c r="C284" s="34" t="n">
        <v>1087</v>
      </c>
      <c r="D284" s="35" t="inlineStr">
        <is>
          <t>PAX DOORS</t>
        </is>
      </c>
      <c r="E284" s="36" t="inlineStr">
        <is>
          <t>Open</t>
        </is>
      </c>
      <c r="F284" s="36" t="inlineStr">
        <is>
          <t>Normal</t>
        </is>
      </c>
      <c r="G284" s="35" t="inlineStr">
        <is>
          <t>CAB</t>
        </is>
      </c>
      <c r="H284" s="37" t="inlineStr">
        <is>
          <t>Requested</t>
        </is>
      </c>
      <c r="I284" s="38" t="n"/>
      <c r="J284" s="36" t="n"/>
      <c r="K284" s="36" t="inlineStr">
        <is>
          <t>AFT</t>
        </is>
      </c>
      <c r="L284" s="39" t="n"/>
      <c r="M284" s="40" t="n"/>
      <c r="N284" s="41" t="n">
        <v>0.5</v>
      </c>
      <c r="O284" s="42" t="n"/>
      <c r="P284" s="41" t="n"/>
      <c r="Q284" s="41" t="n"/>
    </row>
    <row r="285">
      <c r="A285" s="32" t="n">
        <v>32987952</v>
      </c>
      <c r="B285" s="33" t="inlineStr">
        <is>
          <t>CAB---RII---CKCPT DR COCKPIT DOOR LATCH TENONS NEED ADJUSTMENT</t>
        </is>
      </c>
      <c r="C285" s="34" t="n">
        <v>1093</v>
      </c>
      <c r="D285" s="35" t="inlineStr">
        <is>
          <t>FLIGHT DECK</t>
        </is>
      </c>
      <c r="E285" s="36" t="inlineStr">
        <is>
          <t>Closed</t>
        </is>
      </c>
      <c r="F285" s="36" t="inlineStr">
        <is>
          <t>Normal</t>
        </is>
      </c>
      <c r="G285" s="35" t="inlineStr">
        <is>
          <t>CAB</t>
        </is>
      </c>
      <c r="H285" s="37" t="inlineStr">
        <is>
          <t>Requested</t>
        </is>
      </c>
      <c r="I285" s="38" t="n"/>
      <c r="J285" s="36" t="n"/>
      <c r="K285" s="36" t="inlineStr">
        <is>
          <t>FWD</t>
        </is>
      </c>
      <c r="L285" s="39" t="n">
        <v>46226</v>
      </c>
      <c r="M285" s="40" t="n">
        <v>46226</v>
      </c>
      <c r="N285" s="42" t="n"/>
      <c r="O285" s="42" t="n"/>
      <c r="P285" s="41" t="n">
        <v>3.5</v>
      </c>
      <c r="Q285" s="41" t="n">
        <v>5.6</v>
      </c>
    </row>
    <row r="286">
      <c r="A286" s="32" t="n">
        <v>32987966</v>
      </c>
      <c r="B286" s="33" t="inlineStr">
        <is>
          <t>CAB---RII---CKCPT DR COCKPIT DOOR CLEARANCES A, C &amp; P OUT OF LIMIT</t>
        </is>
      </c>
      <c r="C286" s="34" t="n">
        <v>1098</v>
      </c>
      <c r="D286" s="35" t="inlineStr">
        <is>
          <t>FLIGHT DECK</t>
        </is>
      </c>
      <c r="E286" s="36" t="inlineStr">
        <is>
          <t>Closed</t>
        </is>
      </c>
      <c r="F286" s="36" t="inlineStr">
        <is>
          <t>Normal</t>
        </is>
      </c>
      <c r="G286" s="35" t="inlineStr">
        <is>
          <t>CAB</t>
        </is>
      </c>
      <c r="H286" s="37" t="n"/>
      <c r="I286" s="38" t="n"/>
      <c r="J286" s="36" t="n"/>
      <c r="K286" s="36" t="inlineStr">
        <is>
          <t>FWD</t>
        </is>
      </c>
      <c r="L286" s="39" t="n">
        <v>46226</v>
      </c>
      <c r="M286" s="40" t="n">
        <v>46226</v>
      </c>
      <c r="N286" s="42" t="n"/>
      <c r="O286" s="42" t="n"/>
      <c r="P286" s="41" t="n">
        <v>4</v>
      </c>
      <c r="Q286" s="41" t="n">
        <v>6</v>
      </c>
    </row>
    <row r="287">
      <c r="A287" s="32" t="n">
        <v>32988329</v>
      </c>
      <c r="B287" s="33" t="inlineStr">
        <is>
          <t>PAINT - NO CALL BACK - CEILING PANEL CEILING PANEL FOUND DAMAGED ABOVE 4LJ</t>
        </is>
      </c>
      <c r="C287" s="34" t="n">
        <v>1107</v>
      </c>
      <c r="D287" s="35" t="inlineStr">
        <is>
          <t>GENERAL CABIN</t>
        </is>
      </c>
      <c r="E287" s="36" t="inlineStr">
        <is>
          <t>Open</t>
        </is>
      </c>
      <c r="F287" s="36" t="inlineStr">
        <is>
          <t>Normal</t>
        </is>
      </c>
      <c r="G287" s="35" t="inlineStr">
        <is>
          <t>PAINT</t>
        </is>
      </c>
      <c r="H287" s="37" t="n"/>
      <c r="I287" s="38" t="n"/>
      <c r="J287" s="36" t="n"/>
      <c r="K287" s="36" t="inlineStr">
        <is>
          <t>AFT</t>
        </is>
      </c>
      <c r="L287" s="39" t="n"/>
      <c r="M287" s="40" t="n"/>
      <c r="N287" s="41" t="n">
        <v>2</v>
      </c>
      <c r="O287" s="42" t="n"/>
      <c r="P287" s="41" t="n"/>
      <c r="Q287" s="41" t="n"/>
    </row>
    <row r="288">
      <c r="A288" s="32" t="n">
        <v>32988444</v>
      </c>
      <c r="B288" s="33" t="inlineStr">
        <is>
          <t>PAINT - NO CALL BACK - CEILING PANEL CHIPPED CEILING PANEL CRACKED/CHIPPED AT 41CBA</t>
        </is>
      </c>
      <c r="C288" s="34" t="n">
        <v>1108</v>
      </c>
      <c r="D288" s="35" t="inlineStr">
        <is>
          <t>GENERAL CABIN</t>
        </is>
      </c>
      <c r="E288" s="36" t="inlineStr">
        <is>
          <t>Open</t>
        </is>
      </c>
      <c r="F288" s="36" t="inlineStr">
        <is>
          <t>Normal</t>
        </is>
      </c>
      <c r="G288" s="35" t="inlineStr">
        <is>
          <t>CAB</t>
        </is>
      </c>
      <c r="H288" s="37" t="n"/>
      <c r="I288" s="38" t="n"/>
      <c r="J288" s="36" t="n"/>
      <c r="K288" s="36" t="inlineStr">
        <is>
          <t>AFT</t>
        </is>
      </c>
      <c r="L288" s="39" t="n"/>
      <c r="M288" s="40" t="n"/>
      <c r="N288" s="41" t="n">
        <v>4</v>
      </c>
      <c r="O288" s="42" t="n"/>
      <c r="P288" s="41" t="n"/>
      <c r="Q288" s="41" t="n"/>
    </row>
    <row r="289">
      <c r="A289" s="32" t="n">
        <v>32988470</v>
      </c>
      <c r="B289" s="33" t="inlineStr">
        <is>
          <t>CAB - NO CALL BACK - L2 DOOR ASSIST HANDLE LOOSE AT L2 DOOR.</t>
        </is>
      </c>
      <c r="C289" s="34" t="n">
        <v>1109</v>
      </c>
      <c r="D289" s="35" t="inlineStr">
        <is>
          <t>PAX DOORS</t>
        </is>
      </c>
      <c r="E289" s="36" t="inlineStr">
        <is>
          <t>Closed</t>
        </is>
      </c>
      <c r="F289" s="36" t="inlineStr">
        <is>
          <t>Normal</t>
        </is>
      </c>
      <c r="G289" s="35" t="inlineStr">
        <is>
          <t>CAB</t>
        </is>
      </c>
      <c r="H289" s="37" t="n"/>
      <c r="I289" s="38" t="n"/>
      <c r="J289" s="36" t="n"/>
      <c r="K289" s="36" t="inlineStr">
        <is>
          <t>AFT</t>
        </is>
      </c>
      <c r="L289" s="39" t="n">
        <v>46233</v>
      </c>
      <c r="M289" s="40" t="n">
        <v>46232</v>
      </c>
      <c r="N289" s="41" t="n">
        <v>1.5</v>
      </c>
      <c r="O289" s="42" t="n"/>
      <c r="P289" s="41" t="n">
        <v>11</v>
      </c>
      <c r="Q289" s="41" t="n">
        <v>3</v>
      </c>
    </row>
    <row r="290">
      <c r="A290" s="32" t="n">
        <v>32988479</v>
      </c>
      <c r="B290" s="33" t="inlineStr">
        <is>
          <t>CAB - NO CALL BACK - OSB OSB UPPER TRIM BROKEN AT 44 LKJ</t>
        </is>
      </c>
      <c r="C290" s="34" t="n">
        <v>1110</v>
      </c>
      <c r="D290" s="35" t="inlineStr">
        <is>
          <t>GENERAL CABIN</t>
        </is>
      </c>
      <c r="E290" s="36" t="inlineStr">
        <is>
          <t>Open</t>
        </is>
      </c>
      <c r="F290" s="36" t="inlineStr">
        <is>
          <t>Normal</t>
        </is>
      </c>
      <c r="G290" s="35" t="inlineStr">
        <is>
          <t>CAB</t>
        </is>
      </c>
      <c r="H290" s="37" t="inlineStr">
        <is>
          <t>Requested</t>
        </is>
      </c>
      <c r="I290" s="38" t="n"/>
      <c r="J290" s="36" t="n"/>
      <c r="K290" s="36" t="inlineStr">
        <is>
          <t>AFT</t>
        </is>
      </c>
      <c r="L290" s="39" t="n"/>
      <c r="M290" s="40" t="n"/>
      <c r="N290" s="41" t="n">
        <v>1.5</v>
      </c>
      <c r="O290" s="42" t="n"/>
      <c r="P290" s="41" t="n"/>
      <c r="Q290" s="41" t="n"/>
    </row>
    <row r="291">
      <c r="A291" s="32" t="n">
        <v>32988506</v>
      </c>
      <c r="B291" s="33" t="inlineStr">
        <is>
          <t>CAB - NO CALL BACK - GLLY SLIDING TABLE 2EA RETAINER FADED</t>
        </is>
      </c>
      <c r="C291" s="34" t="n">
        <v>1111</v>
      </c>
      <c r="D291" s="35" t="inlineStr">
        <is>
          <t>GALLEY</t>
        </is>
      </c>
      <c r="E291" s="36" t="inlineStr">
        <is>
          <t>Open</t>
        </is>
      </c>
      <c r="F291" s="36" t="inlineStr">
        <is>
          <t>Normal</t>
        </is>
      </c>
      <c r="G291" s="35" t="inlineStr">
        <is>
          <t>CAB</t>
        </is>
      </c>
      <c r="H291" s="37" t="inlineStr">
        <is>
          <t>Requested</t>
        </is>
      </c>
      <c r="I291" s="38" t="n"/>
      <c r="J291" s="36" t="n"/>
      <c r="K291" s="36" t="inlineStr">
        <is>
          <t>FWD</t>
        </is>
      </c>
      <c r="L291" s="39" t="n"/>
      <c r="M291" s="40" t="n"/>
      <c r="N291" s="42" t="n"/>
      <c r="O291" s="42" t="n"/>
      <c r="P291" s="41" t="n"/>
      <c r="Q291" s="41" t="n"/>
    </row>
    <row r="292">
      <c r="A292" s="32" t="n">
        <v>32988660</v>
      </c>
      <c r="B292" s="33" t="inlineStr">
        <is>
          <t>PANT - NO CALL BACK - OSB OSB AT 44 CBA PAINT CHIPPED &amp; INNER DENTS</t>
        </is>
      </c>
      <c r="C292" s="34" t="n">
        <v>1112</v>
      </c>
      <c r="D292" s="35" t="inlineStr">
        <is>
          <t>GENERAL CABIN</t>
        </is>
      </c>
      <c r="E292" s="36" t="inlineStr">
        <is>
          <t>Open</t>
        </is>
      </c>
      <c r="F292" s="36" t="inlineStr">
        <is>
          <t>Normal</t>
        </is>
      </c>
      <c r="G292" s="35" t="inlineStr">
        <is>
          <t>PAINT</t>
        </is>
      </c>
      <c r="H292" s="37" t="n"/>
      <c r="I292" s="38" t="inlineStr">
        <is>
          <t>REQ REMOVAL</t>
        </is>
      </c>
      <c r="J292" s="36" t="n"/>
      <c r="K292" s="36" t="inlineStr">
        <is>
          <t>AFT</t>
        </is>
      </c>
      <c r="L292" s="39" t="n"/>
      <c r="M292" s="40" t="n"/>
      <c r="N292" s="41" t="n">
        <v>4</v>
      </c>
      <c r="O292" s="42" t="n"/>
      <c r="P292" s="41" t="n"/>
      <c r="Q292" s="41" t="n"/>
    </row>
    <row r="293">
      <c r="A293" s="32" t="n">
        <v>32988687</v>
      </c>
      <c r="B293" s="33" t="inlineStr">
        <is>
          <t>CAB - NO CALL BACK - OSB OSB DEVIDER DAMAGED AT 32LKJ</t>
        </is>
      </c>
      <c r="C293" s="34" t="n">
        <v>1113</v>
      </c>
      <c r="D293" s="35" t="inlineStr">
        <is>
          <t>GENERAL CABIN</t>
        </is>
      </c>
      <c r="E293" s="36" t="inlineStr">
        <is>
          <t>Open</t>
        </is>
      </c>
      <c r="F293" s="36" t="inlineStr">
        <is>
          <t>Normal</t>
        </is>
      </c>
      <c r="G293" s="35" t="inlineStr">
        <is>
          <t>CAB</t>
        </is>
      </c>
      <c r="H293" s="37" t="inlineStr">
        <is>
          <t>Requested</t>
        </is>
      </c>
      <c r="I293" s="38" t="n"/>
      <c r="J293" s="36" t="n"/>
      <c r="K293" s="36" t="inlineStr">
        <is>
          <t>AFT</t>
        </is>
      </c>
      <c r="L293" s="39" t="n"/>
      <c r="M293" s="40" t="n"/>
      <c r="N293" s="41" t="n">
        <v>2</v>
      </c>
      <c r="O293" s="42" t="n"/>
      <c r="P293" s="41" t="n"/>
      <c r="Q293" s="41" t="n"/>
    </row>
    <row r="294">
      <c r="A294" s="32" t="n">
        <v>32988706</v>
      </c>
      <c r="B294" s="33" t="inlineStr">
        <is>
          <t>CAB - NO CALL BACK - EMERGENCY CHART EMERGENCY CHART HOLDER FOUND DAMAGED</t>
        </is>
      </c>
      <c r="C294" s="34" t="n">
        <v>1114</v>
      </c>
      <c r="D294" s="35" t="inlineStr">
        <is>
          <t>GENERAL CABIN</t>
        </is>
      </c>
      <c r="E294" s="36" t="inlineStr">
        <is>
          <t>Open</t>
        </is>
      </c>
      <c r="F294" s="36" t="inlineStr">
        <is>
          <t>Normal</t>
        </is>
      </c>
      <c r="G294" s="35" t="inlineStr">
        <is>
          <t>CAB</t>
        </is>
      </c>
      <c r="H294" s="37" t="inlineStr">
        <is>
          <t>Requested</t>
        </is>
      </c>
      <c r="I294" s="38" t="n"/>
      <c r="J294" s="36" t="n"/>
      <c r="K294" s="36" t="inlineStr">
        <is>
          <t>FWD</t>
        </is>
      </c>
      <c r="L294" s="39" t="n"/>
      <c r="M294" s="40" t="n"/>
      <c r="N294" s="41" t="n">
        <v>1</v>
      </c>
      <c r="O294" s="42" t="n"/>
      <c r="P294" s="41" t="n"/>
      <c r="Q294" s="41" t="n"/>
    </row>
    <row r="295">
      <c r="A295" s="32" t="n">
        <v>32988779</v>
      </c>
      <c r="B295" s="33" t="inlineStr">
        <is>
          <t>CAB - NO CALL BACK - OSB OSB UPPER LINER BROKEN AT 3 CA</t>
        </is>
      </c>
      <c r="C295" s="34" t="n">
        <v>1115</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1.5</v>
      </c>
      <c r="O295" s="42" t="n"/>
      <c r="P295" s="41" t="n"/>
      <c r="Q295" s="41" t="n"/>
    </row>
    <row r="296">
      <c r="A296" s="32" t="n">
        <v>32988786</v>
      </c>
      <c r="B296" s="33" t="inlineStr">
        <is>
          <t>PAINT - NO CALL BACK - OSB OSB PAINT FOUND CHIPPED AT 1 CA</t>
        </is>
      </c>
      <c r="C296" s="34" t="n">
        <v>1116</v>
      </c>
      <c r="D296" s="35" t="inlineStr">
        <is>
          <t>GENERAL CABIN</t>
        </is>
      </c>
      <c r="E296" s="36" t="inlineStr">
        <is>
          <t>Open</t>
        </is>
      </c>
      <c r="F296" s="36" t="inlineStr">
        <is>
          <t>Normal</t>
        </is>
      </c>
      <c r="G296" s="35" t="inlineStr">
        <is>
          <t>PAINT</t>
        </is>
      </c>
      <c r="H296" s="37" t="n"/>
      <c r="I296" s="38" t="inlineStr">
        <is>
          <t>REQ REMOVAL</t>
        </is>
      </c>
      <c r="J296" s="36" t="n"/>
      <c r="K296" s="36" t="inlineStr">
        <is>
          <t>FWD</t>
        </is>
      </c>
      <c r="L296" s="39" t="n"/>
      <c r="M296" s="40" t="n"/>
      <c r="N296" s="41" t="n">
        <v>1</v>
      </c>
      <c r="O296" s="42" t="n"/>
      <c r="P296" s="41" t="n"/>
      <c r="Q296" s="41" t="n"/>
    </row>
    <row r="297">
      <c r="A297" s="32" t="n">
        <v>32988794</v>
      </c>
      <c r="B297" s="33" t="inlineStr">
        <is>
          <t>PAINT - NO CALL BACK - WINDOW SHADE WINDOW SHADE PAINT CHIPPED AT 41 CBA</t>
        </is>
      </c>
      <c r="C297" s="34" t="n">
        <v>1117</v>
      </c>
      <c r="D297" s="35" t="inlineStr">
        <is>
          <t>GENERAL CABIN</t>
        </is>
      </c>
      <c r="E297" s="36" t="inlineStr">
        <is>
          <t>Closed</t>
        </is>
      </c>
      <c r="F297" s="36" t="inlineStr">
        <is>
          <t>Normal</t>
        </is>
      </c>
      <c r="G297" s="35" t="inlineStr">
        <is>
          <t>CAB</t>
        </is>
      </c>
      <c r="H297" s="37" t="inlineStr">
        <is>
          <t>Requested</t>
        </is>
      </c>
      <c r="I297" s="38" t="n"/>
      <c r="J297" s="36" t="n"/>
      <c r="K297" s="36" t="inlineStr">
        <is>
          <t>AFT</t>
        </is>
      </c>
      <c r="L297" s="39" t="n">
        <v>46229</v>
      </c>
      <c r="M297" s="40" t="n">
        <v>46229</v>
      </c>
      <c r="N297" s="41" t="n">
        <v>2</v>
      </c>
      <c r="O297" s="42" t="n"/>
      <c r="P297" s="41" t="n">
        <v>2</v>
      </c>
      <c r="Q297" s="41" t="n">
        <v>2</v>
      </c>
    </row>
    <row r="298">
      <c r="A298" s="32" t="n">
        <v>32988850</v>
      </c>
      <c r="B298" s="33" t="inlineStr">
        <is>
          <t>CAB - NO CALLBACK - FWD GALLEY FWD GALLEY SEVERAL AIR FLAP SEAL DETORIATED</t>
        </is>
      </c>
      <c r="C298" s="34" t="n">
        <v>1121</v>
      </c>
      <c r="D298" s="35" t="inlineStr">
        <is>
          <t>GALLEY</t>
        </is>
      </c>
      <c r="E298" s="36" t="inlineStr">
        <is>
          <t>Open</t>
        </is>
      </c>
      <c r="F298" s="36" t="inlineStr">
        <is>
          <t>AOG</t>
        </is>
      </c>
      <c r="G298" s="35" t="inlineStr">
        <is>
          <t>CAB</t>
        </is>
      </c>
      <c r="H298" s="37" t="inlineStr">
        <is>
          <t>Requested</t>
        </is>
      </c>
      <c r="I298" s="38" t="n"/>
      <c r="J298" s="36" t="n"/>
      <c r="K298" s="36" t="inlineStr">
        <is>
          <t>FWD</t>
        </is>
      </c>
      <c r="L298" s="39" t="n"/>
      <c r="M298" s="40" t="n"/>
      <c r="N298" s="42" t="n"/>
      <c r="O298" s="42" t="n"/>
      <c r="P298" s="41" t="n"/>
      <c r="Q298" s="41" t="n"/>
    </row>
    <row r="299">
      <c r="A299" s="32" t="n">
        <v>32989457</v>
      </c>
      <c r="B299" s="33" t="inlineStr">
        <is>
          <t>CABIN FLOOR PANELS - CAB - CALLBACK COCKPIT/CABIN FLOOR PANELS 211FF REQUIRE REMOVAL FOR ACCESS.</t>
        </is>
      </c>
      <c r="C299" s="34" t="n">
        <v>1126</v>
      </c>
      <c r="D299" s="35" t="inlineStr">
        <is>
          <t>FLIGHT DECK</t>
        </is>
      </c>
      <c r="E299" s="36" t="inlineStr">
        <is>
          <t>Open</t>
        </is>
      </c>
      <c r="F299" s="36" t="inlineStr">
        <is>
          <t>ACCESS</t>
        </is>
      </c>
      <c r="G299" s="35" t="inlineStr">
        <is>
          <t>CAB</t>
        </is>
      </c>
      <c r="H299" s="37" t="n"/>
      <c r="I299" s="38" t="n"/>
      <c r="J299" s="36" t="n"/>
      <c r="K299" s="36" t="inlineStr">
        <is>
          <t>FWD</t>
        </is>
      </c>
      <c r="L299" s="39" t="n"/>
      <c r="M299" s="40" t="n"/>
      <c r="N299" s="42" t="n"/>
      <c r="O299" s="42" t="n"/>
      <c r="P299" s="41" t="n">
        <v>2.5</v>
      </c>
      <c r="Q299" s="41" t="n">
        <v>169.1</v>
      </c>
    </row>
    <row r="300">
      <c r="A300" s="32" t="n">
        <v>32989455</v>
      </c>
      <c r="B300" s="33" t="inlineStr">
        <is>
          <t>CAB - NO CALL BACK - AFT GALLEY 502 AFT GALLEY COMPARTMENT 502 SLAM LATCH INOP</t>
        </is>
      </c>
      <c r="C300" s="34" t="n">
        <v>1127</v>
      </c>
      <c r="D300" s="35" t="inlineStr">
        <is>
          <t>GALLEY</t>
        </is>
      </c>
      <c r="E300" s="36" t="inlineStr">
        <is>
          <t>Open</t>
        </is>
      </c>
      <c r="F300" s="36" t="inlineStr">
        <is>
          <t>Normal</t>
        </is>
      </c>
      <c r="G300" s="35" t="inlineStr">
        <is>
          <t>CAB</t>
        </is>
      </c>
      <c r="H300" s="37" t="inlineStr">
        <is>
          <t>Requested</t>
        </is>
      </c>
      <c r="I300" s="38" t="n"/>
      <c r="J300" s="36" t="n"/>
      <c r="K300" s="36" t="inlineStr">
        <is>
          <t>AFT</t>
        </is>
      </c>
      <c r="L300" s="39" t="n"/>
      <c r="M300" s="40" t="n"/>
      <c r="N300" s="42" t="n"/>
      <c r="O300" s="42" t="n"/>
      <c r="P300" s="41" t="n"/>
      <c r="Q300" s="41" t="n"/>
    </row>
    <row r="301">
      <c r="A301" s="32" t="n">
        <v>32989472</v>
      </c>
      <c r="B301" s="33" t="inlineStr">
        <is>
          <t>CAB - NO CALL BACK - B/C HOUSEKEEPING B/C 1A AND 2C REQUIRE HOUSEKEEPING</t>
        </is>
      </c>
      <c r="C301" s="34" t="n">
        <v>1128</v>
      </c>
      <c r="D301" s="35" t="inlineStr">
        <is>
          <t>GENERAL CABIN</t>
        </is>
      </c>
      <c r="E301" s="36" t="inlineStr">
        <is>
          <t>Open</t>
        </is>
      </c>
      <c r="F301" s="36" t="inlineStr">
        <is>
          <t>Normal</t>
        </is>
      </c>
      <c r="G301" s="35" t="inlineStr">
        <is>
          <t>CAB</t>
        </is>
      </c>
      <c r="H301" s="37" t="n"/>
      <c r="I301" s="38" t="n"/>
      <c r="J301" s="36" t="n"/>
      <c r="K301" s="36" t="inlineStr">
        <is>
          <t>FWD</t>
        </is>
      </c>
      <c r="L301" s="39" t="n"/>
      <c r="M301" s="40" t="n"/>
      <c r="N301" s="42" t="n"/>
      <c r="O301" s="42" t="n"/>
      <c r="P301" s="41" t="n"/>
      <c r="Q301" s="41" t="n"/>
    </row>
    <row r="302">
      <c r="A302" s="32" t="n">
        <v>32989475</v>
      </c>
      <c r="B302" s="33" t="inlineStr">
        <is>
          <t>AV - RII SEATS AT 30ABC TO 34 ABC REQUIRED TO REMOVED ELECTRICAL WIRE FOR ACCESS.</t>
        </is>
      </c>
      <c r="C302" s="34" t="n">
        <v>1129</v>
      </c>
      <c r="D302" s="35" t="inlineStr">
        <is>
          <t>PAX SEAT</t>
        </is>
      </c>
      <c r="E302" s="36" t="inlineStr">
        <is>
          <t>Open</t>
        </is>
      </c>
      <c r="F302" s="36" t="inlineStr">
        <is>
          <t>ACCESS</t>
        </is>
      </c>
      <c r="G302" s="35" t="inlineStr">
        <is>
          <t>CAB</t>
        </is>
      </c>
      <c r="H302" s="37" t="n"/>
      <c r="I302" s="38" t="n"/>
      <c r="J302" s="36" t="n"/>
      <c r="K302" s="36" t="inlineStr">
        <is>
          <t>AFT</t>
        </is>
      </c>
      <c r="L302" s="39" t="n"/>
      <c r="M302" s="40" t="n"/>
      <c r="N302" s="41" t="n">
        <v>8</v>
      </c>
      <c r="O302" s="42" t="n"/>
      <c r="P302" s="41" t="n">
        <v>4</v>
      </c>
      <c r="Q302" s="41" t="n">
        <v>190</v>
      </c>
    </row>
    <row r="303">
      <c r="A303" s="32" t="n">
        <v>32989476</v>
      </c>
      <c r="B303" s="33" t="inlineStr">
        <is>
          <t>CAB - NO CALL BACK - B/C 4C SHELF GLUE RESIDUE B/C 4C SHELF GLUE RESIDUE</t>
        </is>
      </c>
      <c r="C303" s="34" t="n">
        <v>1130</v>
      </c>
      <c r="D303" s="35" t="inlineStr">
        <is>
          <t>GENERAL CABIN</t>
        </is>
      </c>
      <c r="E303" s="36" t="inlineStr">
        <is>
          <t>Open</t>
        </is>
      </c>
      <c r="F303" s="36" t="inlineStr">
        <is>
          <t>Normal</t>
        </is>
      </c>
      <c r="G303" s="35" t="inlineStr">
        <is>
          <t>CAB</t>
        </is>
      </c>
      <c r="H303" s="37" t="n"/>
      <c r="I303" s="38" t="n"/>
      <c r="J303" s="36" t="n"/>
      <c r="K303" s="36" t="inlineStr">
        <is>
          <t>FWD</t>
        </is>
      </c>
      <c r="L303" s="39" t="n"/>
      <c r="M303" s="40" t="n"/>
      <c r="N303" s="42" t="n"/>
      <c r="O303" s="42" t="n"/>
      <c r="P303" s="41" t="n"/>
      <c r="Q303" s="41" t="n"/>
    </row>
    <row r="304">
      <c r="A304" s="32" t="n">
        <v>32989482</v>
      </c>
      <c r="B304" s="33" t="inlineStr">
        <is>
          <t>CAB - NO CALL BACK - COMPT. 108 FWD GALLEY COMPT. 108 CARTS COOLING RUBBER WORN OUT</t>
        </is>
      </c>
      <c r="C304" s="34" t="n">
        <v>1131</v>
      </c>
      <c r="D304" s="35" t="inlineStr">
        <is>
          <t>GALLEY</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32989491</v>
      </c>
      <c r="B305" s="33" t="inlineStr">
        <is>
          <t>CAB - NO CALL BACK - GALLEY COMPT. 108 BUMPERS GALLEY COMPT. 108 BUMPERS DEATTACHED.</t>
        </is>
      </c>
      <c r="C305" s="34" t="n">
        <v>1132</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32989492</v>
      </c>
      <c r="B306" s="33" t="inlineStr">
        <is>
          <t>CAB - NO CALL BACK - COMPT. 111 FWD GALLEY COMPT. 111 CARTS COOLING RUBBER WORN OUT</t>
        </is>
      </c>
      <c r="C306" s="34" t="n">
        <v>1133</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32989497</v>
      </c>
      <c r="B307" s="33" t="inlineStr">
        <is>
          <t>CAB - NO CALL BACK - GALLEY 201 DAMAGED FWD GALLEY COMPT. 201 DOOR TRIM DAMAGED</t>
        </is>
      </c>
      <c r="C307" s="34" t="n">
        <v>1134</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c r="A308" s="32" t="n">
        <v>32989575</v>
      </c>
      <c r="B308" s="33" t="inlineStr">
        <is>
          <t>PNT - NO CALL BACK - R2 DOOR R2 DOOR DECORATIVE COVER OF THE ESCAPE SLIDE/RAFT NEEDS PAINT</t>
        </is>
      </c>
      <c r="C308" s="34" t="n">
        <v>1138</v>
      </c>
      <c r="D308" s="35" t="inlineStr">
        <is>
          <t>PAX DOORS</t>
        </is>
      </c>
      <c r="E308" s="36" t="inlineStr">
        <is>
          <t>Closed</t>
        </is>
      </c>
      <c r="F308" s="36" t="inlineStr">
        <is>
          <t>Normal</t>
        </is>
      </c>
      <c r="G308" s="35" t="inlineStr">
        <is>
          <t>PAINT</t>
        </is>
      </c>
      <c r="H308" s="37" t="n"/>
      <c r="I308" s="38" t="n"/>
      <c r="J308" s="36" t="n"/>
      <c r="K308" s="36" t="inlineStr">
        <is>
          <t>AFT</t>
        </is>
      </c>
      <c r="L308" s="39" t="n">
        <v>46231</v>
      </c>
      <c r="M308" s="40" t="n">
        <v>46231</v>
      </c>
      <c r="N308" s="41" t="n">
        <v>4</v>
      </c>
      <c r="O308" s="42" t="n"/>
      <c r="P308" s="41" t="n">
        <v>4</v>
      </c>
      <c r="Q308" s="41" t="n">
        <v>2</v>
      </c>
    </row>
    <row r="309">
      <c r="A309" s="32" t="n">
        <v>32989728</v>
      </c>
      <c r="B309" s="33" t="inlineStr">
        <is>
          <t>CAB - NO CALLBACK - LAV E LAV E SHROUD SCREW MISSING</t>
        </is>
      </c>
      <c r="C309" s="34" t="n">
        <v>1141</v>
      </c>
      <c r="D309" s="35" t="inlineStr">
        <is>
          <t>LAVATORY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c r="A310" s="32" t="n">
        <v>32989743</v>
      </c>
      <c r="B310" s="33" t="inlineStr">
        <is>
          <t>CAB - NO CALLBACK - LAV E LAV E BABY BASSINET LOWER STOPPER  MISSING</t>
        </is>
      </c>
      <c r="C310" s="34" t="n">
        <v>1142</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32989796</v>
      </c>
      <c r="B311" s="33" t="inlineStr">
        <is>
          <t>CAB - NO CALL BACK - AIR VENTILATION ALL LAV AIR VENTILATION FILTERS DIRTY</t>
        </is>
      </c>
      <c r="C311" s="34" t="n">
        <v>1143</v>
      </c>
      <c r="D311" s="35" t="inlineStr">
        <is>
          <t>LAVATORY</t>
        </is>
      </c>
      <c r="E311" s="36" t="inlineStr">
        <is>
          <t>Open</t>
        </is>
      </c>
      <c r="F311" s="36" t="inlineStr">
        <is>
          <t>Normal</t>
        </is>
      </c>
      <c r="G311" s="35" t="inlineStr">
        <is>
          <t>CAB</t>
        </is>
      </c>
      <c r="H311" s="37" t="n"/>
      <c r="I311" s="38" t="n"/>
      <c r="J311" s="36" t="n"/>
      <c r="K311" s="36" t="inlineStr">
        <is>
          <t>JOINT</t>
        </is>
      </c>
      <c r="L311" s="39" t="n"/>
      <c r="M311" s="40" t="n"/>
      <c r="N311" s="42" t="n"/>
      <c r="O311" s="42" t="n"/>
      <c r="P311" s="41" t="n"/>
      <c r="Q311" s="41" t="n"/>
    </row>
    <row r="312">
      <c r="A312" s="32" t="n">
        <v>32989797</v>
      </c>
      <c r="B312" s="33" t="inlineStr">
        <is>
          <t>S/M - NO CALL BACK - C101 STOWAGE FWD COMPARTMENT C101 FRAME DAMAGE</t>
        </is>
      </c>
      <c r="C312" s="34" t="n">
        <v>1144</v>
      </c>
      <c r="D312" s="35" t="inlineStr">
        <is>
          <t>GENERAL CABIN</t>
        </is>
      </c>
      <c r="E312" s="36" t="inlineStr">
        <is>
          <t>Open</t>
        </is>
      </c>
      <c r="F312" s="36" t="inlineStr">
        <is>
          <t>Normal</t>
        </is>
      </c>
      <c r="G312" s="35" t="inlineStr">
        <is>
          <t>S/M</t>
        </is>
      </c>
      <c r="H312" s="37" t="n"/>
      <c r="I312" s="38" t="n"/>
      <c r="J312" s="36" t="n"/>
      <c r="K312" s="36" t="inlineStr">
        <is>
          <t>FWD</t>
        </is>
      </c>
      <c r="L312" s="39" t="n"/>
      <c r="M312" s="40" t="n"/>
      <c r="N312" s="42" t="n"/>
      <c r="O312" s="42" t="n"/>
      <c r="P312" s="41" t="n">
        <v>4.3</v>
      </c>
      <c r="Q312" s="41" t="n">
        <v>81.59999999999999</v>
      </c>
    </row>
    <row r="313">
      <c r="A313" s="32" t="n">
        <v>32989800</v>
      </c>
      <c r="B313" s="33" t="inlineStr">
        <is>
          <t>CAB - NO CALLBACK - LAV E LAV E DOOR WASHBASIN SCREW MISSING</t>
        </is>
      </c>
      <c r="C313" s="34" t="n">
        <v>1145</v>
      </c>
      <c r="D313" s="35" t="inlineStr">
        <is>
          <t>LAVATORY</t>
        </is>
      </c>
      <c r="E313" s="36" t="inlineStr">
        <is>
          <t>Open</t>
        </is>
      </c>
      <c r="F313" s="36" t="inlineStr">
        <is>
          <t>Normal</t>
        </is>
      </c>
      <c r="G313" s="35" t="inlineStr">
        <is>
          <t>CAB</t>
        </is>
      </c>
      <c r="H313" s="37" t="inlineStr">
        <is>
          <t>Requested</t>
        </is>
      </c>
      <c r="I313" s="38" t="n"/>
      <c r="J313" s="36" t="n"/>
      <c r="K313" s="36" t="inlineStr">
        <is>
          <t>AFT</t>
        </is>
      </c>
      <c r="L313" s="39" t="n"/>
      <c r="M313" s="40" t="n"/>
      <c r="N313" s="42" t="n"/>
      <c r="O313" s="42" t="n"/>
      <c r="P313" s="41" t="n"/>
      <c r="Q313" s="41" t="n"/>
    </row>
    <row r="314">
      <c r="A314" s="32" t="n">
        <v>32989825</v>
      </c>
      <c r="B314" s="33" t="inlineStr">
        <is>
          <t>CAB - NO CALL BACK - KICK STRIP KICK STRIP IN FRONT OF 1LJ SEALANT MISSING</t>
        </is>
      </c>
      <c r="C314" s="34" t="n">
        <v>1146</v>
      </c>
      <c r="D314" s="35" t="inlineStr">
        <is>
          <t>GENERAL CABIN</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c r="A315" s="32" t="n">
        <v>32989853</v>
      </c>
      <c r="B315" s="33" t="inlineStr">
        <is>
          <t>CAB - NO CALL BACK - ICE BOX FWD GALLEY COMPT. 208 ICE BOX FULL OF WATER</t>
        </is>
      </c>
      <c r="C315" s="34" t="n">
        <v>1147</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1" t="n">
        <v>1</v>
      </c>
      <c r="O315" s="42" t="n"/>
      <c r="P315" s="41" t="n">
        <v>2</v>
      </c>
      <c r="Q315" s="41" t="n">
        <v>170.1</v>
      </c>
    </row>
    <row r="316">
      <c r="A316" s="32" t="n">
        <v>32989854</v>
      </c>
      <c r="B316" s="33" t="inlineStr">
        <is>
          <t>CAB - NO CALL BACK - FWD GALLEY COMPT. 209 DOOR TEDLAR DAMAGE</t>
        </is>
      </c>
      <c r="C316" s="34" t="n">
        <v>1148</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2" t="n"/>
      <c r="O316" s="42" t="n"/>
      <c r="P316" s="41" t="n"/>
      <c r="Q316" s="41" t="n"/>
    </row>
    <row r="317">
      <c r="A317" s="32" t="n">
        <v>32989860</v>
      </c>
      <c r="B317" s="33" t="inlineStr">
        <is>
          <t>CAB - NO CALL BACK - LAV A SEALANT LAV A ABOVE TOILET SEAT SEALANT MISSING</t>
        </is>
      </c>
      <c r="C317" s="34" t="n">
        <v>1149</v>
      </c>
      <c r="D317" s="35" t="inlineStr">
        <is>
          <t>LAVATORY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32989874</v>
      </c>
      <c r="B318" s="33" t="inlineStr">
        <is>
          <t>CAB - NO CALLBACK-LAV E LAV E PAN FLOOR STRIP SCREW MISSING</t>
        </is>
      </c>
      <c r="C318" s="34" t="n">
        <v>1150</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c r="A319" s="32" t="n">
        <v>32989888</v>
      </c>
      <c r="B319" s="33" t="inlineStr">
        <is>
          <t>PNT - NO CALL BACK - L2 DOOR DECORATIVE COVER L2 DOOR DECORATIVE COVER OF THE ESCAPE SLIDE/RAFT NEEDS PAINT</t>
        </is>
      </c>
      <c r="C319" s="34" t="n">
        <v>1151</v>
      </c>
      <c r="D319" s="35" t="inlineStr">
        <is>
          <t>PAX DOORS</t>
        </is>
      </c>
      <c r="E319" s="36" t="inlineStr">
        <is>
          <t>Closed</t>
        </is>
      </c>
      <c r="F319" s="36" t="inlineStr">
        <is>
          <t>Normal</t>
        </is>
      </c>
      <c r="G319" s="35" t="inlineStr">
        <is>
          <t>PAINT</t>
        </is>
      </c>
      <c r="H319" s="37" t="n"/>
      <c r="I319" s="38" t="n"/>
      <c r="J319" s="36" t="n"/>
      <c r="K319" s="36" t="inlineStr">
        <is>
          <t>AFT</t>
        </is>
      </c>
      <c r="L319" s="39" t="n">
        <v>46231</v>
      </c>
      <c r="M319" s="40" t="n">
        <v>46231</v>
      </c>
      <c r="N319" s="41" t="n">
        <v>4</v>
      </c>
      <c r="O319" s="42" t="n"/>
      <c r="P319" s="41" t="n">
        <v>4</v>
      </c>
      <c r="Q319" s="41" t="n">
        <v>2</v>
      </c>
    </row>
    <row r="320">
      <c r="A320" s="32" t="n">
        <v>32989938</v>
      </c>
      <c r="B320" s="33" t="inlineStr">
        <is>
          <t>PAINT-NO CALLBACK (LAV E) LAV E ASHTRAY DECAL IN DOOR  AND OUTDOOR  DISCOLORATION.</t>
        </is>
      </c>
      <c r="C320" s="34" t="n">
        <v>1152</v>
      </c>
      <c r="D320" s="35" t="inlineStr">
        <is>
          <t>LAVATORY</t>
        </is>
      </c>
      <c r="E320" s="36" t="inlineStr">
        <is>
          <t>Closed</t>
        </is>
      </c>
      <c r="F320" s="36" t="inlineStr">
        <is>
          <t>Normal</t>
        </is>
      </c>
      <c r="G320" s="35" t="inlineStr">
        <is>
          <t>PAINT</t>
        </is>
      </c>
      <c r="H320" s="37" t="n"/>
      <c r="I320" s="38" t="n"/>
      <c r="J320" s="36" t="n"/>
      <c r="K320" s="36" t="inlineStr">
        <is>
          <t>AFT</t>
        </is>
      </c>
      <c r="L320" s="39" t="n">
        <v>46226</v>
      </c>
      <c r="M320" s="40" t="n">
        <v>46226</v>
      </c>
      <c r="N320" s="42" t="n"/>
      <c r="O320" s="42" t="n"/>
      <c r="P320" s="41" t="n">
        <v>2</v>
      </c>
      <c r="Q320" s="41" t="n">
        <v>2</v>
      </c>
    </row>
    <row r="321">
      <c r="A321" s="32" t="n">
        <v>32989943</v>
      </c>
      <c r="B321" s="33" t="inlineStr">
        <is>
          <t>CAB-NO CALL BACK (LAV E) LAV E DOOR HINGE  WITH MISSING SCREW 1EA.</t>
        </is>
      </c>
      <c r="C321" s="34" t="n">
        <v>1154</v>
      </c>
      <c r="D321" s="35" t="inlineStr">
        <is>
          <t>LAVATORY</t>
        </is>
      </c>
      <c r="E321" s="36" t="inlineStr">
        <is>
          <t>Open</t>
        </is>
      </c>
      <c r="F321" s="36" t="inlineStr">
        <is>
          <t>Normal</t>
        </is>
      </c>
      <c r="G321" s="35" t="inlineStr">
        <is>
          <t>CAB</t>
        </is>
      </c>
      <c r="H321" s="37" t="inlineStr">
        <is>
          <t>Requested</t>
        </is>
      </c>
      <c r="I321" s="38" t="n"/>
      <c r="J321" s="36" t="n"/>
      <c r="K321" s="36" t="inlineStr">
        <is>
          <t>AFT</t>
        </is>
      </c>
      <c r="L321" s="39" t="n"/>
      <c r="M321" s="40" t="n"/>
      <c r="N321" s="42" t="n"/>
      <c r="O321" s="42" t="n"/>
      <c r="P321" s="41" t="n"/>
      <c r="Q321" s="41" t="n"/>
    </row>
    <row r="322">
      <c r="A322" s="32" t="n">
        <v>32989952</v>
      </c>
      <c r="B322" s="33" t="inlineStr">
        <is>
          <t>CAB - NO CALLBACK - (LAV E) LAV E DOOR LOCK VACANT IS FADED.</t>
        </is>
      </c>
      <c r="C322" s="34" t="n">
        <v>1156</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32989995</v>
      </c>
      <c r="B323" s="33" t="inlineStr">
        <is>
          <t>RII-CAB SEAT# 30ABC, 31ABC, 32ABC, 33ABC AND 30JKL,31JKL, 32JKL ,33JKL REQUIRE REMOVAL  SEAT`S FOR ACCESS.</t>
        </is>
      </c>
      <c r="C323" s="34" t="n">
        <v>1171</v>
      </c>
      <c r="D323" s="35" t="inlineStr">
        <is>
          <t>PAX SEAT</t>
        </is>
      </c>
      <c r="E323" s="36" t="inlineStr">
        <is>
          <t>Open</t>
        </is>
      </c>
      <c r="F323" s="36" t="inlineStr">
        <is>
          <t>ACCESS</t>
        </is>
      </c>
      <c r="G323" s="35" t="inlineStr">
        <is>
          <t>CAB</t>
        </is>
      </c>
      <c r="H323" s="37" t="n"/>
      <c r="I323" s="38" t="n"/>
      <c r="J323" s="36" t="n"/>
      <c r="K323" s="36" t="inlineStr">
        <is>
          <t>AFT</t>
        </is>
      </c>
      <c r="L323" s="39" t="n"/>
      <c r="M323" s="40" t="n"/>
      <c r="N323" s="42" t="n"/>
      <c r="O323" s="42" t="n"/>
      <c r="P323" s="41" t="n">
        <v>35.5</v>
      </c>
      <c r="Q323" s="41" t="n">
        <v>193.9</v>
      </c>
    </row>
    <row r="324">
      <c r="A324" s="32" t="n">
        <v>32990006</v>
      </c>
      <c r="B324" s="33" t="inlineStr">
        <is>
          <t>CAB PAX SEAT---SEAT SHOP-- NO CALL BACK SEAT NO 30 J,K,L BAGAGE ROD NUT MISSSING.</t>
        </is>
      </c>
      <c r="C324" s="34" t="n">
        <v>1173</v>
      </c>
      <c r="D324" s="35" t="inlineStr">
        <is>
          <t>PAX SEAT</t>
        </is>
      </c>
      <c r="E324" s="36" t="inlineStr">
        <is>
          <t>Closed</t>
        </is>
      </c>
      <c r="F324" s="36" t="inlineStr">
        <is>
          <t>Normal</t>
        </is>
      </c>
      <c r="G324" s="35" t="inlineStr">
        <is>
          <t>SEAT</t>
        </is>
      </c>
      <c r="H324" s="37" t="n"/>
      <c r="I324" s="38" t="n"/>
      <c r="J324" s="36" t="n"/>
      <c r="K324" s="36" t="inlineStr">
        <is>
          <t>N/A</t>
        </is>
      </c>
      <c r="L324" s="39" t="n">
        <v>46225</v>
      </c>
      <c r="M324" s="40" t="n">
        <v>46225</v>
      </c>
      <c r="N324" s="41" t="n">
        <v>1.5</v>
      </c>
      <c r="O324" s="42" t="n"/>
      <c r="P324" s="41" t="n">
        <v>1.5</v>
      </c>
      <c r="Q324" s="41" t="n">
        <v>1.7</v>
      </c>
    </row>
    <row r="325">
      <c r="A325" s="32" t="n">
        <v>32990008</v>
      </c>
      <c r="B325" s="33" t="inlineStr">
        <is>
          <t>CAB RII - F/A L2 F/A SEAT REQUIRE REMOVAL FOR ACCESS</t>
        </is>
      </c>
      <c r="C325" s="34" t="n">
        <v>1174</v>
      </c>
      <c r="D325" s="35" t="inlineStr">
        <is>
          <t>F/A SEAT</t>
        </is>
      </c>
      <c r="E325" s="36" t="inlineStr">
        <is>
          <t>Open</t>
        </is>
      </c>
      <c r="F325" s="36" t="inlineStr">
        <is>
          <t>ACCESS</t>
        </is>
      </c>
      <c r="G325" s="35" t="inlineStr">
        <is>
          <t>CAB</t>
        </is>
      </c>
      <c r="H325" s="37" t="inlineStr">
        <is>
          <t>Requested</t>
        </is>
      </c>
      <c r="I325" s="38" t="n"/>
      <c r="J325" s="36" t="n"/>
      <c r="K325" s="36" t="inlineStr">
        <is>
          <t>AFT</t>
        </is>
      </c>
      <c r="L325" s="39" t="n"/>
      <c r="M325" s="40" t="n"/>
      <c r="N325" s="42" t="n"/>
      <c r="O325" s="42" t="n"/>
      <c r="P325" s="41" t="n"/>
      <c r="Q325" s="41" t="n"/>
    </row>
    <row r="326">
      <c r="A326" s="32" t="n">
        <v>32990007</v>
      </c>
      <c r="B326" s="33" t="inlineStr">
        <is>
          <t>PAX SEAT--- AV-- NO CALL BACK PAX SEAT , POWER SOCKET SHROUD BROKEN SEAT NO:33L,34JL,35K,37JL</t>
        </is>
      </c>
      <c r="C326" s="34" t="n">
        <v>1175</v>
      </c>
      <c r="D326" s="35" t="inlineStr">
        <is>
          <t>PAX SEAT</t>
        </is>
      </c>
      <c r="E326" s="36" t="inlineStr">
        <is>
          <t>Open</t>
        </is>
      </c>
      <c r="F326" s="36" t="inlineStr">
        <is>
          <t>Normal</t>
        </is>
      </c>
      <c r="G326" s="35" t="inlineStr">
        <is>
          <t>AV</t>
        </is>
      </c>
      <c r="H326" s="37" t="n"/>
      <c r="I326" s="38" t="n"/>
      <c r="J326" s="36" t="n"/>
      <c r="K326" s="36" t="inlineStr">
        <is>
          <t>N/A</t>
        </is>
      </c>
      <c r="L326" s="39" t="n"/>
      <c r="M326" s="40" t="n"/>
      <c r="N326" s="42" t="n"/>
      <c r="O326" s="42" t="n"/>
      <c r="P326" s="41" t="n"/>
      <c r="Q326" s="41" t="n"/>
    </row>
    <row r="327">
      <c r="A327" s="32" t="n">
        <v>32990011</v>
      </c>
      <c r="B327" s="33" t="inlineStr">
        <is>
          <t>PAX SEAT--- AV-- NO CALL BACK PAX SEAT , POWER SOCKET SHROUD BROKEN SEAT NO: 38J,K   39J,K,L   40 J,K,L    41 J,K,L  42J,K  43 J,K,L</t>
        </is>
      </c>
      <c r="C327" s="34" t="n">
        <v>1176</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32990012</v>
      </c>
      <c r="B328" s="33" t="inlineStr">
        <is>
          <t>PAX SEAT--- AV-- NO CALL BACK PAX SEAT , POWER SOCKET SHROUD BROKEN SEAT NO:  43 A,C   42 B,C    40A,C   39A,C AND  38A,B,C</t>
        </is>
      </c>
      <c r="C328" s="34" t="n">
        <v>1177</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32990013</v>
      </c>
      <c r="B329" s="33" t="inlineStr">
        <is>
          <t>PAX SEAT--- AV-- NO CALL BACK PAX SEAT , POWER SOCKET SHROUD BROKEN SEAT NO: 37A,B,C  36A,B,C  35C  34A,B,C</t>
        </is>
      </c>
      <c r="C329" s="34" t="n">
        <v>1178</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32990020</v>
      </c>
      <c r="B330" s="33" t="inlineStr">
        <is>
          <t>PAX SEAT--- AV-- NO CALL BACK PAX SEAT , POWER SOCKET SHROUD BROKEN SEAT NO: 33B,C   32A,B,C  AND 31A,B</t>
        </is>
      </c>
      <c r="C330" s="34" t="n">
        <v>1179</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32990021</v>
      </c>
      <c r="B331" s="33" t="inlineStr">
        <is>
          <t>CAB PAX SEAT--- SEAT SHOP-- NO CALL BACK PAX SEAT 43 J,K   ACTUATOR NUT MISSING.</t>
        </is>
      </c>
      <c r="C331" s="34" t="n">
        <v>1180</v>
      </c>
      <c r="D331" s="35" t="inlineStr">
        <is>
          <t>PAX SEAT</t>
        </is>
      </c>
      <c r="E331" s="36" t="inlineStr">
        <is>
          <t>Closed</t>
        </is>
      </c>
      <c r="F331" s="36" t="inlineStr">
        <is>
          <t>Normal</t>
        </is>
      </c>
      <c r="G331" s="35" t="inlineStr">
        <is>
          <t>SEAT</t>
        </is>
      </c>
      <c r="H331" s="37" t="n"/>
      <c r="I331" s="38" t="n"/>
      <c r="J331" s="36" t="n"/>
      <c r="K331" s="36" t="inlineStr">
        <is>
          <t>N/A</t>
        </is>
      </c>
      <c r="L331" s="39" t="n">
        <v>46225</v>
      </c>
      <c r="M331" s="40" t="n">
        <v>46225</v>
      </c>
      <c r="N331" s="42" t="n"/>
      <c r="O331" s="42" t="n"/>
      <c r="P331" s="41" t="n">
        <v>1.5</v>
      </c>
      <c r="Q331" s="41" t="n">
        <v>1.8</v>
      </c>
    </row>
    <row r="332">
      <c r="A332" s="32" t="n">
        <v>32990026</v>
      </c>
      <c r="B332" s="33" t="inlineStr">
        <is>
          <t>CAB--PAX SEAT--- RII CAB  PAX SEAT 43C FWD BEAM WITH CRACK.</t>
        </is>
      </c>
      <c r="C332" s="34" t="n">
        <v>1181</v>
      </c>
      <c r="D332" s="35" t="inlineStr">
        <is>
          <t>PAX SEAT</t>
        </is>
      </c>
      <c r="E332" s="36" t="inlineStr">
        <is>
          <t>Closed</t>
        </is>
      </c>
      <c r="F332" s="36" t="inlineStr">
        <is>
          <t>Normal</t>
        </is>
      </c>
      <c r="G332" s="35" t="inlineStr">
        <is>
          <t>SEAT</t>
        </is>
      </c>
      <c r="H332" s="37" t="n"/>
      <c r="I332" s="38" t="n"/>
      <c r="J332" s="36" t="n"/>
      <c r="K332" s="36" t="inlineStr">
        <is>
          <t>N/A</t>
        </is>
      </c>
      <c r="L332" s="39" t="n">
        <v>46226</v>
      </c>
      <c r="M332" s="40" t="n">
        <v>46226</v>
      </c>
      <c r="N332" s="42" t="n"/>
      <c r="O332" s="42" t="n"/>
      <c r="P332" s="41" t="n">
        <v>2.1</v>
      </c>
      <c r="Q332" s="41" t="n">
        <v>30.8</v>
      </c>
    </row>
    <row r="333">
      <c r="A333" s="32" t="n">
        <v>32990029</v>
      </c>
      <c r="B333" s="33" t="inlineStr">
        <is>
          <t>CAB--PAX SEAT--- RII CAB  PAX SEAT 40C FWD BEAM WITH CRACK.</t>
        </is>
      </c>
      <c r="C333" s="34" t="n">
        <v>1182</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29.7</v>
      </c>
    </row>
    <row r="334">
      <c r="A334" s="32" t="n">
        <v>32990034</v>
      </c>
      <c r="B334" s="33" t="inlineStr">
        <is>
          <t>CAB--PAX SEAT--- RII CAB  PAX SEAT NO 35C FWD BEAM WITH CRACK.</t>
        </is>
      </c>
      <c r="C334" s="34" t="n">
        <v>1183</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30.7</v>
      </c>
    </row>
    <row r="335">
      <c r="A335" s="32" t="n">
        <v>32990037</v>
      </c>
      <c r="B335" s="33" t="inlineStr">
        <is>
          <t>CAB--PAX SEAT--- RII CAB  PAX SEAT NO 33C FWD BEAM WITH CRACK.</t>
        </is>
      </c>
      <c r="C335" s="34" t="n">
        <v>1184</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32991206</v>
      </c>
      <c r="B336" s="33" t="inlineStr">
        <is>
          <t>CAB - NO CALL BACK - OSB OSB MISSING RUBBER BUMBER 20 EA</t>
        </is>
      </c>
      <c r="C336" s="34" t="n">
        <v>1199</v>
      </c>
      <c r="D336" s="35" t="inlineStr">
        <is>
          <t>GENERAL CABIN</t>
        </is>
      </c>
      <c r="E336" s="36" t="inlineStr">
        <is>
          <t>Open</t>
        </is>
      </c>
      <c r="F336" s="36" t="inlineStr">
        <is>
          <t>Normal</t>
        </is>
      </c>
      <c r="G336" s="35" t="inlineStr">
        <is>
          <t>CAB</t>
        </is>
      </c>
      <c r="H336" s="37" t="inlineStr">
        <is>
          <t>Requested</t>
        </is>
      </c>
      <c r="I336" s="38" t="n"/>
      <c r="J336" s="36" t="n"/>
      <c r="K336" s="36" t="inlineStr">
        <is>
          <t>JOINT</t>
        </is>
      </c>
      <c r="L336" s="39" t="n"/>
      <c r="M336" s="40" t="n"/>
      <c r="N336" s="42" t="n"/>
      <c r="O336" s="42" t="n"/>
      <c r="P336" s="41" t="n"/>
      <c r="Q336" s="41" t="n"/>
    </row>
    <row r="337">
      <c r="A337" s="32" t="n">
        <v>32991276</v>
      </c>
      <c r="B337" s="33" t="inlineStr">
        <is>
          <t>AV - NO CALLBACK - PAX SEATS ELECTRICAL CONNECTIONS AT SEATS 30RH TO 34RH REQUIRE REMOVAL FOR ACCESS.</t>
        </is>
      </c>
      <c r="C337" s="34" t="n">
        <v>1200</v>
      </c>
      <c r="D337" s="35" t="inlineStr">
        <is>
          <t>PAX SEAT</t>
        </is>
      </c>
      <c r="E337" s="36" t="inlineStr">
        <is>
          <t>Open</t>
        </is>
      </c>
      <c r="F337" s="36" t="inlineStr">
        <is>
          <t>ACCESS</t>
        </is>
      </c>
      <c r="G337" s="35" t="inlineStr">
        <is>
          <t>AV</t>
        </is>
      </c>
      <c r="H337" s="37" t="n"/>
      <c r="I337" s="38" t="n"/>
      <c r="J337" s="36" t="n"/>
      <c r="K337" s="36" t="inlineStr">
        <is>
          <t>AFT</t>
        </is>
      </c>
      <c r="L337" s="39" t="n"/>
      <c r="M337" s="40" t="n"/>
      <c r="N337" s="42" t="n"/>
      <c r="O337" s="42" t="n"/>
      <c r="P337" s="41" t="n">
        <v>4</v>
      </c>
      <c r="Q337" s="41" t="n">
        <v>190.1</v>
      </c>
    </row>
    <row r="338">
      <c r="A338" s="32" t="n">
        <v>32991499</v>
      </c>
      <c r="B338" s="33" t="inlineStr">
        <is>
          <t>CAB - RII - LAV A LAV A ACCESS DOOR WASTE COMPARTMENT HAS SMALL SCRATCHES ON UPPER SIDE.</t>
        </is>
      </c>
      <c r="C338" s="34" t="n">
        <v>1201</v>
      </c>
      <c r="D338" s="35" t="inlineStr">
        <is>
          <t>LAVATORY</t>
        </is>
      </c>
      <c r="E338" s="36" t="inlineStr">
        <is>
          <t>Open</t>
        </is>
      </c>
      <c r="F338" s="36" t="inlineStr">
        <is>
          <t>Normal</t>
        </is>
      </c>
      <c r="G338" s="35" t="inlineStr">
        <is>
          <t>CAB</t>
        </is>
      </c>
      <c r="H338" s="37" t="n"/>
      <c r="I338" s="38" t="n"/>
      <c r="J338" s="36" t="n"/>
      <c r="K338" s="36" t="inlineStr">
        <is>
          <t>FWD</t>
        </is>
      </c>
      <c r="L338" s="39" t="n"/>
      <c r="M338" s="40" t="n"/>
      <c r="N338" s="42" t="n"/>
      <c r="O338" s="42" t="n"/>
      <c r="P338" s="41" t="n"/>
      <c r="Q338" s="41" t="n"/>
    </row>
    <row r="339">
      <c r="A339" s="32" t="n">
        <v>32991511</v>
      </c>
      <c r="B339" s="33" t="inlineStr">
        <is>
          <t>CAB - RII - LAV E LAV E ACCESS DOOR WASTE COMPARTMENT WITH SMALL CRACK NEXT TO LATCH.</t>
        </is>
      </c>
      <c r="C339" s="34" t="n">
        <v>1202</v>
      </c>
      <c r="D339" s="35" t="inlineStr">
        <is>
          <t>LAVATORY</t>
        </is>
      </c>
      <c r="E339" s="36" t="inlineStr">
        <is>
          <t>Open</t>
        </is>
      </c>
      <c r="F339" s="36" t="inlineStr">
        <is>
          <t>Normal</t>
        </is>
      </c>
      <c r="G339" s="35" t="inlineStr">
        <is>
          <t>CAB</t>
        </is>
      </c>
      <c r="H339" s="37" t="inlineStr">
        <is>
          <t>Requested</t>
        </is>
      </c>
      <c r="I339" s="38" t="n"/>
      <c r="J339" s="36" t="n"/>
      <c r="K339" s="36" t="inlineStr">
        <is>
          <t>AFT</t>
        </is>
      </c>
      <c r="L339" s="39" t="n"/>
      <c r="M339" s="40" t="n"/>
      <c r="N339" s="42" t="n"/>
      <c r="O339" s="42" t="n"/>
      <c r="P339" s="41" t="n"/>
      <c r="Q339" s="41" t="n"/>
    </row>
    <row r="340">
      <c r="A340" s="32" t="n">
        <v>32991517</v>
      </c>
      <c r="B340" s="33" t="inlineStr">
        <is>
          <t>PNT - RII - LAV D LAV D ACCESS DOOR WASTE COMPARTMENT INSIDE PAINT SCRATCHED.</t>
        </is>
      </c>
      <c r="C340" s="34" t="n">
        <v>1203</v>
      </c>
      <c r="D340" s="35" t="inlineStr">
        <is>
          <t>LAVATORY</t>
        </is>
      </c>
      <c r="E340" s="36" t="inlineStr">
        <is>
          <t>Closed</t>
        </is>
      </c>
      <c r="F340" s="36" t="inlineStr">
        <is>
          <t>Normal</t>
        </is>
      </c>
      <c r="G340" s="35" t="inlineStr">
        <is>
          <t>PAINT</t>
        </is>
      </c>
      <c r="H340" s="37" t="inlineStr">
        <is>
          <t>Requested</t>
        </is>
      </c>
      <c r="I340" s="38" t="n"/>
      <c r="J340" s="36" t="n"/>
      <c r="K340" s="36" t="inlineStr">
        <is>
          <t>AFT</t>
        </is>
      </c>
      <c r="L340" s="39" t="n">
        <v>46231</v>
      </c>
      <c r="M340" s="40" t="n">
        <v>46231</v>
      </c>
      <c r="N340" s="41" t="n">
        <v>5</v>
      </c>
      <c r="O340" s="42" t="n"/>
      <c r="P340" s="41" t="n">
        <v>5</v>
      </c>
      <c r="Q340" s="41" t="n">
        <v>86.09999999999999</v>
      </c>
    </row>
    <row r="341">
      <c r="A341" s="32" t="n">
        <v>32991527</v>
      </c>
      <c r="B341" s="33" t="inlineStr">
        <is>
          <t>CAB - RII - LAV E LAV E WASTE FLAP DAMPER INOP</t>
        </is>
      </c>
      <c r="C341" s="34" t="n">
        <v>1205</v>
      </c>
      <c r="D341" s="35" t="inlineStr">
        <is>
          <t>LAVATORY</t>
        </is>
      </c>
      <c r="E341" s="36" t="inlineStr">
        <is>
          <t>Open</t>
        </is>
      </c>
      <c r="F341" s="36" t="inlineStr">
        <is>
          <t>Normal</t>
        </is>
      </c>
      <c r="G341" s="35" t="inlineStr">
        <is>
          <t>CAB</t>
        </is>
      </c>
      <c r="H341" s="37" t="inlineStr">
        <is>
          <t>Requested</t>
        </is>
      </c>
      <c r="I341" s="38" t="n"/>
      <c r="J341" s="36" t="n"/>
      <c r="K341" s="36" t="inlineStr">
        <is>
          <t>AFT</t>
        </is>
      </c>
      <c r="L341" s="39" t="n"/>
      <c r="M341" s="40" t="n"/>
      <c r="N341" s="42" t="n"/>
      <c r="O341" s="42" t="n"/>
      <c r="P341" s="41" t="n"/>
      <c r="Q341" s="41" t="n"/>
    </row>
    <row r="342">
      <c r="A342" s="32" t="n">
        <v>32991534</v>
      </c>
      <c r="B342" s="33" t="inlineStr">
        <is>
          <t>PNT - RII - LAV E LAV E ACCESS DOOR WASTE COMPARTMENT WITH SCRATCHES FROM OUTSIDE.</t>
        </is>
      </c>
      <c r="C342" s="34" t="n">
        <v>1206</v>
      </c>
      <c r="D342" s="35" t="inlineStr">
        <is>
          <t>LAVATORY</t>
        </is>
      </c>
      <c r="E342" s="36" t="inlineStr">
        <is>
          <t>Open</t>
        </is>
      </c>
      <c r="F342" s="36" t="inlineStr">
        <is>
          <t>Normal</t>
        </is>
      </c>
      <c r="G342" s="35" t="inlineStr">
        <is>
          <t>PAINT</t>
        </is>
      </c>
      <c r="H342" s="37" t="n"/>
      <c r="I342" s="38" t="n"/>
      <c r="J342" s="36" t="n"/>
      <c r="K342" s="36" t="inlineStr">
        <is>
          <t>AFT</t>
        </is>
      </c>
      <c r="L342" s="39" t="n"/>
      <c r="M342" s="40" t="n"/>
      <c r="N342" s="41" t="n">
        <v>3</v>
      </c>
      <c r="O342" s="42" t="n"/>
      <c r="P342" s="41" t="n"/>
      <c r="Q342" s="41" t="n"/>
    </row>
    <row r="343">
      <c r="A343" s="32" t="n">
        <v>32991585</v>
      </c>
      <c r="B343" s="33" t="inlineStr">
        <is>
          <t>FINDING (NRC) TASKCARD 25-SVA-03 (01) / ITEM ONE B/C SEAT# 2C  CLOSEOUT - VIDEO, AISLE LOOSE.</t>
        </is>
      </c>
      <c r="C343" s="34" t="n">
        <v>1208</v>
      </c>
      <c r="D343" s="35" t="inlineStr">
        <is>
          <t>GENERAL CABIN</t>
        </is>
      </c>
      <c r="E343" s="36" t="inlineStr">
        <is>
          <t>Closed</t>
        </is>
      </c>
      <c r="F343" s="36" t="inlineStr">
        <is>
          <t>Normal</t>
        </is>
      </c>
      <c r="G343" s="35" t="inlineStr">
        <is>
          <t>SEAT</t>
        </is>
      </c>
      <c r="H343" s="37" t="inlineStr">
        <is>
          <t>Requested</t>
        </is>
      </c>
      <c r="I343" s="38" t="n"/>
      <c r="J343" s="36" t="n"/>
      <c r="K343" s="36" t="inlineStr">
        <is>
          <t>N/A</t>
        </is>
      </c>
      <c r="L343" s="39" t="n">
        <v>46225</v>
      </c>
      <c r="M343" s="40" t="n">
        <v>46225</v>
      </c>
      <c r="N343" s="41" t="n">
        <v>2</v>
      </c>
      <c r="O343" s="42" t="n"/>
      <c r="P343" s="41" t="n">
        <v>2</v>
      </c>
      <c r="Q343" s="41" t="n">
        <v>2</v>
      </c>
    </row>
    <row r="344">
      <c r="A344" s="32" t="n">
        <v>32991646</v>
      </c>
      <c r="B344" s="33" t="inlineStr">
        <is>
          <t>AVIO - N0 CALL BACK - SEAT CONNECTION ELECTRICAL CONNECTIONS AT SEATS 39RH TO 44RH REQUIRE REMOVAL FOR ACCESS.</t>
        </is>
      </c>
      <c r="C344" s="34" t="n">
        <v>1211</v>
      </c>
      <c r="D344" s="35" t="inlineStr">
        <is>
          <t>PAX SEAT</t>
        </is>
      </c>
      <c r="E344" s="36" t="inlineStr">
        <is>
          <t>Open</t>
        </is>
      </c>
      <c r="F344" s="36" t="inlineStr">
        <is>
          <t>Normal</t>
        </is>
      </c>
      <c r="G344" s="35" t="inlineStr">
        <is>
          <t>AV</t>
        </is>
      </c>
      <c r="H344" s="37" t="n"/>
      <c r="I344" s="38" t="n"/>
      <c r="J344" s="36" t="n"/>
      <c r="K344" s="36" t="inlineStr">
        <is>
          <t>AFT</t>
        </is>
      </c>
      <c r="L344" s="39" t="n"/>
      <c r="M344" s="40" t="n"/>
      <c r="N344" s="42" t="n"/>
      <c r="O344" s="42" t="n"/>
      <c r="P344" s="41" t="n">
        <v>4</v>
      </c>
      <c r="Q344" s="41" t="n">
        <v>189.8</v>
      </c>
    </row>
    <row r="345">
      <c r="A345" s="32" t="n">
        <v>32991651</v>
      </c>
      <c r="B345" s="33" t="inlineStr">
        <is>
          <t>AVIO - N0 CALL BACK - SEAT CONNECTION ELECTRICAL CONNECTIONS AT SEATS 39LH TO 44LH REQUIRE REMOVAL FOR ACCESS.</t>
        </is>
      </c>
      <c r="C345" s="34" t="n">
        <v>1212</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189.8</v>
      </c>
    </row>
    <row r="346">
      <c r="A346" s="32" t="n">
        <v>32992461</v>
      </c>
      <c r="B346" s="33" t="inlineStr">
        <is>
          <t>MACHINIST - NO CALLBACK - FWD GALLEY G2 FWD G2 GALLEY  COMP. 209 HINGE SCREW THREAD FOUND WITH BROKEN SCREW.</t>
        </is>
      </c>
      <c r="C346" s="34" t="n">
        <v>1218</v>
      </c>
      <c r="D346" s="35" t="inlineStr">
        <is>
          <t>GALLEY</t>
        </is>
      </c>
      <c r="E346" s="36" t="inlineStr">
        <is>
          <t>Open</t>
        </is>
      </c>
      <c r="F346" s="36" t="inlineStr">
        <is>
          <t>Normal</t>
        </is>
      </c>
      <c r="G346" s="35" t="inlineStr">
        <is>
          <t>S/M</t>
        </is>
      </c>
      <c r="H346" s="37" t="n"/>
      <c r="I346" s="38" t="n"/>
      <c r="J346" s="36" t="n"/>
      <c r="K346" s="36" t="inlineStr">
        <is>
          <t>FWD</t>
        </is>
      </c>
      <c r="L346" s="39" t="n"/>
      <c r="M346" s="40" t="n"/>
      <c r="N346" s="42" t="n"/>
      <c r="O346" s="42" t="n"/>
      <c r="P346" s="41" t="n">
        <v>6.7</v>
      </c>
      <c r="Q346" s="41" t="n">
        <v>170.1</v>
      </c>
    </row>
    <row r="347">
      <c r="A347" s="32" t="n">
        <v>32992488</v>
      </c>
      <c r="B347" s="33" t="inlineStr">
        <is>
          <t>CAB - CALL BACK - AFT GLLY AFT GALLEY REQUIRE REMOVAL FOR ACCESS</t>
        </is>
      </c>
      <c r="C347" s="34" t="n">
        <v>1219</v>
      </c>
      <c r="D347" s="35" t="inlineStr">
        <is>
          <t>GALLEY</t>
        </is>
      </c>
      <c r="E347" s="36" t="inlineStr">
        <is>
          <t>Open</t>
        </is>
      </c>
      <c r="F347" s="36" t="inlineStr">
        <is>
          <t>ACCESS</t>
        </is>
      </c>
      <c r="G347" s="35" t="inlineStr">
        <is>
          <t>CAB</t>
        </is>
      </c>
      <c r="H347" s="37" t="n"/>
      <c r="I347" s="38" t="n"/>
      <c r="J347" s="36" t="n"/>
      <c r="K347" s="36" t="inlineStr">
        <is>
          <t>AFT</t>
        </is>
      </c>
      <c r="L347" s="39" t="n"/>
      <c r="M347" s="40" t="n"/>
      <c r="N347" s="42" t="n"/>
      <c r="O347" s="42" t="n"/>
      <c r="P347" s="41" t="n">
        <v>45.5</v>
      </c>
      <c r="Q347" s="41" t="n">
        <v>187.2</v>
      </c>
    </row>
    <row r="348">
      <c r="A348" s="32" t="n">
        <v>32992489</v>
      </c>
      <c r="B348" s="33" t="inlineStr">
        <is>
          <t>CAB - CALLBACK - FWD GALLEY FORWARD GALLEY - G1 AND G2 UNITS - REQUIRE REMOVAL FOR ACCESS.</t>
        </is>
      </c>
      <c r="C348" s="34" t="n">
        <v>1220</v>
      </c>
      <c r="D348" s="35" t="inlineStr">
        <is>
          <t>GALLEY</t>
        </is>
      </c>
      <c r="E348" s="36" t="inlineStr">
        <is>
          <t>Open</t>
        </is>
      </c>
      <c r="F348" s="36" t="inlineStr">
        <is>
          <t>ACCESS</t>
        </is>
      </c>
      <c r="G348" s="35" t="inlineStr">
        <is>
          <t>CAB</t>
        </is>
      </c>
      <c r="H348" s="37" t="n"/>
      <c r="I348" s="38" t="n"/>
      <c r="J348" s="36" t="n"/>
      <c r="K348" s="36" t="inlineStr">
        <is>
          <t>FWD</t>
        </is>
      </c>
      <c r="L348" s="39" t="n"/>
      <c r="M348" s="40" t="n"/>
      <c r="N348" s="42" t="n"/>
      <c r="O348" s="42" t="n"/>
      <c r="P348" s="41" t="n">
        <v>10</v>
      </c>
      <c r="Q348" s="41" t="n">
        <v>178.8</v>
      </c>
    </row>
    <row r="349">
      <c r="A349" s="32" t="n">
        <v>32992493</v>
      </c>
      <c r="B349" s="33" t="inlineStr">
        <is>
          <t>CAB - CALLBACK - LAV A "LAVATORY A" REQUIRE REMOVAL FOR ACCESS.</t>
        </is>
      </c>
      <c r="C349" s="34" t="n">
        <v>1221</v>
      </c>
      <c r="D349" s="35" t="inlineStr">
        <is>
          <t>LAVATORY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32</v>
      </c>
      <c r="Q349" s="41" t="n">
        <v>52.8</v>
      </c>
    </row>
    <row r="350">
      <c r="A350" s="32" t="n">
        <v>32992492</v>
      </c>
      <c r="B350" s="33" t="inlineStr">
        <is>
          <t>CAB - CALL BACK - LAV E LAVATORY "E" REQUIRE REMOVAL FOR ACCESS</t>
        </is>
      </c>
      <c r="C350" s="34" t="n">
        <v>1222</v>
      </c>
      <c r="D350" s="35" t="inlineStr">
        <is>
          <t>LAVATORY</t>
        </is>
      </c>
      <c r="E350" s="36" t="inlineStr">
        <is>
          <t>Open</t>
        </is>
      </c>
      <c r="F350" s="36" t="inlineStr">
        <is>
          <t>ACCESS</t>
        </is>
      </c>
      <c r="G350" s="35" t="inlineStr">
        <is>
          <t>CAB</t>
        </is>
      </c>
      <c r="H350" s="37" t="n"/>
      <c r="I350" s="38" t="n"/>
      <c r="J350" s="36" t="n"/>
      <c r="K350" s="36" t="inlineStr">
        <is>
          <t>AFT</t>
        </is>
      </c>
      <c r="L350" s="39" t="n"/>
      <c r="M350" s="40" t="n"/>
      <c r="N350" s="42" t="n"/>
      <c r="O350" s="42" t="n"/>
      <c r="P350" s="41" t="n">
        <v>32.5</v>
      </c>
      <c r="Q350" s="41" t="n">
        <v>161.7</v>
      </c>
    </row>
    <row r="351">
      <c r="A351" s="32" t="n">
        <v>32992500</v>
      </c>
      <c r="B351" s="33" t="inlineStr">
        <is>
          <t>CAB - CALL BACK - LAV D LAVATORY "D" REQUIRE REMOVAL FOR ACCESS</t>
        </is>
      </c>
      <c r="C351" s="34" t="n">
        <v>1223</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v>
      </c>
      <c r="Q351" s="41" t="n">
        <v>157.9</v>
      </c>
    </row>
    <row r="352">
      <c r="A352" s="32" t="n">
        <v>32992517</v>
      </c>
      <c r="B352" s="33" t="inlineStr">
        <is>
          <t>CAB - CALLBACK - STOWAGE C1 "STOWAGE C1" REQUIRE REMOVAL FOR ACCESS.</t>
        </is>
      </c>
      <c r="C352" s="34" t="n">
        <v>1224</v>
      </c>
      <c r="D352" s="35" t="inlineStr">
        <is>
          <t>GENERAL CABIN</t>
        </is>
      </c>
      <c r="E352" s="36" t="inlineStr">
        <is>
          <t>Open</t>
        </is>
      </c>
      <c r="F352" s="36" t="inlineStr">
        <is>
          <t>ACCESS</t>
        </is>
      </c>
      <c r="G352" s="35" t="inlineStr">
        <is>
          <t>CAB</t>
        </is>
      </c>
      <c r="H352" s="37" t="n"/>
      <c r="I352" s="38" t="n"/>
      <c r="J352" s="36" t="n"/>
      <c r="K352" s="36" t="inlineStr">
        <is>
          <t>FWD</t>
        </is>
      </c>
      <c r="L352" s="39" t="n"/>
      <c r="M352" s="40" t="n"/>
      <c r="N352" s="42" t="n"/>
      <c r="O352" s="42" t="n"/>
      <c r="P352" s="41" t="n">
        <v>9.5</v>
      </c>
      <c r="Q352" s="41" t="n">
        <v>169.1</v>
      </c>
    </row>
    <row r="353">
      <c r="A353" s="32" t="n">
        <v>32992509</v>
      </c>
      <c r="B353" s="33" t="inlineStr">
        <is>
          <t>CAB - CALL BACK- SEAT SEATS FROM 39LH TO 44 LH AND 39RH TO 44RH REQUIRE REMOVAL FOR ACCESS</t>
        </is>
      </c>
      <c r="C353" s="34" t="n">
        <v>1225</v>
      </c>
      <c r="D353" s="35" t="inlineStr">
        <is>
          <t>PAX SEAT</t>
        </is>
      </c>
      <c r="E353" s="36" t="inlineStr">
        <is>
          <t>Open</t>
        </is>
      </c>
      <c r="F353" s="36" t="inlineStr">
        <is>
          <t>ACCESS</t>
        </is>
      </c>
      <c r="G353" s="35" t="inlineStr">
        <is>
          <t>CAB</t>
        </is>
      </c>
      <c r="H353" s="37" t="n"/>
      <c r="I353" s="38" t="n"/>
      <c r="J353" s="36" t="n"/>
      <c r="K353" s="36" t="inlineStr">
        <is>
          <t>AFT</t>
        </is>
      </c>
      <c r="L353" s="39" t="n"/>
      <c r="M353" s="40" t="n"/>
      <c r="N353" s="42" t="n"/>
      <c r="O353" s="42" t="n"/>
      <c r="P353" s="41" t="n">
        <v>26</v>
      </c>
      <c r="Q353" s="41" t="n">
        <v>185.7</v>
      </c>
    </row>
    <row r="354">
      <c r="A354" s="32" t="n">
        <v>32992699</v>
      </c>
      <c r="B354" s="33" t="inlineStr">
        <is>
          <t>CAB - NO CALLBACK - LAV D LAV D DOOR HINGE SCREW MISSING</t>
        </is>
      </c>
      <c r="C354" s="34" t="n">
        <v>1227</v>
      </c>
      <c r="D354" s="35" t="inlineStr">
        <is>
          <t>LAVATORY</t>
        </is>
      </c>
      <c r="E354" s="36" t="inlineStr">
        <is>
          <t>Open</t>
        </is>
      </c>
      <c r="F354" s="36" t="inlineStr">
        <is>
          <t>Normal</t>
        </is>
      </c>
      <c r="G354" s="35" t="inlineStr">
        <is>
          <t>CAB</t>
        </is>
      </c>
      <c r="H354" s="37" t="n"/>
      <c r="I354" s="38" t="n"/>
      <c r="J354" s="36" t="n"/>
      <c r="K354" s="36" t="inlineStr">
        <is>
          <t>AFT</t>
        </is>
      </c>
      <c r="L354" s="39" t="n"/>
      <c r="M354" s="40" t="n"/>
      <c r="N354" s="42" t="n"/>
      <c r="O354" s="42" t="n"/>
      <c r="P354" s="41" t="n"/>
      <c r="Q354" s="41" t="n"/>
    </row>
    <row r="355">
      <c r="A355" s="32" t="n">
        <v>32992702</v>
      </c>
      <c r="B355" s="33" t="inlineStr">
        <is>
          <t>CAB - NO CALLBACK - LAV D LAV D LOWER CABINET LATCH SCREW MISSING</t>
        </is>
      </c>
      <c r="C355" s="34" t="n">
        <v>1228</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32992708</v>
      </c>
      <c r="B356" s="33" t="inlineStr">
        <is>
          <t>CAB - NO CALLBACK - LAV D LAV D DOOR FRAME SCREW MISSING</t>
        </is>
      </c>
      <c r="C356" s="34" t="n">
        <v>1229</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32992709</v>
      </c>
      <c r="B357" s="33" t="inlineStr">
        <is>
          <t>CAB - NO CALLBACK - LAV D LAV D THRESHOLD SCREW MISSING</t>
        </is>
      </c>
      <c r="C357" s="34" t="n">
        <v>1230</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32992712</v>
      </c>
      <c r="B358" s="33" t="inlineStr">
        <is>
          <t>CAB - NO CALLBACK - LAV D LAV D TOILET SHROUD NOT SECURED</t>
        </is>
      </c>
      <c r="C358" s="34" t="n">
        <v>1231</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32992717</v>
      </c>
      <c r="B359" s="33" t="inlineStr">
        <is>
          <t>CAB - NO CALLBACK - LAV D LAV D TOILET SEAT COVER BROKEN</t>
        </is>
      </c>
      <c r="C359" s="34" t="n">
        <v>1232</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32992719</v>
      </c>
      <c r="B360" s="33" t="inlineStr">
        <is>
          <t>CAB - NO CALLBACK - LAV D LAV D DOOR LOCK LABLE FADED</t>
        </is>
      </c>
      <c r="C360" s="34" t="n">
        <v>1233</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32992731</v>
      </c>
      <c r="B361" s="33" t="inlineStr">
        <is>
          <t>CAB - RII - SEAT REMOVAL FOR ACCESS SEAT 5JL REQUIRE REMOVAL FOR ACCESS</t>
        </is>
      </c>
      <c r="C361" s="34" t="n">
        <v>1234</v>
      </c>
      <c r="D361" s="35" t="inlineStr">
        <is>
          <t>F/A SEAT</t>
        </is>
      </c>
      <c r="E361" s="36" t="inlineStr">
        <is>
          <t>Open</t>
        </is>
      </c>
      <c r="F361" s="36" t="inlineStr">
        <is>
          <t>Normal</t>
        </is>
      </c>
      <c r="G361" s="35" t="inlineStr">
        <is>
          <t>CAB</t>
        </is>
      </c>
      <c r="H361" s="37" t="n"/>
      <c r="I361" s="38" t="n"/>
      <c r="J361" s="36" t="n"/>
      <c r="K361" s="36" t="inlineStr">
        <is>
          <t>FWD</t>
        </is>
      </c>
      <c r="L361" s="39" t="n"/>
      <c r="M361" s="40" t="n"/>
      <c r="N361" s="42" t="n"/>
      <c r="O361" s="42" t="n"/>
      <c r="P361" s="41" t="n">
        <v>5</v>
      </c>
      <c r="Q361" s="41" t="n">
        <v>166.6</v>
      </c>
    </row>
    <row r="362">
      <c r="A362" s="32" t="n">
        <v>32992738</v>
      </c>
      <c r="B362" s="33" t="inlineStr">
        <is>
          <t>CAB - NO CALL BACK - COFFEE MAKER AFT GALLEY COFFEE MAKER NO.1 STENCIL</t>
        </is>
      </c>
      <c r="C362" s="34" t="n">
        <v>1235</v>
      </c>
      <c r="D362" s="35" t="inlineStr">
        <is>
          <t>GALLEY</t>
        </is>
      </c>
      <c r="E362" s="36" t="inlineStr">
        <is>
          <t>Open</t>
        </is>
      </c>
      <c r="F362" s="36" t="inlineStr">
        <is>
          <t>Normal</t>
        </is>
      </c>
      <c r="G362" s="35" t="inlineStr">
        <is>
          <t>CAB</t>
        </is>
      </c>
      <c r="H362" s="37" t="n"/>
      <c r="I362" s="38" t="n"/>
      <c r="J362" s="36" t="n"/>
      <c r="K362" s="36" t="inlineStr">
        <is>
          <t>AFT</t>
        </is>
      </c>
      <c r="L362" s="39" t="n"/>
      <c r="M362" s="40" t="n"/>
      <c r="N362" s="42" t="n"/>
      <c r="O362" s="42" t="n"/>
      <c r="P362" s="41" t="n"/>
      <c r="Q362" s="41" t="n"/>
    </row>
    <row r="363">
      <c r="A363" s="32" t="n">
        <v>32994020</v>
      </c>
      <c r="B363" s="33" t="inlineStr">
        <is>
          <t>FINDING (NRC) TASKCARD 25-SVA-03 (01) / ITEM ONE ALL B/C SEAT DIAPHRAGM - SEATPAN REQUIRE REMOVE FOR ACCESS</t>
        </is>
      </c>
      <c r="C363" s="34" t="n">
        <v>1247</v>
      </c>
      <c r="D363" s="35" t="inlineStr">
        <is>
          <t>PAX SEAT</t>
        </is>
      </c>
      <c r="E363" s="36" t="inlineStr">
        <is>
          <t>Closed</t>
        </is>
      </c>
      <c r="F363" s="36" t="inlineStr">
        <is>
          <t>Normal</t>
        </is>
      </c>
      <c r="G363" s="35" t="inlineStr">
        <is>
          <t>SEAT</t>
        </is>
      </c>
      <c r="H363" s="37" t="n"/>
      <c r="I363" s="38" t="n"/>
      <c r="J363" s="36" t="n"/>
      <c r="K363" s="36" t="inlineStr">
        <is>
          <t>N/A</t>
        </is>
      </c>
      <c r="L363" s="39" t="n">
        <v>46229</v>
      </c>
      <c r="M363" s="40" t="n">
        <v>46229</v>
      </c>
      <c r="N363" s="41" t="n">
        <v>24</v>
      </c>
      <c r="O363" s="42" t="n"/>
      <c r="P363" s="41" t="n">
        <v>24</v>
      </c>
      <c r="Q363" s="41" t="n">
        <v>8</v>
      </c>
    </row>
    <row r="364">
      <c r="A364" s="32" t="n">
        <v>32994039</v>
      </c>
      <c r="B364" s="33" t="inlineStr">
        <is>
          <t>FINDING (NRC) TASKCARD 25-SVA-05 (01) / ITEM ONE ALL G/C SEAT DIAPHRAGM – BOTTOM REQUIRE REMOVE FOR ACCESS</t>
        </is>
      </c>
      <c r="C364" s="34" t="n">
        <v>1248</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12</v>
      </c>
      <c r="O364" s="42" t="n"/>
      <c r="P364" s="41" t="n">
        <v>12</v>
      </c>
      <c r="Q364" s="41" t="n">
        <v>61.4</v>
      </c>
    </row>
    <row r="365">
      <c r="A365" s="32" t="n">
        <v>32994149</v>
      </c>
      <c r="B365" s="33" t="inlineStr">
        <is>
          <t>FINDING (NRC) TASKCARD 25-SVA-03 (01) / ITEM ONE ALL B/C SEAT FOODTRAYS ARE NOT ADJUSTABLE.</t>
        </is>
      </c>
      <c r="C365" s="34" t="n">
        <v>1250</v>
      </c>
      <c r="D365" s="35" t="inlineStr">
        <is>
          <t>PAX SEAT</t>
        </is>
      </c>
      <c r="E365" s="36" t="inlineStr">
        <is>
          <t>Open</t>
        </is>
      </c>
      <c r="F365" s="36" t="inlineStr">
        <is>
          <t>Normal</t>
        </is>
      </c>
      <c r="G365" s="35" t="inlineStr">
        <is>
          <t>SEAT</t>
        </is>
      </c>
      <c r="H365" s="37" t="inlineStr">
        <is>
          <t>Requested</t>
        </is>
      </c>
      <c r="I365" s="38" t="n"/>
      <c r="J365" s="36" t="n"/>
      <c r="K365" s="36" t="inlineStr">
        <is>
          <t>N/A</t>
        </is>
      </c>
      <c r="L365" s="39" t="n"/>
      <c r="M365" s="40" t="n"/>
      <c r="N365" s="41" t="n">
        <v>6.5</v>
      </c>
      <c r="O365" s="42" t="n"/>
      <c r="P365" s="41" t="n">
        <v>8</v>
      </c>
      <c r="Q365" s="41" t="n">
        <v>25.7</v>
      </c>
    </row>
    <row r="366">
      <c r="A366" s="32" t="n">
        <v>32994746</v>
      </c>
      <c r="B366" s="33" t="inlineStr">
        <is>
          <t>FINDING (NRC) TASKCARD 25-SVA-03 (01) / ITEM ONE ALL B/C SEAT HEADREST REQUIRE REMOVE FOR ACCESS</t>
        </is>
      </c>
      <c r="C366" s="34" t="n">
        <v>1254</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2</v>
      </c>
      <c r="O366" s="42" t="n"/>
      <c r="P366" s="41" t="n">
        <v>1.5</v>
      </c>
      <c r="Q366" s="41" t="n">
        <v>87.09999999999999</v>
      </c>
    </row>
    <row r="367">
      <c r="A367" s="32" t="n">
        <v>32996054</v>
      </c>
      <c r="B367" s="33" t="inlineStr">
        <is>
          <t>FINDING (NRC) TASKCARD ZL-833-02-1 (04) / ITEM-1 RII--CAB RH EMERGENCY EXIT HATCH DOOR WITH DOOR SEAL WORN AT LOWER EDGE</t>
        </is>
      </c>
      <c r="C367" s="34" t="n">
        <v>1261</v>
      </c>
      <c r="D367" s="35" t="inlineStr">
        <is>
          <t>PAX DOORS</t>
        </is>
      </c>
      <c r="E367" s="36" t="inlineStr">
        <is>
          <t>Open</t>
        </is>
      </c>
      <c r="F367" s="36" t="inlineStr">
        <is>
          <t>Normal</t>
        </is>
      </c>
      <c r="G367" s="35" t="inlineStr">
        <is>
          <t>AP</t>
        </is>
      </c>
      <c r="H367" s="37" t="n"/>
      <c r="I367" s="38" t="n"/>
      <c r="J367" s="36" t="n"/>
      <c r="K367" s="36" t="inlineStr">
        <is>
          <t>N/A</t>
        </is>
      </c>
      <c r="L367" s="39" t="n"/>
      <c r="M367" s="40" t="n"/>
      <c r="N367" s="42" t="n"/>
      <c r="O367" s="42" t="n"/>
      <c r="P367" s="41" t="n"/>
      <c r="Q367" s="41" t="n"/>
    </row>
    <row r="368">
      <c r="A368" s="32" t="n">
        <v>32996073</v>
      </c>
      <c r="B368" s="33" t="inlineStr">
        <is>
          <t>FINDING (NRC) TASKCARD ZL-833-02-1 (04) / ITEM-1 RII--SM RH FWD EMERGENCY EXIT HATCH DOOR CUTOUT WITH ABRAISION AT LOWER EDGE  L=80 MM W=10 MM</t>
        </is>
      </c>
      <c r="C368" s="34" t="n">
        <v>1262</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1" t="n">
        <v>3</v>
      </c>
      <c r="O368" s="42" t="n"/>
      <c r="P368" s="41" t="n">
        <v>0.2</v>
      </c>
      <c r="Q368" s="41" t="n">
        <v>43.6</v>
      </c>
    </row>
    <row r="369">
      <c r="A369" s="32" t="n">
        <v>32996610</v>
      </c>
      <c r="B369" s="33" t="inlineStr">
        <is>
          <t>FINDING (NRC) TASKCARD 25-SVA-05 (01) / ITEM ONE G/C FRONT ROW SEAT#30A,B,C,J,K,L, ESCUTCHEON – IAT WITH SCRATCH.</t>
        </is>
      </c>
      <c r="C369" s="34" t="n">
        <v>1264</v>
      </c>
      <c r="D369" s="35" t="inlineStr">
        <is>
          <t>PAX SEAT</t>
        </is>
      </c>
      <c r="E369" s="36" t="inlineStr">
        <is>
          <t>Closed</t>
        </is>
      </c>
      <c r="F369" s="36" t="inlineStr">
        <is>
          <t>Normal</t>
        </is>
      </c>
      <c r="G369" s="35" t="inlineStr">
        <is>
          <t>SEAT</t>
        </is>
      </c>
      <c r="H369" s="37" t="n"/>
      <c r="I369" s="38" t="n"/>
      <c r="J369" s="36" t="n"/>
      <c r="K369" s="36" t="inlineStr">
        <is>
          <t>N/A</t>
        </is>
      </c>
      <c r="L369" s="39" t="n">
        <v>46229</v>
      </c>
      <c r="M369" s="40" t="n">
        <v>46229</v>
      </c>
      <c r="N369" s="41" t="n">
        <v>6.5</v>
      </c>
      <c r="O369" s="42" t="n"/>
      <c r="P369" s="41" t="n">
        <v>6.5</v>
      </c>
      <c r="Q369" s="41" t="n">
        <v>6.7</v>
      </c>
    </row>
    <row r="370">
      <c r="A370" s="32" t="n">
        <v>32998113</v>
      </c>
      <c r="B370" s="33" t="inlineStr">
        <is>
          <t>GALLEY - PAINT - NO CALL BACK FWD AND AFT GALLEY ALL OVEN DOORS PAINT CHIPPED OFF .</t>
        </is>
      </c>
      <c r="C370" s="34" t="n">
        <v>1271</v>
      </c>
      <c r="D370" s="35" t="inlineStr">
        <is>
          <t>GALLEY</t>
        </is>
      </c>
      <c r="E370" s="36" t="inlineStr">
        <is>
          <t>Open</t>
        </is>
      </c>
      <c r="F370" s="36" t="inlineStr">
        <is>
          <t>Normal</t>
        </is>
      </c>
      <c r="G370" s="35" t="inlineStr">
        <is>
          <t>PAINT</t>
        </is>
      </c>
      <c r="H370" s="37" t="n"/>
      <c r="I370" s="38" t="n"/>
      <c r="J370" s="36" t="n"/>
      <c r="K370" s="36" t="inlineStr">
        <is>
          <t>N/A</t>
        </is>
      </c>
      <c r="L370" s="39" t="n"/>
      <c r="M370" s="40" t="n"/>
      <c r="N370" s="41" t="n">
        <v>13</v>
      </c>
      <c r="O370" s="42" t="n"/>
      <c r="P370" s="41" t="n">
        <v>13</v>
      </c>
      <c r="Q370" s="41" t="n">
        <v>147.7</v>
      </c>
    </row>
    <row r="371">
      <c r="A371" s="32" t="n">
        <v>33011258</v>
      </c>
      <c r="B371" s="33" t="inlineStr">
        <is>
          <t>SEVERAL COCKPIT ACCESS PANELS REQ. PAINT ( 211AW, 211BW, 211FW, 211LW, 211AZ, 212AW, 212BW, 212FW, 212AZ )</t>
        </is>
      </c>
      <c r="C371" s="34" t="n">
        <v>1302</v>
      </c>
      <c r="D371" s="35" t="inlineStr">
        <is>
          <t>FLIGHT DECK</t>
        </is>
      </c>
      <c r="E371" s="36" t="inlineStr">
        <is>
          <t>Open</t>
        </is>
      </c>
      <c r="F371" s="36" t="inlineStr">
        <is>
          <t>Normal</t>
        </is>
      </c>
      <c r="G371" s="35" t="inlineStr">
        <is>
          <t>PAINT</t>
        </is>
      </c>
      <c r="H371" s="37" t="n"/>
      <c r="I371" s="38" t="n"/>
      <c r="J371" s="36" t="n"/>
      <c r="K371" s="36" t="inlineStr">
        <is>
          <t>N/A</t>
        </is>
      </c>
      <c r="L371" s="39" t="n"/>
      <c r="M371" s="40" t="n"/>
      <c r="N371" s="41" t="n">
        <v>24</v>
      </c>
      <c r="O371" s="42" t="n"/>
      <c r="P371" s="41" t="n"/>
      <c r="Q371" s="41" t="n"/>
    </row>
    <row r="372">
      <c r="A372" s="169" t="inlineStr">
        <is>
          <t>33015570</t>
        </is>
      </c>
      <c r="B372" s="33" t="inlineStr">
        <is>
          <t>CAB - RII - COCKPIT CAPTAIN SEAT INERTIA REEL WITH FAST RETRACTION.</t>
        </is>
      </c>
      <c r="C372" s="34" t="inlineStr">
        <is>
          <t>1316</t>
        </is>
      </c>
      <c r="D372" s="35" t="inlineStr">
        <is>
          <t>FLIGHT DECK</t>
        </is>
      </c>
      <c r="E372" s="36" t="inlineStr">
        <is>
          <t>Open</t>
        </is>
      </c>
      <c r="F372" s="36" t="inlineStr">
        <is>
          <t>Normal</t>
        </is>
      </c>
      <c r="G372" s="35" t="inlineStr">
        <is>
          <t>CAB</t>
        </is>
      </c>
      <c r="H372" s="37" t="n"/>
      <c r="I372" s="38" t="n"/>
      <c r="J372" s="36" t="n"/>
      <c r="K372" s="36" t="inlineStr">
        <is>
          <t>FWD</t>
        </is>
      </c>
      <c r="L372" s="39" t="n"/>
      <c r="M372" s="40" t="n"/>
      <c r="N372" s="42" t="n"/>
      <c r="O372" s="42" t="n"/>
      <c r="P372" s="41" t="n"/>
      <c r="Q372" s="41" t="n"/>
    </row>
    <row r="373">
      <c r="A373" s="169" t="inlineStr">
        <is>
          <t>33017436</t>
        </is>
      </c>
      <c r="B373" s="33" t="inlineStr">
        <is>
          <t>CAB - NO CALL BACK - CURTAIN RAIL FWD GALLEY CURTAIN RAIL DEFORMED</t>
        </is>
      </c>
      <c r="C373" s="34" t="inlineStr">
        <is>
          <t>1317</t>
        </is>
      </c>
      <c r="D373" s="35" t="inlineStr">
        <is>
          <t>GALLEY</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69" t="inlineStr">
        <is>
          <t>33017645</t>
        </is>
      </c>
      <c r="B374" s="33" t="inlineStr">
        <is>
          <t>CAB - NO CALL BACK - GALLEY G2 GALLEY COMP. 204 2EA TURN CATCH FADED</t>
        </is>
      </c>
      <c r="C374" s="34" t="inlineStr">
        <is>
          <t>1318</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69" t="inlineStr">
        <is>
          <t>33018932</t>
        </is>
      </c>
      <c r="B375" s="33" t="inlineStr">
        <is>
          <t>CTR WING BOX REAR SPAR---CAB--CALLBACK REQ REMOVAL OF THE APPLICABLE INSULATION BLANKETS TO GET ACCESS TO THE INSPECTION AREA (FR42)</t>
        </is>
      </c>
      <c r="C375" s="34" t="inlineStr">
        <is>
          <t>1320</t>
        </is>
      </c>
      <c r="D375" s="35" t="inlineStr">
        <is>
          <t>GENERAL CABIN</t>
        </is>
      </c>
      <c r="E375" s="36" t="inlineStr">
        <is>
          <t>Open</t>
        </is>
      </c>
      <c r="F375" s="36" t="inlineStr">
        <is>
          <t>ACCESS</t>
        </is>
      </c>
      <c r="G375" s="35" t="inlineStr">
        <is>
          <t>CAB</t>
        </is>
      </c>
      <c r="H375" s="37" t="n"/>
      <c r="I375" s="38" t="n"/>
      <c r="J375" s="36" t="n"/>
      <c r="K375" s="36" t="inlineStr">
        <is>
          <t>JOINT</t>
        </is>
      </c>
      <c r="L375" s="39" t="n"/>
      <c r="M375" s="40" t="n"/>
      <c r="N375" s="42" t="n"/>
      <c r="O375" s="42" t="n"/>
      <c r="P375" s="41" t="n"/>
      <c r="Q375" s="41" t="n"/>
    </row>
    <row r="376">
      <c r="A376" s="169" t="inlineStr">
        <is>
          <t>33019264</t>
        </is>
      </c>
      <c r="B376" s="33" t="inlineStr">
        <is>
          <t>ESCAPE SLIDE -RII FWD PAX DOOR L/H ESCAPE SLIDE RQE REMOVED FOR ACCESS  P/N : D30664-709         S/N: M18949</t>
        </is>
      </c>
      <c r="C376" s="34" t="inlineStr">
        <is>
          <t>1321</t>
        </is>
      </c>
      <c r="D376" s="35" t="inlineStr">
        <is>
          <t>PAX DOORS</t>
        </is>
      </c>
      <c r="E376" s="36" t="inlineStr">
        <is>
          <t>Open</t>
        </is>
      </c>
      <c r="F376" s="36" t="inlineStr">
        <is>
          <t>AOG</t>
        </is>
      </c>
      <c r="G376" s="35" t="inlineStr">
        <is>
          <t>CAB</t>
        </is>
      </c>
      <c r="H376" s="37" t="inlineStr">
        <is>
          <t>Requested</t>
        </is>
      </c>
      <c r="I376" s="38" t="n"/>
      <c r="J376" s="36" t="n"/>
      <c r="K376" s="36" t="inlineStr">
        <is>
          <t>FWD</t>
        </is>
      </c>
      <c r="L376" s="39" t="n"/>
      <c r="M376" s="40" t="n"/>
      <c r="N376" s="42" t="n"/>
      <c r="O376" s="42" t="n"/>
      <c r="P376" s="41" t="n">
        <v>6</v>
      </c>
      <c r="Q376" s="41" t="n">
        <v>70.3</v>
      </c>
    </row>
    <row r="377">
      <c r="A377" s="169" t="inlineStr">
        <is>
          <t>33019327</t>
        </is>
      </c>
      <c r="B377" s="33" t="inlineStr">
        <is>
          <t>ESCAPE SLIDE RII FWD PAX DOOR ESCAPE SLIDE R/H RQE REMOVAL FOR ACCESS  PN/: D30664-709             S/N : C0740</t>
        </is>
      </c>
      <c r="C377" s="34" t="inlineStr">
        <is>
          <t>1323</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70.2</v>
      </c>
    </row>
    <row r="378">
      <c r="A378" s="169" t="inlineStr">
        <is>
          <t>33019384</t>
        </is>
      </c>
      <c r="B378" s="33" t="inlineStr">
        <is>
          <t>ESCAPE SLIDE RII AFT PAX DOOR ESCAPE SLIDE R/H RQE REMOVED FOR ACCESS  PN/ D30665-709        SN/ M8479</t>
        </is>
      </c>
      <c r="C378" s="34" t="inlineStr">
        <is>
          <t>1324</t>
        </is>
      </c>
      <c r="D378" s="35" t="inlineStr">
        <is>
          <t>PAX DOORS</t>
        </is>
      </c>
      <c r="E378" s="36" t="inlineStr">
        <is>
          <t>Open</t>
        </is>
      </c>
      <c r="F378" s="36" t="inlineStr">
        <is>
          <t>AOG</t>
        </is>
      </c>
      <c r="G378" s="35" t="inlineStr">
        <is>
          <t>CAB</t>
        </is>
      </c>
      <c r="H378" s="37" t="inlineStr">
        <is>
          <t>Requested</t>
        </is>
      </c>
      <c r="I378" s="38" t="n"/>
      <c r="J378" s="36" t="n"/>
      <c r="K378" s="36" t="inlineStr">
        <is>
          <t>AFT</t>
        </is>
      </c>
      <c r="L378" s="39" t="n"/>
      <c r="M378" s="40" t="n"/>
      <c r="N378" s="42" t="n"/>
      <c r="O378" s="42" t="n"/>
      <c r="P378" s="41" t="n">
        <v>9</v>
      </c>
      <c r="Q378" s="41" t="n">
        <v>70</v>
      </c>
    </row>
    <row r="379">
      <c r="A379" s="169" t="inlineStr">
        <is>
          <t>33019437</t>
        </is>
      </c>
      <c r="B379" s="33" t="inlineStr">
        <is>
          <t>ESCAPE SLIDE RII AFT PAX DOOR ESCAPE SLIDE L/H RQE REMOVEVAL FOR ACCESS  PN / D30665-709     SN/ M14410</t>
        </is>
      </c>
      <c r="C379" s="34" t="inlineStr">
        <is>
          <t>1325</t>
        </is>
      </c>
      <c r="D379" s="35" t="inlineStr">
        <is>
          <t>PAX DOORS</t>
        </is>
      </c>
      <c r="E379" s="36" t="inlineStr">
        <is>
          <t>Open</t>
        </is>
      </c>
      <c r="F379" s="36" t="inlineStr">
        <is>
          <t>ACCESS</t>
        </is>
      </c>
      <c r="G379" s="35" t="inlineStr">
        <is>
          <t>CAB</t>
        </is>
      </c>
      <c r="H379" s="37" t="n"/>
      <c r="I379" s="38" t="n"/>
      <c r="J379" s="36" t="n"/>
      <c r="K379" s="36" t="inlineStr">
        <is>
          <t>AFT</t>
        </is>
      </c>
      <c r="L379" s="39" t="n"/>
      <c r="M379" s="40" t="n"/>
      <c r="N379" s="42" t="n"/>
      <c r="O379" s="42" t="n"/>
      <c r="P379" s="41" t="n">
        <v>9</v>
      </c>
      <c r="Q379" s="41" t="n">
        <v>70</v>
      </c>
    </row>
    <row r="380">
      <c r="A380" s="169" t="inlineStr">
        <is>
          <t>33020601</t>
        </is>
      </c>
      <c r="B380" s="33" t="inlineStr">
        <is>
          <t>FWD PAX DOORS PNT NO CALL BACK FWD PAX DOORS  LINING AND FRAME LINIING WHILE REMOVING FOUND WITH PNT FADED .</t>
        </is>
      </c>
      <c r="C380" s="34" t="inlineStr">
        <is>
          <t>1332</t>
        </is>
      </c>
      <c r="D380" s="35" t="inlineStr">
        <is>
          <t>PAX DOORS</t>
        </is>
      </c>
      <c r="E380" s="36" t="inlineStr">
        <is>
          <t>Open</t>
        </is>
      </c>
      <c r="F380" s="36" t="inlineStr">
        <is>
          <t>Normal</t>
        </is>
      </c>
      <c r="G380" s="35" t="inlineStr">
        <is>
          <t>PAINT</t>
        </is>
      </c>
      <c r="H380" s="37" t="n"/>
      <c r="I380" s="38" t="n"/>
      <c r="J380" s="36" t="n"/>
      <c r="K380" s="36" t="inlineStr">
        <is>
          <t>FWD</t>
        </is>
      </c>
      <c r="L380" s="39" t="n"/>
      <c r="M380" s="40" t="n"/>
      <c r="N380" s="41" t="n">
        <v>24</v>
      </c>
      <c r="O380" s="42" t="n"/>
      <c r="P380" s="41" t="n">
        <v>2</v>
      </c>
      <c r="Q380" s="41" t="n">
        <v>36.8</v>
      </c>
    </row>
    <row r="381">
      <c r="A381" s="169" t="inlineStr">
        <is>
          <t>33020680</t>
        </is>
      </c>
      <c r="B381" s="33" t="inlineStr">
        <is>
          <t>AFT PAX DOORS PANT FEDED NO CALL BACK AFT PAX DOORS LINING AND FRAME LINING FOUND WITH FADED PNT.</t>
        </is>
      </c>
      <c r="C381" s="34" t="inlineStr">
        <is>
          <t>1333</t>
        </is>
      </c>
      <c r="D381" s="35" t="inlineStr">
        <is>
          <t>PAX DOORS</t>
        </is>
      </c>
      <c r="E381" s="36" t="inlineStr">
        <is>
          <t>Open</t>
        </is>
      </c>
      <c r="F381" s="36" t="inlineStr">
        <is>
          <t>Normal</t>
        </is>
      </c>
      <c r="G381" s="35" t="inlineStr">
        <is>
          <t>PAINT</t>
        </is>
      </c>
      <c r="H381" s="37" t="n"/>
      <c r="I381" s="38" t="n"/>
      <c r="J381" s="36" t="n"/>
      <c r="K381" s="36" t="inlineStr">
        <is>
          <t>AFT</t>
        </is>
      </c>
      <c r="L381" s="39" t="n"/>
      <c r="M381" s="40" t="n"/>
      <c r="N381" s="41" t="n">
        <v>24</v>
      </c>
      <c r="O381" s="42" t="n"/>
      <c r="P381" s="41" t="n">
        <v>6</v>
      </c>
      <c r="Q381" s="41" t="n">
        <v>38.8</v>
      </c>
    </row>
    <row r="382">
      <c r="A382" s="169" t="inlineStr">
        <is>
          <t>33020727</t>
        </is>
      </c>
      <c r="B382" s="33" t="inlineStr">
        <is>
          <t>CAB - UNDER FLOOR STRUC - SEAT TRACK (Y-1292) - CAB - RII CABIN UNDER FLOOR STRUCTURE FOUND MOST R/H SEAT TRACK (Y-1292) FWD OF FR47 WITH EXCESSIVE PLAY AND AFT ATTACHMENT BOLT WITH MISSING NUT .</t>
        </is>
      </c>
      <c r="C382" s="34" t="inlineStr">
        <is>
          <t>1334</t>
        </is>
      </c>
      <c r="D382" s="35" t="inlineStr">
        <is>
          <t>GENERAL CABIN</t>
        </is>
      </c>
      <c r="E382" s="36" t="inlineStr">
        <is>
          <t>Open</t>
        </is>
      </c>
      <c r="F382" s="36" t="inlineStr">
        <is>
          <t>Critical</t>
        </is>
      </c>
      <c r="G382" s="35" t="inlineStr">
        <is>
          <t>CAB</t>
        </is>
      </c>
      <c r="H382" s="37" t="n"/>
      <c r="I382" s="38" t="n"/>
      <c r="J382" s="36" t="n"/>
      <c r="K382" s="36" t="inlineStr">
        <is>
          <t>AFT</t>
        </is>
      </c>
      <c r="L382" s="39" t="n"/>
      <c r="M382" s="40" t="n"/>
      <c r="N382" s="42" t="n"/>
      <c r="O382" s="42" t="n"/>
      <c r="P382" s="41" t="n"/>
      <c r="Q382" s="41" t="n"/>
    </row>
    <row r="383">
      <c r="A383" s="169" t="inlineStr">
        <is>
          <t>33020729</t>
        </is>
      </c>
      <c r="B383" s="33" t="inlineStr">
        <is>
          <t>CAB - FLOOR STRUC - SEAT TRACK (Y-1292) - SM - RII CABIN FLOOR STRUCTURE FOUND  SEAT TRACK (Y-1292) FWD OF FR42 WITH GOUGE AT THE MIDDLE OF SEAT TRACK .  DIM:-      L=0.31 INCH.                                         ,W=0.17 INCH....</t>
        </is>
      </c>
      <c r="C383" s="34" t="inlineStr">
        <is>
          <t>1336</t>
        </is>
      </c>
      <c r="D383" s="35" t="inlineStr">
        <is>
          <t>GENERAL CABIN</t>
        </is>
      </c>
      <c r="E383" s="36" t="inlineStr">
        <is>
          <t>Open</t>
        </is>
      </c>
      <c r="F383" s="36" t="inlineStr">
        <is>
          <t>Critical</t>
        </is>
      </c>
      <c r="G383" s="35" t="inlineStr">
        <is>
          <t>CAB</t>
        </is>
      </c>
      <c r="H383" s="37" t="n"/>
      <c r="I383" s="38" t="n"/>
      <c r="J383" s="36" t="n"/>
      <c r="K383" s="36" t="inlineStr">
        <is>
          <t>AFT</t>
        </is>
      </c>
      <c r="L383" s="39" t="n"/>
      <c r="M383" s="40" t="n"/>
      <c r="N383" s="42" t="n"/>
      <c r="O383" s="42" t="n"/>
      <c r="P383" s="41" t="n">
        <v>7.8</v>
      </c>
      <c r="Q383" s="41" t="n">
        <v>42</v>
      </c>
    </row>
    <row r="384">
      <c r="A384" s="169" t="inlineStr">
        <is>
          <t>33020731</t>
        </is>
      </c>
      <c r="B384" s="33" t="inlineStr">
        <is>
          <t>CAB - FLOOR STRUC - SEAT TRACK (Y-765) - SM - RII CABIN FLOOR STRUCTURE FOUND  SEAT TRACK (Y-765) FWD OF FR41 WITH GOUGE AT UPPER FLANGE OF SEAT TRACK .  DIM:-      L=0.78 INCH.                                         ,W=0.15 INCH....</t>
        </is>
      </c>
      <c r="C384" s="34" t="inlineStr">
        <is>
          <t>1337</t>
        </is>
      </c>
      <c r="D384" s="35" t="inlineStr">
        <is>
          <t>GENERAL CABIN</t>
        </is>
      </c>
      <c r="E384" s="36" t="inlineStr">
        <is>
          <t>Open</t>
        </is>
      </c>
      <c r="F384" s="36" t="inlineStr">
        <is>
          <t>Critical</t>
        </is>
      </c>
      <c r="G384" s="35" t="inlineStr">
        <is>
          <t>CAB</t>
        </is>
      </c>
      <c r="H384" s="37" t="n"/>
      <c r="I384" s="38" t="n"/>
      <c r="J384" s="36" t="n"/>
      <c r="K384" s="36" t="inlineStr">
        <is>
          <t>AFT</t>
        </is>
      </c>
      <c r="L384" s="39" t="n"/>
      <c r="M384" s="40" t="n"/>
      <c r="N384" s="42" t="n"/>
      <c r="O384" s="42" t="n"/>
      <c r="P384" s="41" t="n">
        <v>4</v>
      </c>
      <c r="Q384" s="41" t="n">
        <v>40.5</v>
      </c>
    </row>
    <row r="385">
      <c r="A385" s="169" t="inlineStr">
        <is>
          <t>33020734</t>
        </is>
      </c>
      <c r="B385" s="33" t="inlineStr">
        <is>
          <t>CAB - UNDER FLOOR - CAB - CALL BACK CABIN FROM FR 43 TO FR46 FOUND UNDER FLOOR STRUCTURE WITH MISSING CIC APPLICATION AND FROM FR36 TO FR46 FOUND UNDER FLOOR STRUCTURE , AIR CONDITIONING  DUCT , LINES DUSTY AND  WITH EXCESSIVE LINT ACCUMULATION.</t>
        </is>
      </c>
      <c r="C385" s="34" t="inlineStr">
        <is>
          <t>1338</t>
        </is>
      </c>
      <c r="D385" s="35" t="inlineStr">
        <is>
          <t>GENERAL CABIN</t>
        </is>
      </c>
      <c r="E385" s="36" t="inlineStr">
        <is>
          <t>Open</t>
        </is>
      </c>
      <c r="F385" s="36" t="inlineStr">
        <is>
          <t>Critical</t>
        </is>
      </c>
      <c r="G385" s="35" t="inlineStr">
        <is>
          <t>CAB</t>
        </is>
      </c>
      <c r="H385" s="37" t="n"/>
      <c r="I385" s="38" t="n"/>
      <c r="J385" s="36" t="n"/>
      <c r="K385" s="36" t="inlineStr">
        <is>
          <t>AFT</t>
        </is>
      </c>
      <c r="L385" s="39" t="n"/>
      <c r="M385" s="40" t="n"/>
      <c r="N385" s="42" t="n"/>
      <c r="O385" s="42" t="n"/>
      <c r="P385" s="41" t="n"/>
      <c r="Q385" s="41" t="n"/>
    </row>
    <row r="386">
      <c r="A386" s="169" t="n">
        <v>33021722</v>
      </c>
      <c r="B386" s="33" t="inlineStr">
        <is>
          <t>MACHINEST - NO CALL BACK - OVEN G1 GALLEY OVEN COMP. 104 SCREWS FROZEN</t>
        </is>
      </c>
      <c r="C386" s="34" t="n">
        <v>1339</v>
      </c>
      <c r="D386" s="35" t="inlineStr">
        <is>
          <t>GALLEY</t>
        </is>
      </c>
      <c r="E386" s="36" t="inlineStr">
        <is>
          <t>Open</t>
        </is>
      </c>
      <c r="F386" s="36" t="inlineStr">
        <is>
          <t>Normal</t>
        </is>
      </c>
      <c r="G386" s="35" t="inlineStr">
        <is>
          <t>S/M</t>
        </is>
      </c>
      <c r="H386" s="37" t="n"/>
      <c r="I386" s="38" t="n"/>
      <c r="J386" s="36" t="n"/>
      <c r="K386" s="36" t="inlineStr">
        <is>
          <t>FWD</t>
        </is>
      </c>
      <c r="L386" s="39" t="n"/>
      <c r="M386" s="40" t="n"/>
      <c r="N386" s="42" t="n"/>
      <c r="O386" s="42" t="n"/>
      <c r="P386" s="41" t="n"/>
      <c r="Q386" s="41" t="n"/>
    </row>
    <row r="387">
      <c r="A387" s="169" t="n">
        <v>33021799</v>
      </c>
      <c r="B387" s="33" t="inlineStr">
        <is>
          <t>EMERGENCY EXIT HATCH - CABIN - NO CALLBACK AROUND EMERGENCY EXIT HATCH PANEL AND INSULATION BLANKET REQ REMOVAL</t>
        </is>
      </c>
      <c r="C387" s="34" t="n">
        <v>1340</v>
      </c>
      <c r="D387" s="35" t="inlineStr">
        <is>
          <t>GENERAL CABIN</t>
        </is>
      </c>
      <c r="E387" s="36" t="inlineStr">
        <is>
          <t>Open</t>
        </is>
      </c>
      <c r="F387" s="36" t="inlineStr">
        <is>
          <t>Normal</t>
        </is>
      </c>
      <c r="G387" s="35" t="inlineStr">
        <is>
          <t>CAB</t>
        </is>
      </c>
      <c r="H387" s="37" t="n"/>
      <c r="I387" s="38" t="n"/>
      <c r="J387" s="36" t="n"/>
      <c r="K387" s="36" t="inlineStr">
        <is>
          <t>FWD</t>
        </is>
      </c>
      <c r="L387" s="39" t="n"/>
      <c r="M387" s="40" t="n"/>
      <c r="N387" s="42" t="n"/>
      <c r="O387" s="42" t="n"/>
      <c r="P387" s="41" t="n">
        <v>4</v>
      </c>
      <c r="Q387" s="41" t="n">
        <v>39.6</v>
      </c>
    </row>
    <row r="388">
      <c r="A388" s="169" t="n">
        <v>33021843</v>
      </c>
      <c r="B388" s="33" t="inlineStr">
        <is>
          <t>CAB - NO CALL BACK - GALLEY G1 GALLEY COMP 207. LATCH INOP</t>
        </is>
      </c>
      <c r="C388" s="34" t="n">
        <v>1341</v>
      </c>
      <c r="D388" s="35" t="inlineStr">
        <is>
          <t>GALLEY</t>
        </is>
      </c>
      <c r="E388" s="36" t="inlineStr">
        <is>
          <t>Open</t>
        </is>
      </c>
      <c r="F388" s="36" t="inlineStr">
        <is>
          <t>Normal</t>
        </is>
      </c>
      <c r="G388" s="35" t="inlineStr">
        <is>
          <t>CAB</t>
        </is>
      </c>
      <c r="H388" s="37" t="n"/>
      <c r="I388" s="38" t="n"/>
      <c r="J388" s="36" t="n"/>
      <c r="K388" s="36" t="inlineStr">
        <is>
          <t>FWD</t>
        </is>
      </c>
      <c r="L388" s="39" t="n"/>
      <c r="M388" s="40" t="n"/>
      <c r="N388" s="42" t="n"/>
      <c r="O388" s="42" t="n"/>
      <c r="P388" s="41" t="n"/>
      <c r="Q388" s="41" t="n"/>
    </row>
    <row r="389">
      <c r="A389" s="169" t="n">
        <v>33022670</v>
      </c>
      <c r="B389" s="33" t="inlineStr">
        <is>
          <t>CAB - NO CALL BACK - GALLEY G2 GALLEY FOOT STEP LEVER MISSING</t>
        </is>
      </c>
      <c r="C389" s="34" t="n">
        <v>1342</v>
      </c>
      <c r="D389" s="35" t="inlineStr">
        <is>
          <t>GALLEY</t>
        </is>
      </c>
      <c r="E389" s="36" t="inlineStr">
        <is>
          <t>Open</t>
        </is>
      </c>
      <c r="F389" s="36" t="inlineStr">
        <is>
          <t>Normal</t>
        </is>
      </c>
      <c r="G389" s="35" t="inlineStr">
        <is>
          <t>CAB</t>
        </is>
      </c>
      <c r="H389" s="37" t="inlineStr">
        <is>
          <t>Requested</t>
        </is>
      </c>
      <c r="I389" s="38" t="n"/>
      <c r="J389" s="36" t="n"/>
      <c r="K389" s="36" t="inlineStr">
        <is>
          <t>FWD</t>
        </is>
      </c>
      <c r="L389" s="39" t="n"/>
      <c r="M389" s="40" t="n"/>
      <c r="N389" s="42" t="n"/>
      <c r="O389" s="42" t="n"/>
      <c r="P389" s="41" t="n"/>
      <c r="Q389" s="41" t="n"/>
    </row>
    <row r="390">
      <c r="A390" s="169" t="n">
        <v>33022800</v>
      </c>
      <c r="B390" s="33" t="inlineStr">
        <is>
          <t>CAB - NO CALLBACK - FWD FLOOR MAT J/C ENTRY WAY AND FWD GALLEY FLOOR MAT REQUIRE REPLACEMENT.</t>
        </is>
      </c>
      <c r="C390" s="34" t="n">
        <v>1343</v>
      </c>
      <c r="D390" s="35" t="inlineStr">
        <is>
          <t>GALLEY</t>
        </is>
      </c>
      <c r="E390" s="36" t="inlineStr">
        <is>
          <t>Open</t>
        </is>
      </c>
      <c r="F390" s="36" t="inlineStr">
        <is>
          <t>AOG</t>
        </is>
      </c>
      <c r="G390" s="35" t="inlineStr">
        <is>
          <t>CAB</t>
        </is>
      </c>
      <c r="H390" s="37" t="inlineStr">
        <is>
          <t>Requested</t>
        </is>
      </c>
      <c r="I390" s="38" t="n"/>
      <c r="J390" s="36" t="n"/>
      <c r="K390" s="36" t="inlineStr">
        <is>
          <t>FWD</t>
        </is>
      </c>
      <c r="L390" s="39" t="n"/>
      <c r="M390" s="40" t="n"/>
      <c r="N390" s="42" t="n"/>
      <c r="O390" s="42" t="n"/>
      <c r="P390" s="41" t="n"/>
      <c r="Q390" s="41" t="n"/>
    </row>
    <row r="391">
      <c r="A391" s="169" t="n">
        <v>33022853</v>
      </c>
      <c r="B391" s="33" t="inlineStr">
        <is>
          <t>CAB - NO CALL BACK - GALLEY G1 GALLEY COMP. 101 SLIDE EXTRACTOR INOP</t>
        </is>
      </c>
      <c r="C391" s="34" t="n">
        <v>1344</v>
      </c>
      <c r="D391" s="35" t="inlineStr">
        <is>
          <t>GALLEY</t>
        </is>
      </c>
      <c r="E391" s="36" t="inlineStr">
        <is>
          <t>Open</t>
        </is>
      </c>
      <c r="F391" s="36" t="inlineStr">
        <is>
          <t>Normal</t>
        </is>
      </c>
      <c r="G391" s="35" t="inlineStr">
        <is>
          <t>CAB</t>
        </is>
      </c>
      <c r="H391" s="37" t="n"/>
      <c r="I391" s="38" t="n"/>
      <c r="J391" s="36" t="n"/>
      <c r="K391" s="36" t="inlineStr">
        <is>
          <t>FWD</t>
        </is>
      </c>
      <c r="L391" s="39" t="n"/>
      <c r="M391" s="40" t="n"/>
      <c r="N391" s="42" t="n"/>
      <c r="O391" s="42" t="n"/>
      <c r="P391" s="41" t="n"/>
      <c r="Q391" s="41" t="n"/>
    </row>
    <row r="392">
      <c r="A392" s="169" t="n">
        <v>33022868</v>
      </c>
      <c r="B392" s="33" t="inlineStr">
        <is>
          <t>CAB - NO CALLBACK - COCKPIT F/O SLIDING WINDOW BLIND ROLLER DETERIORATED.</t>
        </is>
      </c>
      <c r="C392" s="34" t="n">
        <v>1345</v>
      </c>
      <c r="D392" s="35" t="inlineStr">
        <is>
          <t>FLIGHT DECK</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69" t="n">
        <v>33022953</v>
      </c>
      <c r="B393" s="33" t="inlineStr">
        <is>
          <t>CAB - NO CALLBACK - COCKPIT CAPTAIN FOOTREST RUBBER MAT WORN-OUT.</t>
        </is>
      </c>
      <c r="C393" s="34" t="n">
        <v>1347</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69" t="n">
        <v>33022966</v>
      </c>
      <c r="B394" s="33" t="inlineStr">
        <is>
          <t>CAB - NO CALLBACK - COCKPIT FLIGHT DECK CAPTAIN AND FIRST OFFICER PEDAL RUBBER MAT DIRTY.</t>
        </is>
      </c>
      <c r="C394" s="34" t="n">
        <v>1348</v>
      </c>
      <c r="D394" s="35" t="inlineStr">
        <is>
          <t>LAVATORY</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69" t="n">
        <v>33022983</v>
      </c>
      <c r="B395" s="33" t="inlineStr">
        <is>
          <t>CAB - NO CALLBACK - LAV A LAV A SERVICE CABIINET HINGE LOOSE.</t>
        </is>
      </c>
      <c r="C395" s="34" t="n">
        <v>1349</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69" t="n">
        <v>33023575</v>
      </c>
      <c r="B396" s="33" t="inlineStr">
        <is>
          <t>FINDING (NRC) TASKCARD 531102-01-1 (5) / ITEM-1 PNT--NOCALLBACK BOTH FWD LH AND RH UPPER PASSENGER DOORS CUTOUT WITH PAINT CHAFING</t>
        </is>
      </c>
      <c r="C396" s="34" t="n">
        <v>1352</v>
      </c>
      <c r="D396" s="35" t="inlineStr">
        <is>
          <t>PAX DOORS</t>
        </is>
      </c>
      <c r="E396" s="36" t="inlineStr">
        <is>
          <t>Closed</t>
        </is>
      </c>
      <c r="F396" s="36" t="inlineStr">
        <is>
          <t>Normal</t>
        </is>
      </c>
      <c r="G396" s="35" t="inlineStr">
        <is>
          <t>PAINT</t>
        </is>
      </c>
      <c r="H396" s="37" t="n"/>
      <c r="I396" s="38" t="n"/>
      <c r="J396" s="36" t="n"/>
      <c r="K396" s="36" t="inlineStr">
        <is>
          <t>FWD</t>
        </is>
      </c>
      <c r="L396" s="39" t="n">
        <v>46233</v>
      </c>
      <c r="M396" s="40" t="n">
        <v>46232</v>
      </c>
      <c r="N396" s="41" t="n">
        <v>9</v>
      </c>
      <c r="O396" s="42" t="n"/>
      <c r="P396" s="41" t="n">
        <v>10</v>
      </c>
      <c r="Q396" s="41" t="n">
        <v>5.2</v>
      </c>
    </row>
    <row r="397">
      <c r="A397" s="169" t="n">
        <v>33023666</v>
      </c>
      <c r="B397" s="33" t="inlineStr">
        <is>
          <t>CAB - RII - COCKPIT FLIGHT DECK FIRST OFFICER SEAT HARNESS DETERIORATED.</t>
        </is>
      </c>
      <c r="C397" s="34" t="n">
        <v>1353</v>
      </c>
      <c r="D397" s="35" t="inlineStr">
        <is>
          <t>FLIGHT DECK</t>
        </is>
      </c>
      <c r="E397" s="36" t="inlineStr">
        <is>
          <t>Open</t>
        </is>
      </c>
      <c r="F397" s="36" t="inlineStr">
        <is>
          <t>Normal</t>
        </is>
      </c>
      <c r="G397" s="35" t="inlineStr">
        <is>
          <t>CAB</t>
        </is>
      </c>
      <c r="H397" s="37" t="inlineStr">
        <is>
          <t>Requested</t>
        </is>
      </c>
      <c r="I397" s="38" t="n"/>
      <c r="J397" s="36" t="n"/>
      <c r="K397" s="36" t="inlineStr">
        <is>
          <t>FWD</t>
        </is>
      </c>
      <c r="L397" s="39" t="n"/>
      <c r="M397" s="40" t="n"/>
      <c r="N397" s="42" t="n"/>
      <c r="O397" s="42" t="n"/>
      <c r="P397" s="41" t="n"/>
      <c r="Q397" s="41" t="n"/>
    </row>
    <row r="398">
      <c r="A398" s="169" t="n">
        <v>33023735</v>
      </c>
      <c r="B398" s="33" t="inlineStr">
        <is>
          <t>FINDING (NRC) TASKCARD 534132-02-1 (2) / ITEM ONE PNT--NOCLLBACK BOTH AFT LH AND RH UPPER PASSENGER DOORS CUTOUT WITH PAINT CHAFING</t>
        </is>
      </c>
      <c r="C398" s="34" t="n">
        <v>1354</v>
      </c>
      <c r="D398" s="35" t="inlineStr">
        <is>
          <t>PAX DOORS</t>
        </is>
      </c>
      <c r="E398" s="36" t="inlineStr">
        <is>
          <t>Closed</t>
        </is>
      </c>
      <c r="F398" s="36" t="inlineStr">
        <is>
          <t>Normal</t>
        </is>
      </c>
      <c r="G398" s="35" t="inlineStr">
        <is>
          <t>PAINT</t>
        </is>
      </c>
      <c r="H398" s="37" t="n"/>
      <c r="I398" s="38" t="n"/>
      <c r="J398" s="36" t="n"/>
      <c r="K398" s="36" t="inlineStr">
        <is>
          <t>AFT</t>
        </is>
      </c>
      <c r="L398" s="39" t="n">
        <v>46233</v>
      </c>
      <c r="M398" s="40" t="n">
        <v>46232</v>
      </c>
      <c r="N398" s="41" t="n">
        <v>7</v>
      </c>
      <c r="O398" s="42" t="n"/>
      <c r="P398" s="41" t="n">
        <v>8</v>
      </c>
      <c r="Q398" s="41" t="n">
        <v>5.1</v>
      </c>
    </row>
    <row r="399">
      <c r="A399" s="169" t="n">
        <v>33023745</v>
      </c>
      <c r="B399" s="33" t="inlineStr">
        <is>
          <t>CAB - RII - 4TH OCCUPANT FLIGHT DECK SEAT 4TH OCCUPANT HARNESS DETERIORATED.</t>
        </is>
      </c>
      <c r="C399" s="34" t="n">
        <v>1355</v>
      </c>
      <c r="D399" s="35" t="inlineStr">
        <is>
          <t>FLIGHT DECK</t>
        </is>
      </c>
      <c r="E399" s="36" t="inlineStr">
        <is>
          <t>Open</t>
        </is>
      </c>
      <c r="F399" s="36" t="inlineStr">
        <is>
          <t>Normal</t>
        </is>
      </c>
      <c r="G399" s="35" t="inlineStr">
        <is>
          <t>CAB</t>
        </is>
      </c>
      <c r="H399" s="37" t="n"/>
      <c r="I399" s="38" t="n"/>
      <c r="J399" s="36" t="n"/>
      <c r="K399" s="36" t="inlineStr">
        <is>
          <t>FWD</t>
        </is>
      </c>
      <c r="L399" s="39" t="n"/>
      <c r="M399" s="40" t="n"/>
      <c r="N399" s="42" t="n"/>
      <c r="O399" s="42" t="n"/>
      <c r="P399" s="41" t="n"/>
      <c r="Q399" s="41" t="n"/>
    </row>
    <row r="400">
      <c r="A400" s="169" t="n">
        <v>33023803</v>
      </c>
      <c r="B400" s="33" t="inlineStr">
        <is>
          <t>CAB - RII - 3RD OCCUPANT FLIGHT DECK 3RD OCCUPANT LOWER SHROUD NEXT TO LIFE VEST COVER DEFORMED.</t>
        </is>
      </c>
      <c r="C400" s="34" t="n">
        <v>1356</v>
      </c>
      <c r="D400" s="35" t="inlineStr">
        <is>
          <t>FLIGHT DECK</t>
        </is>
      </c>
      <c r="E400" s="36" t="inlineStr">
        <is>
          <t>Open</t>
        </is>
      </c>
      <c r="F400" s="36" t="inlineStr">
        <is>
          <t>AOG</t>
        </is>
      </c>
      <c r="G400" s="35" t="inlineStr">
        <is>
          <t>CAB</t>
        </is>
      </c>
      <c r="H400" s="37" t="inlineStr">
        <is>
          <t>Requested</t>
        </is>
      </c>
      <c r="I400" s="38" t="n"/>
      <c r="J400" s="36" t="n"/>
      <c r="K400" s="36" t="inlineStr">
        <is>
          <t>FWD</t>
        </is>
      </c>
      <c r="L400" s="39" t="n"/>
      <c r="M400" s="40" t="n"/>
      <c r="N400" s="42" t="n"/>
      <c r="O400" s="42" t="n"/>
      <c r="P400" s="41" t="n"/>
      <c r="Q400" s="41" t="n"/>
    </row>
    <row r="401">
      <c r="A401" s="169" t="n">
        <v>33023820</v>
      </c>
      <c r="B401" s="33" t="inlineStr">
        <is>
          <t>CAB - NO CALL BACK - GALLEY G1 GALLEY OVEN #1 UPPER GRILL DE ATTACHED</t>
        </is>
      </c>
      <c r="C401" s="34" t="n">
        <v>1357</v>
      </c>
      <c r="D401" s="35" t="inlineStr">
        <is>
          <t>GALLEY</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c r="A402" s="169" t="n">
        <v>33023837</v>
      </c>
      <c r="B402" s="33" t="inlineStr">
        <is>
          <t>CAB - NO CALL BACK - GALLEY FWD GALLEY (G1,G2) SIDE TURN CATCH FADED</t>
        </is>
      </c>
      <c r="C402" s="34" t="n">
        <v>1358</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69" t="n">
        <v>33025667</v>
      </c>
      <c r="B403" s="33" t="inlineStr">
        <is>
          <t>CAB - RII - R2 DOOR PANEL ASSY-FLOOR L2 &amp; R2 DOOR PANEL FLOOR ASSY  WITH DAMAGE</t>
        </is>
      </c>
      <c r="C403" s="34" t="n">
        <v>1360</v>
      </c>
      <c r="D403" s="35" t="inlineStr">
        <is>
          <t>PAX DOORS</t>
        </is>
      </c>
      <c r="E403" s="36" t="inlineStr">
        <is>
          <t>Open</t>
        </is>
      </c>
      <c r="F403" s="36" t="inlineStr">
        <is>
          <t>AOG</t>
        </is>
      </c>
      <c r="G403" s="35" t="inlineStr">
        <is>
          <t>CAB</t>
        </is>
      </c>
      <c r="H403" s="37" t="inlineStr">
        <is>
          <t>Requested</t>
        </is>
      </c>
      <c r="I403" s="38" t="n"/>
      <c r="J403" s="36" t="n"/>
      <c r="K403" s="36" t="inlineStr">
        <is>
          <t>FWD</t>
        </is>
      </c>
      <c r="L403" s="39" t="n"/>
      <c r="M403" s="40" t="n"/>
      <c r="N403" s="42" t="n"/>
      <c r="O403" s="42" t="n"/>
      <c r="P403" s="41" t="n"/>
      <c r="Q403" s="41" t="n"/>
    </row>
    <row r="404">
      <c r="A404" s="169" t="inlineStr">
        <is>
          <t>33028166</t>
        </is>
      </c>
      <c r="B404" s="33" t="inlineStr">
        <is>
          <t>CAB - NO CALLBACK - G1 GALLEY G1 GALLEY AIR CHILLER COVER PANEL GRILLE DEFORMED.</t>
        </is>
      </c>
      <c r="C404" s="34" t="inlineStr">
        <is>
          <t>1373</t>
        </is>
      </c>
      <c r="D404" s="35" t="inlineStr">
        <is>
          <t>GALLEY</t>
        </is>
      </c>
      <c r="E404" s="36" t="inlineStr">
        <is>
          <t>Open</t>
        </is>
      </c>
      <c r="F404" s="36" t="inlineStr">
        <is>
          <t>Normal</t>
        </is>
      </c>
      <c r="G404" s="35" t="inlineStr">
        <is>
          <t>CAB</t>
        </is>
      </c>
      <c r="H404" s="37" t="n"/>
      <c r="I404" s="38" t="n"/>
      <c r="J404" s="36" t="n"/>
      <c r="K404" s="36" t="inlineStr">
        <is>
          <t>FWD</t>
        </is>
      </c>
      <c r="L404" s="39" t="n"/>
      <c r="M404" s="40" t="n"/>
      <c r="N404" s="42" t="n"/>
      <c r="O404" s="42" t="n"/>
      <c r="P404" s="41" t="n"/>
      <c r="Q404" s="41" t="n"/>
    </row>
    <row r="405">
      <c r="A405" s="169" t="inlineStr">
        <is>
          <t>33028214</t>
        </is>
      </c>
      <c r="B405" s="33" t="inlineStr">
        <is>
          <t>FINDING (NRC) TASKCARD 534143-01-3 (03) / ITEM-1 SM--RII AFT RH DOOR CUTOUT AT FR 68 AREA CORRODED  AROUND GIRT BAR FITTING AND AT THE DRAIN HOLE</t>
        </is>
      </c>
      <c r="C405" s="34" t="inlineStr">
        <is>
          <t>1374</t>
        </is>
      </c>
      <c r="D405" s="35" t="inlineStr">
        <is>
          <t>PAX DOORS</t>
        </is>
      </c>
      <c r="E405" s="36" t="inlineStr">
        <is>
          <t>Open</t>
        </is>
      </c>
      <c r="F405" s="36" t="inlineStr">
        <is>
          <t>Normal</t>
        </is>
      </c>
      <c r="G405" s="35" t="inlineStr">
        <is>
          <t>S/M</t>
        </is>
      </c>
      <c r="H405" s="37" t="n"/>
      <c r="I405" s="38" t="n"/>
      <c r="J405" s="36" t="n"/>
      <c r="K405" s="36" t="inlineStr">
        <is>
          <t>AFT</t>
        </is>
      </c>
      <c r="L405" s="39" t="n"/>
      <c r="M405" s="40" t="n"/>
      <c r="N405" s="42" t="n"/>
      <c r="O405" s="42" t="n"/>
      <c r="P405" s="41" t="n">
        <v>0.3</v>
      </c>
      <c r="Q405" s="41" t="n">
        <v>1.9</v>
      </c>
    </row>
    <row r="406">
      <c r="A406" s="169" t="inlineStr">
        <is>
          <t>33028291</t>
        </is>
      </c>
      <c r="B406" s="33" t="inlineStr">
        <is>
          <t>FINDING (NRC) TASKCARD 534143-01-3 (03) / ITEM-1 SM--RII AFT LH DOOR CUTOUT AT FR 68 AND FR 66 AREA CORRODED  AT GIRT BAR FITTINGS RIVETS 2EA</t>
        </is>
      </c>
      <c r="C406" s="34" t="inlineStr">
        <is>
          <t>1375</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3</v>
      </c>
      <c r="Q406" s="41" t="n">
        <v>26.6</v>
      </c>
    </row>
    <row r="407">
      <c r="A407" s="169" t="inlineStr">
        <is>
          <t>33028466</t>
        </is>
      </c>
      <c r="B407" s="33" t="inlineStr">
        <is>
          <t>CAB - CALLBACK - G2 GALLEY G2 GALLEY REQUIRE REMOVAL FOR ACCESS.</t>
        </is>
      </c>
      <c r="C407" s="34" t="inlineStr">
        <is>
          <t>1377</t>
        </is>
      </c>
      <c r="D407" s="35" t="inlineStr">
        <is>
          <t>GALLEY</t>
        </is>
      </c>
      <c r="E407" s="36" t="inlineStr">
        <is>
          <t>Open</t>
        </is>
      </c>
      <c r="F407" s="36" t="inlineStr">
        <is>
          <t>ACCESS</t>
        </is>
      </c>
      <c r="G407" s="35" t="inlineStr">
        <is>
          <t>CAB</t>
        </is>
      </c>
      <c r="H407" s="37" t="n"/>
      <c r="I407" s="38" t="n"/>
      <c r="J407" s="36" t="n"/>
      <c r="K407" s="36" t="inlineStr">
        <is>
          <t>FWD</t>
        </is>
      </c>
      <c r="L407" s="39" t="n"/>
      <c r="M407" s="40" t="n"/>
      <c r="N407" s="42" t="n"/>
      <c r="O407" s="42" t="n"/>
      <c r="P407" s="41" t="n">
        <v>19.5</v>
      </c>
      <c r="Q407" s="41" t="n">
        <v>25.6</v>
      </c>
    </row>
    <row r="408">
      <c r="A408" s="169" t="inlineStr">
        <is>
          <t>33028471</t>
        </is>
      </c>
      <c r="B408" s="33" t="inlineStr">
        <is>
          <t>CAB - RII - B/C SEATS ALL B/C SEATS REQUIRE REMOVAL FOR ACCESS.</t>
        </is>
      </c>
      <c r="C408" s="34" t="inlineStr">
        <is>
          <t>1378</t>
        </is>
      </c>
      <c r="D408" s="35" t="inlineStr">
        <is>
          <t>PAX SEAT</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26</v>
      </c>
      <c r="Q408" s="41" t="n">
        <v>25.6</v>
      </c>
    </row>
    <row r="409">
      <c r="A409" s="169" t="inlineStr">
        <is>
          <t>33028546</t>
        </is>
      </c>
      <c r="B409" s="33" t="inlineStr">
        <is>
          <t>CAB - NO CALLBACK - G/C AREA G/C AREA 9 EA SIDEWALLS WINDOW FRAME FOUND BROKEN.</t>
        </is>
      </c>
      <c r="C409" s="34" t="inlineStr">
        <is>
          <t>1379</t>
        </is>
      </c>
      <c r="D409" s="35" t="inlineStr">
        <is>
          <t>GENERAL CABIN</t>
        </is>
      </c>
      <c r="E409" s="36" t="inlineStr">
        <is>
          <t>Open</t>
        </is>
      </c>
      <c r="F409" s="36" t="inlineStr">
        <is>
          <t>Normal</t>
        </is>
      </c>
      <c r="G409" s="35" t="inlineStr">
        <is>
          <t>CAB</t>
        </is>
      </c>
      <c r="H409" s="37" t="n"/>
      <c r="I409" s="38" t="n"/>
      <c r="J409" s="36" t="n"/>
      <c r="K409" s="36" t="inlineStr">
        <is>
          <t>FWD</t>
        </is>
      </c>
      <c r="L409" s="39" t="n"/>
      <c r="M409" s="40" t="n"/>
      <c r="N409" s="42" t="n"/>
      <c r="O409" s="42" t="n"/>
      <c r="P409" s="41" t="n"/>
      <c r="Q409" s="41" t="n"/>
    </row>
    <row r="410">
      <c r="A410" s="169" t="inlineStr">
        <is>
          <t>33028549</t>
        </is>
      </c>
      <c r="B410" s="33" t="inlineStr">
        <is>
          <t>PNT - NO CALL BACK - GALLEY FWD (G1) GALLEY PAINT PEELED OFF BETWEEN COMP. 104 AND 105.</t>
        </is>
      </c>
      <c r="C410" s="34" t="inlineStr">
        <is>
          <t>1380</t>
        </is>
      </c>
      <c r="D410" s="35" t="inlineStr">
        <is>
          <t>GALLEY</t>
        </is>
      </c>
      <c r="E410" s="36" t="inlineStr">
        <is>
          <t>Open</t>
        </is>
      </c>
      <c r="F410" s="36" t="inlineStr">
        <is>
          <t>Normal</t>
        </is>
      </c>
      <c r="G410" s="35" t="inlineStr">
        <is>
          <t>PAINT</t>
        </is>
      </c>
      <c r="H410" s="37" t="n"/>
      <c r="I410" s="38" t="n"/>
      <c r="J410" s="36" t="n"/>
      <c r="K410" s="36" t="inlineStr">
        <is>
          <t>FWD</t>
        </is>
      </c>
      <c r="L410" s="39" t="n"/>
      <c r="M410" s="40" t="n"/>
      <c r="N410" s="42" t="n"/>
      <c r="O410" s="42" t="n"/>
      <c r="P410" s="41" t="n"/>
      <c r="Q410" s="41" t="n"/>
    </row>
    <row r="411">
      <c r="A411" s="169" t="inlineStr">
        <is>
          <t>33029239</t>
        </is>
      </c>
      <c r="B411" s="33" t="inlineStr">
        <is>
          <t>FWD CABIN=====SM=====RII FWD CABIN FLOOR STRUCTURE BESIDE R1 DOOR UNDER ACCESS PNL 222FF BETWEEN FR 16-20 , ALONG Y-1732 AND Y-1292  RAILS 04EA LOCATION WITH SURFACE CORROSION  DIMENSION AS FOLLOWS  ALONG Y-1292 1)LENGTH = 1.6", WIDTH 1.1" 2)LENGT...</t>
        </is>
      </c>
      <c r="C411" s="34" t="inlineStr">
        <is>
          <t>1385</t>
        </is>
      </c>
      <c r="D411" s="35" t="inlineStr">
        <is>
          <t>GALLEY</t>
        </is>
      </c>
      <c r="E411" s="36" t="inlineStr">
        <is>
          <t>Open</t>
        </is>
      </c>
      <c r="F411" s="36" t="inlineStr">
        <is>
          <t>Normal</t>
        </is>
      </c>
      <c r="G411" s="35" t="inlineStr">
        <is>
          <t>S/M</t>
        </is>
      </c>
      <c r="H411" s="37" t="n"/>
      <c r="I411" s="38" t="n"/>
      <c r="J411" s="36" t="n"/>
      <c r="K411" s="36" t="inlineStr">
        <is>
          <t>FWD</t>
        </is>
      </c>
      <c r="L411" s="39" t="n"/>
      <c r="M411" s="40" t="n"/>
      <c r="N411" s="42" t="n"/>
      <c r="O411" s="42" t="n"/>
      <c r="P411" s="41" t="n"/>
      <c r="Q411" s="41" t="n"/>
    </row>
    <row r="412">
      <c r="A412" s="169" t="n"/>
      <c r="B412" s="33" t="n"/>
      <c r="C412" s="34" t="n"/>
      <c r="D412" s="35" t="n"/>
      <c r="E412" s="36" t="inlineStr">
        <is>
          <t>Open</t>
        </is>
      </c>
      <c r="F412" s="36" t="inlineStr">
        <is>
          <t>Normal</t>
        </is>
      </c>
      <c r="G412" s="35" t="n"/>
      <c r="H412" s="37" t="n"/>
      <c r="I412" s="38" t="n"/>
      <c r="J412" s="36" t="n"/>
      <c r="K412" s="36" t="n"/>
      <c r="L412" s="39" t="n"/>
      <c r="M412" s="40" t="n"/>
      <c r="N412" s="42" t="n"/>
      <c r="O412" s="42" t="n"/>
      <c r="P412" s="41" t="n"/>
      <c r="Q412" s="41" t="n"/>
    </row>
    <row r="413">
      <c r="A413" s="169"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43" t="n"/>
      <c r="B414" s="33"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32"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n"/>
      <c r="F493" s="36" t="n"/>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32" t="n"/>
      <c r="B554" s="33" t="n"/>
      <c r="C554" s="44" t="n"/>
      <c r="D554" s="35" t="n"/>
      <c r="E554" s="36" t="n"/>
      <c r="F554" s="36" t="n"/>
      <c r="G554" s="35" t="n"/>
      <c r="H554" s="37" t="n"/>
      <c r="I554" s="38" t="n"/>
      <c r="J554" s="36" t="n"/>
      <c r="K554" s="36" t="n"/>
      <c r="L554" s="39" t="n"/>
      <c r="M554" s="40" t="n"/>
      <c r="N554" s="42" t="n"/>
      <c r="O554" s="42" t="n"/>
      <c r="P554" s="41" t="n"/>
      <c r="Q554" s="41" t="n"/>
    </row>
    <row r="555">
      <c r="A555" s="43"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32" t="n"/>
      <c r="B655" s="33" t="n"/>
      <c r="C655" s="34" t="n"/>
      <c r="D655" s="35" t="n"/>
      <c r="E655" s="36" t="n"/>
      <c r="F655" s="36" t="n"/>
      <c r="G655" s="35" t="n"/>
      <c r="H655" s="45"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45" t="n"/>
      <c r="E657" s="36" t="n"/>
      <c r="F657" s="36" t="n"/>
      <c r="G657" s="4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45"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46"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47" t="n"/>
      <c r="B677" s="48" t="n"/>
      <c r="C677" s="47" t="n"/>
      <c r="D677" s="45" t="n"/>
      <c r="E677" s="45" t="n"/>
      <c r="F677" s="45" t="n"/>
      <c r="G677" s="45" t="n"/>
      <c r="H677" s="45" t="n"/>
      <c r="I677" s="46" t="n"/>
      <c r="J677" s="45" t="n"/>
      <c r="K677" s="264" t="n"/>
      <c r="L677" s="39" t="n"/>
      <c r="M677" s="40" t="n"/>
      <c r="N677" s="42" t="n"/>
      <c r="O677" s="42" t="n"/>
      <c r="P677" s="41" t="n"/>
      <c r="Q677" s="41" t="n"/>
    </row>
    <row r="678">
      <c r="A678" s="47" t="n"/>
      <c r="B678" s="48" t="n"/>
      <c r="C678" s="47" t="n"/>
      <c r="D678" s="45" t="n"/>
      <c r="E678" s="45" t="n"/>
      <c r="F678" s="45" t="n"/>
      <c r="G678" s="45" t="n"/>
      <c r="H678" s="45" t="n"/>
      <c r="I678" s="46" t="n"/>
      <c r="J678" s="45" t="n"/>
      <c r="K678" s="264" t="n"/>
      <c r="L678" s="39" t="n"/>
      <c r="M678" s="40" t="n"/>
      <c r="N678" s="42" t="n"/>
      <c r="O678" s="42" t="n"/>
      <c r="P678" s="41" t="n"/>
      <c r="Q678" s="41" t="n"/>
    </row>
    <row r="679">
      <c r="A679" s="47" t="n"/>
      <c r="B679" s="48" t="n"/>
      <c r="C679" s="47" t="n"/>
      <c r="D679" s="45" t="n"/>
      <c r="E679" s="45" t="n"/>
      <c r="F679" s="45" t="n"/>
      <c r="G679" s="45" t="n"/>
      <c r="H679" s="45" t="n"/>
      <c r="I679" s="46" t="n"/>
      <c r="J679" s="45" t="n"/>
      <c r="K679" s="264" t="n"/>
      <c r="L679" s="39" t="n"/>
      <c r="M679" s="40" t="n"/>
      <c r="N679" s="42" t="n"/>
      <c r="O679" s="42" t="n"/>
      <c r="P679" s="41" t="n"/>
      <c r="Q679" s="41" t="n"/>
    </row>
    <row r="680">
      <c r="A680" s="47" t="n"/>
      <c r="B680" s="48" t="n"/>
      <c r="C680" s="47" t="n"/>
      <c r="D680" s="45" t="n"/>
      <c r="E680" s="45" t="n"/>
      <c r="F680" s="45" t="n"/>
      <c r="G680" s="45" t="n"/>
      <c r="H680" s="45" t="n"/>
      <c r="I680" s="46" t="n"/>
      <c r="J680" s="45" t="n"/>
      <c r="K680" s="264" t="n"/>
      <c r="L680" s="39" t="n"/>
      <c r="M680" s="40" t="n"/>
      <c r="N680" s="42" t="n"/>
      <c r="O680" s="42" t="n"/>
      <c r="P680" s="41" t="n"/>
      <c r="Q680" s="41" t="n"/>
    </row>
    <row r="681">
      <c r="A681" s="47" t="n"/>
      <c r="B681" s="48" t="n"/>
      <c r="C681" s="47" t="n"/>
      <c r="D681" s="45" t="n"/>
      <c r="E681" s="45" t="n"/>
      <c r="F681" s="45" t="n"/>
      <c r="G681" s="45" t="n"/>
      <c r="H681" s="45" t="n"/>
      <c r="I681" s="46" t="n"/>
      <c r="J681" s="45" t="n"/>
      <c r="K681" s="264" t="n"/>
      <c r="L681" s="39" t="n"/>
      <c r="M681" s="40" t="n"/>
      <c r="N681" s="42" t="n"/>
      <c r="O681" s="42" t="n"/>
      <c r="P681" s="41" t="n"/>
      <c r="Q681" s="41" t="n"/>
    </row>
    <row r="682">
      <c r="A682" s="47" t="n"/>
      <c r="B682" s="48" t="n"/>
      <c r="C682" s="47" t="n"/>
      <c r="D682" s="45" t="n"/>
      <c r="E682" s="45" t="n"/>
      <c r="F682" s="45" t="n"/>
      <c r="G682" s="45" t="n"/>
      <c r="H682" s="45" t="n"/>
      <c r="I682" s="46" t="n"/>
      <c r="J682" s="45" t="n"/>
      <c r="K682" s="264" t="n"/>
      <c r="L682" s="39" t="n"/>
      <c r="M682" s="40" t="n"/>
      <c r="N682" s="42" t="n"/>
      <c r="O682" s="42" t="n"/>
      <c r="P682" s="41" t="n"/>
      <c r="Q682" s="41" t="n"/>
    </row>
    <row r="683">
      <c r="A683" s="47" t="n"/>
      <c r="B683" s="48" t="n"/>
      <c r="C683" s="47" t="n"/>
      <c r="D683" s="45" t="n"/>
      <c r="E683" s="45" t="n"/>
      <c r="F683" s="45" t="n"/>
      <c r="G683" s="45" t="n"/>
      <c r="H683" s="45" t="n"/>
      <c r="I683" s="46" t="n"/>
      <c r="J683" s="45" t="n"/>
      <c r="K683" s="264" t="n"/>
      <c r="L683" s="39" t="n"/>
      <c r="M683" s="40" t="n"/>
      <c r="N683" s="42" t="n"/>
      <c r="O683" s="42" t="n"/>
      <c r="P683" s="41" t="n"/>
      <c r="Q683" s="41" t="n"/>
    </row>
    <row r="684">
      <c r="A684" s="47" t="n"/>
      <c r="B684" s="48" t="n"/>
      <c r="C684" s="47" t="n"/>
      <c r="D684" s="45" t="n"/>
      <c r="E684" s="45" t="n"/>
      <c r="F684" s="45" t="n"/>
      <c r="G684" s="45" t="n"/>
      <c r="H684" s="45" t="n"/>
      <c r="I684" s="46" t="n"/>
      <c r="J684" s="45" t="n"/>
      <c r="K684" s="264" t="n"/>
      <c r="L684" s="39" t="n"/>
      <c r="M684" s="40" t="n"/>
      <c r="N684" s="42" t="n"/>
      <c r="O684" s="42" t="n"/>
      <c r="P684" s="41" t="n"/>
      <c r="Q684" s="41" t="n"/>
    </row>
    <row r="685">
      <c r="A685" s="47" t="n"/>
      <c r="B685" s="48" t="n"/>
      <c r="C685" s="47" t="n"/>
      <c r="D685" s="45" t="n"/>
      <c r="E685" s="45" t="n"/>
      <c r="F685" s="45" t="n"/>
      <c r="G685" s="45" t="n"/>
      <c r="H685" s="45" t="n"/>
      <c r="I685" s="46" t="n"/>
      <c r="J685" s="45" t="n"/>
      <c r="K685" s="264" t="n"/>
      <c r="L685" s="39" t="n"/>
      <c r="M685" s="40" t="n"/>
      <c r="N685" s="42" t="n"/>
      <c r="O685" s="42" t="n"/>
      <c r="P685" s="41" t="n"/>
      <c r="Q685" s="41" t="n"/>
    </row>
    <row r="686">
      <c r="A686" s="47" t="n"/>
      <c r="B686" s="48" t="n"/>
      <c r="C686" s="47" t="n"/>
      <c r="D686" s="45" t="n"/>
      <c r="E686" s="45" t="n"/>
      <c r="F686" s="45" t="n"/>
      <c r="G686" s="45" t="n"/>
      <c r="H686" s="45" t="n"/>
      <c r="I686" s="46" t="n"/>
      <c r="J686" s="45" t="n"/>
      <c r="K686" s="264" t="n"/>
      <c r="L686" s="39" t="n"/>
      <c r="M686" s="40" t="n"/>
      <c r="N686" s="42" t="n"/>
      <c r="O686" s="42" t="n"/>
      <c r="P686" s="41" t="n"/>
      <c r="Q686" s="41" t="n"/>
    </row>
    <row r="687">
      <c r="A687" s="47" t="n"/>
      <c r="B687" s="48" t="n"/>
      <c r="C687" s="47" t="n"/>
      <c r="D687" s="45" t="n"/>
      <c r="E687" s="45" t="n"/>
      <c r="F687" s="45" t="n"/>
      <c r="G687" s="45" t="n"/>
      <c r="H687" s="45" t="n"/>
      <c r="I687" s="46" t="n"/>
      <c r="J687" s="45" t="n"/>
      <c r="K687" s="264" t="n"/>
      <c r="L687" s="39" t="n"/>
      <c r="M687" s="40" t="n"/>
      <c r="N687" s="42" t="n"/>
      <c r="O687" s="42" t="n"/>
      <c r="P687" s="41" t="n"/>
      <c r="Q687" s="41" t="n"/>
    </row>
    <row r="688">
      <c r="A688" s="47" t="n"/>
      <c r="B688" s="48" t="n"/>
      <c r="C688" s="47" t="n"/>
      <c r="D688" s="45" t="n"/>
      <c r="E688" s="45" t="n"/>
      <c r="F688" s="45" t="n"/>
      <c r="G688" s="45" t="n"/>
      <c r="H688" s="45" t="n"/>
      <c r="I688" s="46" t="n"/>
      <c r="J688" s="45" t="n"/>
      <c r="K688" s="264" t="n"/>
      <c r="L688" s="39" t="n"/>
      <c r="M688" s="40" t="n"/>
      <c r="N688" s="42" t="n"/>
      <c r="O688" s="42" t="n"/>
      <c r="P688" s="41" t="n"/>
      <c r="Q688" s="41" t="n"/>
    </row>
    <row r="689">
      <c r="A689" s="47" t="n"/>
      <c r="B689" s="48" t="n"/>
      <c r="C689" s="47" t="n"/>
      <c r="D689" s="45" t="n"/>
      <c r="E689" s="45" t="n"/>
      <c r="F689" s="45" t="n"/>
      <c r="G689" s="45" t="n"/>
      <c r="H689" s="45" t="n"/>
      <c r="I689" s="46" t="n"/>
      <c r="J689" s="45" t="n"/>
      <c r="K689" s="264" t="n"/>
      <c r="L689" s="39" t="n"/>
      <c r="M689" s="40" t="n"/>
      <c r="N689" s="42" t="n"/>
      <c r="O689" s="42" t="n"/>
      <c r="P689" s="41" t="n"/>
      <c r="Q689" s="41" t="n"/>
    </row>
    <row r="690">
      <c r="A690" s="47" t="n"/>
      <c r="B690" s="48" t="n"/>
      <c r="C690" s="47" t="n"/>
      <c r="D690" s="45" t="n"/>
      <c r="E690" s="45" t="n"/>
      <c r="F690" s="45" t="n"/>
      <c r="G690" s="45" t="n"/>
      <c r="H690" s="45" t="n"/>
      <c r="I690" s="46" t="n"/>
      <c r="J690" s="45" t="n"/>
      <c r="K690" s="264" t="n"/>
      <c r="L690" s="39" t="n"/>
      <c r="M690" s="40" t="n"/>
      <c r="N690" s="42" t="n"/>
      <c r="O690" s="42" t="n"/>
      <c r="P690" s="41" t="n"/>
      <c r="Q690" s="41" t="n"/>
    </row>
    <row r="691">
      <c r="A691" s="47" t="n"/>
      <c r="B691" s="48" t="n"/>
      <c r="C691" s="47" t="n"/>
      <c r="D691" s="45" t="n"/>
      <c r="E691" s="45" t="n"/>
      <c r="F691" s="45" t="n"/>
      <c r="G691" s="45" t="n"/>
      <c r="H691" s="45" t="n"/>
      <c r="I691" s="46" t="n"/>
      <c r="J691" s="45" t="n"/>
      <c r="K691" s="264" t="n"/>
      <c r="L691" s="39" t="n"/>
      <c r="M691" s="40" t="n"/>
      <c r="N691" s="42" t="n"/>
      <c r="O691" s="42" t="n"/>
      <c r="P691" s="41" t="n"/>
      <c r="Q691" s="41" t="n"/>
    </row>
    <row r="692">
      <c r="A692" s="47" t="n"/>
      <c r="B692" s="48" t="n"/>
      <c r="C692" s="47" t="n"/>
      <c r="D692" s="45" t="n"/>
      <c r="E692" s="45" t="n"/>
      <c r="F692" s="45" t="n"/>
      <c r="G692" s="45" t="n"/>
      <c r="H692" s="45" t="n"/>
      <c r="I692" s="46" t="n"/>
      <c r="J692" s="45" t="n"/>
      <c r="K692" s="264" t="n"/>
      <c r="L692" s="39" t="n"/>
      <c r="M692" s="40" t="n"/>
      <c r="N692" s="42" t="n"/>
      <c r="O692" s="42" t="n"/>
      <c r="P692" s="41" t="n"/>
      <c r="Q692" s="41" t="n"/>
    </row>
    <row r="693">
      <c r="A693" s="47" t="n"/>
      <c r="B693" s="48" t="n"/>
      <c r="C693" s="47" t="n"/>
      <c r="D693" s="45" t="n"/>
      <c r="E693" s="45" t="n"/>
      <c r="F693" s="45" t="n"/>
      <c r="G693" s="45" t="n"/>
      <c r="H693" s="45" t="n"/>
      <c r="I693" s="46" t="n"/>
      <c r="J693" s="45" t="n"/>
      <c r="K693" s="264" t="n"/>
      <c r="L693" s="39" t="n"/>
      <c r="M693" s="40" t="n"/>
      <c r="N693" s="42" t="n"/>
      <c r="O693" s="42" t="n"/>
      <c r="P693" s="41" t="n"/>
      <c r="Q693" s="41" t="n"/>
    </row>
    <row r="694">
      <c r="A694" s="47" t="n"/>
      <c r="B694" s="48" t="n"/>
      <c r="C694" s="47" t="n"/>
      <c r="D694" s="45" t="n"/>
      <c r="E694" s="45" t="n"/>
      <c r="F694" s="45" t="n"/>
      <c r="G694" s="45" t="n"/>
      <c r="H694" s="45" t="n"/>
      <c r="I694" s="46" t="n"/>
      <c r="J694" s="45" t="n"/>
      <c r="K694" s="264" t="n"/>
      <c r="L694" s="39" t="n"/>
      <c r="M694" s="40" t="n"/>
      <c r="N694" s="42" t="n"/>
      <c r="O694" s="42" t="n"/>
      <c r="P694" s="41" t="n"/>
      <c r="Q694" s="41" t="n"/>
    </row>
    <row r="695">
      <c r="A695" s="47" t="n"/>
      <c r="B695" s="48" t="n"/>
      <c r="C695" s="47" t="n"/>
      <c r="D695" s="45" t="n"/>
      <c r="E695" s="45" t="n"/>
      <c r="F695" s="45" t="n"/>
      <c r="G695" s="45" t="n"/>
      <c r="H695" s="45" t="n"/>
      <c r="I695" s="46" t="n"/>
      <c r="J695" s="45" t="n"/>
      <c r="K695" s="264" t="n"/>
      <c r="L695" s="39" t="n"/>
      <c r="M695" s="40" t="n"/>
      <c r="N695" s="42" t="n"/>
      <c r="O695" s="42" t="n"/>
      <c r="P695" s="41" t="n"/>
      <c r="Q695" s="41" t="n"/>
    </row>
    <row r="696">
      <c r="A696" s="47" t="n"/>
      <c r="B696" s="48" t="n"/>
      <c r="C696" s="47" t="n"/>
      <c r="D696" s="45" t="n"/>
      <c r="E696" s="45" t="n"/>
      <c r="F696" s="45" t="n"/>
      <c r="G696" s="45" t="n"/>
      <c r="H696" s="45" t="n"/>
      <c r="I696" s="46" t="n"/>
      <c r="J696" s="45" t="n"/>
      <c r="K696" s="264" t="n"/>
      <c r="L696" s="39" t="n"/>
      <c r="M696" s="40" t="n"/>
      <c r="N696" s="42" t="n"/>
      <c r="O696" s="42" t="n"/>
      <c r="P696" s="41" t="n"/>
      <c r="Q696" s="41" t="n"/>
    </row>
    <row r="697">
      <c r="A697" s="47" t="n"/>
      <c r="B697" s="48" t="n"/>
      <c r="C697" s="47" t="n"/>
      <c r="D697" s="45" t="n"/>
      <c r="E697" s="45" t="n"/>
      <c r="F697" s="45" t="n"/>
      <c r="G697" s="45" t="n"/>
      <c r="H697" s="45" t="n"/>
      <c r="I697" s="46" t="n"/>
      <c r="J697" s="45" t="n"/>
      <c r="K697" s="264" t="n"/>
      <c r="L697" s="39" t="n"/>
      <c r="M697" s="40" t="n"/>
      <c r="N697" s="42" t="n"/>
      <c r="O697" s="42" t="n"/>
      <c r="P697" s="41" t="n"/>
      <c r="Q697" s="41" t="n"/>
    </row>
    <row r="698">
      <c r="A698" s="47" t="n"/>
      <c r="B698" s="48" t="n"/>
      <c r="C698" s="47" t="n"/>
      <c r="D698" s="45" t="n"/>
      <c r="E698" s="45" t="n"/>
      <c r="F698" s="45" t="n"/>
      <c r="G698" s="45" t="n"/>
      <c r="H698" s="45" t="n"/>
      <c r="I698" s="46" t="n"/>
      <c r="J698" s="45" t="n"/>
      <c r="K698" s="264" t="n"/>
      <c r="L698" s="39" t="n"/>
      <c r="M698" s="40" t="n"/>
      <c r="N698" s="42" t="n"/>
      <c r="O698" s="42" t="n"/>
      <c r="P698" s="41" t="n"/>
      <c r="Q698" s="41" t="n"/>
    </row>
    <row r="699">
      <c r="A699" s="47" t="n"/>
      <c r="B699" s="48" t="n"/>
      <c r="C699" s="47" t="n"/>
      <c r="D699" s="45" t="n"/>
      <c r="E699" s="45" t="n"/>
      <c r="F699" s="45" t="n"/>
      <c r="G699" s="45" t="n"/>
      <c r="H699" s="45" t="n"/>
      <c r="I699" s="46" t="n"/>
      <c r="J699" s="45" t="n"/>
      <c r="K699" s="264" t="n"/>
      <c r="L699" s="39" t="n"/>
      <c r="M699" s="40" t="n"/>
      <c r="N699" s="42" t="n"/>
      <c r="O699" s="42" t="n"/>
      <c r="P699" s="41" t="n"/>
      <c r="Q699" s="41" t="n"/>
    </row>
    <row r="700">
      <c r="A700" s="47" t="n"/>
      <c r="B700" s="48" t="n"/>
      <c r="C700" s="47" t="n"/>
      <c r="D700" s="45" t="n"/>
      <c r="E700" s="45" t="n"/>
      <c r="F700" s="45" t="n"/>
      <c r="G700" s="45" t="n"/>
      <c r="H700" s="45" t="n"/>
      <c r="I700" s="46" t="n"/>
      <c r="J700" s="45" t="n"/>
      <c r="K700" s="264" t="n"/>
      <c r="L700" s="39" t="n"/>
      <c r="M700" s="40" t="n"/>
      <c r="N700" s="42" t="n"/>
      <c r="O700" s="42" t="n"/>
      <c r="P700" s="41" t="n"/>
      <c r="Q700" s="41" t="n"/>
    </row>
    <row r="701">
      <c r="A701" s="47" t="n"/>
      <c r="B701" s="48" t="n"/>
      <c r="C701" s="47" t="n"/>
      <c r="D701" s="45" t="n"/>
      <c r="E701" s="45" t="n"/>
      <c r="F701" s="45" t="n"/>
      <c r="G701" s="45" t="n"/>
      <c r="H701" s="45" t="n"/>
      <c r="I701" s="46" t="n"/>
      <c r="J701" s="45" t="n"/>
      <c r="K701" s="264" t="n"/>
      <c r="L701" s="39" t="n"/>
      <c r="M701" s="40" t="n"/>
      <c r="N701" s="42" t="n"/>
      <c r="O701" s="42" t="n"/>
      <c r="P701" s="41" t="n"/>
      <c r="Q701" s="41" t="n"/>
    </row>
    <row r="702">
      <c r="A702" s="47" t="n"/>
      <c r="B702" s="48" t="n"/>
      <c r="C702" s="47" t="n"/>
      <c r="D702" s="45" t="n"/>
      <c r="E702" s="45" t="n"/>
      <c r="F702" s="45" t="n"/>
      <c r="G702" s="45" t="n"/>
      <c r="H702" s="45" t="n"/>
      <c r="I702" s="46" t="n"/>
      <c r="J702" s="45" t="n"/>
      <c r="K702" s="264" t="n"/>
      <c r="L702" s="39" t="n"/>
      <c r="M702" s="40" t="n"/>
      <c r="N702" s="42" t="n"/>
      <c r="O702" s="42" t="n"/>
      <c r="P702" s="41" t="n"/>
      <c r="Q702" s="41" t="n"/>
    </row>
    <row r="703">
      <c r="A703" s="47" t="n"/>
      <c r="B703" s="48" t="n"/>
      <c r="C703" s="47" t="n"/>
      <c r="D703" s="45" t="n"/>
      <c r="E703" s="45" t="n"/>
      <c r="F703" s="45" t="n"/>
      <c r="G703" s="45" t="n"/>
      <c r="H703" s="45" t="n"/>
      <c r="I703" s="46" t="n"/>
      <c r="J703" s="45" t="n"/>
      <c r="K703" s="264" t="n"/>
      <c r="L703" s="39" t="n"/>
      <c r="M703" s="40" t="n"/>
      <c r="N703" s="42" t="n"/>
      <c r="O703" s="42" t="n"/>
      <c r="P703" s="41" t="n"/>
      <c r="Q703" s="41" t="n"/>
    </row>
    <row r="704">
      <c r="A704" s="47" t="n"/>
      <c r="B704" s="48" t="n"/>
      <c r="C704" s="47" t="n"/>
      <c r="D704" s="45" t="n"/>
      <c r="E704" s="45" t="n"/>
      <c r="F704" s="45" t="n"/>
      <c r="G704" s="45" t="n"/>
      <c r="H704" s="45" t="n"/>
      <c r="I704" s="46" t="n"/>
      <c r="J704" s="45" t="n"/>
      <c r="K704" s="264" t="n"/>
      <c r="L704" s="39" t="n"/>
      <c r="M704" s="40" t="n"/>
      <c r="N704" s="42" t="n"/>
      <c r="O704" s="42" t="n"/>
      <c r="P704" s="41" t="n"/>
      <c r="Q704" s="41" t="n"/>
    </row>
    <row r="705">
      <c r="A705" s="47" t="n"/>
      <c r="B705" s="48" t="n"/>
      <c r="C705" s="47" t="n"/>
      <c r="D705" s="45" t="n"/>
      <c r="E705" s="45" t="n"/>
      <c r="F705" s="45" t="n"/>
      <c r="G705" s="45" t="n"/>
      <c r="H705" s="45" t="n"/>
      <c r="I705" s="46" t="n"/>
      <c r="J705" s="45" t="n"/>
      <c r="K705" s="264" t="n"/>
      <c r="L705" s="39" t="n"/>
      <c r="M705" s="40" t="n"/>
      <c r="N705" s="42" t="n"/>
      <c r="O705" s="42" t="n"/>
      <c r="P705" s="41" t="n"/>
      <c r="Q705" s="41" t="n"/>
    </row>
    <row r="706">
      <c r="A706" s="47" t="n"/>
      <c r="B706" s="48" t="n"/>
      <c r="C706" s="47" t="n"/>
      <c r="D706" s="45" t="n"/>
      <c r="E706" s="45" t="n"/>
      <c r="F706" s="45" t="n"/>
      <c r="G706" s="45" t="n"/>
      <c r="H706" s="45" t="n"/>
      <c r="I706" s="46" t="n"/>
      <c r="J706" s="45" t="n"/>
      <c r="K706" s="264" t="n"/>
      <c r="L706" s="39" t="n"/>
      <c r="M706" s="40" t="n"/>
      <c r="N706" s="42" t="n"/>
      <c r="O706" s="42" t="n"/>
      <c r="P706" s="41" t="n"/>
      <c r="Q706" s="41" t="n"/>
    </row>
    <row r="707">
      <c r="A707" s="47" t="n"/>
      <c r="B707" s="48" t="n"/>
      <c r="C707" s="47" t="n"/>
      <c r="D707" s="45" t="n"/>
      <c r="E707" s="45" t="n"/>
      <c r="F707" s="45" t="n"/>
      <c r="G707" s="45" t="n"/>
      <c r="H707" s="45" t="n"/>
      <c r="I707" s="46" t="n"/>
      <c r="J707" s="45" t="n"/>
      <c r="K707" s="264" t="n"/>
      <c r="L707" s="39" t="n"/>
      <c r="M707" s="40" t="n"/>
      <c r="N707" s="42" t="n"/>
      <c r="O707" s="42" t="n"/>
      <c r="P707" s="41" t="n"/>
      <c r="Q707" s="41" t="n"/>
    </row>
    <row r="708">
      <c r="A708" s="47" t="n"/>
      <c r="B708" s="48" t="n"/>
      <c r="C708" s="47" t="n"/>
      <c r="D708" s="45" t="n"/>
      <c r="E708" s="45" t="n"/>
      <c r="F708" s="45" t="n"/>
      <c r="G708" s="45" t="n"/>
      <c r="H708" s="45" t="n"/>
      <c r="I708" s="46" t="n"/>
      <c r="J708" s="45" t="n"/>
      <c r="K708" s="264" t="n"/>
      <c r="L708" s="39" t="n"/>
      <c r="M708" s="40" t="n"/>
      <c r="N708" s="42" t="n"/>
      <c r="O708" s="42" t="n"/>
      <c r="P708" s="41" t="n"/>
      <c r="Q708" s="41" t="n"/>
    </row>
    <row r="709">
      <c r="A709" s="47" t="n"/>
      <c r="B709" s="48" t="n"/>
      <c r="C709" s="47" t="n"/>
      <c r="D709" s="45" t="n"/>
      <c r="E709" s="45" t="n"/>
      <c r="F709" s="45" t="n"/>
      <c r="G709" s="45" t="n"/>
      <c r="H709" s="45" t="n"/>
      <c r="I709" s="46" t="n"/>
      <c r="J709" s="45" t="n"/>
      <c r="K709" s="264" t="n"/>
      <c r="L709" s="39" t="n"/>
      <c r="M709" s="40" t="n"/>
      <c r="N709" s="42" t="n"/>
      <c r="O709" s="42" t="n"/>
      <c r="P709" s="41" t="n"/>
      <c r="Q709" s="41" t="n"/>
    </row>
    <row r="710">
      <c r="A710" s="47" t="n"/>
      <c r="B710" s="48" t="n"/>
      <c r="C710" s="47" t="n"/>
      <c r="D710" s="45" t="n"/>
      <c r="E710" s="45" t="n"/>
      <c r="F710" s="45" t="n"/>
      <c r="G710" s="45" t="n"/>
      <c r="H710" s="45" t="n"/>
      <c r="I710" s="46" t="n"/>
      <c r="J710" s="45" t="n"/>
      <c r="K710" s="264" t="n"/>
      <c r="L710" s="39" t="n"/>
      <c r="M710" s="40" t="n"/>
      <c r="N710" s="42" t="n"/>
      <c r="O710" s="42" t="n"/>
      <c r="P710" s="41" t="n"/>
      <c r="Q710" s="41" t="n"/>
    </row>
    <row r="711">
      <c r="A711" s="47" t="n"/>
      <c r="B711" s="48" t="n"/>
      <c r="C711" s="47" t="n"/>
      <c r="D711" s="45" t="n"/>
      <c r="E711" s="45" t="n"/>
      <c r="F711" s="45" t="n"/>
      <c r="G711" s="45" t="n"/>
      <c r="H711" s="45" t="n"/>
      <c r="I711" s="46" t="n"/>
      <c r="J711" s="45" t="n"/>
      <c r="K711" s="264" t="n"/>
      <c r="L711" s="39" t="n"/>
      <c r="M711" s="40" t="n"/>
      <c r="N711" s="42" t="n"/>
      <c r="O711" s="42" t="n"/>
      <c r="P711" s="41" t="n"/>
      <c r="Q711" s="41" t="n"/>
    </row>
    <row r="712">
      <c r="A712" s="47" t="n"/>
      <c r="B712" s="48" t="n"/>
      <c r="C712" s="47" t="n"/>
      <c r="D712" s="45" t="n"/>
      <c r="E712" s="45" t="n"/>
      <c r="F712" s="45" t="n"/>
      <c r="G712" s="45" t="n"/>
      <c r="H712" s="45" t="n"/>
      <c r="I712" s="46" t="n"/>
      <c r="J712" s="45" t="n"/>
      <c r="K712" s="264" t="n"/>
      <c r="L712" s="39" t="n"/>
      <c r="M712" s="40" t="n"/>
      <c r="N712" s="42" t="n"/>
      <c r="O712" s="42" t="n"/>
      <c r="P712" s="41" t="n"/>
      <c r="Q712" s="41" t="n"/>
    </row>
    <row r="713">
      <c r="A713" s="47" t="n"/>
      <c r="B713" s="48" t="n"/>
      <c r="C713" s="47" t="n"/>
      <c r="D713" s="45" t="n"/>
      <c r="E713" s="45" t="n"/>
      <c r="F713" s="45" t="n"/>
      <c r="G713" s="45" t="n"/>
      <c r="H713" s="45" t="n"/>
      <c r="I713" s="46" t="n"/>
      <c r="J713" s="45" t="n"/>
      <c r="K713" s="264" t="n"/>
      <c r="L713" s="39" t="n"/>
      <c r="M713" s="40" t="n"/>
      <c r="N713" s="42" t="n"/>
      <c r="O713" s="42" t="n"/>
      <c r="P713" s="41" t="n"/>
      <c r="Q713" s="41" t="n"/>
    </row>
    <row r="714">
      <c r="A714" s="47" t="n"/>
      <c r="B714" s="48" t="n"/>
      <c r="C714" s="47" t="n"/>
      <c r="D714" s="45" t="n"/>
      <c r="E714" s="45" t="n"/>
      <c r="F714" s="45" t="n"/>
      <c r="G714" s="45" t="n"/>
      <c r="H714" s="45" t="n"/>
      <c r="I714" s="46" t="n"/>
      <c r="J714" s="45" t="n"/>
      <c r="K714" s="264" t="n"/>
      <c r="L714" s="39" t="n"/>
      <c r="M714" s="40" t="n"/>
      <c r="N714" s="42" t="n"/>
      <c r="O714" s="42" t="n"/>
      <c r="P714" s="41" t="n"/>
      <c r="Q714" s="41" t="n"/>
    </row>
    <row r="715">
      <c r="A715" s="47" t="n"/>
      <c r="B715" s="48" t="n"/>
      <c r="C715" s="47" t="n"/>
      <c r="D715" s="45" t="n"/>
      <c r="E715" s="45" t="n"/>
      <c r="F715" s="45" t="n"/>
      <c r="G715" s="45" t="n"/>
      <c r="H715" s="45" t="n"/>
      <c r="I715" s="46" t="n"/>
      <c r="J715" s="45" t="n"/>
      <c r="K715" s="264" t="n"/>
      <c r="L715" s="39" t="n"/>
      <c r="M715" s="40" t="n"/>
      <c r="N715" s="42" t="n"/>
      <c r="O715" s="42" t="n"/>
      <c r="P715" s="41" t="n"/>
      <c r="Q715" s="41" t="n"/>
    </row>
    <row r="716">
      <c r="A716" s="47" t="n"/>
      <c r="B716" s="48" t="n"/>
      <c r="C716" s="47" t="n"/>
      <c r="D716" s="45" t="n"/>
      <c r="E716" s="45" t="n"/>
      <c r="F716" s="45" t="n"/>
      <c r="G716" s="45" t="n"/>
      <c r="H716" s="45" t="n"/>
      <c r="I716" s="46" t="n"/>
      <c r="J716" s="45" t="n"/>
      <c r="K716" s="264" t="n"/>
      <c r="L716" s="39" t="n"/>
      <c r="M716" s="40" t="n"/>
      <c r="N716" s="42" t="n"/>
      <c r="O716" s="42" t="n"/>
      <c r="P716" s="41" t="n"/>
      <c r="Q716" s="41" t="n"/>
    </row>
    <row r="717">
      <c r="A717" s="47" t="n"/>
      <c r="B717" s="48" t="n"/>
      <c r="C717" s="47" t="n"/>
      <c r="D717" s="45" t="n"/>
      <c r="E717" s="45" t="n"/>
      <c r="F717" s="45" t="n"/>
      <c r="G717" s="45" t="n"/>
      <c r="H717" s="45" t="n"/>
      <c r="I717" s="46" t="n"/>
      <c r="J717" s="45" t="n"/>
      <c r="K717" s="264" t="n"/>
      <c r="L717" s="39" t="n"/>
      <c r="M717" s="40" t="n"/>
      <c r="N717" s="42" t="n"/>
      <c r="O717" s="42" t="n"/>
      <c r="P717" s="41" t="n"/>
      <c r="Q717" s="41" t="n"/>
    </row>
    <row r="718">
      <c r="A718" s="47" t="n"/>
      <c r="B718" s="48" t="n"/>
      <c r="C718" s="47" t="n"/>
      <c r="D718" s="45" t="n"/>
      <c r="E718" s="45" t="n"/>
      <c r="F718" s="45" t="n"/>
      <c r="G718" s="45" t="n"/>
      <c r="H718" s="45" t="n"/>
      <c r="I718" s="46" t="n"/>
      <c r="J718" s="45" t="n"/>
      <c r="K718" s="264" t="n"/>
      <c r="L718" s="39" t="n"/>
      <c r="M718" s="40" t="n"/>
      <c r="N718" s="42" t="n"/>
      <c r="O718" s="42" t="n"/>
      <c r="P718" s="41" t="n"/>
      <c r="Q718" s="41" t="n"/>
    </row>
    <row r="719">
      <c r="A719" s="47" t="n"/>
      <c r="B719" s="48" t="n"/>
      <c r="C719" s="47" t="n"/>
      <c r="D719" s="45" t="n"/>
      <c r="E719" s="45" t="n"/>
      <c r="F719" s="45" t="n"/>
      <c r="G719" s="45" t="n"/>
      <c r="H719" s="45" t="n"/>
      <c r="I719" s="46" t="n"/>
      <c r="J719" s="45" t="n"/>
      <c r="K719" s="264" t="n"/>
      <c r="L719" s="39" t="n"/>
      <c r="M719" s="40" t="n"/>
      <c r="N719" s="42" t="n"/>
      <c r="O719" s="42" t="n"/>
      <c r="P719" s="41" t="n"/>
      <c r="Q719" s="41" t="n"/>
    </row>
    <row r="720">
      <c r="A720" s="47" t="n"/>
      <c r="B720" s="48" t="n"/>
      <c r="C720" s="47" t="n"/>
      <c r="D720" s="45" t="n"/>
      <c r="E720" s="45" t="n"/>
      <c r="F720" s="45" t="n"/>
      <c r="G720" s="45" t="n"/>
      <c r="H720" s="45" t="n"/>
      <c r="I720" s="46" t="n"/>
      <c r="J720" s="45" t="n"/>
      <c r="K720" s="264" t="n"/>
      <c r="L720" s="39" t="n"/>
      <c r="M720" s="40" t="n"/>
      <c r="N720" s="42" t="n"/>
      <c r="O720" s="42" t="n"/>
      <c r="P720" s="41" t="n"/>
      <c r="Q720" s="41" t="n"/>
    </row>
    <row r="721">
      <c r="A721" s="47" t="n"/>
      <c r="B721" s="48" t="n"/>
      <c r="C721" s="47" t="n"/>
      <c r="D721" s="45" t="n"/>
      <c r="E721" s="45" t="n"/>
      <c r="F721" s="45" t="n"/>
      <c r="G721" s="45" t="n"/>
      <c r="H721" s="45" t="n"/>
      <c r="I721" s="46" t="n"/>
      <c r="J721" s="45" t="n"/>
      <c r="K721" s="264" t="n"/>
      <c r="L721" s="39" t="n"/>
      <c r="M721" s="40" t="n"/>
      <c r="N721" s="42" t="n"/>
      <c r="O721" s="42" t="n"/>
      <c r="P721" s="41" t="n"/>
      <c r="Q721" s="41" t="n"/>
    </row>
    <row r="722">
      <c r="A722" s="47" t="n"/>
      <c r="B722" s="48" t="n"/>
      <c r="C722" s="47" t="n"/>
      <c r="D722" s="45" t="n"/>
      <c r="E722" s="45" t="n"/>
      <c r="F722" s="45" t="n"/>
      <c r="G722" s="45" t="n"/>
      <c r="H722" s="45" t="n"/>
      <c r="I722" s="46" t="n"/>
      <c r="J722" s="45" t="n"/>
      <c r="K722" s="264" t="n"/>
      <c r="L722" s="39" t="n"/>
      <c r="M722" s="40" t="n"/>
      <c r="N722" s="42" t="n"/>
      <c r="O722" s="42" t="n"/>
      <c r="P722" s="41" t="n"/>
      <c r="Q722" s="41" t="n"/>
    </row>
    <row r="723">
      <c r="A723" s="47" t="n"/>
      <c r="B723" s="48" t="n"/>
      <c r="C723" s="47" t="n"/>
      <c r="D723" s="45" t="n"/>
      <c r="E723" s="45" t="n"/>
      <c r="F723" s="45" t="n"/>
      <c r="G723" s="45" t="n"/>
      <c r="H723" s="45" t="n"/>
      <c r="I723" s="46" t="n"/>
      <c r="J723" s="45" t="n"/>
      <c r="K723" s="264" t="n"/>
      <c r="L723" s="39" t="n"/>
      <c r="M723" s="40" t="n"/>
      <c r="N723" s="42" t="n"/>
      <c r="O723" s="42" t="n"/>
      <c r="P723" s="41" t="n"/>
      <c r="Q723" s="41" t="n"/>
    </row>
    <row r="724">
      <c r="A724" s="47" t="n"/>
      <c r="B724" s="48" t="n"/>
      <c r="C724" s="47" t="n"/>
      <c r="D724" s="45" t="n"/>
      <c r="E724" s="45" t="n"/>
      <c r="F724" s="45" t="n"/>
      <c r="G724" s="45" t="n"/>
      <c r="H724" s="45" t="n"/>
      <c r="I724" s="46" t="n"/>
      <c r="J724" s="45" t="n"/>
      <c r="K724" s="264" t="n"/>
      <c r="L724" s="39" t="n"/>
      <c r="M724" s="40" t="n"/>
      <c r="N724" s="42" t="n"/>
      <c r="O724" s="42" t="n"/>
      <c r="P724" s="41" t="n"/>
      <c r="Q724" s="41" t="n"/>
    </row>
    <row r="725">
      <c r="A725" s="47" t="n"/>
      <c r="B725" s="48" t="n"/>
      <c r="C725" s="47" t="n"/>
      <c r="D725" s="45" t="n"/>
      <c r="E725" s="45" t="n"/>
      <c r="F725" s="45" t="n"/>
      <c r="G725" s="45" t="n"/>
      <c r="H725" s="45" t="n"/>
      <c r="I725" s="46" t="n"/>
      <c r="J725" s="45" t="n"/>
      <c r="K725" s="264" t="n"/>
      <c r="L725" s="39" t="n"/>
      <c r="M725" s="40" t="n"/>
      <c r="N725" s="42" t="n"/>
      <c r="O725" s="42" t="n"/>
      <c r="P725" s="41" t="n"/>
      <c r="Q725" s="41" t="n"/>
    </row>
    <row r="726">
      <c r="A726" s="47" t="n"/>
      <c r="B726" s="48" t="n"/>
      <c r="C726" s="47" t="n"/>
      <c r="D726" s="45" t="n"/>
      <c r="E726" s="45" t="n"/>
      <c r="F726" s="45" t="n"/>
      <c r="G726" s="45" t="n"/>
      <c r="H726" s="45" t="n"/>
      <c r="I726" s="46" t="n"/>
      <c r="J726" s="45" t="n"/>
      <c r="K726" s="264" t="n"/>
      <c r="L726" s="39" t="n"/>
      <c r="M726" s="40" t="n"/>
      <c r="N726" s="42" t="n"/>
      <c r="O726" s="42" t="n"/>
      <c r="P726" s="41" t="n"/>
      <c r="Q726" s="41" t="n"/>
    </row>
    <row r="727">
      <c r="A727" s="47" t="n"/>
      <c r="B727" s="48" t="n"/>
      <c r="C727" s="47" t="n"/>
      <c r="D727" s="45" t="n"/>
      <c r="E727" s="45" t="n"/>
      <c r="F727" s="45" t="n"/>
      <c r="G727" s="45" t="n"/>
      <c r="H727" s="45" t="n"/>
      <c r="I727" s="46" t="n"/>
      <c r="J727" s="45" t="n"/>
      <c r="K727" s="264" t="n"/>
      <c r="L727" s="39" t="n"/>
      <c r="M727" s="40" t="n"/>
      <c r="N727" s="42" t="n"/>
      <c r="O727" s="42" t="n"/>
      <c r="P727" s="41" t="n"/>
      <c r="Q727" s="41" t="n"/>
    </row>
    <row r="728">
      <c r="A728" s="47" t="n"/>
      <c r="B728" s="48" t="n"/>
      <c r="C728" s="47" t="n"/>
      <c r="D728" s="45" t="n"/>
      <c r="E728" s="45" t="n"/>
      <c r="F728" s="45" t="n"/>
      <c r="G728" s="45" t="n"/>
      <c r="H728" s="45" t="n"/>
      <c r="I728" s="46" t="n"/>
      <c r="J728" s="45" t="n"/>
      <c r="K728" s="264" t="n"/>
      <c r="L728" s="39" t="n"/>
      <c r="M728" s="40" t="n"/>
      <c r="N728" s="42" t="n"/>
      <c r="O728" s="42" t="n"/>
      <c r="P728" s="41" t="n"/>
      <c r="Q728" s="41" t="n"/>
    </row>
    <row r="729">
      <c r="A729" s="47" t="n"/>
      <c r="B729" s="48" t="n"/>
      <c r="C729" s="47" t="n"/>
      <c r="D729" s="45" t="n"/>
      <c r="E729" s="45" t="n"/>
      <c r="F729" s="45" t="n"/>
      <c r="G729" s="45" t="n"/>
      <c r="H729" s="45" t="n"/>
      <c r="I729" s="46" t="n"/>
      <c r="J729" s="45" t="n"/>
      <c r="K729" s="264" t="n"/>
      <c r="L729" s="39" t="n"/>
      <c r="M729" s="40" t="n"/>
      <c r="N729" s="42" t="n"/>
      <c r="O729" s="42" t="n"/>
      <c r="P729" s="41" t="n"/>
      <c r="Q729" s="41" t="n"/>
    </row>
    <row r="730">
      <c r="A730" s="47" t="n"/>
      <c r="B730" s="48" t="n"/>
      <c r="C730" s="47" t="n"/>
      <c r="D730" s="45" t="n"/>
      <c r="E730" s="45" t="n"/>
      <c r="F730" s="45" t="n"/>
      <c r="G730" s="45" t="n"/>
      <c r="H730" s="45" t="n"/>
      <c r="I730" s="46" t="n"/>
      <c r="J730" s="45" t="n"/>
      <c r="K730" s="264" t="n"/>
      <c r="L730" s="39" t="n"/>
      <c r="M730" s="40" t="n"/>
      <c r="N730" s="42" t="n"/>
      <c r="O730" s="42" t="n"/>
      <c r="P730" s="41" t="n"/>
      <c r="Q730" s="41" t="n"/>
    </row>
    <row r="731">
      <c r="A731" s="47" t="n"/>
      <c r="B731" s="48" t="n"/>
      <c r="C731" s="47" t="n"/>
      <c r="D731" s="45" t="n"/>
      <c r="E731" s="45" t="n"/>
      <c r="F731" s="45" t="n"/>
      <c r="G731" s="45" t="n"/>
      <c r="H731" s="45" t="n"/>
      <c r="I731" s="46" t="n"/>
      <c r="J731" s="45" t="n"/>
      <c r="K731" s="264" t="n"/>
      <c r="L731" s="39" t="n"/>
      <c r="M731" s="40" t="n"/>
      <c r="N731" s="42" t="n"/>
      <c r="O731" s="42" t="n"/>
      <c r="P731" s="41" t="n"/>
      <c r="Q731" s="41" t="n"/>
    </row>
    <row r="732">
      <c r="A732" s="47" t="n"/>
      <c r="B732" s="48" t="n"/>
      <c r="C732" s="47" t="n"/>
      <c r="D732" s="45" t="n"/>
      <c r="E732" s="45" t="n"/>
      <c r="F732" s="45" t="n"/>
      <c r="G732" s="45" t="n"/>
      <c r="H732" s="45" t="n"/>
      <c r="I732" s="46" t="n"/>
      <c r="J732" s="45" t="n"/>
      <c r="K732" s="264" t="n"/>
      <c r="L732" s="39" t="n"/>
      <c r="M732" s="40" t="n"/>
      <c r="N732" s="42" t="n"/>
      <c r="O732" s="42" t="n"/>
      <c r="P732" s="41" t="n"/>
      <c r="Q732" s="41" t="n"/>
    </row>
    <row r="733">
      <c r="A733" s="47" t="n"/>
      <c r="B733" s="48" t="n"/>
      <c r="C733" s="47" t="n"/>
      <c r="D733" s="45" t="n"/>
      <c r="E733" s="45" t="n"/>
      <c r="F733" s="45" t="n"/>
      <c r="G733" s="45" t="n"/>
      <c r="H733" s="45" t="n"/>
      <c r="I733" s="46" t="n"/>
      <c r="J733" s="45" t="n"/>
      <c r="K733" s="264" t="n"/>
      <c r="L733" s="39" t="n"/>
      <c r="M733" s="40" t="n"/>
      <c r="N733" s="42" t="n"/>
      <c r="O733" s="42" t="n"/>
      <c r="P733" s="41" t="n"/>
      <c r="Q733" s="41" t="n"/>
    </row>
    <row r="734">
      <c r="A734" s="47" t="n"/>
      <c r="B734" s="48" t="n"/>
      <c r="C734" s="47" t="n"/>
      <c r="D734" s="45" t="n"/>
      <c r="E734" s="45" t="n"/>
      <c r="F734" s="45" t="n"/>
      <c r="G734" s="45" t="n"/>
      <c r="H734" s="45" t="n"/>
      <c r="I734" s="46" t="n"/>
      <c r="J734" s="45" t="n"/>
      <c r="K734" s="264" t="n"/>
      <c r="L734" s="39" t="n"/>
      <c r="M734" s="40" t="n"/>
      <c r="N734" s="42" t="n"/>
      <c r="O734" s="42" t="n"/>
      <c r="P734" s="41" t="n"/>
      <c r="Q734" s="41" t="n"/>
    </row>
    <row r="735">
      <c r="A735" s="47" t="n"/>
      <c r="B735" s="48" t="n"/>
      <c r="C735" s="47" t="n"/>
      <c r="D735" s="45" t="n"/>
      <c r="E735" s="45" t="n"/>
      <c r="F735" s="45" t="n"/>
      <c r="G735" s="45" t="n"/>
      <c r="H735" s="45" t="n"/>
      <c r="I735" s="46" t="n"/>
      <c r="J735" s="45" t="n"/>
      <c r="K735" s="264" t="n"/>
      <c r="L735" s="39" t="n"/>
      <c r="M735" s="40" t="n"/>
      <c r="N735" s="42" t="n"/>
      <c r="O735" s="42" t="n"/>
      <c r="P735" s="41" t="n"/>
      <c r="Q735" s="41" t="n"/>
    </row>
    <row r="736">
      <c r="A736" s="47" t="n"/>
      <c r="B736" s="48" t="n"/>
      <c r="C736" s="47" t="n"/>
      <c r="D736" s="45" t="n"/>
      <c r="E736" s="45" t="n"/>
      <c r="F736" s="45" t="n"/>
      <c r="G736" s="45" t="n"/>
      <c r="H736" s="45" t="n"/>
      <c r="I736" s="46" t="n"/>
      <c r="J736" s="45" t="n"/>
      <c r="K736" s="264" t="n"/>
      <c r="L736" s="39" t="n"/>
      <c r="M736" s="40" t="n"/>
      <c r="N736" s="42" t="n"/>
      <c r="O736" s="42" t="n"/>
      <c r="P736" s="41" t="n"/>
      <c r="Q736" s="41" t="n"/>
    </row>
    <row r="737">
      <c r="A737" s="47" t="n"/>
      <c r="B737" s="48" t="n"/>
      <c r="C737" s="47" t="n"/>
      <c r="D737" s="45" t="n"/>
      <c r="E737" s="45" t="n"/>
      <c r="F737" s="45" t="n"/>
      <c r="G737" s="45" t="n"/>
      <c r="H737" s="45" t="n"/>
      <c r="I737" s="46" t="n"/>
      <c r="J737" s="45" t="n"/>
      <c r="K737" s="264" t="n"/>
      <c r="L737" s="39" t="n"/>
      <c r="M737" s="40" t="n"/>
      <c r="N737" s="42" t="n"/>
      <c r="O737" s="42" t="n"/>
      <c r="P737" s="41" t="n"/>
      <c r="Q737" s="41" t="n"/>
    </row>
    <row r="738">
      <c r="A738" s="47" t="n"/>
      <c r="B738" s="48" t="n"/>
      <c r="C738" s="47" t="n"/>
      <c r="D738" s="45" t="n"/>
      <c r="E738" s="45" t="n"/>
      <c r="F738" s="45" t="n"/>
      <c r="G738" s="45" t="n"/>
      <c r="H738" s="45" t="n"/>
      <c r="I738" s="46" t="n"/>
      <c r="J738" s="45" t="n"/>
      <c r="K738" s="264" t="n"/>
      <c r="L738" s="39" t="n"/>
      <c r="M738" s="40" t="n"/>
      <c r="N738" s="42" t="n"/>
      <c r="O738" s="42" t="n"/>
      <c r="P738" s="41" t="n"/>
      <c r="Q738" s="41" t="n"/>
    </row>
    <row r="739">
      <c r="A739" s="47" t="n"/>
      <c r="B739" s="48" t="n"/>
      <c r="C739" s="47" t="n"/>
      <c r="D739" s="45" t="n"/>
      <c r="E739" s="45" t="n"/>
      <c r="F739" s="45" t="n"/>
      <c r="G739" s="45" t="n"/>
      <c r="H739" s="45" t="n"/>
      <c r="I739" s="46" t="n"/>
      <c r="J739" s="45" t="n"/>
      <c r="K739" s="264" t="n"/>
      <c r="L739" s="39" t="n"/>
      <c r="M739" s="40" t="n"/>
      <c r="N739" s="42" t="n"/>
      <c r="O739" s="42" t="n"/>
      <c r="P739" s="41" t="n"/>
      <c r="Q739" s="41" t="n"/>
    </row>
    <row r="740">
      <c r="A740" s="47" t="n"/>
      <c r="B740" s="48" t="n"/>
      <c r="C740" s="47" t="n"/>
      <c r="D740" s="45" t="n"/>
      <c r="E740" s="45" t="n"/>
      <c r="F740" s="45" t="n"/>
      <c r="G740" s="45" t="n"/>
      <c r="H740" s="45" t="n"/>
      <c r="I740" s="46" t="n"/>
      <c r="J740" s="45" t="n"/>
      <c r="K740" s="264" t="n"/>
      <c r="L740" s="39" t="n"/>
      <c r="M740" s="40" t="n"/>
      <c r="N740" s="42" t="n"/>
      <c r="O740" s="42" t="n"/>
      <c r="P740" s="41" t="n"/>
      <c r="Q740" s="41" t="n"/>
    </row>
    <row r="741">
      <c r="A741" s="47" t="n"/>
      <c r="B741" s="48" t="n"/>
      <c r="C741" s="47" t="n"/>
      <c r="D741" s="45" t="n"/>
      <c r="E741" s="45" t="n"/>
      <c r="F741" s="45" t="n"/>
      <c r="G741" s="45" t="n"/>
      <c r="H741" s="45" t="n"/>
      <c r="I741" s="46" t="n"/>
      <c r="J741" s="45" t="n"/>
      <c r="K741" s="264" t="n"/>
      <c r="L741" s="39" t="n"/>
      <c r="M741" s="40" t="n"/>
      <c r="N741" s="42" t="n"/>
      <c r="O741" s="42" t="n"/>
      <c r="P741" s="41" t="n"/>
      <c r="Q741" s="41" t="n"/>
    </row>
    <row r="742">
      <c r="A742" s="47" t="n"/>
      <c r="B742" s="48" t="n"/>
      <c r="C742" s="47" t="n"/>
      <c r="D742" s="45" t="n"/>
      <c r="E742" s="45" t="n"/>
      <c r="F742" s="45" t="n"/>
      <c r="G742" s="45" t="n"/>
      <c r="H742" s="45" t="n"/>
      <c r="I742" s="46" t="n"/>
      <c r="J742" s="45" t="n"/>
      <c r="K742" s="264" t="n"/>
      <c r="L742" s="39" t="n"/>
      <c r="M742" s="40" t="n"/>
      <c r="N742" s="42" t="n"/>
      <c r="O742" s="42" t="n"/>
      <c r="P742" s="41" t="n"/>
      <c r="Q742" s="41" t="n"/>
    </row>
    <row r="743">
      <c r="A743" s="47" t="n"/>
      <c r="B743" s="48" t="n"/>
      <c r="C743" s="47" t="n"/>
      <c r="D743" s="45" t="n"/>
      <c r="E743" s="45" t="n"/>
      <c r="F743" s="45" t="n"/>
      <c r="G743" s="45" t="n"/>
      <c r="H743" s="45" t="n"/>
      <c r="I743" s="46" t="n"/>
      <c r="J743" s="45" t="n"/>
      <c r="K743" s="264" t="n"/>
      <c r="L743" s="39" t="n"/>
      <c r="M743" s="40" t="n"/>
      <c r="N743" s="42" t="n"/>
      <c r="O743" s="42" t="n"/>
      <c r="P743" s="41" t="n"/>
      <c r="Q743" s="41" t="n"/>
    </row>
    <row r="744">
      <c r="A744" s="47" t="n"/>
      <c r="B744" s="48" t="n"/>
      <c r="C744" s="47" t="n"/>
      <c r="D744" s="45" t="n"/>
      <c r="E744" s="45" t="n"/>
      <c r="F744" s="45" t="n"/>
      <c r="G744" s="45" t="n"/>
      <c r="H744" s="45" t="n"/>
      <c r="I744" s="46" t="n"/>
      <c r="J744" s="45" t="n"/>
      <c r="K744" s="264" t="n"/>
      <c r="L744" s="39" t="n"/>
      <c r="M744" s="40" t="n"/>
      <c r="N744" s="42" t="n"/>
      <c r="O744" s="42" t="n"/>
      <c r="P744" s="41" t="n"/>
      <c r="Q744" s="41" t="n"/>
    </row>
    <row r="745">
      <c r="A745" s="47" t="n"/>
      <c r="B745" s="48" t="n"/>
      <c r="C745" s="47" t="n"/>
      <c r="D745" s="45" t="n"/>
      <c r="E745" s="45" t="n"/>
      <c r="F745" s="45" t="n"/>
      <c r="G745" s="45" t="n"/>
      <c r="H745" s="45" t="n"/>
      <c r="I745" s="46" t="n"/>
      <c r="J745" s="45" t="n"/>
      <c r="K745" s="264" t="n"/>
      <c r="L745" s="39" t="n"/>
      <c r="M745" s="40" t="n"/>
      <c r="N745" s="42" t="n"/>
      <c r="O745" s="42" t="n"/>
      <c r="P745" s="41" t="n"/>
      <c r="Q745" s="41" t="n"/>
    </row>
    <row r="746">
      <c r="A746" s="47" t="n"/>
      <c r="B746" s="48" t="n"/>
      <c r="C746" s="47" t="n"/>
      <c r="D746" s="45" t="n"/>
      <c r="E746" s="45" t="n"/>
      <c r="F746" s="45" t="n"/>
      <c r="G746" s="45" t="n"/>
      <c r="H746" s="45" t="n"/>
      <c r="I746" s="46" t="n"/>
      <c r="J746" s="45" t="n"/>
      <c r="K746" s="264" t="n"/>
      <c r="L746" s="39" t="n"/>
      <c r="M746" s="40" t="n"/>
      <c r="N746" s="42" t="n"/>
      <c r="O746" s="42" t="n"/>
      <c r="P746" s="41" t="n"/>
      <c r="Q746" s="41" t="n"/>
    </row>
    <row r="747">
      <c r="A747" s="47" t="n"/>
      <c r="B747" s="48" t="n"/>
      <c r="C747" s="47" t="n"/>
      <c r="D747" s="45" t="n"/>
      <c r="E747" s="45" t="n"/>
      <c r="F747" s="45" t="n"/>
      <c r="G747" s="45" t="n"/>
      <c r="H747" s="45" t="n"/>
      <c r="I747" s="46" t="n"/>
      <c r="J747" s="45" t="n"/>
      <c r="K747" s="264" t="n"/>
      <c r="L747" s="39" t="n"/>
      <c r="M747" s="40" t="n"/>
      <c r="N747" s="42" t="n"/>
      <c r="O747" s="42" t="n"/>
      <c r="P747" s="41" t="n"/>
      <c r="Q747" s="41" t="n"/>
    </row>
    <row r="748">
      <c r="A748" s="47" t="n"/>
      <c r="B748" s="48" t="n"/>
      <c r="C748" s="47" t="n"/>
      <c r="D748" s="45" t="n"/>
      <c r="E748" s="45" t="n"/>
      <c r="F748" s="45" t="n"/>
      <c r="G748" s="45" t="n"/>
      <c r="H748" s="45" t="n"/>
      <c r="I748" s="46" t="n"/>
      <c r="J748" s="45" t="n"/>
      <c r="K748" s="264" t="n"/>
      <c r="L748" s="39" t="n"/>
      <c r="M748" s="40" t="n"/>
      <c r="N748" s="42" t="n"/>
      <c r="O748" s="42" t="n"/>
      <c r="P748" s="41" t="n"/>
      <c r="Q748" s="41" t="n"/>
    </row>
    <row r="749">
      <c r="A749" s="47" t="n"/>
      <c r="B749" s="48" t="n"/>
      <c r="C749" s="47" t="n"/>
      <c r="D749" s="45" t="n"/>
      <c r="E749" s="45" t="n"/>
      <c r="F749" s="45" t="n"/>
      <c r="G749" s="45" t="n"/>
      <c r="H749" s="45" t="n"/>
      <c r="I749" s="46" t="n"/>
      <c r="J749" s="45" t="n"/>
      <c r="K749" s="264" t="n"/>
      <c r="L749" s="39" t="n"/>
      <c r="M749" s="40" t="n"/>
      <c r="N749" s="42" t="n"/>
      <c r="O749" s="42" t="n"/>
      <c r="P749" s="41" t="n"/>
      <c r="Q749" s="41" t="n"/>
    </row>
    <row r="750">
      <c r="A750" s="47" t="n"/>
      <c r="B750" s="48" t="n"/>
      <c r="C750" s="47" t="n"/>
      <c r="D750" s="45" t="n"/>
      <c r="E750" s="45" t="n"/>
      <c r="F750" s="45" t="n"/>
      <c r="G750" s="45" t="n"/>
      <c r="H750" s="45" t="n"/>
      <c r="I750" s="46" t="n"/>
      <c r="J750" s="45" t="n"/>
      <c r="K750" s="264" t="n"/>
      <c r="L750" s="39" t="n"/>
      <c r="M750" s="40" t="n"/>
      <c r="N750" s="42" t="n"/>
      <c r="O750" s="42" t="n"/>
      <c r="P750" s="41" t="n"/>
      <c r="Q750" s="41" t="n"/>
    </row>
    <row r="751">
      <c r="A751" s="47" t="n"/>
      <c r="B751" s="48" t="n"/>
      <c r="C751" s="47" t="n"/>
      <c r="D751" s="45" t="n"/>
      <c r="E751" s="45" t="n"/>
      <c r="F751" s="45" t="n"/>
      <c r="G751" s="45" t="n"/>
      <c r="H751" s="45" t="n"/>
      <c r="I751" s="46" t="n"/>
      <c r="J751" s="45" t="n"/>
      <c r="K751" s="264" t="n"/>
      <c r="L751" s="39" t="n"/>
      <c r="M751" s="40" t="n"/>
      <c r="N751" s="42" t="n"/>
      <c r="O751" s="42" t="n"/>
      <c r="P751" s="41" t="n"/>
      <c r="Q751" s="41" t="n"/>
    </row>
    <row r="752">
      <c r="A752" s="47" t="n"/>
      <c r="B752" s="48" t="n"/>
      <c r="C752" s="47" t="n"/>
      <c r="D752" s="45" t="n"/>
      <c r="E752" s="45" t="n"/>
      <c r="F752" s="45" t="n"/>
      <c r="G752" s="45" t="n"/>
      <c r="H752" s="45" t="n"/>
      <c r="I752" s="46" t="n"/>
      <c r="J752" s="45" t="n"/>
      <c r="K752" s="264" t="n"/>
      <c r="L752" s="39" t="n"/>
      <c r="M752" s="40" t="n"/>
      <c r="N752" s="42" t="n"/>
      <c r="O752" s="42" t="n"/>
      <c r="P752" s="41" t="n"/>
      <c r="Q752" s="41" t="n"/>
    </row>
    <row r="753">
      <c r="A753" s="47" t="n"/>
      <c r="B753" s="48" t="n"/>
      <c r="C753" s="47" t="n"/>
      <c r="D753" s="45" t="n"/>
      <c r="E753" s="45" t="n"/>
      <c r="F753" s="45" t="n"/>
      <c r="G753" s="45" t="n"/>
      <c r="H753" s="45" t="n"/>
      <c r="I753" s="46" t="n"/>
      <c r="J753" s="45" t="n"/>
      <c r="K753" s="264" t="n"/>
      <c r="L753" s="39" t="n"/>
      <c r="M753" s="40" t="n"/>
      <c r="N753" s="42" t="n"/>
      <c r="O753" s="42" t="n"/>
      <c r="P753" s="41" t="n"/>
      <c r="Q753" s="41" t="n"/>
    </row>
    <row r="754">
      <c r="A754" s="47" t="n"/>
      <c r="B754" s="48" t="n"/>
      <c r="C754" s="47" t="n"/>
      <c r="D754" s="45" t="n"/>
      <c r="E754" s="45" t="n"/>
      <c r="F754" s="45" t="n"/>
      <c r="G754" s="45" t="n"/>
      <c r="H754" s="45" t="n"/>
      <c r="I754" s="46" t="n"/>
      <c r="J754" s="45" t="n"/>
      <c r="K754" s="264" t="n"/>
      <c r="L754" s="39" t="n"/>
      <c r="M754" s="40" t="n"/>
      <c r="N754" s="42" t="n"/>
      <c r="O754" s="42" t="n"/>
      <c r="P754" s="41" t="n"/>
      <c r="Q754" s="41" t="n"/>
    </row>
    <row r="755">
      <c r="A755" s="47" t="n"/>
      <c r="B755" s="48" t="n"/>
      <c r="C755" s="47" t="n"/>
      <c r="D755" s="45" t="n"/>
      <c r="E755" s="45" t="n"/>
      <c r="F755" s="45" t="n"/>
      <c r="G755" s="45" t="n"/>
      <c r="H755" s="45" t="n"/>
      <c r="I755" s="46" t="n"/>
      <c r="J755" s="45" t="n"/>
      <c r="K755" s="264" t="n"/>
      <c r="L755" s="39" t="n"/>
      <c r="M755" s="40" t="n"/>
      <c r="N755" s="42" t="n"/>
      <c r="O755" s="42" t="n"/>
      <c r="P755" s="41" t="n"/>
      <c r="Q755" s="41" t="n"/>
    </row>
    <row r="756">
      <c r="A756" s="47" t="n"/>
      <c r="B756" s="48" t="n"/>
      <c r="C756" s="47" t="n"/>
      <c r="D756" s="45" t="n"/>
      <c r="E756" s="45" t="n"/>
      <c r="F756" s="45" t="n"/>
      <c r="G756" s="45" t="n"/>
      <c r="H756" s="45" t="n"/>
      <c r="I756" s="46" t="n"/>
      <c r="J756" s="45" t="n"/>
      <c r="K756" s="264" t="n"/>
      <c r="L756" s="39" t="n"/>
      <c r="M756" s="40" t="n"/>
      <c r="N756" s="42" t="n"/>
      <c r="O756" s="42" t="n"/>
      <c r="P756" s="41" t="n"/>
      <c r="Q756" s="41" t="n"/>
    </row>
    <row r="757">
      <c r="A757" s="47" t="n"/>
      <c r="B757" s="48" t="n"/>
      <c r="C757" s="47" t="n"/>
      <c r="D757" s="45" t="n"/>
      <c r="E757" s="45" t="n"/>
      <c r="F757" s="45" t="n"/>
      <c r="G757" s="45" t="n"/>
      <c r="H757" s="45" t="n"/>
      <c r="I757" s="46" t="n"/>
      <c r="J757" s="45" t="n"/>
      <c r="K757" s="264" t="n"/>
      <c r="L757" s="39" t="n"/>
      <c r="M757" s="40" t="n"/>
      <c r="N757" s="42" t="n"/>
      <c r="O757" s="42" t="n"/>
      <c r="P757" s="41" t="n"/>
      <c r="Q757" s="41" t="n"/>
    </row>
    <row r="758">
      <c r="A758" s="47" t="n"/>
      <c r="B758" s="48" t="n"/>
      <c r="C758" s="47" t="n"/>
      <c r="D758" s="45" t="n"/>
      <c r="E758" s="45" t="n"/>
      <c r="F758" s="45" t="n"/>
      <c r="G758" s="45" t="n"/>
      <c r="H758" s="45" t="n"/>
      <c r="I758" s="46" t="n"/>
      <c r="J758" s="45" t="n"/>
      <c r="K758" s="264" t="n"/>
      <c r="L758" s="39" t="n"/>
      <c r="M758" s="40" t="n"/>
      <c r="N758" s="42" t="n"/>
      <c r="O758" s="42" t="n"/>
      <c r="P758" s="41" t="n"/>
      <c r="Q758" s="41" t="n"/>
    </row>
    <row r="759">
      <c r="A759" s="47" t="n"/>
      <c r="B759" s="48" t="n"/>
      <c r="C759" s="47" t="n"/>
      <c r="D759" s="45" t="n"/>
      <c r="E759" s="45" t="n"/>
      <c r="F759" s="45" t="n"/>
      <c r="G759" s="45" t="n"/>
      <c r="H759" s="45" t="n"/>
      <c r="I759" s="46" t="n"/>
      <c r="J759" s="45" t="n"/>
      <c r="K759" s="264" t="n"/>
      <c r="L759" s="39" t="n"/>
      <c r="M759" s="40" t="n"/>
      <c r="N759" s="42" t="n"/>
      <c r="O759" s="42" t="n"/>
      <c r="P759" s="41" t="n"/>
      <c r="Q759" s="41" t="n"/>
    </row>
    <row r="760">
      <c r="A760" s="47" t="n"/>
      <c r="B760" s="48" t="n"/>
      <c r="C760" s="47" t="n"/>
      <c r="D760" s="45" t="n"/>
      <c r="E760" s="45" t="n"/>
      <c r="F760" s="45" t="n"/>
      <c r="G760" s="45" t="n"/>
      <c r="H760" s="45" t="n"/>
      <c r="I760" s="46" t="n"/>
      <c r="J760" s="45" t="n"/>
      <c r="K760" s="264" t="n"/>
      <c r="L760" s="39" t="n"/>
      <c r="M760" s="40" t="n"/>
      <c r="N760" s="42" t="n"/>
      <c r="O760" s="42" t="n"/>
      <c r="P760" s="41" t="n"/>
      <c r="Q760" s="41" t="n"/>
    </row>
    <row r="761">
      <c r="A761" s="47" t="n"/>
      <c r="B761" s="48" t="n"/>
      <c r="C761" s="47" t="n"/>
      <c r="D761" s="45" t="n"/>
      <c r="E761" s="45" t="n"/>
      <c r="F761" s="45" t="n"/>
      <c r="G761" s="45" t="n"/>
      <c r="H761" s="45" t="n"/>
      <c r="I761" s="46" t="n"/>
      <c r="J761" s="45" t="n"/>
      <c r="K761" s="264" t="n"/>
      <c r="L761" s="39" t="n"/>
      <c r="M761" s="40" t="n"/>
      <c r="N761" s="42" t="n"/>
      <c r="O761" s="42" t="n"/>
      <c r="P761" s="41" t="n"/>
      <c r="Q761" s="41" t="n"/>
    </row>
    <row r="762">
      <c r="A762" s="47" t="n"/>
      <c r="B762" s="48" t="n"/>
      <c r="C762" s="47" t="n"/>
      <c r="D762" s="45" t="n"/>
      <c r="E762" s="45" t="n"/>
      <c r="F762" s="45" t="n"/>
      <c r="G762" s="45" t="n"/>
      <c r="H762" s="45" t="n"/>
      <c r="I762" s="46" t="n"/>
      <c r="J762" s="45" t="n"/>
      <c r="K762" s="264" t="n"/>
      <c r="L762" s="39" t="n"/>
      <c r="M762" s="40" t="n"/>
      <c r="N762" s="42" t="n"/>
      <c r="O762" s="42" t="n"/>
      <c r="P762" s="41" t="n"/>
      <c r="Q762" s="41" t="n"/>
    </row>
    <row r="763">
      <c r="A763" s="47" t="n"/>
      <c r="B763" s="48" t="n"/>
      <c r="C763" s="47" t="n"/>
      <c r="D763" s="45" t="n"/>
      <c r="E763" s="45" t="n"/>
      <c r="F763" s="45" t="n"/>
      <c r="G763" s="45" t="n"/>
      <c r="H763" s="45" t="n"/>
      <c r="I763" s="46" t="n"/>
      <c r="J763" s="45" t="n"/>
      <c r="K763" s="264" t="n"/>
      <c r="L763" s="39" t="n"/>
      <c r="M763" s="40" t="n"/>
      <c r="N763" s="42" t="n"/>
      <c r="O763" s="42" t="n"/>
      <c r="P763" s="41" t="n"/>
      <c r="Q763" s="41" t="n"/>
    </row>
    <row r="764">
      <c r="A764" s="47" t="n"/>
      <c r="B764" s="48" t="n"/>
      <c r="C764" s="47" t="n"/>
      <c r="D764" s="45" t="n"/>
      <c r="E764" s="45" t="n"/>
      <c r="F764" s="45" t="n"/>
      <c r="G764" s="45" t="n"/>
      <c r="H764" s="45" t="n"/>
      <c r="I764" s="46" t="n"/>
      <c r="J764" s="45" t="n"/>
      <c r="K764" s="264" t="n"/>
      <c r="L764" s="39" t="n"/>
      <c r="M764" s="40" t="n"/>
      <c r="N764" s="42" t="n"/>
      <c r="O764" s="42" t="n"/>
      <c r="P764" s="41" t="n"/>
      <c r="Q764" s="41" t="n"/>
    </row>
    <row r="765">
      <c r="A765" s="47" t="n"/>
      <c r="B765" s="48" t="n"/>
      <c r="C765" s="47" t="n"/>
      <c r="D765" s="45" t="n"/>
      <c r="E765" s="45" t="n"/>
      <c r="F765" s="45" t="n"/>
      <c r="G765" s="45" t="n"/>
      <c r="H765" s="45" t="n"/>
      <c r="I765" s="46" t="n"/>
      <c r="J765" s="45" t="n"/>
      <c r="K765" s="264" t="n"/>
      <c r="L765" s="39" t="n"/>
      <c r="M765" s="40" t="n"/>
      <c r="N765" s="42" t="n"/>
      <c r="O765" s="42" t="n"/>
      <c r="P765" s="41" t="n"/>
      <c r="Q765" s="41" t="n"/>
    </row>
    <row r="766">
      <c r="A766" s="47" t="n"/>
      <c r="B766" s="48" t="n"/>
      <c r="C766" s="47" t="n"/>
      <c r="D766" s="45" t="n"/>
      <c r="E766" s="45" t="n"/>
      <c r="F766" s="45" t="n"/>
      <c r="G766" s="45" t="n"/>
      <c r="H766" s="45" t="n"/>
      <c r="I766" s="46" t="n"/>
      <c r="J766" s="45" t="n"/>
      <c r="K766" s="264" t="n"/>
      <c r="L766" s="39" t="n"/>
      <c r="M766" s="40" t="n"/>
      <c r="N766" s="42" t="n"/>
      <c r="O766" s="42" t="n"/>
      <c r="P766" s="41" t="n"/>
      <c r="Q766" s="41" t="n"/>
    </row>
    <row r="767">
      <c r="A767" s="47" t="n"/>
      <c r="B767" s="48" t="n"/>
      <c r="C767" s="47" t="n"/>
      <c r="D767" s="45" t="n"/>
      <c r="E767" s="45" t="n"/>
      <c r="F767" s="45" t="n"/>
      <c r="G767" s="45" t="n"/>
      <c r="H767" s="45" t="n"/>
      <c r="I767" s="46" t="n"/>
      <c r="J767" s="45" t="n"/>
      <c r="K767" s="264" t="n"/>
      <c r="L767" s="39" t="n"/>
      <c r="M767" s="40" t="n"/>
      <c r="N767" s="42" t="n"/>
      <c r="O767" s="42" t="n"/>
      <c r="P767" s="41" t="n"/>
      <c r="Q767" s="41" t="n"/>
    </row>
    <row r="768">
      <c r="A768" s="47" t="n"/>
      <c r="B768" s="48" t="n"/>
      <c r="C768" s="47" t="n"/>
      <c r="D768" s="45" t="n"/>
      <c r="E768" s="45" t="n"/>
      <c r="F768" s="45" t="n"/>
      <c r="G768" s="45" t="n"/>
      <c r="H768" s="45" t="n"/>
      <c r="I768" s="46" t="n"/>
      <c r="J768" s="45" t="n"/>
      <c r="K768" s="264" t="n"/>
      <c r="L768" s="39" t="n"/>
      <c r="M768" s="40" t="n"/>
      <c r="N768" s="42" t="n"/>
      <c r="O768" s="42" t="n"/>
      <c r="P768" s="41" t="n"/>
      <c r="Q768" s="41" t="n"/>
    </row>
    <row r="769">
      <c r="A769" s="47" t="n"/>
      <c r="B769" s="48" t="n"/>
      <c r="C769" s="47" t="n"/>
      <c r="D769" s="45" t="n"/>
      <c r="E769" s="45" t="n"/>
      <c r="F769" s="45" t="n"/>
      <c r="G769" s="45" t="n"/>
      <c r="H769" s="45" t="n"/>
      <c r="I769" s="46" t="n"/>
      <c r="J769" s="45" t="n"/>
      <c r="K769" s="264" t="n"/>
      <c r="L769" s="39" t="n"/>
      <c r="M769" s="40" t="n"/>
      <c r="N769" s="42" t="n"/>
      <c r="O769" s="42" t="n"/>
      <c r="P769" s="41" t="n"/>
      <c r="Q769" s="41" t="n"/>
    </row>
    <row r="770">
      <c r="A770" s="47" t="n"/>
      <c r="B770" s="48" t="n"/>
      <c r="C770" s="47" t="n"/>
      <c r="D770" s="45" t="n"/>
      <c r="E770" s="45" t="n"/>
      <c r="F770" s="45" t="n"/>
      <c r="G770" s="45" t="n"/>
      <c r="H770" s="45" t="n"/>
      <c r="I770" s="46" t="n"/>
      <c r="J770" s="45" t="n"/>
      <c r="K770" s="264" t="n"/>
      <c r="L770" s="39" t="n"/>
      <c r="M770" s="40" t="n"/>
      <c r="N770" s="42" t="n"/>
      <c r="O770" s="42" t="n"/>
      <c r="P770" s="41" t="n"/>
      <c r="Q770" s="41" t="n"/>
    </row>
    <row r="771">
      <c r="A771" s="47" t="n"/>
      <c r="B771" s="48" t="n"/>
      <c r="C771" s="47" t="n"/>
      <c r="D771" s="45" t="n"/>
      <c r="E771" s="45" t="n"/>
      <c r="F771" s="45" t="n"/>
      <c r="G771" s="45" t="n"/>
      <c r="H771" s="45" t="n"/>
      <c r="I771" s="46" t="n"/>
      <c r="J771" s="45" t="n"/>
      <c r="K771" s="264" t="n"/>
      <c r="L771" s="39" t="n"/>
      <c r="M771" s="40" t="n"/>
      <c r="N771" s="42" t="n"/>
      <c r="O771" s="42" t="n"/>
      <c r="P771" s="41" t="n"/>
      <c r="Q771" s="41" t="n"/>
    </row>
    <row r="772">
      <c r="A772" s="47" t="n"/>
      <c r="B772" s="48" t="n"/>
      <c r="C772" s="47" t="n"/>
      <c r="D772" s="45" t="n"/>
      <c r="E772" s="45" t="n"/>
      <c r="F772" s="45" t="n"/>
      <c r="G772" s="45" t="n"/>
      <c r="H772" s="45" t="n"/>
      <c r="I772" s="46" t="n"/>
      <c r="J772" s="45" t="n"/>
      <c r="K772" s="264" t="n"/>
      <c r="L772" s="39" t="n"/>
      <c r="M772" s="40" t="n"/>
      <c r="N772" s="42" t="n"/>
      <c r="O772" s="42" t="n"/>
      <c r="P772" s="41" t="n"/>
      <c r="Q772" s="41" t="n"/>
    </row>
    <row r="773">
      <c r="A773" s="47" t="n"/>
      <c r="B773" s="48" t="n"/>
      <c r="C773" s="47" t="n"/>
      <c r="D773" s="45" t="n"/>
      <c r="E773" s="45" t="n"/>
      <c r="F773" s="45" t="n"/>
      <c r="G773" s="45" t="n"/>
      <c r="H773" s="45" t="n"/>
      <c r="I773" s="46" t="n"/>
      <c r="J773" s="45" t="n"/>
      <c r="K773" s="264" t="n"/>
      <c r="L773" s="39" t="n"/>
      <c r="M773" s="40" t="n"/>
      <c r="N773" s="42" t="n"/>
      <c r="O773" s="42" t="n"/>
      <c r="P773" s="41" t="n"/>
      <c r="Q773" s="41" t="n"/>
    </row>
    <row r="774">
      <c r="A774" s="47" t="n"/>
      <c r="B774" s="48" t="n"/>
      <c r="C774" s="47" t="n"/>
      <c r="D774" s="45" t="n"/>
      <c r="E774" s="45" t="n"/>
      <c r="F774" s="45" t="n"/>
      <c r="G774" s="45" t="n"/>
      <c r="H774" s="45" t="n"/>
      <c r="I774" s="46" t="n"/>
      <c r="J774" s="45" t="n"/>
      <c r="K774" s="264" t="n"/>
      <c r="L774" s="39" t="n"/>
      <c r="M774" s="40" t="n"/>
      <c r="N774" s="42" t="n"/>
      <c r="O774" s="42" t="n"/>
      <c r="P774" s="41" t="n"/>
      <c r="Q774" s="41" t="n"/>
    </row>
    <row r="775">
      <c r="A775" s="47" t="n"/>
      <c r="B775" s="48" t="n"/>
      <c r="C775" s="47" t="n"/>
      <c r="D775" s="45" t="n"/>
      <c r="E775" s="45" t="n"/>
      <c r="F775" s="45" t="n"/>
      <c r="G775" s="45" t="n"/>
      <c r="H775" s="45" t="n"/>
      <c r="I775" s="46" t="n"/>
      <c r="J775" s="45" t="n"/>
      <c r="K775" s="264" t="n"/>
      <c r="L775" s="39" t="n"/>
      <c r="M775" s="40" t="n"/>
      <c r="N775" s="42" t="n"/>
      <c r="O775" s="42" t="n"/>
      <c r="P775" s="41" t="n"/>
      <c r="Q775" s="41" t="n"/>
    </row>
    <row r="776">
      <c r="A776" s="47" t="n"/>
      <c r="B776" s="48" t="n"/>
      <c r="C776" s="47" t="n"/>
      <c r="D776" s="45" t="n"/>
      <c r="E776" s="45" t="n"/>
      <c r="F776" s="45" t="n"/>
      <c r="G776" s="45" t="n"/>
      <c r="H776" s="45" t="n"/>
      <c r="I776" s="46" t="n"/>
      <c r="J776" s="45" t="n"/>
      <c r="K776" s="264" t="n"/>
      <c r="L776" s="39" t="n"/>
      <c r="M776" s="40" t="n"/>
      <c r="N776" s="42" t="n"/>
      <c r="O776" s="42" t="n"/>
      <c r="P776" s="41" t="n"/>
      <c r="Q776" s="41" t="n"/>
    </row>
    <row r="777">
      <c r="A777" s="47" t="n"/>
      <c r="B777" s="48" t="n"/>
      <c r="C777" s="47" t="n"/>
      <c r="D777" s="45" t="n"/>
      <c r="E777" s="45" t="n"/>
      <c r="F777" s="45" t="n"/>
      <c r="G777" s="45" t="n"/>
      <c r="H777" s="45" t="n"/>
      <c r="I777" s="46" t="n"/>
      <c r="J777" s="45" t="n"/>
      <c r="K777" s="264" t="n"/>
      <c r="L777" s="39" t="n"/>
      <c r="M777" s="40" t="n"/>
      <c r="N777" s="42" t="n"/>
      <c r="O777" s="42" t="n"/>
      <c r="P777" s="41" t="n"/>
      <c r="Q777" s="41" t="n"/>
    </row>
    <row r="778">
      <c r="A778" s="47" t="n"/>
      <c r="B778" s="48" t="n"/>
      <c r="C778" s="47" t="n"/>
      <c r="D778" s="45" t="n"/>
      <c r="E778" s="45" t="n"/>
      <c r="F778" s="45" t="n"/>
      <c r="G778" s="45" t="n"/>
      <c r="H778" s="45" t="n"/>
      <c r="I778" s="46" t="n"/>
      <c r="J778" s="45" t="n"/>
      <c r="K778" s="264" t="n"/>
      <c r="L778" s="39" t="n"/>
      <c r="M778" s="40" t="n"/>
      <c r="N778" s="42" t="n"/>
      <c r="O778" s="42" t="n"/>
      <c r="P778" s="41" t="n"/>
      <c r="Q778" s="41" t="n"/>
    </row>
    <row r="779">
      <c r="A779" s="47" t="n"/>
      <c r="B779" s="48" t="n"/>
      <c r="C779" s="47" t="n"/>
      <c r="D779" s="45" t="n"/>
      <c r="E779" s="45" t="n"/>
      <c r="F779" s="45" t="n"/>
      <c r="G779" s="45" t="n"/>
      <c r="H779" s="45" t="n"/>
      <c r="I779" s="46" t="n"/>
      <c r="J779" s="45" t="n"/>
      <c r="K779" s="264" t="n"/>
      <c r="L779" s="39" t="n"/>
      <c r="M779" s="40" t="n"/>
      <c r="N779" s="42" t="n"/>
      <c r="O779" s="42" t="n"/>
      <c r="P779" s="41" t="n"/>
      <c r="Q779" s="41" t="n"/>
    </row>
    <row r="780">
      <c r="A780" s="47" t="n"/>
      <c r="B780" s="48" t="n"/>
      <c r="C780" s="47" t="n"/>
      <c r="D780" s="45" t="n"/>
      <c r="E780" s="45" t="n"/>
      <c r="F780" s="45" t="n"/>
      <c r="G780" s="45" t="n"/>
      <c r="H780" s="45" t="n"/>
      <c r="I780" s="46" t="n"/>
      <c r="J780" s="45" t="n"/>
      <c r="K780" s="264" t="n"/>
      <c r="L780" s="39" t="n"/>
      <c r="M780" s="40" t="n"/>
      <c r="N780" s="42" t="n"/>
      <c r="O780" s="42" t="n"/>
      <c r="P780" s="41" t="n"/>
      <c r="Q780" s="41" t="n"/>
    </row>
    <row r="781">
      <c r="A781" s="47" t="n"/>
      <c r="B781" s="48" t="n"/>
      <c r="C781" s="47" t="n"/>
      <c r="D781" s="45" t="n"/>
      <c r="E781" s="45" t="n"/>
      <c r="F781" s="45" t="n"/>
      <c r="G781" s="45" t="n"/>
      <c r="H781" s="45" t="n"/>
      <c r="I781" s="46" t="n"/>
      <c r="J781" s="45" t="n"/>
      <c r="K781" s="264" t="n"/>
      <c r="L781" s="39" t="n"/>
      <c r="M781" s="40" t="n"/>
      <c r="N781" s="42" t="n"/>
      <c r="O781" s="42" t="n"/>
      <c r="P781" s="41" t="n"/>
      <c r="Q781" s="41" t="n"/>
    </row>
    <row r="782">
      <c r="A782" s="47" t="n"/>
      <c r="B782" s="48" t="n"/>
      <c r="C782" s="47" t="n"/>
      <c r="D782" s="45" t="n"/>
      <c r="E782" s="45" t="n"/>
      <c r="F782" s="45" t="n"/>
      <c r="G782" s="45" t="n"/>
      <c r="H782" s="45" t="n"/>
      <c r="I782" s="46" t="n"/>
      <c r="J782" s="45" t="n"/>
      <c r="K782" s="264" t="n"/>
      <c r="L782" s="39" t="n"/>
      <c r="M782" s="40" t="n"/>
      <c r="N782" s="42" t="n"/>
      <c r="O782" s="42" t="n"/>
      <c r="P782" s="41" t="n"/>
      <c r="Q782" s="41" t="n"/>
    </row>
    <row r="783">
      <c r="A783" s="47" t="n"/>
      <c r="B783" s="48" t="n"/>
      <c r="C783" s="47" t="n"/>
      <c r="D783" s="45" t="n"/>
      <c r="E783" s="45" t="n"/>
      <c r="F783" s="45" t="n"/>
      <c r="G783" s="45" t="n"/>
      <c r="H783" s="45" t="n"/>
      <c r="I783" s="46" t="n"/>
      <c r="J783" s="45" t="n"/>
      <c r="K783" s="264" t="n"/>
      <c r="L783" s="39" t="n"/>
      <c r="M783" s="40" t="n"/>
      <c r="N783" s="42" t="n"/>
      <c r="O783" s="42" t="n"/>
      <c r="P783" s="41" t="n"/>
      <c r="Q783" s="41" t="n"/>
    </row>
    <row r="784">
      <c r="A784" s="47" t="n"/>
      <c r="B784" s="48" t="n"/>
      <c r="C784" s="47" t="n"/>
      <c r="D784" s="45" t="n"/>
      <c r="E784" s="45" t="n"/>
      <c r="F784" s="45" t="n"/>
      <c r="G784" s="45" t="n"/>
      <c r="H784" s="45" t="n"/>
      <c r="I784" s="46" t="n"/>
      <c r="J784" s="45" t="n"/>
      <c r="K784" s="264" t="n"/>
      <c r="L784" s="39" t="n"/>
      <c r="M784" s="40" t="n"/>
      <c r="N784" s="42" t="n"/>
      <c r="O784" s="42" t="n"/>
      <c r="P784" s="41" t="n"/>
      <c r="Q784" s="41" t="n"/>
    </row>
    <row r="785">
      <c r="A785" s="47" t="n"/>
      <c r="B785" s="48" t="n"/>
      <c r="C785" s="47" t="n"/>
      <c r="D785" s="45" t="n"/>
      <c r="E785" s="45" t="n"/>
      <c r="F785" s="45" t="n"/>
      <c r="G785" s="45" t="n"/>
      <c r="H785" s="45" t="n"/>
      <c r="I785" s="46" t="n"/>
      <c r="J785" s="45" t="n"/>
      <c r="K785" s="264" t="n"/>
      <c r="L785" s="39" t="n"/>
      <c r="M785" s="40" t="n"/>
      <c r="N785" s="42" t="n"/>
      <c r="O785" s="42" t="n"/>
      <c r="P785" s="41" t="n"/>
      <c r="Q785" s="41" t="n"/>
    </row>
    <row r="786">
      <c r="A786" s="47" t="n"/>
      <c r="B786" s="48" t="n"/>
      <c r="C786" s="47" t="n"/>
      <c r="D786" s="45" t="n"/>
      <c r="E786" s="45" t="n"/>
      <c r="F786" s="45" t="n"/>
      <c r="G786" s="45" t="n"/>
      <c r="H786" s="45" t="n"/>
      <c r="I786" s="46" t="n"/>
      <c r="J786" s="45" t="n"/>
      <c r="K786" s="264" t="n"/>
      <c r="L786" s="39" t="n"/>
      <c r="M786" s="40" t="n"/>
      <c r="N786" s="42" t="n"/>
      <c r="O786" s="42" t="n"/>
      <c r="P786" s="41" t="n"/>
      <c r="Q786" s="41" t="n"/>
    </row>
    <row r="787">
      <c r="A787" s="47" t="n"/>
      <c r="B787" s="48" t="n"/>
      <c r="C787" s="47" t="n"/>
      <c r="D787" s="45" t="n"/>
      <c r="E787" s="45" t="n"/>
      <c r="F787" s="45" t="n"/>
      <c r="G787" s="45" t="n"/>
      <c r="H787" s="45" t="n"/>
      <c r="I787" s="46" t="n"/>
      <c r="J787" s="45" t="n"/>
      <c r="K787" s="264" t="n"/>
      <c r="L787" s="39" t="n"/>
      <c r="M787" s="40" t="n"/>
      <c r="N787" s="42" t="n"/>
      <c r="O787" s="42" t="n"/>
      <c r="P787" s="41" t="n"/>
      <c r="Q787" s="41" t="n"/>
    </row>
    <row r="788">
      <c r="A788" s="47" t="n"/>
      <c r="B788" s="48" t="n"/>
      <c r="C788" s="47" t="n"/>
      <c r="D788" s="45" t="n"/>
      <c r="E788" s="45" t="n"/>
      <c r="F788" s="45" t="n"/>
      <c r="G788" s="45" t="n"/>
      <c r="H788" s="45" t="n"/>
      <c r="I788" s="46" t="n"/>
      <c r="J788" s="45" t="n"/>
      <c r="K788" s="264" t="n"/>
      <c r="L788" s="39" t="n"/>
      <c r="M788" s="40" t="n"/>
      <c r="N788" s="42" t="n"/>
      <c r="O788" s="42" t="n"/>
      <c r="P788" s="41" t="n"/>
      <c r="Q788" s="41" t="n"/>
    </row>
    <row r="789">
      <c r="A789" s="47" t="n"/>
      <c r="B789" s="48" t="n"/>
      <c r="C789" s="47" t="n"/>
      <c r="D789" s="45" t="n"/>
      <c r="E789" s="45" t="n"/>
      <c r="F789" s="45" t="n"/>
      <c r="G789" s="45" t="n"/>
      <c r="H789" s="45" t="n"/>
      <c r="I789" s="46" t="n"/>
      <c r="J789" s="45" t="n"/>
      <c r="K789" s="264" t="n"/>
      <c r="L789" s="39" t="n"/>
      <c r="M789" s="40" t="n"/>
      <c r="N789" s="42" t="n"/>
      <c r="O789" s="42" t="n"/>
      <c r="P789" s="41" t="n"/>
      <c r="Q789" s="41" t="n"/>
    </row>
    <row r="790">
      <c r="A790" s="47" t="n"/>
      <c r="B790" s="48" t="n"/>
      <c r="C790" s="47" t="n"/>
      <c r="D790" s="45" t="n"/>
      <c r="E790" s="45" t="n"/>
      <c r="F790" s="45" t="n"/>
      <c r="G790" s="45" t="n"/>
      <c r="H790" s="45" t="n"/>
      <c r="I790" s="46" t="n"/>
      <c r="J790" s="45" t="n"/>
      <c r="K790" s="264" t="n"/>
      <c r="L790" s="39" t="n"/>
      <c r="M790" s="40" t="n"/>
      <c r="N790" s="42" t="n"/>
      <c r="O790" s="42" t="n"/>
      <c r="P790" s="41" t="n"/>
      <c r="Q790" s="41" t="n"/>
    </row>
    <row r="791">
      <c r="A791" s="47" t="n"/>
      <c r="B791" s="48" t="n"/>
      <c r="C791" s="47" t="n"/>
      <c r="D791" s="45" t="n"/>
      <c r="E791" s="45" t="n"/>
      <c r="F791" s="45" t="n"/>
      <c r="G791" s="45" t="n"/>
      <c r="H791" s="45" t="n"/>
      <c r="I791" s="46" t="n"/>
      <c r="J791" s="45" t="n"/>
      <c r="K791" s="264" t="n"/>
      <c r="L791" s="39" t="n"/>
      <c r="M791" s="40" t="n"/>
      <c r="N791" s="42" t="n"/>
      <c r="O791" s="42" t="n"/>
      <c r="P791" s="41" t="n"/>
      <c r="Q791" s="41" t="n"/>
    </row>
    <row r="792">
      <c r="A792" s="47" t="n"/>
      <c r="B792" s="48" t="n"/>
      <c r="C792" s="47" t="n"/>
      <c r="D792" s="45" t="n"/>
      <c r="E792" s="45" t="n"/>
      <c r="F792" s="45" t="n"/>
      <c r="G792" s="45" t="n"/>
      <c r="H792" s="45" t="n"/>
      <c r="I792" s="46" t="n"/>
      <c r="J792" s="45" t="n"/>
      <c r="K792" s="264" t="n"/>
      <c r="L792" s="39" t="n"/>
      <c r="M792" s="40" t="n"/>
      <c r="N792" s="42" t="n"/>
      <c r="O792" s="42" t="n"/>
      <c r="P792" s="41" t="n"/>
      <c r="Q792" s="41" t="n"/>
    </row>
    <row r="793">
      <c r="A793" s="47" t="n"/>
      <c r="B793" s="48" t="n"/>
      <c r="C793" s="47" t="n"/>
      <c r="D793" s="45" t="n"/>
      <c r="E793" s="45" t="n"/>
      <c r="F793" s="45" t="n"/>
      <c r="G793" s="45" t="n"/>
      <c r="H793" s="45" t="n"/>
      <c r="I793" s="46" t="n"/>
      <c r="J793" s="45" t="n"/>
      <c r="K793" s="264" t="n"/>
      <c r="L793" s="39" t="n"/>
      <c r="M793" s="40" t="n"/>
      <c r="N793" s="42" t="n"/>
      <c r="O793" s="42" t="n"/>
      <c r="P793" s="41" t="n"/>
      <c r="Q793" s="41" t="n"/>
    </row>
    <row r="794">
      <c r="A794" s="47" t="n"/>
      <c r="B794" s="48" t="n"/>
      <c r="C794" s="47" t="n"/>
      <c r="D794" s="45" t="n"/>
      <c r="E794" s="45" t="n"/>
      <c r="F794" s="45" t="n"/>
      <c r="G794" s="45" t="n"/>
      <c r="H794" s="45" t="n"/>
      <c r="I794" s="46" t="n"/>
      <c r="J794" s="45" t="n"/>
      <c r="K794" s="264" t="n"/>
      <c r="L794" s="39" t="n"/>
      <c r="M794" s="40" t="n"/>
      <c r="N794" s="42" t="n"/>
      <c r="O794" s="42" t="n"/>
      <c r="P794" s="41" t="n"/>
      <c r="Q794" s="41" t="n"/>
    </row>
    <row r="795">
      <c r="A795" s="47" t="n"/>
      <c r="B795" s="48" t="n"/>
      <c r="C795" s="47" t="n"/>
      <c r="D795" s="45" t="n"/>
      <c r="E795" s="45" t="n"/>
      <c r="F795" s="45" t="n"/>
      <c r="G795" s="45" t="n"/>
      <c r="H795" s="45" t="n"/>
      <c r="I795" s="46" t="n"/>
      <c r="J795" s="45" t="n"/>
      <c r="K795" s="264" t="n"/>
      <c r="L795" s="39" t="n"/>
      <c r="M795" s="40" t="n"/>
      <c r="N795" s="42" t="n"/>
      <c r="O795" s="42" t="n"/>
      <c r="P795" s="41" t="n"/>
      <c r="Q795" s="41" t="n"/>
    </row>
    <row r="796">
      <c r="A796" s="47" t="n"/>
      <c r="B796" s="48" t="n"/>
      <c r="C796" s="47" t="n"/>
      <c r="D796" s="45" t="n"/>
      <c r="E796" s="45" t="n"/>
      <c r="F796" s="45" t="n"/>
      <c r="G796" s="45" t="n"/>
      <c r="H796" s="45" t="n"/>
      <c r="I796" s="46" t="n"/>
      <c r="J796" s="45" t="n"/>
      <c r="K796" s="264" t="n"/>
      <c r="L796" s="39" t="n"/>
      <c r="M796" s="40" t="n"/>
      <c r="N796" s="42" t="n"/>
      <c r="O796" s="42" t="n"/>
      <c r="P796" s="41" t="n"/>
      <c r="Q796" s="41" t="n"/>
    </row>
    <row r="797">
      <c r="A797" s="47" t="n"/>
      <c r="B797" s="48" t="n"/>
      <c r="C797" s="47" t="n"/>
      <c r="D797" s="45" t="n"/>
      <c r="E797" s="45" t="n"/>
      <c r="F797" s="45" t="n"/>
      <c r="G797" s="45" t="n"/>
      <c r="H797" s="45" t="n"/>
      <c r="I797" s="46" t="n"/>
      <c r="J797" s="45" t="n"/>
      <c r="K797" s="264" t="n"/>
      <c r="L797" s="39" t="n"/>
      <c r="M797" s="40" t="n"/>
      <c r="N797" s="42" t="n"/>
      <c r="O797" s="42" t="n"/>
      <c r="P797" s="41" t="n"/>
      <c r="Q797" s="41" t="n"/>
    </row>
    <row r="798">
      <c r="A798" s="47" t="n"/>
      <c r="B798" s="48" t="n"/>
      <c r="C798" s="47" t="n"/>
      <c r="D798" s="45" t="n"/>
      <c r="E798" s="45" t="n"/>
      <c r="F798" s="45" t="n"/>
      <c r="G798" s="45" t="n"/>
      <c r="H798" s="45" t="n"/>
      <c r="I798" s="46" t="n"/>
      <c r="J798" s="45" t="n"/>
      <c r="K798" s="264" t="n"/>
      <c r="L798" s="39" t="n"/>
      <c r="M798" s="40" t="n"/>
      <c r="N798" s="42" t="n"/>
      <c r="O798" s="42" t="n"/>
      <c r="P798" s="41" t="n"/>
      <c r="Q798" s="41" t="n"/>
    </row>
    <row r="799">
      <c r="A799" s="47" t="n"/>
      <c r="B799" s="48" t="n"/>
      <c r="C799" s="47" t="n"/>
      <c r="D799" s="45" t="n"/>
      <c r="E799" s="45" t="n"/>
      <c r="F799" s="45" t="n"/>
      <c r="G799" s="45" t="n"/>
      <c r="H799" s="45" t="n"/>
      <c r="I799" s="46" t="n"/>
      <c r="J799" s="45" t="n"/>
      <c r="K799" s="264" t="n"/>
      <c r="L799" s="39" t="n"/>
      <c r="M799" s="40" t="n"/>
      <c r="N799" s="42" t="n"/>
      <c r="O799" s="42" t="n"/>
      <c r="P799" s="41" t="n"/>
      <c r="Q799" s="41" t="n"/>
    </row>
    <row r="800">
      <c r="A800" s="47" t="n"/>
      <c r="B800" s="48" t="n"/>
      <c r="C800" s="47" t="n"/>
      <c r="D800" s="45" t="n"/>
      <c r="E800" s="45" t="n"/>
      <c r="F800" s="45" t="n"/>
      <c r="G800" s="45" t="n"/>
      <c r="H800" s="45" t="n"/>
      <c r="I800" s="46" t="n"/>
      <c r="J800" s="45" t="n"/>
      <c r="K800" s="264" t="n"/>
      <c r="L800" s="39" t="n"/>
      <c r="M800" s="40" t="n"/>
      <c r="N800" s="42" t="n"/>
      <c r="O800" s="42" t="n"/>
      <c r="P800" s="41" t="n"/>
      <c r="Q800" s="41" t="n"/>
    </row>
    <row r="801">
      <c r="A801" s="47" t="n"/>
      <c r="B801" s="48" t="n"/>
      <c r="C801" s="47" t="n"/>
      <c r="D801" s="45" t="n"/>
      <c r="E801" s="45" t="n"/>
      <c r="F801" s="45" t="n"/>
      <c r="G801" s="45" t="n"/>
      <c r="H801" s="45" t="n"/>
      <c r="I801" s="46" t="n"/>
      <c r="J801" s="45" t="n"/>
      <c r="K801" s="264" t="n"/>
      <c r="L801" s="39" t="n"/>
      <c r="M801" s="40" t="n"/>
      <c r="N801" s="42" t="n"/>
      <c r="O801" s="42" t="n"/>
      <c r="P801" s="41" t="n"/>
      <c r="Q801" s="41" t="n"/>
    </row>
    <row r="802">
      <c r="A802" s="47" t="n"/>
      <c r="B802" s="48" t="n"/>
      <c r="C802" s="47" t="n"/>
      <c r="D802" s="45" t="n"/>
      <c r="E802" s="45" t="n"/>
      <c r="F802" s="45" t="n"/>
      <c r="G802" s="45" t="n"/>
      <c r="H802" s="45" t="n"/>
      <c r="I802" s="46" t="n"/>
      <c r="J802" s="45" t="n"/>
      <c r="K802" s="264" t="n"/>
      <c r="L802" s="39" t="n"/>
      <c r="M802" s="40" t="n"/>
      <c r="N802" s="42" t="n"/>
      <c r="O802" s="42" t="n"/>
      <c r="P802" s="41" t="n"/>
      <c r="Q802" s="41" t="n"/>
    </row>
    <row r="803">
      <c r="A803" s="47" t="n"/>
      <c r="B803" s="48" t="n"/>
      <c r="C803" s="47" t="n"/>
      <c r="D803" s="45" t="n"/>
      <c r="E803" s="45" t="n"/>
      <c r="F803" s="45" t="n"/>
      <c r="G803" s="45" t="n"/>
      <c r="H803" s="45" t="n"/>
      <c r="I803" s="46" t="n"/>
      <c r="J803" s="45" t="n"/>
      <c r="K803" s="264" t="n"/>
      <c r="L803" s="39" t="n"/>
      <c r="M803" s="40" t="n"/>
      <c r="N803" s="42" t="n"/>
      <c r="O803" s="42" t="n"/>
      <c r="P803" s="41" t="n"/>
      <c r="Q803" s="41" t="n"/>
    </row>
    <row r="804">
      <c r="A804" s="47" t="n"/>
      <c r="B804" s="48" t="n"/>
      <c r="C804" s="47" t="n"/>
      <c r="D804" s="45" t="n"/>
      <c r="E804" s="45" t="n"/>
      <c r="F804" s="45" t="n"/>
      <c r="G804" s="45" t="n"/>
      <c r="H804" s="45" t="n"/>
      <c r="I804" s="46" t="n"/>
      <c r="J804" s="45" t="n"/>
      <c r="K804" s="264" t="n"/>
      <c r="L804" s="39" t="n"/>
      <c r="M804" s="40" t="n"/>
      <c r="N804" s="42" t="n"/>
      <c r="O804" s="42" t="n"/>
      <c r="P804" s="41" t="n"/>
      <c r="Q804" s="41" t="n"/>
    </row>
    <row r="805">
      <c r="A805" s="47" t="n"/>
      <c r="B805" s="48" t="n"/>
      <c r="C805" s="47" t="n"/>
      <c r="D805" s="45" t="n"/>
      <c r="E805" s="45" t="n"/>
      <c r="F805" s="45" t="n"/>
      <c r="G805" s="45" t="n"/>
      <c r="H805" s="45" t="n"/>
      <c r="I805" s="46" t="n"/>
      <c r="J805" s="45" t="n"/>
      <c r="K805" s="264" t="n"/>
      <c r="L805" s="39" t="n"/>
      <c r="M805" s="40" t="n"/>
      <c r="N805" s="42" t="n"/>
      <c r="O805" s="42" t="n"/>
      <c r="P805" s="41" t="n"/>
      <c r="Q805" s="41" t="n"/>
    </row>
    <row r="806">
      <c r="A806" s="47" t="n"/>
      <c r="B806" s="48" t="n"/>
      <c r="C806" s="47" t="n"/>
      <c r="D806" s="45" t="n"/>
      <c r="E806" s="45" t="n"/>
      <c r="F806" s="45" t="n"/>
      <c r="G806" s="45" t="n"/>
      <c r="H806" s="45" t="n"/>
      <c r="I806" s="46" t="n"/>
      <c r="J806" s="45" t="n"/>
      <c r="K806" s="264" t="n"/>
      <c r="L806" s="39" t="n"/>
      <c r="M806" s="40" t="n"/>
      <c r="N806" s="42" t="n"/>
      <c r="O806" s="42" t="n"/>
      <c r="P806" s="41" t="n"/>
      <c r="Q806" s="41" t="n"/>
    </row>
    <row r="807">
      <c r="A807" s="47" t="n"/>
      <c r="B807" s="48" t="n"/>
      <c r="C807" s="47" t="n"/>
      <c r="D807" s="45" t="n"/>
      <c r="E807" s="45" t="n"/>
      <c r="F807" s="45" t="n"/>
      <c r="G807" s="45" t="n"/>
      <c r="H807" s="45" t="n"/>
      <c r="I807" s="46" t="n"/>
      <c r="J807" s="45" t="n"/>
      <c r="K807" s="264" t="n"/>
      <c r="L807" s="39" t="n"/>
      <c r="M807" s="40" t="n"/>
      <c r="N807" s="42" t="n"/>
      <c r="O807" s="42" t="n"/>
      <c r="P807" s="41" t="n"/>
      <c r="Q807" s="41" t="n"/>
    </row>
    <row r="808">
      <c r="A808" s="47" t="n"/>
      <c r="B808" s="48" t="n"/>
      <c r="C808" s="47" t="n"/>
      <c r="D808" s="45" t="n"/>
      <c r="E808" s="45" t="n"/>
      <c r="F808" s="45" t="n"/>
      <c r="G808" s="45" t="n"/>
      <c r="H808" s="45" t="n"/>
      <c r="I808" s="46" t="n"/>
      <c r="J808" s="45" t="n"/>
      <c r="K808" s="264" t="n"/>
      <c r="L808" s="39" t="n"/>
      <c r="M808" s="40" t="n"/>
      <c r="N808" s="42" t="n"/>
      <c r="O808" s="42" t="n"/>
      <c r="P808" s="41" t="n"/>
      <c r="Q808" s="41" t="n"/>
    </row>
    <row r="809">
      <c r="A809" s="47" t="n"/>
      <c r="B809" s="48" t="n"/>
      <c r="C809" s="47" t="n"/>
      <c r="D809" s="45" t="n"/>
      <c r="E809" s="45" t="n"/>
      <c r="F809" s="45" t="n"/>
      <c r="G809" s="45" t="n"/>
      <c r="H809" s="45" t="n"/>
      <c r="I809" s="46" t="n"/>
      <c r="J809" s="45" t="n"/>
      <c r="K809" s="264" t="n"/>
      <c r="L809" s="39" t="n"/>
      <c r="M809" s="40" t="n"/>
      <c r="N809" s="42" t="n"/>
      <c r="O809" s="42" t="n"/>
      <c r="P809" s="41" t="n"/>
      <c r="Q809" s="41" t="n"/>
    </row>
    <row r="810">
      <c r="A810" s="47" t="n"/>
      <c r="B810" s="48" t="n"/>
      <c r="C810" s="47" t="n"/>
      <c r="D810" s="45" t="n"/>
      <c r="E810" s="45" t="n"/>
      <c r="F810" s="45" t="n"/>
      <c r="G810" s="45" t="n"/>
      <c r="H810" s="45" t="n"/>
      <c r="I810" s="46" t="n"/>
      <c r="J810" s="45" t="n"/>
      <c r="K810" s="264" t="n"/>
      <c r="L810" s="39" t="n"/>
      <c r="M810" s="40" t="n"/>
      <c r="N810" s="42" t="n"/>
      <c r="O810" s="42" t="n"/>
      <c r="P810" s="41" t="n"/>
      <c r="Q810" s="41" t="n"/>
    </row>
    <row r="811">
      <c r="A811" s="47" t="n"/>
      <c r="B811" s="48" t="n"/>
      <c r="C811" s="47" t="n"/>
      <c r="D811" s="45" t="n"/>
      <c r="E811" s="45" t="n"/>
      <c r="F811" s="45" t="n"/>
      <c r="G811" s="45" t="n"/>
      <c r="H811" s="45" t="n"/>
      <c r="I811" s="46" t="n"/>
      <c r="J811" s="45" t="n"/>
      <c r="K811" s="264" t="n"/>
      <c r="L811" s="39" t="n"/>
      <c r="M811" s="40" t="n"/>
      <c r="N811" s="42" t="n"/>
      <c r="O811" s="42" t="n"/>
      <c r="P811" s="41" t="n"/>
      <c r="Q811" s="41" t="n"/>
    </row>
    <row r="812">
      <c r="A812" s="47" t="n"/>
      <c r="B812" s="48" t="n"/>
      <c r="C812" s="47" t="n"/>
      <c r="D812" s="45" t="n"/>
      <c r="E812" s="45" t="n"/>
      <c r="F812" s="45" t="n"/>
      <c r="G812" s="45" t="n"/>
      <c r="H812" s="45" t="n"/>
      <c r="I812" s="46" t="n"/>
      <c r="J812" s="45" t="n"/>
      <c r="K812" s="264" t="n"/>
      <c r="L812" s="39" t="n"/>
      <c r="M812" s="40" t="n"/>
      <c r="N812" s="42" t="n"/>
      <c r="O812" s="42" t="n"/>
      <c r="P812" s="41" t="n"/>
      <c r="Q812" s="41" t="n"/>
    </row>
    <row r="813">
      <c r="A813" s="47" t="n"/>
      <c r="B813" s="48" t="n"/>
      <c r="C813" s="47" t="n"/>
      <c r="D813" s="45" t="n"/>
      <c r="E813" s="45" t="n"/>
      <c r="F813" s="45" t="n"/>
      <c r="G813" s="45" t="n"/>
      <c r="H813" s="45" t="n"/>
      <c r="I813" s="46" t="n"/>
      <c r="J813" s="45" t="n"/>
      <c r="K813" s="264" t="n"/>
      <c r="L813" s="39" t="n"/>
      <c r="M813" s="40" t="n"/>
      <c r="N813" s="42" t="n"/>
      <c r="O813" s="42" t="n"/>
      <c r="P813" s="41" t="n"/>
      <c r="Q813" s="41" t="n"/>
    </row>
    <row r="814">
      <c r="A814" s="47" t="n"/>
      <c r="B814" s="48" t="n"/>
      <c r="C814" s="47" t="n"/>
      <c r="D814" s="45" t="n"/>
      <c r="E814" s="45" t="n"/>
      <c r="F814" s="45" t="n"/>
      <c r="G814" s="45" t="n"/>
      <c r="H814" s="45" t="n"/>
      <c r="I814" s="46" t="n"/>
      <c r="J814" s="45" t="n"/>
      <c r="K814" s="264" t="n"/>
      <c r="L814" s="39" t="n"/>
      <c r="M814" s="40" t="n"/>
      <c r="N814" s="42" t="n"/>
      <c r="O814" s="42" t="n"/>
      <c r="P814" s="41" t="n"/>
      <c r="Q814" s="41" t="n"/>
    </row>
    <row r="815">
      <c r="A815" s="47" t="n"/>
      <c r="B815" s="48" t="n"/>
      <c r="C815" s="47" t="n"/>
      <c r="D815" s="45" t="n"/>
      <c r="E815" s="45" t="n"/>
      <c r="F815" s="45" t="n"/>
      <c r="G815" s="45" t="n"/>
      <c r="H815" s="45" t="n"/>
      <c r="I815" s="46" t="n"/>
      <c r="J815" s="45" t="n"/>
      <c r="K815" s="264" t="n"/>
      <c r="L815" s="39" t="n"/>
      <c r="M815" s="40" t="n"/>
      <c r="N815" s="42" t="n"/>
      <c r="O815" s="42" t="n"/>
      <c r="P815" s="41" t="n"/>
      <c r="Q815" s="41" t="n"/>
    </row>
    <row r="816">
      <c r="A816" s="47" t="n"/>
      <c r="B816" s="48" t="n"/>
      <c r="C816" s="47" t="n"/>
      <c r="D816" s="45" t="n"/>
      <c r="E816" s="45" t="n"/>
      <c r="F816" s="45" t="n"/>
      <c r="G816" s="45" t="n"/>
      <c r="H816" s="45" t="n"/>
      <c r="I816" s="46" t="n"/>
      <c r="J816" s="45" t="n"/>
      <c r="K816" s="264" t="n"/>
      <c r="L816" s="39" t="n"/>
      <c r="M816" s="40" t="n"/>
      <c r="N816" s="42" t="n"/>
      <c r="O816" s="42" t="n"/>
      <c r="P816" s="41" t="n"/>
      <c r="Q816" s="41" t="n"/>
    </row>
    <row r="817">
      <c r="A817" s="47" t="n"/>
      <c r="B817" s="48" t="n"/>
      <c r="C817" s="47" t="n"/>
      <c r="D817" s="45" t="n"/>
      <c r="E817" s="45" t="n"/>
      <c r="F817" s="45" t="n"/>
      <c r="G817" s="45" t="n"/>
      <c r="H817" s="45" t="n"/>
      <c r="I817" s="46" t="n"/>
      <c r="J817" s="45" t="n"/>
      <c r="K817" s="264" t="n"/>
      <c r="L817" s="39" t="n"/>
      <c r="M817" s="40" t="n"/>
      <c r="N817" s="42" t="n"/>
      <c r="O817" s="42" t="n"/>
      <c r="P817" s="41" t="n"/>
      <c r="Q817" s="41" t="n"/>
    </row>
    <row r="818">
      <c r="A818" s="47" t="n"/>
      <c r="B818" s="48" t="n"/>
      <c r="C818" s="47" t="n"/>
      <c r="D818" s="45" t="n"/>
      <c r="E818" s="45" t="n"/>
      <c r="F818" s="45" t="n"/>
      <c r="G818" s="45" t="n"/>
      <c r="H818" s="45" t="n"/>
      <c r="I818" s="46" t="n"/>
      <c r="J818" s="45" t="n"/>
      <c r="K818" s="264" t="n"/>
      <c r="L818" s="39" t="n"/>
      <c r="M818" s="40" t="n"/>
      <c r="N818" s="42" t="n"/>
      <c r="O818" s="42" t="n"/>
      <c r="P818" s="41" t="n"/>
      <c r="Q818" s="41" t="n"/>
    </row>
    <row r="819">
      <c r="A819" s="47" t="n"/>
      <c r="B819" s="48" t="n"/>
      <c r="C819" s="47" t="n"/>
      <c r="D819" s="45" t="n"/>
      <c r="E819" s="45" t="n"/>
      <c r="F819" s="45" t="n"/>
      <c r="G819" s="45" t="n"/>
      <c r="H819" s="45" t="n"/>
      <c r="I819" s="46" t="n"/>
      <c r="J819" s="45" t="n"/>
      <c r="K819" s="264" t="n"/>
      <c r="L819" s="39" t="n"/>
      <c r="M819" s="40" t="n"/>
      <c r="N819" s="42" t="n"/>
      <c r="O819" s="42" t="n"/>
      <c r="P819" s="41" t="n"/>
      <c r="Q819" s="41" t="n"/>
    </row>
    <row r="820">
      <c r="A820" s="47" t="n"/>
      <c r="B820" s="48" t="n"/>
      <c r="C820" s="47" t="n"/>
      <c r="D820" s="45" t="n"/>
      <c r="E820" s="45" t="n"/>
      <c r="F820" s="45" t="n"/>
      <c r="G820" s="45" t="n"/>
      <c r="H820" s="45" t="n"/>
      <c r="I820" s="46" t="n"/>
      <c r="J820" s="45" t="n"/>
      <c r="K820" s="264" t="n"/>
      <c r="L820" s="39" t="n"/>
      <c r="M820" s="40" t="n"/>
      <c r="N820" s="42" t="n"/>
      <c r="O820" s="42" t="n"/>
      <c r="P820" s="41" t="n"/>
      <c r="Q820" s="41" t="n"/>
    </row>
    <row r="821">
      <c r="A821" s="47" t="n"/>
      <c r="B821" s="48" t="n"/>
      <c r="C821" s="47" t="n"/>
      <c r="D821" s="45" t="n"/>
      <c r="E821" s="45" t="n"/>
      <c r="F821" s="45" t="n"/>
      <c r="G821" s="45" t="n"/>
      <c r="H821" s="45" t="n"/>
      <c r="I821" s="46" t="n"/>
      <c r="J821" s="45" t="n"/>
      <c r="K821" s="264" t="n"/>
      <c r="L821" s="39" t="n"/>
      <c r="M821" s="40" t="n"/>
      <c r="N821" s="42" t="n"/>
      <c r="O821" s="42" t="n"/>
      <c r="P821" s="41" t="n"/>
      <c r="Q821" s="41" t="n"/>
    </row>
    <row r="822">
      <c r="A822" s="47" t="n"/>
      <c r="B822" s="48" t="n"/>
      <c r="C822" s="47" t="n"/>
      <c r="D822" s="45" t="n"/>
      <c r="E822" s="45" t="n"/>
      <c r="F822" s="45" t="n"/>
      <c r="G822" s="45" t="n"/>
      <c r="H822" s="45" t="n"/>
      <c r="I822" s="46" t="n"/>
      <c r="J822" s="45" t="n"/>
      <c r="K822" s="264" t="n"/>
      <c r="L822" s="39" t="n"/>
      <c r="M822" s="40" t="n"/>
      <c r="N822" s="42" t="n"/>
      <c r="O822" s="42" t="n"/>
      <c r="P822" s="41" t="n"/>
      <c r="Q822" s="41" t="n"/>
    </row>
    <row r="823">
      <c r="A823" s="47" t="n"/>
      <c r="B823" s="48" t="n"/>
      <c r="C823" s="47" t="n"/>
      <c r="D823" s="45" t="n"/>
      <c r="E823" s="45" t="n"/>
      <c r="F823" s="45" t="n"/>
      <c r="G823" s="45" t="n"/>
      <c r="H823" s="45" t="n"/>
      <c r="I823" s="46" t="n"/>
      <c r="J823" s="45" t="n"/>
      <c r="K823" s="264" t="n"/>
      <c r="L823" s="39" t="n"/>
      <c r="M823" s="40" t="n"/>
      <c r="N823" s="42" t="n"/>
      <c r="O823" s="42" t="n"/>
      <c r="P823" s="41" t="n"/>
      <c r="Q823" s="41" t="n"/>
    </row>
    <row r="824">
      <c r="A824" s="47" t="n"/>
      <c r="B824" s="48" t="n"/>
      <c r="C824" s="47" t="n"/>
      <c r="D824" s="45" t="n"/>
      <c r="E824" s="45" t="n"/>
      <c r="F824" s="45" t="n"/>
      <c r="G824" s="45" t="n"/>
      <c r="H824" s="45" t="n"/>
      <c r="I824" s="46" t="n"/>
      <c r="J824" s="45" t="n"/>
      <c r="K824" s="264" t="n"/>
      <c r="L824" s="39" t="n"/>
      <c r="M824" s="40" t="n"/>
      <c r="N824" s="42" t="n"/>
      <c r="O824" s="42" t="n"/>
      <c r="P824" s="41" t="n"/>
      <c r="Q824" s="41" t="n"/>
    </row>
    <row r="825">
      <c r="A825" s="47" t="n"/>
      <c r="B825" s="48" t="n"/>
      <c r="C825" s="47" t="n"/>
      <c r="D825" s="45" t="n"/>
      <c r="E825" s="45" t="n"/>
      <c r="F825" s="45" t="n"/>
      <c r="G825" s="45" t="n"/>
      <c r="H825" s="45" t="n"/>
      <c r="I825" s="46" t="n"/>
      <c r="J825" s="45" t="n"/>
      <c r="K825" s="264" t="n"/>
      <c r="L825" s="39" t="n"/>
      <c r="M825" s="40" t="n"/>
      <c r="N825" s="42" t="n"/>
      <c r="O825" s="42" t="n"/>
      <c r="P825" s="41" t="n"/>
      <c r="Q825" s="41" t="n"/>
    </row>
    <row r="826">
      <c r="A826" s="47" t="n"/>
      <c r="B826" s="48" t="n"/>
      <c r="C826" s="47" t="n"/>
      <c r="D826" s="45" t="n"/>
      <c r="E826" s="45" t="n"/>
      <c r="F826" s="45" t="n"/>
      <c r="G826" s="45" t="n"/>
      <c r="H826" s="45" t="n"/>
      <c r="I826" s="46" t="n"/>
      <c r="J826" s="45" t="n"/>
      <c r="K826" s="264" t="n"/>
      <c r="L826" s="39" t="n"/>
      <c r="M826" s="40" t="n"/>
      <c r="N826" s="42" t="n"/>
      <c r="O826" s="42" t="n"/>
      <c r="P826" s="41" t="n"/>
      <c r="Q826" s="41" t="n"/>
    </row>
    <row r="827">
      <c r="A827" s="47" t="n"/>
      <c r="B827" s="48" t="n"/>
      <c r="C827" s="47" t="n"/>
      <c r="D827" s="45" t="n"/>
      <c r="E827" s="45" t="n"/>
      <c r="F827" s="45" t="n"/>
      <c r="G827" s="45" t="n"/>
      <c r="H827" s="45" t="n"/>
      <c r="I827" s="46" t="n"/>
      <c r="J827" s="45" t="n"/>
      <c r="K827" s="264" t="n"/>
      <c r="L827" s="39" t="n"/>
      <c r="M827" s="40" t="n"/>
      <c r="N827" s="42" t="n"/>
      <c r="O827" s="42" t="n"/>
      <c r="P827" s="41" t="n"/>
      <c r="Q827" s="41" t="n"/>
    </row>
    <row r="828">
      <c r="A828" s="47" t="n"/>
      <c r="B828" s="48" t="n"/>
      <c r="C828" s="47" t="n"/>
      <c r="D828" s="45" t="n"/>
      <c r="E828" s="45" t="n"/>
      <c r="F828" s="45" t="n"/>
      <c r="G828" s="45" t="n"/>
      <c r="H828" s="45" t="n"/>
      <c r="I828" s="46" t="n"/>
      <c r="J828" s="45" t="n"/>
      <c r="K828" s="264" t="n"/>
      <c r="L828" s="39" t="n"/>
      <c r="M828" s="40" t="n"/>
      <c r="N828" s="42" t="n"/>
      <c r="O828" s="42" t="n"/>
      <c r="P828" s="41" t="n"/>
      <c r="Q828" s="41" t="n"/>
    </row>
    <row r="829">
      <c r="A829" s="47" t="n"/>
      <c r="B829" s="48" t="n"/>
      <c r="C829" s="47" t="n"/>
      <c r="D829" s="45" t="n"/>
      <c r="E829" s="45" t="n"/>
      <c r="F829" s="45" t="n"/>
      <c r="G829" s="45" t="n"/>
      <c r="H829" s="45" t="n"/>
      <c r="I829" s="46" t="n"/>
      <c r="J829" s="45" t="n"/>
      <c r="K829" s="264" t="n"/>
      <c r="L829" s="39" t="n"/>
      <c r="M829" s="40" t="n"/>
      <c r="N829" s="42" t="n"/>
      <c r="O829" s="42" t="n"/>
      <c r="P829" s="41" t="n"/>
      <c r="Q829" s="41" t="n"/>
    </row>
    <row r="830">
      <c r="A830" s="47" t="n"/>
      <c r="B830" s="48" t="n"/>
      <c r="C830" s="47" t="n"/>
      <c r="D830" s="45" t="n"/>
      <c r="E830" s="45" t="n"/>
      <c r="F830" s="45" t="n"/>
      <c r="G830" s="45" t="n"/>
      <c r="H830" s="45" t="n"/>
      <c r="I830" s="46" t="n"/>
      <c r="J830" s="45" t="n"/>
      <c r="K830" s="264" t="n"/>
      <c r="L830" s="39" t="n"/>
      <c r="M830" s="40" t="n"/>
      <c r="N830" s="42" t="n"/>
      <c r="O830" s="42" t="n"/>
      <c r="P830" s="41" t="n"/>
      <c r="Q830" s="41" t="n"/>
    </row>
    <row r="831">
      <c r="A831" s="47" t="n"/>
      <c r="B831" s="48" t="n"/>
      <c r="C831" s="47" t="n"/>
      <c r="D831" s="45" t="n"/>
      <c r="E831" s="45" t="n"/>
      <c r="F831" s="45" t="n"/>
      <c r="G831" s="45" t="n"/>
      <c r="H831" s="45" t="n"/>
      <c r="I831" s="46" t="n"/>
      <c r="J831" s="45" t="n"/>
      <c r="K831" s="264" t="n"/>
      <c r="L831" s="39" t="n"/>
      <c r="M831" s="40" t="n"/>
      <c r="N831" s="42" t="n"/>
      <c r="O831" s="42" t="n"/>
      <c r="P831" s="41" t="n"/>
      <c r="Q831" s="41" t="n"/>
    </row>
    <row r="832">
      <c r="A832" s="47" t="n"/>
      <c r="B832" s="48" t="n"/>
      <c r="C832" s="47" t="n"/>
      <c r="D832" s="45" t="n"/>
      <c r="E832" s="45" t="n"/>
      <c r="F832" s="45" t="n"/>
      <c r="G832" s="45" t="n"/>
      <c r="H832" s="45" t="n"/>
      <c r="I832" s="46" t="n"/>
      <c r="J832" s="45" t="n"/>
      <c r="K832" s="264" t="n"/>
      <c r="L832" s="39" t="n"/>
      <c r="M832" s="40" t="n"/>
      <c r="N832" s="42" t="n"/>
      <c r="O832" s="42" t="n"/>
      <c r="P832" s="41" t="n"/>
      <c r="Q832" s="41" t="n"/>
    </row>
    <row r="833">
      <c r="A833" s="47" t="n"/>
      <c r="B833" s="48" t="n"/>
      <c r="C833" s="47" t="n"/>
      <c r="D833" s="45" t="n"/>
      <c r="E833" s="45" t="n"/>
      <c r="F833" s="45" t="n"/>
      <c r="G833" s="45" t="n"/>
      <c r="H833" s="45" t="n"/>
      <c r="I833" s="46" t="n"/>
      <c r="J833" s="45" t="n"/>
      <c r="K833" s="264" t="n"/>
      <c r="L833" s="39" t="n"/>
      <c r="M833" s="40" t="n"/>
      <c r="N833" s="42" t="n"/>
      <c r="O833" s="42" t="n"/>
      <c r="P833" s="41" t="n"/>
      <c r="Q833" s="41" t="n"/>
    </row>
    <row r="834">
      <c r="A834" s="47" t="n"/>
      <c r="B834" s="48" t="n"/>
      <c r="C834" s="47" t="n"/>
      <c r="D834" s="45" t="n"/>
      <c r="E834" s="45" t="n"/>
      <c r="F834" s="45" t="n"/>
      <c r="G834" s="45" t="n"/>
      <c r="H834" s="45" t="n"/>
      <c r="I834" s="46" t="n"/>
      <c r="J834" s="45" t="n"/>
      <c r="K834" s="264" t="n"/>
      <c r="L834" s="39" t="n"/>
      <c r="M834" s="40" t="n"/>
      <c r="N834" s="42" t="n"/>
      <c r="O834" s="42" t="n"/>
      <c r="P834" s="41" t="n"/>
      <c r="Q834" s="41" t="n"/>
    </row>
    <row r="835">
      <c r="A835" s="47" t="n"/>
      <c r="B835" s="48" t="n"/>
      <c r="C835" s="47" t="n"/>
      <c r="D835" s="45" t="n"/>
      <c r="E835" s="45" t="n"/>
      <c r="F835" s="45" t="n"/>
      <c r="G835" s="45" t="n"/>
      <c r="H835" s="45" t="n"/>
      <c r="I835" s="46" t="n"/>
      <c r="J835" s="45" t="n"/>
      <c r="K835" s="264" t="n"/>
      <c r="L835" s="39" t="n"/>
      <c r="M835" s="40" t="n"/>
      <c r="N835" s="42" t="n"/>
      <c r="O835" s="42" t="n"/>
      <c r="P835" s="41" t="n"/>
      <c r="Q835" s="41" t="n"/>
    </row>
    <row r="836">
      <c r="A836" s="47" t="n"/>
      <c r="B836" s="48" t="n"/>
      <c r="C836" s="47" t="n"/>
      <c r="D836" s="45" t="n"/>
      <c r="E836" s="45" t="n"/>
      <c r="F836" s="45" t="n"/>
      <c r="G836" s="45" t="n"/>
      <c r="H836" s="45" t="n"/>
      <c r="I836" s="46" t="n"/>
      <c r="J836" s="45" t="n"/>
      <c r="K836" s="264" t="n"/>
      <c r="L836" s="39" t="n"/>
      <c r="M836" s="40" t="n"/>
      <c r="N836" s="42" t="n"/>
      <c r="O836" s="42" t="n"/>
      <c r="P836" s="41" t="n"/>
      <c r="Q836" s="41" t="n"/>
    </row>
    <row r="837">
      <c r="A837" s="47" t="n"/>
      <c r="B837" s="48" t="n"/>
      <c r="C837" s="47" t="n"/>
      <c r="D837" s="45" t="n"/>
      <c r="E837" s="45" t="n"/>
      <c r="F837" s="45" t="n"/>
      <c r="G837" s="45" t="n"/>
      <c r="H837" s="45" t="n"/>
      <c r="I837" s="46" t="n"/>
      <c r="J837" s="45" t="n"/>
      <c r="K837" s="264" t="n"/>
      <c r="L837" s="39" t="n"/>
      <c r="M837" s="40" t="n"/>
      <c r="N837" s="42" t="n"/>
      <c r="O837" s="42" t="n"/>
      <c r="P837" s="41" t="n"/>
      <c r="Q837" s="41" t="n"/>
    </row>
    <row r="838">
      <c r="A838" s="47" t="n"/>
      <c r="B838" s="48" t="n"/>
      <c r="C838" s="47" t="n"/>
      <c r="D838" s="45" t="n"/>
      <c r="E838" s="45" t="n"/>
      <c r="F838" s="45" t="n"/>
      <c r="G838" s="45" t="n"/>
      <c r="H838" s="45" t="n"/>
      <c r="I838" s="46" t="n"/>
      <c r="J838" s="45" t="n"/>
      <c r="K838" s="264" t="n"/>
      <c r="L838" s="39" t="n"/>
      <c r="M838" s="40" t="n"/>
      <c r="N838" s="42" t="n"/>
      <c r="O838" s="42" t="n"/>
      <c r="P838" s="41" t="n"/>
      <c r="Q838" s="41" t="n"/>
    </row>
    <row r="839">
      <c r="A839" s="47" t="n"/>
      <c r="B839" s="48" t="n"/>
      <c r="C839" s="47" t="n"/>
      <c r="D839" s="45" t="n"/>
      <c r="E839" s="45" t="n"/>
      <c r="F839" s="45" t="n"/>
      <c r="G839" s="45" t="n"/>
      <c r="H839" s="45" t="n"/>
      <c r="I839" s="46" t="n"/>
      <c r="J839" s="45" t="n"/>
      <c r="K839" s="264" t="n"/>
      <c r="L839" s="39" t="n"/>
      <c r="M839" s="40" t="n"/>
      <c r="N839" s="42" t="n"/>
      <c r="O839" s="42" t="n"/>
      <c r="P839" s="41" t="n"/>
      <c r="Q839" s="41" t="n"/>
    </row>
    <row r="840">
      <c r="A840" s="47" t="n"/>
      <c r="B840" s="48" t="n"/>
      <c r="C840" s="47" t="n"/>
      <c r="D840" s="45" t="n"/>
      <c r="E840" s="45" t="n"/>
      <c r="F840" s="45" t="n"/>
      <c r="G840" s="45" t="n"/>
      <c r="H840" s="45" t="n"/>
      <c r="I840" s="46" t="n"/>
      <c r="J840" s="45" t="n"/>
      <c r="K840" s="264" t="n"/>
      <c r="L840" s="39" t="n"/>
      <c r="M840" s="40" t="n"/>
      <c r="N840" s="42" t="n"/>
      <c r="O840" s="42" t="n"/>
      <c r="P840" s="41" t="n"/>
      <c r="Q840" s="41" t="n"/>
    </row>
    <row r="841">
      <c r="A841" s="47" t="n"/>
      <c r="B841" s="48" t="n"/>
      <c r="C841" s="47" t="n"/>
      <c r="D841" s="45" t="n"/>
      <c r="E841" s="45" t="n"/>
      <c r="F841" s="45" t="n"/>
      <c r="G841" s="45" t="n"/>
      <c r="H841" s="45" t="n"/>
      <c r="I841" s="46" t="n"/>
      <c r="J841" s="45" t="n"/>
      <c r="K841" s="264" t="n"/>
      <c r="L841" s="39" t="n"/>
      <c r="M841" s="40" t="n"/>
      <c r="N841" s="42" t="n"/>
      <c r="O841" s="42" t="n"/>
      <c r="P841" s="41" t="n"/>
      <c r="Q841" s="41" t="n"/>
    </row>
    <row r="842">
      <c r="A842" s="47" t="n"/>
      <c r="B842" s="48" t="n"/>
      <c r="C842" s="47" t="n"/>
      <c r="D842" s="45" t="n"/>
      <c r="E842" s="45" t="n"/>
      <c r="F842" s="45" t="n"/>
      <c r="G842" s="45" t="n"/>
      <c r="H842" s="45" t="n"/>
      <c r="I842" s="46" t="n"/>
      <c r="J842" s="45" t="n"/>
      <c r="K842" s="264" t="n"/>
      <c r="L842" s="39" t="n"/>
      <c r="M842" s="40" t="n"/>
      <c r="N842" s="42" t="n"/>
      <c r="O842" s="42" t="n"/>
      <c r="P842" s="41" t="n"/>
      <c r="Q842" s="41" t="n"/>
    </row>
    <row r="843">
      <c r="A843" s="47" t="n"/>
      <c r="B843" s="48" t="n"/>
      <c r="C843" s="47" t="n"/>
      <c r="D843" s="45" t="n"/>
      <c r="E843" s="45" t="n"/>
      <c r="F843" s="45" t="n"/>
      <c r="G843" s="45" t="n"/>
      <c r="H843" s="45" t="n"/>
      <c r="I843" s="46" t="n"/>
      <c r="J843" s="45" t="n"/>
      <c r="K843" s="264" t="n"/>
      <c r="L843" s="39" t="n"/>
      <c r="M843" s="40" t="n"/>
      <c r="N843" s="42" t="n"/>
      <c r="O843" s="42" t="n"/>
      <c r="P843" s="41" t="n"/>
      <c r="Q843" s="41" t="n"/>
    </row>
    <row r="844">
      <c r="A844" s="47" t="n"/>
      <c r="B844" s="48" t="n"/>
      <c r="C844" s="47" t="n"/>
      <c r="D844" s="45" t="n"/>
      <c r="E844" s="45" t="n"/>
      <c r="F844" s="45" t="n"/>
      <c r="G844" s="45" t="n"/>
      <c r="H844" s="45" t="n"/>
      <c r="I844" s="46" t="n"/>
      <c r="J844" s="45" t="n"/>
      <c r="K844" s="264" t="n"/>
      <c r="L844" s="39" t="n"/>
      <c r="M844" s="40" t="n"/>
      <c r="N844" s="42" t="n"/>
      <c r="O844" s="42" t="n"/>
      <c r="P844" s="41" t="n"/>
      <c r="Q844" s="41" t="n"/>
    </row>
    <row r="845">
      <c r="A845" s="47" t="n"/>
      <c r="B845" s="48" t="n"/>
      <c r="C845" s="47" t="n"/>
      <c r="D845" s="45" t="n"/>
      <c r="E845" s="45" t="n"/>
      <c r="F845" s="45" t="n"/>
      <c r="G845" s="45" t="n"/>
      <c r="H845" s="45" t="n"/>
      <c r="I845" s="46" t="n"/>
      <c r="J845" s="45" t="n"/>
      <c r="K845" s="264" t="n"/>
      <c r="L845" s="39" t="n"/>
      <c r="M845" s="40" t="n"/>
      <c r="N845" s="42" t="n"/>
      <c r="O845" s="42" t="n"/>
      <c r="P845" s="41" t="n"/>
      <c r="Q845" s="41" t="n"/>
    </row>
    <row r="846">
      <c r="A846" s="47" t="n"/>
      <c r="B846" s="48" t="n"/>
      <c r="C846" s="47" t="n"/>
      <c r="D846" s="45" t="n"/>
      <c r="E846" s="45" t="n"/>
      <c r="F846" s="45" t="n"/>
      <c r="G846" s="45" t="n"/>
      <c r="H846" s="45" t="n"/>
      <c r="I846" s="46" t="n"/>
      <c r="J846" s="45" t="n"/>
      <c r="K846" s="264" t="n"/>
      <c r="L846" s="39" t="n"/>
      <c r="M846" s="40" t="n"/>
      <c r="N846" s="42" t="n"/>
      <c r="O846" s="42" t="n"/>
      <c r="P846" s="41" t="n"/>
      <c r="Q846" s="41" t="n"/>
    </row>
    <row r="847">
      <c r="A847" s="47" t="n"/>
      <c r="B847" s="48" t="n"/>
      <c r="C847" s="47" t="n"/>
      <c r="D847" s="45" t="n"/>
      <c r="E847" s="45" t="n"/>
      <c r="F847" s="45" t="n"/>
      <c r="G847" s="45" t="n"/>
      <c r="H847" s="45" t="n"/>
      <c r="I847" s="46" t="n"/>
      <c r="J847" s="45" t="n"/>
      <c r="K847" s="264" t="n"/>
      <c r="L847" s="39" t="n"/>
      <c r="M847" s="40" t="n"/>
      <c r="N847" s="42" t="n"/>
      <c r="O847" s="42" t="n"/>
      <c r="P847" s="41" t="n"/>
      <c r="Q847" s="41" t="n"/>
    </row>
    <row r="848">
      <c r="A848" s="47" t="n"/>
      <c r="B848" s="48" t="n"/>
      <c r="C848" s="47" t="n"/>
      <c r="D848" s="45" t="n"/>
      <c r="E848" s="45" t="n"/>
      <c r="F848" s="45" t="n"/>
      <c r="G848" s="45" t="n"/>
      <c r="H848" s="45" t="n"/>
      <c r="I848" s="46" t="n"/>
      <c r="J848" s="45" t="n"/>
      <c r="K848" s="264" t="n"/>
      <c r="L848" s="39" t="n"/>
      <c r="M848" s="40" t="n"/>
      <c r="N848" s="42" t="n"/>
      <c r="O848" s="42" t="n"/>
      <c r="P848" s="41" t="n"/>
      <c r="Q848" s="41" t="n"/>
    </row>
    <row r="849">
      <c r="A849" s="47" t="n"/>
      <c r="B849" s="48" t="n"/>
      <c r="C849" s="47" t="n"/>
      <c r="D849" s="45" t="n"/>
      <c r="E849" s="45" t="n"/>
      <c r="F849" s="45" t="n"/>
      <c r="G849" s="45" t="n"/>
      <c r="H849" s="45" t="n"/>
      <c r="I849" s="46" t="n"/>
      <c r="J849" s="45" t="n"/>
      <c r="K849" s="264" t="n"/>
      <c r="L849" s="39" t="n"/>
      <c r="M849" s="40" t="n"/>
      <c r="N849" s="42" t="n"/>
      <c r="O849" s="42" t="n"/>
      <c r="P849" s="41" t="n"/>
      <c r="Q849" s="41" t="n"/>
    </row>
    <row r="850">
      <c r="A850" s="47" t="n"/>
      <c r="B850" s="48" t="n"/>
      <c r="C850" s="47" t="n"/>
      <c r="D850" s="45" t="n"/>
      <c r="E850" s="45" t="n"/>
      <c r="F850" s="45" t="n"/>
      <c r="G850" s="45" t="n"/>
      <c r="H850" s="45" t="n"/>
      <c r="I850" s="46" t="n"/>
      <c r="J850" s="45" t="n"/>
      <c r="K850" s="264" t="n"/>
      <c r="L850" s="39" t="n"/>
      <c r="M850" s="40" t="n"/>
      <c r="N850" s="42" t="n"/>
      <c r="O850" s="42" t="n"/>
      <c r="P850" s="41" t="n"/>
      <c r="Q850" s="41" t="n"/>
    </row>
    <row r="851">
      <c r="A851" s="47" t="n"/>
      <c r="B851" s="48" t="n"/>
      <c r="C851" s="47" t="n"/>
      <c r="D851" s="45" t="n"/>
      <c r="E851" s="45" t="n"/>
      <c r="F851" s="45" t="n"/>
      <c r="G851" s="45" t="n"/>
      <c r="H851" s="45" t="n"/>
      <c r="I851" s="46" t="n"/>
      <c r="J851" s="45" t="n"/>
      <c r="K851" s="264" t="n"/>
      <c r="L851" s="39" t="n"/>
      <c r="M851" s="40" t="n"/>
      <c r="N851" s="42" t="n"/>
      <c r="O851" s="42" t="n"/>
      <c r="P851" s="41" t="n"/>
      <c r="Q851" s="41" t="n"/>
    </row>
    <row r="852">
      <c r="A852" s="47" t="n"/>
      <c r="B852" s="48" t="n"/>
      <c r="C852" s="47" t="n"/>
      <c r="D852" s="45" t="n"/>
      <c r="E852" s="45" t="n"/>
      <c r="F852" s="45" t="n"/>
      <c r="G852" s="45" t="n"/>
      <c r="H852" s="45" t="n"/>
      <c r="I852" s="46" t="n"/>
      <c r="J852" s="45" t="n"/>
      <c r="K852" s="264" t="n"/>
      <c r="L852" s="39" t="n"/>
      <c r="M852" s="40" t="n"/>
      <c r="N852" s="42" t="n"/>
      <c r="O852" s="42" t="n"/>
      <c r="P852" s="41" t="n"/>
      <c r="Q852" s="41" t="n"/>
    </row>
    <row r="853">
      <c r="A853" s="47" t="n"/>
      <c r="B853" s="48" t="n"/>
      <c r="C853" s="47" t="n"/>
      <c r="D853" s="45" t="n"/>
      <c r="E853" s="45" t="n"/>
      <c r="F853" s="45" t="n"/>
      <c r="G853" s="45" t="n"/>
      <c r="H853" s="45" t="n"/>
      <c r="I853" s="46" t="n"/>
      <c r="J853" s="45" t="n"/>
      <c r="K853" s="264" t="n"/>
      <c r="L853" s="39" t="n"/>
      <c r="M853" s="40" t="n"/>
      <c r="N853" s="42" t="n"/>
      <c r="O853" s="42" t="n"/>
      <c r="P853" s="41" t="n"/>
      <c r="Q853" s="41" t="n"/>
    </row>
    <row r="854">
      <c r="A854" s="47" t="n"/>
      <c r="B854" s="48" t="n"/>
      <c r="C854" s="47" t="n"/>
      <c r="D854" s="45" t="n"/>
      <c r="E854" s="45" t="n"/>
      <c r="F854" s="45" t="n"/>
      <c r="G854" s="45" t="n"/>
      <c r="H854" s="45" t="n"/>
      <c r="I854" s="46" t="n"/>
      <c r="J854" s="45" t="n"/>
      <c r="K854" s="264" t="n"/>
      <c r="L854" s="39" t="n"/>
      <c r="M854" s="40" t="n"/>
      <c r="N854" s="42" t="n"/>
      <c r="O854" s="42" t="n"/>
      <c r="P854" s="41" t="n"/>
      <c r="Q854" s="41" t="n"/>
    </row>
    <row r="855">
      <c r="A855" s="47" t="n"/>
      <c r="B855" s="48" t="n"/>
      <c r="C855" s="47" t="n"/>
      <c r="D855" s="45" t="n"/>
      <c r="E855" s="45" t="n"/>
      <c r="F855" s="45" t="n"/>
      <c r="G855" s="45" t="n"/>
      <c r="H855" s="45" t="n"/>
      <c r="I855" s="46" t="n"/>
      <c r="J855" s="45" t="n"/>
      <c r="K855" s="264" t="n"/>
      <c r="L855" s="39" t="n"/>
      <c r="M855" s="40" t="n"/>
      <c r="N855" s="42" t="n"/>
      <c r="O855" s="42" t="n"/>
      <c r="P855" s="41" t="n"/>
      <c r="Q855" s="41" t="n"/>
    </row>
    <row r="856">
      <c r="A856" s="47" t="n"/>
      <c r="B856" s="48" t="n"/>
      <c r="C856" s="47" t="n"/>
      <c r="D856" s="45" t="n"/>
      <c r="E856" s="45" t="n"/>
      <c r="F856" s="45" t="n"/>
      <c r="G856" s="45" t="n"/>
      <c r="H856" s="45" t="n"/>
      <c r="I856" s="46" t="n"/>
      <c r="J856" s="45" t="n"/>
      <c r="K856" s="264" t="n"/>
      <c r="L856" s="39" t="n"/>
      <c r="M856" s="40" t="n"/>
      <c r="N856" s="42" t="n"/>
      <c r="O856" s="42" t="n"/>
      <c r="P856" s="41" t="n"/>
      <c r="Q856" s="41" t="n"/>
    </row>
    <row r="857">
      <c r="A857" s="47" t="n"/>
      <c r="B857" s="48" t="n"/>
      <c r="C857" s="47" t="n"/>
      <c r="D857" s="45" t="n"/>
      <c r="E857" s="45" t="n"/>
      <c r="F857" s="45" t="n"/>
      <c r="G857" s="45" t="n"/>
      <c r="H857" s="45" t="n"/>
      <c r="I857" s="46" t="n"/>
      <c r="J857" s="45" t="n"/>
      <c r="K857" s="264" t="n"/>
      <c r="L857" s="39" t="n"/>
      <c r="M857" s="40" t="n"/>
      <c r="N857" s="42" t="n"/>
      <c r="O857" s="42" t="n"/>
      <c r="P857" s="41" t="n"/>
      <c r="Q857" s="41" t="n"/>
    </row>
    <row r="858">
      <c r="A858" s="47" t="n"/>
      <c r="B858" s="48" t="n"/>
      <c r="C858" s="47" t="n"/>
      <c r="D858" s="45" t="n"/>
      <c r="E858" s="45" t="n"/>
      <c r="F858" s="45" t="n"/>
      <c r="G858" s="45" t="n"/>
      <c r="H858" s="45" t="n"/>
      <c r="I858" s="46" t="n"/>
      <c r="J858" s="45" t="n"/>
      <c r="K858" s="264" t="n"/>
      <c r="L858" s="39" t="n"/>
      <c r="M858" s="40" t="n"/>
      <c r="N858" s="42" t="n"/>
      <c r="O858" s="42" t="n"/>
      <c r="P858" s="41" t="n"/>
      <c r="Q858" s="41" t="n"/>
    </row>
    <row r="859">
      <c r="A859" s="47" t="n"/>
      <c r="B859" s="48" t="n"/>
      <c r="C859" s="47" t="n"/>
      <c r="D859" s="45" t="n"/>
      <c r="E859" s="45" t="n"/>
      <c r="F859" s="45" t="n"/>
      <c r="G859" s="45" t="n"/>
      <c r="H859" s="45" t="n"/>
      <c r="I859" s="46" t="n"/>
      <c r="J859" s="45" t="n"/>
      <c r="K859" s="264" t="n"/>
      <c r="L859" s="39" t="n"/>
      <c r="M859" s="40" t="n"/>
      <c r="N859" s="42" t="n"/>
      <c r="O859" s="42" t="n"/>
      <c r="P859" s="41" t="n"/>
      <c r="Q859" s="41" t="n"/>
    </row>
    <row r="860">
      <c r="A860" s="47" t="n"/>
      <c r="B860" s="48" t="n"/>
      <c r="C860" s="47" t="n"/>
      <c r="D860" s="45" t="n"/>
      <c r="E860" s="45" t="n"/>
      <c r="F860" s="45" t="n"/>
      <c r="G860" s="45" t="n"/>
      <c r="H860" s="45" t="n"/>
      <c r="I860" s="46" t="n"/>
      <c r="J860" s="45" t="n"/>
      <c r="K860" s="264" t="n"/>
      <c r="L860" s="39" t="n"/>
      <c r="M860" s="40" t="n"/>
      <c r="N860" s="42" t="n"/>
      <c r="O860" s="42" t="n"/>
      <c r="P860" s="41" t="n"/>
      <c r="Q860" s="41" t="n"/>
    </row>
    <row r="861">
      <c r="A861" s="47" t="n"/>
      <c r="B861" s="48" t="n"/>
      <c r="C861" s="47" t="n"/>
      <c r="D861" s="45" t="n"/>
      <c r="E861" s="45" t="n"/>
      <c r="F861" s="45" t="n"/>
      <c r="G861" s="45" t="n"/>
      <c r="H861" s="45" t="n"/>
      <c r="I861" s="46" t="n"/>
      <c r="J861" s="45" t="n"/>
      <c r="K861" s="264" t="n"/>
      <c r="L861" s="39" t="n"/>
      <c r="M861" s="40" t="n"/>
      <c r="N861" s="42" t="n"/>
      <c r="O861" s="42" t="n"/>
      <c r="P861" s="41" t="n"/>
      <c r="Q861" s="41" t="n"/>
    </row>
    <row r="862">
      <c r="A862" s="47" t="n"/>
      <c r="B862" s="48" t="n"/>
      <c r="C862" s="47" t="n"/>
      <c r="D862" s="45" t="n"/>
      <c r="E862" s="45" t="n"/>
      <c r="F862" s="45" t="n"/>
      <c r="G862" s="45" t="n"/>
      <c r="H862" s="45" t="n"/>
      <c r="I862" s="46" t="n"/>
      <c r="J862" s="45" t="n"/>
      <c r="K862" s="264" t="n"/>
      <c r="L862" s="39" t="n"/>
      <c r="M862" s="40" t="n"/>
      <c r="N862" s="42" t="n"/>
      <c r="O862" s="42" t="n"/>
      <c r="P862" s="41" t="n"/>
      <c r="Q862" s="41" t="n"/>
    </row>
    <row r="863">
      <c r="A863" s="47" t="n"/>
      <c r="B863" s="48" t="n"/>
      <c r="C863" s="47" t="n"/>
      <c r="D863" s="45" t="n"/>
      <c r="E863" s="45" t="n"/>
      <c r="F863" s="45" t="n"/>
      <c r="G863" s="45" t="n"/>
      <c r="H863" s="45" t="n"/>
      <c r="I863" s="46" t="n"/>
      <c r="J863" s="45" t="n"/>
      <c r="K863" s="264" t="n"/>
      <c r="L863" s="39" t="n"/>
      <c r="M863" s="40" t="n"/>
      <c r="N863" s="42" t="n"/>
      <c r="O863" s="42" t="n"/>
      <c r="P863" s="41" t="n"/>
      <c r="Q863" s="41" t="n"/>
    </row>
    <row r="864">
      <c r="A864" s="47" t="n"/>
      <c r="B864" s="48" t="n"/>
      <c r="C864" s="47" t="n"/>
      <c r="D864" s="45" t="n"/>
      <c r="E864" s="45" t="n"/>
      <c r="F864" s="45" t="n"/>
      <c r="G864" s="45" t="n"/>
      <c r="H864" s="45" t="n"/>
      <c r="I864" s="46" t="n"/>
      <c r="J864" s="45" t="n"/>
      <c r="K864" s="264" t="n"/>
      <c r="L864" s="39" t="n"/>
      <c r="M864" s="40" t="n"/>
      <c r="N864" s="42" t="n"/>
      <c r="O864" s="42" t="n"/>
      <c r="P864" s="41" t="n"/>
      <c r="Q864" s="41" t="n"/>
    </row>
    <row r="865">
      <c r="A865" s="47" t="n"/>
      <c r="B865" s="48" t="n"/>
      <c r="C865" s="47" t="n"/>
      <c r="D865" s="45" t="n"/>
      <c r="E865" s="45" t="n"/>
      <c r="F865" s="45" t="n"/>
      <c r="G865" s="45" t="n"/>
      <c r="H865" s="45" t="n"/>
      <c r="I865" s="46" t="n"/>
      <c r="J865" s="45" t="n"/>
      <c r="K865" s="264" t="n"/>
      <c r="L865" s="39" t="n"/>
      <c r="M865" s="40" t="n"/>
      <c r="N865" s="42" t="n"/>
      <c r="O865" s="42" t="n"/>
      <c r="P865" s="41" t="n"/>
      <c r="Q865" s="41" t="n"/>
    </row>
    <row r="866">
      <c r="A866" s="47" t="n"/>
      <c r="B866" s="48" t="n"/>
      <c r="C866" s="47" t="n"/>
      <c r="D866" s="45" t="n"/>
      <c r="E866" s="45" t="n"/>
      <c r="F866" s="45" t="n"/>
      <c r="G866" s="45" t="n"/>
      <c r="H866" s="45" t="n"/>
      <c r="I866" s="46" t="n"/>
      <c r="J866" s="45" t="n"/>
      <c r="K866" s="264" t="n"/>
      <c r="L866" s="39" t="n"/>
      <c r="M866" s="40" t="n"/>
      <c r="N866" s="42" t="n"/>
      <c r="O866" s="42" t="n"/>
      <c r="P866" s="41" t="n"/>
      <c r="Q866" s="41" t="n"/>
    </row>
    <row r="867">
      <c r="A867" s="47" t="n"/>
      <c r="B867" s="48" t="n"/>
      <c r="C867" s="47" t="n"/>
      <c r="D867" s="45" t="n"/>
      <c r="E867" s="45" t="n"/>
      <c r="F867" s="45" t="n"/>
      <c r="G867" s="45" t="n"/>
      <c r="H867" s="45" t="n"/>
      <c r="I867" s="46" t="n"/>
      <c r="J867" s="45" t="n"/>
      <c r="K867" s="264" t="n"/>
      <c r="L867" s="39" t="n"/>
      <c r="M867" s="40" t="n"/>
      <c r="N867" s="42" t="n"/>
      <c r="O867" s="42" t="n"/>
      <c r="P867" s="41" t="n"/>
      <c r="Q867" s="41" t="n"/>
    </row>
    <row r="868">
      <c r="A868" s="47" t="n"/>
      <c r="B868" s="48" t="n"/>
      <c r="C868" s="47" t="n"/>
      <c r="D868" s="45" t="n"/>
      <c r="E868" s="45" t="n"/>
      <c r="F868" s="45" t="n"/>
      <c r="G868" s="45" t="n"/>
      <c r="H868" s="45" t="n"/>
      <c r="I868" s="46" t="n"/>
      <c r="J868" s="45" t="n"/>
      <c r="K868" s="264" t="n"/>
      <c r="L868" s="39" t="n"/>
      <c r="M868" s="40" t="n"/>
      <c r="N868" s="42" t="n"/>
      <c r="O868" s="42" t="n"/>
      <c r="P868" s="41" t="n"/>
      <c r="Q868" s="41" t="n"/>
    </row>
    <row r="869">
      <c r="A869" s="47" t="n"/>
      <c r="B869" s="48" t="n"/>
      <c r="C869" s="47" t="n"/>
      <c r="D869" s="45" t="n"/>
      <c r="E869" s="45" t="n"/>
      <c r="F869" s="45" t="n"/>
      <c r="G869" s="45" t="n"/>
      <c r="H869" s="45" t="n"/>
      <c r="I869" s="46" t="n"/>
      <c r="J869" s="45" t="n"/>
      <c r="K869" s="264" t="n"/>
      <c r="L869" s="39" t="n"/>
      <c r="M869" s="40" t="n"/>
      <c r="N869" s="42" t="n"/>
      <c r="O869" s="42" t="n"/>
      <c r="P869" s="41" t="n"/>
      <c r="Q869" s="41" t="n"/>
    </row>
    <row r="870">
      <c r="A870" s="47" t="n"/>
      <c r="B870" s="48" t="n"/>
      <c r="C870" s="47" t="n"/>
      <c r="D870" s="45" t="n"/>
      <c r="E870" s="45" t="n"/>
      <c r="F870" s="45" t="n"/>
      <c r="G870" s="45" t="n"/>
      <c r="H870" s="45" t="n"/>
      <c r="I870" s="46" t="n"/>
      <c r="J870" s="45" t="n"/>
      <c r="K870" s="264" t="n"/>
      <c r="L870" s="39" t="n"/>
      <c r="M870" s="40" t="n"/>
      <c r="N870" s="42" t="n"/>
      <c r="O870" s="42" t="n"/>
      <c r="P870" s="41" t="n"/>
      <c r="Q870" s="41" t="n"/>
    </row>
    <row r="871">
      <c r="A871" s="47" t="n"/>
      <c r="B871" s="48" t="n"/>
      <c r="C871" s="47" t="n"/>
      <c r="D871" s="45" t="n"/>
      <c r="E871" s="45" t="n"/>
      <c r="F871" s="45" t="n"/>
      <c r="G871" s="45" t="n"/>
      <c r="H871" s="45" t="n"/>
      <c r="I871" s="46" t="n"/>
      <c r="J871" s="45" t="n"/>
      <c r="K871" s="264" t="n"/>
      <c r="L871" s="39" t="n"/>
      <c r="M871" s="40" t="n"/>
      <c r="N871" s="42" t="n"/>
      <c r="O871" s="42" t="n"/>
      <c r="P871" s="41" t="n"/>
      <c r="Q871" s="41" t="n"/>
    </row>
    <row r="872">
      <c r="A872" s="47" t="n"/>
      <c r="B872" s="48" t="n"/>
      <c r="C872" s="47" t="n"/>
      <c r="D872" s="45" t="n"/>
      <c r="E872" s="45" t="n"/>
      <c r="F872" s="45" t="n"/>
      <c r="G872" s="45" t="n"/>
      <c r="H872" s="45" t="n"/>
      <c r="I872" s="46" t="n"/>
      <c r="J872" s="45" t="n"/>
      <c r="K872" s="264" t="n"/>
      <c r="L872" s="39" t="n"/>
      <c r="M872" s="40" t="n"/>
      <c r="N872" s="42" t="n"/>
      <c r="O872" s="42" t="n"/>
      <c r="P872" s="41" t="n"/>
      <c r="Q872" s="41" t="n"/>
    </row>
    <row r="873">
      <c r="A873" s="47" t="n"/>
      <c r="B873" s="48" t="n"/>
      <c r="C873" s="47" t="n"/>
      <c r="D873" s="45" t="n"/>
      <c r="E873" s="45" t="n"/>
      <c r="F873" s="45" t="n"/>
      <c r="G873" s="45" t="n"/>
      <c r="H873" s="45" t="n"/>
      <c r="I873" s="46" t="n"/>
      <c r="J873" s="45" t="n"/>
      <c r="K873" s="264" t="n"/>
      <c r="L873" s="39" t="n"/>
      <c r="M873" s="40" t="n"/>
      <c r="N873" s="42" t="n"/>
      <c r="O873" s="42" t="n"/>
      <c r="P873" s="41" t="n"/>
      <c r="Q873" s="41" t="n"/>
    </row>
    <row r="874">
      <c r="A874" s="47" t="n"/>
      <c r="B874" s="48" t="n"/>
      <c r="C874" s="47" t="n"/>
      <c r="D874" s="45" t="n"/>
      <c r="E874" s="45" t="n"/>
      <c r="F874" s="45" t="n"/>
      <c r="G874" s="45" t="n"/>
      <c r="H874" s="45" t="n"/>
      <c r="I874" s="46" t="n"/>
      <c r="J874" s="45" t="n"/>
      <c r="K874" s="264" t="n"/>
      <c r="L874" s="39" t="n"/>
      <c r="M874" s="40" t="n"/>
      <c r="N874" s="42" t="n"/>
      <c r="O874" s="42" t="n"/>
      <c r="P874" s="41" t="n"/>
      <c r="Q874" s="41" t="n"/>
    </row>
    <row r="875">
      <c r="A875" s="47" t="n"/>
      <c r="B875" s="48" t="n"/>
      <c r="C875" s="47" t="n"/>
      <c r="D875" s="45" t="n"/>
      <c r="E875" s="45" t="n"/>
      <c r="F875" s="45" t="n"/>
      <c r="G875" s="45" t="n"/>
      <c r="H875" s="45" t="n"/>
      <c r="I875" s="46" t="n"/>
      <c r="J875" s="45" t="n"/>
      <c r="K875" s="264" t="n"/>
      <c r="L875" s="39" t="n"/>
      <c r="M875" s="40" t="n"/>
      <c r="N875" s="42" t="n"/>
      <c r="O875" s="42" t="n"/>
      <c r="P875" s="41" t="n"/>
      <c r="Q875" s="41" t="n"/>
    </row>
    <row r="876">
      <c r="A876" s="47" t="n"/>
      <c r="B876" s="48" t="n"/>
      <c r="C876" s="47" t="n"/>
      <c r="D876" s="45" t="n"/>
      <c r="E876" s="45" t="n"/>
      <c r="F876" s="45" t="n"/>
      <c r="G876" s="45" t="n"/>
      <c r="H876" s="45" t="n"/>
      <c r="I876" s="46" t="n"/>
      <c r="J876" s="45" t="n"/>
      <c r="K876" s="264" t="n"/>
      <c r="L876" s="39" t="n"/>
      <c r="M876" s="40" t="n"/>
      <c r="N876" s="42" t="n"/>
      <c r="O876" s="42" t="n"/>
      <c r="P876" s="41" t="n"/>
      <c r="Q876" s="41" t="n"/>
    </row>
    <row r="877">
      <c r="A877" s="47" t="n"/>
      <c r="B877" s="48" t="n"/>
      <c r="C877" s="47" t="n"/>
      <c r="D877" s="45" t="n"/>
      <c r="E877" s="45" t="n"/>
      <c r="F877" s="45" t="n"/>
      <c r="G877" s="45" t="n"/>
      <c r="H877" s="45" t="n"/>
      <c r="I877" s="46" t="n"/>
      <c r="J877" s="45" t="n"/>
      <c r="K877" s="264" t="n"/>
      <c r="L877" s="39" t="n"/>
      <c r="M877" s="40" t="n"/>
      <c r="N877" s="42" t="n"/>
      <c r="O877" s="42" t="n"/>
      <c r="P877" s="41" t="n"/>
      <c r="Q877" s="41" t="n"/>
    </row>
    <row r="878">
      <c r="A878" s="47" t="n"/>
      <c r="B878" s="48" t="n"/>
      <c r="C878" s="47" t="n"/>
      <c r="D878" s="45" t="n"/>
      <c r="E878" s="45" t="n"/>
      <c r="F878" s="45" t="n"/>
      <c r="G878" s="45" t="n"/>
      <c r="H878" s="45" t="n"/>
      <c r="I878" s="46" t="n"/>
      <c r="J878" s="45" t="n"/>
      <c r="K878" s="264" t="n"/>
      <c r="L878" s="39" t="n"/>
      <c r="M878" s="40" t="n"/>
      <c r="N878" s="42" t="n"/>
      <c r="O878" s="42" t="n"/>
      <c r="P878" s="41" t="n"/>
      <c r="Q878" s="41" t="n"/>
    </row>
    <row r="879">
      <c r="A879" s="47" t="n"/>
      <c r="B879" s="48" t="n"/>
      <c r="C879" s="47" t="n"/>
      <c r="D879" s="45" t="n"/>
      <c r="E879" s="45" t="n"/>
      <c r="F879" s="45" t="n"/>
      <c r="G879" s="45" t="n"/>
      <c r="H879" s="45" t="n"/>
      <c r="I879" s="46" t="n"/>
      <c r="J879" s="45" t="n"/>
      <c r="K879" s="264" t="n"/>
      <c r="L879" s="39" t="n"/>
      <c r="M879" s="40" t="n"/>
      <c r="N879" s="42" t="n"/>
      <c r="O879" s="42" t="n"/>
      <c r="P879" s="41" t="n"/>
      <c r="Q879" s="41" t="n"/>
    </row>
    <row r="880">
      <c r="A880" s="47" t="n"/>
      <c r="B880" s="48" t="n"/>
      <c r="C880" s="47" t="n"/>
      <c r="D880" s="45" t="n"/>
      <c r="E880" s="45" t="n"/>
      <c r="F880" s="45" t="n"/>
      <c r="G880" s="45" t="n"/>
      <c r="H880" s="45" t="n"/>
      <c r="I880" s="46" t="n"/>
      <c r="J880" s="45" t="n"/>
      <c r="K880" s="264" t="n"/>
      <c r="L880" s="39" t="n"/>
      <c r="M880" s="40" t="n"/>
      <c r="N880" s="42" t="n"/>
      <c r="O880" s="42" t="n"/>
      <c r="P880" s="41" t="n"/>
      <c r="Q880" s="41" t="n"/>
    </row>
    <row r="881">
      <c r="A881" s="47" t="n"/>
      <c r="B881" s="48" t="n"/>
      <c r="C881" s="47" t="n"/>
      <c r="D881" s="45" t="n"/>
      <c r="E881" s="45" t="n"/>
      <c r="F881" s="45" t="n"/>
      <c r="G881" s="45" t="n"/>
      <c r="H881" s="45" t="n"/>
      <c r="I881" s="46" t="n"/>
      <c r="J881" s="45" t="n"/>
      <c r="K881" s="264" t="n"/>
      <c r="L881" s="39" t="n"/>
      <c r="M881" s="40" t="n"/>
      <c r="N881" s="42" t="n"/>
      <c r="O881" s="42" t="n"/>
      <c r="P881" s="41" t="n"/>
      <c r="Q881" s="41" t="n"/>
    </row>
    <row r="882">
      <c r="A882" s="47" t="n"/>
      <c r="B882" s="48" t="n"/>
      <c r="C882" s="47" t="n"/>
      <c r="D882" s="45" t="n"/>
      <c r="E882" s="45" t="n"/>
      <c r="F882" s="45" t="n"/>
      <c r="G882" s="45" t="n"/>
      <c r="H882" s="45" t="n"/>
      <c r="I882" s="46" t="n"/>
      <c r="J882" s="45" t="n"/>
      <c r="K882" s="264" t="n"/>
      <c r="L882" s="39" t="n"/>
      <c r="M882" s="40" t="n"/>
      <c r="N882" s="42" t="n"/>
      <c r="O882" s="42" t="n"/>
      <c r="P882" s="41" t="n"/>
      <c r="Q882" s="41" t="n"/>
    </row>
    <row r="883">
      <c r="A883" s="47" t="n"/>
      <c r="B883" s="48" t="n"/>
      <c r="C883" s="47" t="n"/>
      <c r="D883" s="45" t="n"/>
      <c r="E883" s="45" t="n"/>
      <c r="F883" s="45" t="n"/>
      <c r="G883" s="45" t="n"/>
      <c r="H883" s="45" t="n"/>
      <c r="I883" s="46" t="n"/>
      <c r="J883" s="45" t="n"/>
      <c r="K883" s="264" t="n"/>
      <c r="L883" s="39" t="n"/>
      <c r="M883" s="40" t="n"/>
      <c r="N883" s="42" t="n"/>
      <c r="O883" s="42" t="n"/>
      <c r="P883" s="41" t="n"/>
      <c r="Q883" s="41" t="n"/>
    </row>
    <row r="884">
      <c r="A884" s="47" t="n"/>
      <c r="B884" s="48" t="n"/>
      <c r="C884" s="47" t="n"/>
      <c r="D884" s="45" t="n"/>
      <c r="E884" s="45" t="n"/>
      <c r="F884" s="45" t="n"/>
      <c r="G884" s="45" t="n"/>
      <c r="H884" s="45" t="n"/>
      <c r="I884" s="46" t="n"/>
      <c r="J884" s="45" t="n"/>
      <c r="K884" s="264" t="n"/>
      <c r="L884" s="39" t="n"/>
      <c r="M884" s="40" t="n"/>
      <c r="N884" s="42" t="n"/>
      <c r="O884" s="42" t="n"/>
      <c r="P884" s="41" t="n"/>
      <c r="Q884" s="41" t="n"/>
    </row>
    <row r="885">
      <c r="A885" s="47" t="n"/>
      <c r="B885" s="48" t="n"/>
      <c r="C885" s="47" t="n"/>
      <c r="D885" s="45" t="n"/>
      <c r="E885" s="45" t="n"/>
      <c r="F885" s="45" t="n"/>
      <c r="G885" s="45" t="n"/>
      <c r="H885" s="45" t="n"/>
      <c r="I885" s="46" t="n"/>
      <c r="J885" s="45" t="n"/>
      <c r="K885" s="264" t="n"/>
      <c r="L885" s="39" t="n"/>
      <c r="M885" s="40" t="n"/>
      <c r="N885" s="42" t="n"/>
      <c r="O885" s="42" t="n"/>
      <c r="P885" s="41" t="n"/>
      <c r="Q885" s="41" t="n"/>
    </row>
    <row r="886">
      <c r="A886" s="47" t="n"/>
      <c r="B886" s="48" t="n"/>
      <c r="C886" s="47" t="n"/>
      <c r="D886" s="45" t="n"/>
      <c r="E886" s="45" t="n"/>
      <c r="F886" s="45" t="n"/>
      <c r="G886" s="45" t="n"/>
      <c r="H886" s="45" t="n"/>
      <c r="I886" s="46" t="n"/>
      <c r="J886" s="45" t="n"/>
      <c r="K886" s="264" t="n"/>
      <c r="L886" s="39" t="n"/>
      <c r="M886" s="40" t="n"/>
      <c r="N886" s="42" t="n"/>
      <c r="O886" s="42" t="n"/>
      <c r="P886" s="41" t="n"/>
      <c r="Q886" s="41" t="n"/>
    </row>
    <row r="887">
      <c r="A887" s="47" t="n"/>
      <c r="B887" s="48" t="n"/>
      <c r="C887" s="47" t="n"/>
      <c r="D887" s="45" t="n"/>
      <c r="E887" s="45" t="n"/>
      <c r="F887" s="45" t="n"/>
      <c r="G887" s="45" t="n"/>
      <c r="H887" s="45" t="n"/>
      <c r="I887" s="46" t="n"/>
      <c r="J887" s="45" t="n"/>
      <c r="K887" s="264" t="n"/>
      <c r="L887" s="39" t="n"/>
      <c r="M887" s="40" t="n"/>
      <c r="N887" s="42" t="n"/>
      <c r="O887" s="42" t="n"/>
      <c r="P887" s="41" t="n"/>
      <c r="Q887" s="41" t="n"/>
    </row>
    <row r="888">
      <c r="A888" s="47" t="n"/>
      <c r="B888" s="48" t="n"/>
      <c r="C888" s="47" t="n"/>
      <c r="D888" s="45" t="n"/>
      <c r="E888" s="45" t="n"/>
      <c r="F888" s="45" t="n"/>
      <c r="G888" s="45" t="n"/>
      <c r="H888" s="45" t="n"/>
      <c r="I888" s="46" t="n"/>
      <c r="J888" s="45" t="n"/>
      <c r="K888" s="264" t="n"/>
      <c r="L888" s="39" t="n"/>
      <c r="M888" s="40" t="n"/>
      <c r="N888" s="42" t="n"/>
      <c r="O888" s="42" t="n"/>
      <c r="P888" s="41" t="n"/>
      <c r="Q888" s="41" t="n"/>
    </row>
    <row r="889">
      <c r="A889" s="47" t="n"/>
      <c r="B889" s="48" t="n"/>
      <c r="C889" s="47" t="n"/>
      <c r="D889" s="45" t="n"/>
      <c r="E889" s="45" t="n"/>
      <c r="F889" s="45" t="n"/>
      <c r="G889" s="45" t="n"/>
      <c r="H889" s="45" t="n"/>
      <c r="I889" s="46" t="n"/>
      <c r="J889" s="45" t="n"/>
      <c r="K889" s="264" t="n"/>
      <c r="L889" s="39" t="n"/>
      <c r="M889" s="40" t="n"/>
      <c r="N889" s="42" t="n"/>
      <c r="O889" s="42" t="n"/>
      <c r="P889" s="41" t="n"/>
      <c r="Q889" s="41" t="n"/>
    </row>
    <row r="890">
      <c r="A890" s="47" t="n"/>
      <c r="B890" s="48" t="n"/>
      <c r="C890" s="47" t="n"/>
      <c r="D890" s="45" t="n"/>
      <c r="E890" s="45" t="n"/>
      <c r="F890" s="45" t="n"/>
      <c r="G890" s="45" t="n"/>
      <c r="H890" s="45" t="n"/>
      <c r="I890" s="46" t="n"/>
      <c r="J890" s="45" t="n"/>
      <c r="K890" s="264" t="n"/>
      <c r="L890" s="39" t="n"/>
      <c r="M890" s="40" t="n"/>
      <c r="N890" s="42" t="n"/>
      <c r="O890" s="42" t="n"/>
      <c r="P890" s="41" t="n"/>
      <c r="Q890" s="41" t="n"/>
    </row>
    <row r="891">
      <c r="A891" s="47" t="n"/>
      <c r="B891" s="48" t="n"/>
      <c r="C891" s="47" t="n"/>
      <c r="D891" s="45" t="n"/>
      <c r="E891" s="45" t="n"/>
      <c r="F891" s="45" t="n"/>
      <c r="G891" s="45" t="n"/>
      <c r="H891" s="45" t="n"/>
      <c r="I891" s="46" t="n"/>
      <c r="J891" s="45" t="n"/>
      <c r="K891" s="264" t="n"/>
      <c r="L891" s="39" t="n"/>
      <c r="M891" s="40" t="n"/>
      <c r="N891" s="42" t="n"/>
      <c r="O891" s="42" t="n"/>
      <c r="P891" s="41" t="n"/>
      <c r="Q891" s="41" t="n"/>
    </row>
    <row r="892">
      <c r="A892" s="47" t="n"/>
      <c r="B892" s="48" t="n"/>
      <c r="C892" s="47" t="n"/>
      <c r="D892" s="45" t="n"/>
      <c r="E892" s="45" t="n"/>
      <c r="F892" s="45" t="n"/>
      <c r="G892" s="45" t="n"/>
      <c r="H892" s="45" t="n"/>
      <c r="I892" s="46" t="n"/>
      <c r="J892" s="45" t="n"/>
      <c r="K892" s="264" t="n"/>
      <c r="L892" s="39" t="n"/>
      <c r="M892" s="40" t="n"/>
      <c r="N892" s="42" t="n"/>
      <c r="O892" s="42" t="n"/>
      <c r="P892" s="41" t="n"/>
      <c r="Q892" s="41" t="n"/>
    </row>
    <row r="893">
      <c r="A893" s="47" t="n"/>
      <c r="B893" s="48" t="n"/>
      <c r="C893" s="47" t="n"/>
      <c r="D893" s="45" t="n"/>
      <c r="E893" s="45" t="n"/>
      <c r="F893" s="45" t="n"/>
      <c r="G893" s="45" t="n"/>
      <c r="H893" s="45" t="n"/>
      <c r="I893" s="46" t="n"/>
      <c r="J893" s="45" t="n"/>
      <c r="K893" s="264" t="n"/>
      <c r="L893" s="39" t="n"/>
      <c r="M893" s="40" t="n"/>
      <c r="N893" s="42" t="n"/>
      <c r="O893" s="42" t="n"/>
      <c r="P893" s="41" t="n"/>
      <c r="Q893" s="41" t="n"/>
    </row>
    <row r="894">
      <c r="A894" s="47" t="n"/>
      <c r="B894" s="48" t="n"/>
      <c r="C894" s="47" t="n"/>
      <c r="D894" s="45" t="n"/>
      <c r="E894" s="45" t="n"/>
      <c r="F894" s="45" t="n"/>
      <c r="G894" s="45" t="n"/>
      <c r="H894" s="45" t="n"/>
      <c r="I894" s="46" t="n"/>
      <c r="J894" s="45" t="n"/>
      <c r="K894" s="264" t="n"/>
      <c r="L894" s="39" t="n"/>
      <c r="M894" s="40" t="n"/>
      <c r="N894" s="42" t="n"/>
      <c r="O894" s="42" t="n"/>
      <c r="P894" s="41" t="n"/>
      <c r="Q894" s="41" t="n"/>
    </row>
    <row r="895">
      <c r="A895" s="47" t="n"/>
      <c r="B895" s="48" t="n"/>
      <c r="C895" s="47" t="n"/>
      <c r="D895" s="45" t="n"/>
      <c r="E895" s="45" t="n"/>
      <c r="F895" s="45" t="n"/>
      <c r="G895" s="45" t="n"/>
      <c r="H895" s="45" t="n"/>
      <c r="I895" s="46" t="n"/>
      <c r="J895" s="45" t="n"/>
      <c r="K895" s="264" t="n"/>
      <c r="L895" s="39" t="n"/>
      <c r="M895" s="40" t="n"/>
      <c r="N895" s="42" t="n"/>
      <c r="O895" s="42" t="n"/>
      <c r="P895" s="41" t="n"/>
      <c r="Q895" s="41" t="n"/>
    </row>
    <row r="896">
      <c r="A896" s="47" t="n"/>
      <c r="B896" s="48" t="n"/>
      <c r="C896" s="47" t="n"/>
      <c r="D896" s="45" t="n"/>
      <c r="E896" s="45" t="n"/>
      <c r="F896" s="45" t="n"/>
      <c r="G896" s="45" t="n"/>
      <c r="H896" s="45" t="n"/>
      <c r="I896" s="46" t="n"/>
      <c r="J896" s="45" t="n"/>
      <c r="K896" s="264" t="n"/>
      <c r="L896" s="39" t="n"/>
      <c r="M896" s="40" t="n"/>
      <c r="N896" s="42" t="n"/>
      <c r="O896" s="42" t="n"/>
      <c r="P896" s="41" t="n"/>
      <c r="Q896" s="41" t="n"/>
    </row>
    <row r="897">
      <c r="A897" s="47" t="n"/>
      <c r="B897" s="48" t="n"/>
      <c r="C897" s="47" t="n"/>
      <c r="D897" s="45" t="n"/>
      <c r="E897" s="45" t="n"/>
      <c r="F897" s="45" t="n"/>
      <c r="G897" s="45" t="n"/>
      <c r="H897" s="45" t="n"/>
      <c r="I897" s="46" t="n"/>
      <c r="J897" s="45" t="n"/>
      <c r="K897" s="264" t="n"/>
      <c r="L897" s="39" t="n"/>
      <c r="M897" s="40" t="n"/>
      <c r="N897" s="42" t="n"/>
      <c r="O897" s="42" t="n"/>
      <c r="P897" s="41" t="n"/>
      <c r="Q897" s="41" t="n"/>
    </row>
    <row r="898">
      <c r="A898" s="47" t="n"/>
      <c r="B898" s="48" t="n"/>
      <c r="C898" s="47" t="n"/>
      <c r="D898" s="45" t="n"/>
      <c r="E898" s="45" t="n"/>
      <c r="F898" s="45" t="n"/>
      <c r="G898" s="45" t="n"/>
      <c r="H898" s="45" t="n"/>
      <c r="I898" s="46" t="n"/>
      <c r="J898" s="45" t="n"/>
      <c r="K898" s="264" t="n"/>
      <c r="L898" s="39" t="n"/>
      <c r="M898" s="40" t="n"/>
      <c r="N898" s="42" t="n"/>
      <c r="O898" s="42" t="n"/>
      <c r="P898" s="41" t="n"/>
      <c r="Q898" s="41" t="n"/>
    </row>
    <row r="899">
      <c r="A899" s="47" t="n"/>
      <c r="B899" s="48" t="n"/>
      <c r="C899" s="47" t="n"/>
      <c r="D899" s="45" t="n"/>
      <c r="E899" s="45" t="n"/>
      <c r="F899" s="45" t="n"/>
      <c r="G899" s="45" t="n"/>
      <c r="H899" s="45" t="n"/>
      <c r="I899" s="46" t="n"/>
      <c r="J899" s="45" t="n"/>
      <c r="K899" s="264" t="n"/>
      <c r="L899" s="39" t="n"/>
      <c r="M899" s="40" t="n"/>
      <c r="N899" s="42" t="n"/>
      <c r="O899" s="42" t="n"/>
      <c r="P899" s="41" t="n"/>
      <c r="Q899" s="41" t="n"/>
    </row>
    <row r="900">
      <c r="A900" s="47" t="n"/>
      <c r="B900" s="48" t="n"/>
      <c r="C900" s="47" t="n"/>
      <c r="D900" s="45" t="n"/>
      <c r="E900" s="45" t="n"/>
      <c r="F900" s="45" t="n"/>
      <c r="G900" s="45" t="n"/>
      <c r="H900" s="45" t="n"/>
      <c r="I900" s="46" t="n"/>
      <c r="J900" s="45" t="n"/>
      <c r="K900" s="264" t="n"/>
      <c r="L900" s="39" t="n"/>
      <c r="M900" s="40" t="n"/>
      <c r="N900" s="42" t="n"/>
      <c r="O900" s="42" t="n"/>
      <c r="P900" s="41" t="n"/>
      <c r="Q900" s="41" t="n"/>
    </row>
    <row r="901">
      <c r="A901" s="47" t="n"/>
      <c r="B901" s="48" t="n"/>
      <c r="C901" s="47" t="n"/>
      <c r="D901" s="45" t="n"/>
      <c r="E901" s="45" t="n"/>
      <c r="F901" s="45" t="n"/>
      <c r="G901" s="45" t="n"/>
      <c r="H901" s="45" t="n"/>
      <c r="I901" s="46" t="n"/>
      <c r="J901" s="45" t="n"/>
      <c r="K901" s="264" t="n"/>
      <c r="L901" s="39" t="n"/>
      <c r="M901" s="40" t="n"/>
      <c r="N901" s="42" t="n"/>
      <c r="O901" s="42" t="n"/>
      <c r="P901" s="41" t="n"/>
      <c r="Q901" s="41" t="n"/>
    </row>
    <row r="902">
      <c r="A902" s="47" t="n"/>
      <c r="B902" s="48" t="n"/>
      <c r="C902" s="47" t="n"/>
      <c r="D902" s="45" t="n"/>
      <c r="E902" s="45" t="n"/>
      <c r="F902" s="45" t="n"/>
      <c r="G902" s="45" t="n"/>
      <c r="H902" s="45" t="n"/>
      <c r="I902" s="46" t="n"/>
      <c r="J902" s="45" t="n"/>
      <c r="K902" s="264" t="n"/>
      <c r="L902" s="39" t="n"/>
      <c r="M902" s="40" t="n"/>
      <c r="N902" s="42" t="n"/>
      <c r="O902" s="42" t="n"/>
      <c r="P902" s="41" t="n"/>
      <c r="Q902" s="41" t="n"/>
    </row>
    <row r="903">
      <c r="A903" s="47" t="n"/>
      <c r="B903" s="48" t="n"/>
      <c r="C903" s="47" t="n"/>
      <c r="D903" s="45" t="n"/>
      <c r="E903" s="45" t="n"/>
      <c r="F903" s="45" t="n"/>
      <c r="G903" s="45" t="n"/>
      <c r="H903" s="45" t="n"/>
      <c r="I903" s="46" t="n"/>
      <c r="J903" s="45" t="n"/>
      <c r="K903" s="264" t="n"/>
      <c r="L903" s="39" t="n"/>
      <c r="M903" s="40" t="n"/>
      <c r="N903" s="42" t="n"/>
      <c r="O903" s="42" t="n"/>
      <c r="P903" s="41" t="n"/>
      <c r="Q903" s="41" t="n"/>
    </row>
    <row r="904">
      <c r="A904" s="47" t="n"/>
      <c r="B904" s="48" t="n"/>
      <c r="C904" s="47" t="n"/>
      <c r="D904" s="45" t="n"/>
      <c r="E904" s="45" t="n"/>
      <c r="F904" s="45" t="n"/>
      <c r="G904" s="45" t="n"/>
      <c r="H904" s="45" t="n"/>
      <c r="I904" s="46" t="n"/>
      <c r="J904" s="45" t="n"/>
      <c r="K904" s="264" t="n"/>
      <c r="L904" s="39" t="n"/>
      <c r="M904" s="40" t="n"/>
      <c r="N904" s="42" t="n"/>
      <c r="O904" s="42" t="n"/>
      <c r="P904" s="41" t="n"/>
      <c r="Q904" s="41" t="n"/>
    </row>
    <row r="905">
      <c r="A905" s="47" t="n"/>
      <c r="B905" s="48" t="n"/>
      <c r="C905" s="47" t="n"/>
      <c r="D905" s="45" t="n"/>
      <c r="E905" s="45" t="n"/>
      <c r="F905" s="45" t="n"/>
      <c r="G905" s="45" t="n"/>
      <c r="H905" s="45" t="n"/>
      <c r="I905" s="46" t="n"/>
      <c r="J905" s="45" t="n"/>
      <c r="K905" s="264" t="n"/>
      <c r="L905" s="39" t="n"/>
      <c r="M905" s="40" t="n"/>
      <c r="N905" s="42" t="n"/>
      <c r="O905" s="42" t="n"/>
      <c r="P905" s="41" t="n"/>
      <c r="Q905" s="41" t="n"/>
    </row>
    <row r="906">
      <c r="A906" s="47" t="n"/>
      <c r="B906" s="48" t="n"/>
      <c r="C906" s="47" t="n"/>
      <c r="D906" s="45" t="n"/>
      <c r="E906" s="45" t="n"/>
      <c r="F906" s="45" t="n"/>
      <c r="G906" s="45" t="n"/>
      <c r="H906" s="45" t="n"/>
      <c r="I906" s="46" t="n"/>
      <c r="J906" s="45" t="n"/>
      <c r="K906" s="264" t="n"/>
      <c r="L906" s="39" t="n"/>
      <c r="M906" s="40" t="n"/>
      <c r="N906" s="42" t="n"/>
      <c r="O906" s="42" t="n"/>
      <c r="P906" s="41" t="n"/>
      <c r="Q906" s="41" t="n"/>
    </row>
    <row r="907">
      <c r="A907" s="47" t="n"/>
      <c r="B907" s="48" t="n"/>
      <c r="C907" s="47" t="n"/>
      <c r="D907" s="45" t="n"/>
      <c r="E907" s="45" t="n"/>
      <c r="F907" s="45" t="n"/>
      <c r="G907" s="45" t="n"/>
      <c r="H907" s="45" t="n"/>
      <c r="I907" s="46" t="n"/>
      <c r="J907" s="45" t="n"/>
      <c r="K907" s="264" t="n"/>
      <c r="L907" s="39" t="n"/>
      <c r="M907" s="40" t="n"/>
      <c r="N907" s="42" t="n"/>
      <c r="O907" s="42" t="n"/>
      <c r="P907" s="41" t="n"/>
      <c r="Q907" s="41" t="n"/>
    </row>
    <row r="908">
      <c r="A908" s="47" t="n"/>
      <c r="B908" s="48" t="n"/>
      <c r="C908" s="47" t="n"/>
      <c r="D908" s="45" t="n"/>
      <c r="E908" s="45" t="n"/>
      <c r="F908" s="45" t="n"/>
      <c r="G908" s="45" t="n"/>
      <c r="H908" s="45" t="n"/>
      <c r="I908" s="46" t="n"/>
      <c r="J908" s="45" t="n"/>
      <c r="K908" s="264" t="n"/>
      <c r="L908" s="39" t="n"/>
      <c r="M908" s="40" t="n"/>
      <c r="N908" s="42" t="n"/>
      <c r="O908" s="42" t="n"/>
      <c r="P908" s="41" t="n"/>
      <c r="Q908" s="41" t="n"/>
    </row>
    <row r="909">
      <c r="A909" s="47" t="n"/>
      <c r="B909" s="48" t="n"/>
      <c r="C909" s="47" t="n"/>
      <c r="D909" s="45" t="n"/>
      <c r="E909" s="45" t="n"/>
      <c r="F909" s="45" t="n"/>
      <c r="G909" s="45" t="n"/>
      <c r="H909" s="45" t="n"/>
      <c r="I909" s="46" t="n"/>
      <c r="J909" s="45" t="n"/>
      <c r="K909" s="264" t="n"/>
      <c r="L909" s="39" t="n"/>
      <c r="M909" s="40" t="n"/>
      <c r="N909" s="42" t="n"/>
      <c r="O909" s="42" t="n"/>
      <c r="P909" s="41" t="n"/>
      <c r="Q909" s="41" t="n"/>
    </row>
    <row r="910">
      <c r="A910" s="47" t="n"/>
      <c r="B910" s="48" t="n"/>
      <c r="C910" s="47" t="n"/>
      <c r="D910" s="45" t="n"/>
      <c r="E910" s="45" t="n"/>
      <c r="F910" s="45" t="n"/>
      <c r="G910" s="45" t="n"/>
      <c r="H910" s="45" t="n"/>
      <c r="I910" s="46" t="n"/>
      <c r="J910" s="45" t="n"/>
      <c r="K910" s="264" t="n"/>
      <c r="L910" s="39" t="n"/>
      <c r="M910" s="40" t="n"/>
      <c r="N910" s="42" t="n"/>
      <c r="O910" s="42" t="n"/>
      <c r="P910" s="41" t="n"/>
      <c r="Q910" s="41" t="n"/>
    </row>
    <row r="911">
      <c r="A911" s="47" t="n"/>
      <c r="B911" s="48" t="n"/>
      <c r="C911" s="47" t="n"/>
      <c r="D911" s="45" t="n"/>
      <c r="E911" s="45" t="n"/>
      <c r="F911" s="45" t="n"/>
      <c r="G911" s="45" t="n"/>
      <c r="H911" s="45" t="n"/>
      <c r="I911" s="46" t="n"/>
      <c r="J911" s="45" t="n"/>
      <c r="K911" s="264" t="n"/>
      <c r="L911" s="39" t="n"/>
      <c r="M911" s="40" t="n"/>
      <c r="N911" s="42" t="n"/>
      <c r="O911" s="42" t="n"/>
      <c r="P911" s="41" t="n"/>
      <c r="Q911" s="41" t="n"/>
    </row>
    <row r="912">
      <c r="A912" s="47" t="n"/>
      <c r="B912" s="48" t="n"/>
      <c r="C912" s="47" t="n"/>
      <c r="D912" s="45" t="n"/>
      <c r="E912" s="45" t="n"/>
      <c r="F912" s="45" t="n"/>
      <c r="G912" s="45" t="n"/>
      <c r="H912" s="45" t="n"/>
      <c r="I912" s="46" t="n"/>
      <c r="J912" s="45" t="n"/>
      <c r="K912" s="264" t="n"/>
      <c r="L912" s="39" t="n"/>
      <c r="M912" s="40" t="n"/>
      <c r="N912" s="42" t="n"/>
      <c r="O912" s="42" t="n"/>
      <c r="P912" s="41" t="n"/>
      <c r="Q912" s="41" t="n"/>
    </row>
    <row r="913">
      <c r="A913" s="47" t="n"/>
      <c r="B913" s="48" t="n"/>
      <c r="C913" s="47" t="n"/>
      <c r="D913" s="45" t="n"/>
      <c r="E913" s="45" t="n"/>
      <c r="F913" s="45" t="n"/>
      <c r="G913" s="45" t="n"/>
      <c r="H913" s="45" t="n"/>
      <c r="I913" s="46" t="n"/>
      <c r="J913" s="45" t="n"/>
      <c r="K913" s="264" t="n"/>
      <c r="L913" s="39" t="n"/>
      <c r="M913" s="40" t="n"/>
      <c r="N913" s="42" t="n"/>
      <c r="O913" s="42" t="n"/>
      <c r="P913" s="41" t="n"/>
      <c r="Q913" s="41" t="n"/>
    </row>
    <row r="914">
      <c r="A914" s="47" t="n"/>
      <c r="B914" s="48" t="n"/>
      <c r="C914" s="47" t="n"/>
      <c r="D914" s="45" t="n"/>
      <c r="E914" s="45" t="n"/>
      <c r="F914" s="45" t="n"/>
      <c r="G914" s="45" t="n"/>
      <c r="H914" s="45" t="n"/>
      <c r="I914" s="46" t="n"/>
      <c r="J914" s="45" t="n"/>
      <c r="K914" s="264" t="n"/>
      <c r="L914" s="39" t="n"/>
      <c r="M914" s="40" t="n"/>
      <c r="N914" s="42" t="n"/>
      <c r="O914" s="42" t="n"/>
      <c r="P914" s="41" t="n"/>
      <c r="Q914" s="41" t="n"/>
    </row>
    <row r="915">
      <c r="A915" s="47" t="n"/>
      <c r="B915" s="48" t="n"/>
      <c r="C915" s="47" t="n"/>
      <c r="D915" s="45" t="n"/>
      <c r="E915" s="45" t="n"/>
      <c r="F915" s="45" t="n"/>
      <c r="G915" s="45" t="n"/>
      <c r="H915" s="45" t="n"/>
      <c r="I915" s="46" t="n"/>
      <c r="J915" s="45" t="n"/>
      <c r="K915" s="264" t="n"/>
      <c r="L915" s="39" t="n"/>
      <c r="M915" s="40" t="n"/>
      <c r="N915" s="42" t="n"/>
      <c r="O915" s="42" t="n"/>
      <c r="P915" s="41" t="n"/>
      <c r="Q915" s="41" t="n"/>
    </row>
    <row r="916">
      <c r="A916" s="47" t="n"/>
      <c r="B916" s="48" t="n"/>
      <c r="C916" s="47" t="n"/>
      <c r="D916" s="45" t="n"/>
      <c r="E916" s="45" t="n"/>
      <c r="F916" s="45" t="n"/>
      <c r="G916" s="45" t="n"/>
      <c r="H916" s="45" t="n"/>
      <c r="I916" s="46" t="n"/>
      <c r="J916" s="45" t="n"/>
      <c r="K916" s="264" t="n"/>
      <c r="L916" s="39" t="n"/>
      <c r="M916" s="40" t="n"/>
      <c r="N916" s="42" t="n"/>
      <c r="O916" s="42" t="n"/>
      <c r="P916" s="41" t="n"/>
      <c r="Q916" s="41" t="n"/>
    </row>
    <row r="917">
      <c r="A917" s="47" t="n"/>
      <c r="B917" s="48" t="n"/>
      <c r="C917" s="47" t="n"/>
      <c r="D917" s="45" t="n"/>
      <c r="E917" s="45" t="n"/>
      <c r="F917" s="45" t="n"/>
      <c r="G917" s="45" t="n"/>
      <c r="H917" s="45" t="n"/>
      <c r="I917" s="46" t="n"/>
      <c r="J917" s="45" t="n"/>
      <c r="K917" s="264" t="n"/>
      <c r="L917" s="39" t="n"/>
      <c r="M917" s="40" t="n"/>
      <c r="N917" s="42" t="n"/>
      <c r="O917" s="42" t="n"/>
      <c r="P917" s="41" t="n"/>
      <c r="Q917" s="41" t="n"/>
    </row>
    <row r="918">
      <c r="A918" s="47" t="n"/>
      <c r="B918" s="48" t="n"/>
      <c r="C918" s="47" t="n"/>
      <c r="D918" s="45" t="n"/>
      <c r="E918" s="45" t="n"/>
      <c r="F918" s="45" t="n"/>
      <c r="G918" s="45" t="n"/>
      <c r="H918" s="45" t="n"/>
      <c r="I918" s="46" t="n"/>
      <c r="J918" s="45" t="n"/>
      <c r="K918" s="264" t="n"/>
      <c r="L918" s="39" t="n"/>
      <c r="M918" s="40" t="n"/>
      <c r="N918" s="42" t="n"/>
      <c r="O918" s="42" t="n"/>
      <c r="P918" s="41" t="n"/>
      <c r="Q918" s="41" t="n"/>
    </row>
    <row r="919">
      <c r="A919" s="47" t="n"/>
      <c r="B919" s="48" t="n"/>
      <c r="C919" s="47" t="n"/>
      <c r="D919" s="45" t="n"/>
      <c r="E919" s="45" t="n"/>
      <c r="F919" s="45" t="n"/>
      <c r="G919" s="45" t="n"/>
      <c r="H919" s="45" t="n"/>
      <c r="I919" s="46" t="n"/>
      <c r="J919" s="45" t="n"/>
      <c r="K919" s="264" t="n"/>
      <c r="L919" s="39" t="n"/>
      <c r="M919" s="40" t="n"/>
      <c r="N919" s="42" t="n"/>
      <c r="O919" s="42" t="n"/>
      <c r="P919" s="41" t="n"/>
      <c r="Q919" s="41" t="n"/>
    </row>
    <row r="920">
      <c r="A920" s="47" t="n"/>
      <c r="B920" s="48" t="n"/>
      <c r="C920" s="47" t="n"/>
      <c r="D920" s="45" t="n"/>
      <c r="E920" s="45" t="n"/>
      <c r="F920" s="45" t="n"/>
      <c r="G920" s="45" t="n"/>
      <c r="H920" s="45" t="n"/>
      <c r="I920" s="46" t="n"/>
      <c r="J920" s="45" t="n"/>
      <c r="K920" s="264" t="n"/>
      <c r="L920" s="39" t="n"/>
      <c r="M920" s="40" t="n"/>
      <c r="N920" s="42" t="n"/>
      <c r="O920" s="42" t="n"/>
      <c r="P920" s="41" t="n"/>
      <c r="Q920" s="41" t="n"/>
    </row>
    <row r="921">
      <c r="A921" s="47" t="n"/>
      <c r="B921" s="48" t="n"/>
      <c r="C921" s="47" t="n"/>
      <c r="D921" s="45" t="n"/>
      <c r="E921" s="45" t="n"/>
      <c r="F921" s="45" t="n"/>
      <c r="G921" s="45" t="n"/>
      <c r="H921" s="45" t="n"/>
      <c r="I921" s="46" t="n"/>
      <c r="J921" s="45" t="n"/>
      <c r="K921" s="264" t="n"/>
      <c r="L921" s="39" t="n"/>
      <c r="M921" s="40" t="n"/>
      <c r="N921" s="42" t="n"/>
      <c r="O921" s="42" t="n"/>
      <c r="P921" s="41" t="n"/>
      <c r="Q921" s="41" t="n"/>
    </row>
    <row r="922">
      <c r="A922" s="47" t="n"/>
      <c r="B922" s="48" t="n"/>
      <c r="C922" s="47" t="n"/>
      <c r="D922" s="45" t="n"/>
      <c r="E922" s="45" t="n"/>
      <c r="F922" s="45" t="n"/>
      <c r="G922" s="45" t="n"/>
      <c r="H922" s="45" t="n"/>
      <c r="I922" s="46" t="n"/>
      <c r="J922" s="45" t="n"/>
      <c r="K922" s="264" t="n"/>
      <c r="L922" s="39" t="n"/>
      <c r="M922" s="40" t="n"/>
      <c r="N922" s="42" t="n"/>
      <c r="O922" s="42" t="n"/>
      <c r="P922" s="41" t="n"/>
      <c r="Q922" s="41" t="n"/>
    </row>
    <row r="923">
      <c r="A923" s="47" t="n"/>
      <c r="B923" s="48" t="n"/>
      <c r="C923" s="47" t="n"/>
      <c r="D923" s="45" t="n"/>
      <c r="E923" s="45" t="n"/>
      <c r="F923" s="45" t="n"/>
      <c r="G923" s="45" t="n"/>
      <c r="H923" s="45" t="n"/>
      <c r="I923" s="46" t="n"/>
      <c r="J923" s="45" t="n"/>
      <c r="K923" s="264" t="n"/>
      <c r="L923" s="39" t="n"/>
      <c r="M923" s="40" t="n"/>
      <c r="N923" s="42" t="n"/>
      <c r="O923" s="42" t="n"/>
      <c r="P923" s="41" t="n"/>
      <c r="Q923" s="41" t="n"/>
    </row>
    <row r="924">
      <c r="A924" s="47" t="n"/>
      <c r="B924" s="48" t="n"/>
      <c r="C924" s="47" t="n"/>
      <c r="D924" s="45" t="n"/>
      <c r="E924" s="45" t="n"/>
      <c r="F924" s="45" t="n"/>
      <c r="G924" s="45" t="n"/>
      <c r="H924" s="45" t="n"/>
      <c r="I924" s="46" t="n"/>
      <c r="J924" s="45" t="n"/>
      <c r="K924" s="264" t="n"/>
      <c r="L924" s="39" t="n"/>
      <c r="M924" s="40" t="n"/>
      <c r="N924" s="42" t="n"/>
      <c r="O924" s="42" t="n"/>
      <c r="P924" s="41" t="n"/>
      <c r="Q924" s="41" t="n"/>
    </row>
    <row r="925">
      <c r="A925" s="47" t="n"/>
      <c r="B925" s="48" t="n"/>
      <c r="C925" s="47" t="n"/>
      <c r="D925" s="45" t="n"/>
      <c r="E925" s="45" t="n"/>
      <c r="F925" s="45" t="n"/>
      <c r="G925" s="45" t="n"/>
      <c r="H925" s="45" t="n"/>
      <c r="I925" s="46" t="n"/>
      <c r="J925" s="45" t="n"/>
      <c r="K925" s="264" t="n"/>
      <c r="L925" s="39" t="n"/>
      <c r="M925" s="40" t="n"/>
      <c r="N925" s="42" t="n"/>
      <c r="O925" s="42" t="n"/>
      <c r="P925" s="41" t="n"/>
      <c r="Q925" s="41" t="n"/>
    </row>
    <row r="926">
      <c r="A926" s="47" t="n"/>
      <c r="B926" s="48" t="n"/>
      <c r="C926" s="47" t="n"/>
      <c r="D926" s="45" t="n"/>
      <c r="E926" s="45" t="n"/>
      <c r="F926" s="45" t="n"/>
      <c r="G926" s="45" t="n"/>
      <c r="H926" s="45" t="n"/>
      <c r="I926" s="46" t="n"/>
      <c r="J926" s="45" t="n"/>
      <c r="K926" s="264" t="n"/>
      <c r="L926" s="39" t="n"/>
      <c r="M926" s="40" t="n"/>
      <c r="N926" s="42" t="n"/>
      <c r="O926" s="42" t="n"/>
      <c r="P926" s="41" t="n"/>
      <c r="Q926" s="41" t="n"/>
    </row>
    <row r="927">
      <c r="A927" s="47" t="n"/>
      <c r="B927" s="48" t="n"/>
      <c r="C927" s="47" t="n"/>
      <c r="D927" s="45" t="n"/>
      <c r="E927" s="45" t="n"/>
      <c r="F927" s="45" t="n"/>
      <c r="G927" s="45" t="n"/>
      <c r="H927" s="45" t="n"/>
      <c r="I927" s="46" t="n"/>
      <c r="J927" s="45" t="n"/>
      <c r="K927" s="264" t="n"/>
      <c r="L927" s="39" t="n"/>
      <c r="M927" s="40" t="n"/>
      <c r="N927" s="42" t="n"/>
      <c r="O927" s="42" t="n"/>
      <c r="P927" s="41" t="n"/>
      <c r="Q927" s="41" t="n"/>
    </row>
    <row r="928">
      <c r="A928" s="47" t="n"/>
      <c r="B928" s="48" t="n"/>
      <c r="C928" s="47" t="n"/>
      <c r="D928" s="45" t="n"/>
      <c r="E928" s="45" t="n"/>
      <c r="F928" s="45" t="n"/>
      <c r="G928" s="45" t="n"/>
      <c r="H928" s="45" t="n"/>
      <c r="I928" s="46" t="n"/>
      <c r="J928" s="45" t="n"/>
      <c r="K928" s="264" t="n"/>
      <c r="L928" s="39" t="n"/>
      <c r="M928" s="40" t="n"/>
      <c r="N928" s="42" t="n"/>
      <c r="O928" s="42" t="n"/>
      <c r="P928" s="41" t="n"/>
      <c r="Q928" s="41" t="n"/>
    </row>
    <row r="929">
      <c r="A929" s="47" t="n"/>
      <c r="B929" s="48" t="n"/>
      <c r="C929" s="47" t="n"/>
      <c r="D929" s="45" t="n"/>
      <c r="E929" s="45" t="n"/>
      <c r="F929" s="45" t="n"/>
      <c r="G929" s="45" t="n"/>
      <c r="H929" s="45" t="n"/>
      <c r="I929" s="46" t="n"/>
      <c r="J929" s="45" t="n"/>
      <c r="K929" s="264" t="n"/>
      <c r="L929" s="39" t="n"/>
      <c r="M929" s="40" t="n"/>
      <c r="N929" s="42" t="n"/>
      <c r="O929" s="42" t="n"/>
      <c r="P929" s="41" t="n"/>
      <c r="Q929" s="41" t="n"/>
    </row>
    <row r="930">
      <c r="A930" s="47" t="n"/>
      <c r="B930" s="48" t="n"/>
      <c r="C930" s="47" t="n"/>
      <c r="D930" s="45" t="n"/>
      <c r="E930" s="45" t="n"/>
      <c r="F930" s="45" t="n"/>
      <c r="G930" s="45" t="n"/>
      <c r="H930" s="45" t="n"/>
      <c r="I930" s="46" t="n"/>
      <c r="J930" s="45" t="n"/>
      <c r="K930" s="264" t="n"/>
      <c r="L930" s="39" t="n"/>
      <c r="M930" s="40" t="n"/>
      <c r="N930" s="42" t="n"/>
      <c r="O930" s="42" t="n"/>
      <c r="P930" s="41" t="n"/>
      <c r="Q930" s="41" t="n"/>
    </row>
    <row r="931">
      <c r="A931" s="47" t="n"/>
      <c r="B931" s="48" t="n"/>
      <c r="C931" s="47" t="n"/>
      <c r="D931" s="45" t="n"/>
      <c r="E931" s="45" t="n"/>
      <c r="F931" s="45" t="n"/>
      <c r="G931" s="45" t="n"/>
      <c r="H931" s="45" t="n"/>
      <c r="I931" s="46" t="n"/>
      <c r="J931" s="45" t="n"/>
      <c r="K931" s="264" t="n"/>
      <c r="L931" s="39" t="n"/>
      <c r="M931" s="40" t="n"/>
      <c r="N931" s="42" t="n"/>
      <c r="O931" s="42" t="n"/>
      <c r="P931" s="41" t="n"/>
      <c r="Q931" s="41" t="n"/>
    </row>
    <row r="932">
      <c r="A932" s="47" t="n"/>
      <c r="B932" s="48" t="n"/>
      <c r="C932" s="47" t="n"/>
      <c r="D932" s="45" t="n"/>
      <c r="E932" s="45" t="n"/>
      <c r="F932" s="45" t="n"/>
      <c r="G932" s="45" t="n"/>
      <c r="H932" s="45" t="n"/>
      <c r="I932" s="46" t="n"/>
      <c r="J932" s="45" t="n"/>
      <c r="K932" s="264" t="n"/>
      <c r="L932" s="39" t="n"/>
      <c r="M932" s="40" t="n"/>
      <c r="N932" s="42" t="n"/>
      <c r="O932" s="42" t="n"/>
      <c r="P932" s="41" t="n"/>
      <c r="Q932" s="41" t="n"/>
    </row>
    <row r="933">
      <c r="A933" s="47" t="n"/>
      <c r="B933" s="48" t="n"/>
      <c r="C933" s="47" t="n"/>
      <c r="D933" s="45" t="n"/>
      <c r="E933" s="45" t="n"/>
      <c r="F933" s="45" t="n"/>
      <c r="G933" s="45" t="n"/>
      <c r="H933" s="45" t="n"/>
      <c r="I933" s="46" t="n"/>
      <c r="J933" s="45" t="n"/>
      <c r="K933" s="264" t="n"/>
      <c r="L933" s="39" t="n"/>
      <c r="M933" s="40" t="n"/>
      <c r="N933" s="42" t="n"/>
      <c r="O933" s="42" t="n"/>
      <c r="P933" s="41" t="n"/>
      <c r="Q933" s="41" t="n"/>
    </row>
    <row r="934">
      <c r="A934" s="47" t="n"/>
      <c r="B934" s="48" t="n"/>
      <c r="C934" s="47" t="n"/>
      <c r="D934" s="45" t="n"/>
      <c r="E934" s="45" t="n"/>
      <c r="F934" s="45" t="n"/>
      <c r="G934" s="45" t="n"/>
      <c r="H934" s="45" t="n"/>
      <c r="I934" s="46" t="n"/>
      <c r="J934" s="45" t="n"/>
      <c r="K934" s="264" t="n"/>
      <c r="L934" s="39" t="n"/>
      <c r="M934" s="40" t="n"/>
      <c r="N934" s="42" t="n"/>
      <c r="O934" s="42" t="n"/>
      <c r="P934" s="41" t="n"/>
      <c r="Q934" s="41" t="n"/>
    </row>
    <row r="935">
      <c r="A935" s="47" t="n"/>
      <c r="B935" s="48" t="n"/>
      <c r="C935" s="47" t="n"/>
      <c r="D935" s="45" t="n"/>
      <c r="E935" s="45" t="n"/>
      <c r="F935" s="45" t="n"/>
      <c r="G935" s="45" t="n"/>
      <c r="H935" s="45" t="n"/>
      <c r="I935" s="46" t="n"/>
      <c r="J935" s="45" t="n"/>
      <c r="K935" s="264" t="n"/>
      <c r="L935" s="39" t="n"/>
      <c r="M935" s="40" t="n"/>
      <c r="N935" s="42" t="n"/>
      <c r="O935" s="42" t="n"/>
      <c r="P935" s="41" t="n"/>
      <c r="Q935" s="41" t="n"/>
    </row>
    <row r="936">
      <c r="A936" s="47" t="n"/>
      <c r="B936" s="48" t="n"/>
      <c r="C936" s="47" t="n"/>
      <c r="D936" s="45" t="n"/>
      <c r="E936" s="45" t="n"/>
      <c r="F936" s="45" t="n"/>
      <c r="G936" s="45" t="n"/>
      <c r="H936" s="45" t="n"/>
      <c r="I936" s="46" t="n"/>
      <c r="J936" s="45" t="n"/>
      <c r="K936" s="264" t="n"/>
      <c r="L936" s="39" t="n"/>
      <c r="M936" s="40" t="n"/>
      <c r="N936" s="42" t="n"/>
      <c r="O936" s="42" t="n"/>
      <c r="P936" s="41" t="n"/>
      <c r="Q936" s="41" t="n"/>
    </row>
    <row r="937">
      <c r="A937" s="47" t="n"/>
      <c r="B937" s="48" t="n"/>
      <c r="C937" s="47" t="n"/>
      <c r="D937" s="45" t="n"/>
      <c r="E937" s="45" t="n"/>
      <c r="F937" s="45" t="n"/>
      <c r="G937" s="45" t="n"/>
      <c r="H937" s="45" t="n"/>
      <c r="I937" s="46" t="n"/>
      <c r="J937" s="45" t="n"/>
      <c r="K937" s="264" t="n"/>
      <c r="L937" s="39" t="n"/>
      <c r="M937" s="40" t="n"/>
      <c r="N937" s="42" t="n"/>
      <c r="O937" s="42" t="n"/>
      <c r="P937" s="41" t="n"/>
      <c r="Q937" s="41" t="n"/>
    </row>
    <row r="938">
      <c r="A938" s="47" t="n"/>
      <c r="B938" s="48" t="n"/>
      <c r="C938" s="47" t="n"/>
      <c r="D938" s="45" t="n"/>
      <c r="E938" s="45" t="n"/>
      <c r="F938" s="45" t="n"/>
      <c r="G938" s="45" t="n"/>
      <c r="H938" s="45" t="n"/>
      <c r="I938" s="46" t="n"/>
      <c r="J938" s="45" t="n"/>
      <c r="K938" s="264" t="n"/>
      <c r="L938" s="39" t="n"/>
      <c r="M938" s="40" t="n"/>
      <c r="N938" s="42" t="n"/>
      <c r="O938" s="42" t="n"/>
      <c r="P938" s="41" t="n"/>
      <c r="Q938" s="41" t="n"/>
    </row>
    <row r="939">
      <c r="A939" s="47" t="n"/>
      <c r="B939" s="48" t="n"/>
      <c r="C939" s="47" t="n"/>
      <c r="D939" s="45" t="n"/>
      <c r="E939" s="45" t="n"/>
      <c r="F939" s="45" t="n"/>
      <c r="G939" s="45" t="n"/>
      <c r="H939" s="45" t="n"/>
      <c r="I939" s="46" t="n"/>
      <c r="J939" s="45" t="n"/>
      <c r="K939" s="264" t="n"/>
      <c r="L939" s="39" t="n"/>
      <c r="M939" s="40" t="n"/>
      <c r="N939" s="42" t="n"/>
      <c r="O939" s="42" t="n"/>
      <c r="P939" s="41" t="n"/>
      <c r="Q939" s="41" t="n"/>
    </row>
    <row r="940">
      <c r="A940" s="47" t="n"/>
      <c r="B940" s="48" t="n"/>
      <c r="C940" s="47" t="n"/>
      <c r="D940" s="45" t="n"/>
      <c r="E940" s="45" t="n"/>
      <c r="F940" s="45" t="n"/>
      <c r="G940" s="45" t="n"/>
      <c r="H940" s="45" t="n"/>
      <c r="I940" s="46" t="n"/>
      <c r="J940" s="45" t="n"/>
      <c r="K940" s="264" t="n"/>
      <c r="L940" s="39" t="n"/>
      <c r="M940" s="40" t="n"/>
      <c r="N940" s="42" t="n"/>
      <c r="O940" s="42" t="n"/>
      <c r="P940" s="41" t="n"/>
      <c r="Q940" s="41" t="n"/>
    </row>
    <row r="941">
      <c r="A941" s="47" t="n"/>
      <c r="B941" s="48" t="n"/>
      <c r="C941" s="47" t="n"/>
      <c r="D941" s="45" t="n"/>
      <c r="E941" s="45" t="n"/>
      <c r="F941" s="45" t="n"/>
      <c r="G941" s="45" t="n"/>
      <c r="H941" s="45" t="n"/>
      <c r="I941" s="46" t="n"/>
      <c r="J941" s="45" t="n"/>
      <c r="K941" s="264" t="n"/>
      <c r="L941" s="39" t="n"/>
      <c r="M941" s="40" t="n"/>
      <c r="N941" s="42" t="n"/>
      <c r="O941" s="42" t="n"/>
      <c r="P941" s="41" t="n"/>
      <c r="Q941" s="41" t="n"/>
    </row>
    <row r="942">
      <c r="A942" s="47" t="n"/>
      <c r="B942" s="48" t="n"/>
      <c r="C942" s="47" t="n"/>
      <c r="D942" s="45" t="n"/>
      <c r="E942" s="45" t="n"/>
      <c r="F942" s="45" t="n"/>
      <c r="G942" s="45" t="n"/>
      <c r="H942" s="45" t="n"/>
      <c r="I942" s="46" t="n"/>
      <c r="J942" s="45" t="n"/>
      <c r="K942" s="264" t="n"/>
      <c r="L942" s="39" t="n"/>
      <c r="M942" s="40" t="n"/>
      <c r="N942" s="42" t="n"/>
      <c r="O942" s="42" t="n"/>
      <c r="P942" s="41" t="n"/>
      <c r="Q942" s="41" t="n"/>
    </row>
    <row r="943">
      <c r="A943" s="47" t="n"/>
      <c r="B943" s="48" t="n"/>
      <c r="C943" s="47" t="n"/>
      <c r="D943" s="45" t="n"/>
      <c r="E943" s="45" t="n"/>
      <c r="F943" s="45" t="n"/>
      <c r="G943" s="45" t="n"/>
      <c r="H943" s="45" t="n"/>
      <c r="I943" s="46" t="n"/>
      <c r="J943" s="45" t="n"/>
      <c r="K943" s="264" t="n"/>
      <c r="L943" s="39" t="n"/>
      <c r="M943" s="40" t="n"/>
      <c r="N943" s="42" t="n"/>
      <c r="O943" s="42" t="n"/>
      <c r="P943" s="41" t="n"/>
      <c r="Q943" s="41" t="n"/>
    </row>
    <row r="944">
      <c r="A944" s="47" t="n"/>
      <c r="B944" s="48" t="n"/>
      <c r="C944" s="47" t="n"/>
      <c r="D944" s="45" t="n"/>
      <c r="E944" s="45" t="n"/>
      <c r="F944" s="45" t="n"/>
      <c r="G944" s="45" t="n"/>
      <c r="H944" s="45" t="n"/>
      <c r="I944" s="46" t="n"/>
      <c r="J944" s="45" t="n"/>
      <c r="K944" s="264" t="n"/>
      <c r="L944" s="39" t="n"/>
      <c r="M944" s="40" t="n"/>
      <c r="N944" s="42" t="n"/>
      <c r="O944" s="42" t="n"/>
      <c r="P944" s="41" t="n"/>
      <c r="Q944" s="41" t="n"/>
    </row>
    <row r="945">
      <c r="A945" s="47" t="n"/>
      <c r="B945" s="48" t="n"/>
      <c r="C945" s="47" t="n"/>
      <c r="D945" s="45" t="n"/>
      <c r="E945" s="45" t="n"/>
      <c r="F945" s="45" t="n"/>
      <c r="G945" s="45" t="n"/>
      <c r="H945" s="45" t="n"/>
      <c r="I945" s="46" t="n"/>
      <c r="J945" s="45" t="n"/>
      <c r="K945" s="264" t="n"/>
      <c r="L945" s="39" t="n"/>
      <c r="M945" s="40" t="n"/>
      <c r="N945" s="42" t="n"/>
      <c r="O945" s="42" t="n"/>
      <c r="P945" s="41" t="n"/>
      <c r="Q945" s="41" t="n"/>
    </row>
    <row r="946">
      <c r="A946" s="47" t="n"/>
      <c r="B946" s="48" t="n"/>
      <c r="C946" s="47" t="n"/>
      <c r="D946" s="45" t="n"/>
      <c r="E946" s="45" t="n"/>
      <c r="F946" s="45" t="n"/>
      <c r="G946" s="45" t="n"/>
      <c r="H946" s="45" t="n"/>
      <c r="I946" s="46" t="n"/>
      <c r="J946" s="45" t="n"/>
      <c r="K946" s="264" t="n"/>
      <c r="L946" s="39" t="n"/>
      <c r="M946" s="40" t="n"/>
      <c r="N946" s="42" t="n"/>
      <c r="O946" s="42" t="n"/>
      <c r="P946" s="41" t="n"/>
      <c r="Q946" s="41" t="n"/>
    </row>
    <row r="947">
      <c r="A947" s="47" t="n"/>
      <c r="B947" s="48" t="n"/>
      <c r="C947" s="47" t="n"/>
      <c r="D947" s="45" t="n"/>
      <c r="E947" s="45" t="n"/>
      <c r="F947" s="45" t="n"/>
      <c r="G947" s="45" t="n"/>
      <c r="H947" s="45" t="n"/>
      <c r="I947" s="46" t="n"/>
      <c r="J947" s="45" t="n"/>
      <c r="K947" s="264" t="n"/>
      <c r="L947" s="39" t="n"/>
      <c r="M947" s="40" t="n"/>
      <c r="N947" s="42" t="n"/>
      <c r="O947" s="42" t="n"/>
      <c r="P947" s="41" t="n"/>
      <c r="Q947" s="41" t="n"/>
    </row>
    <row r="948">
      <c r="A948" s="47" t="n"/>
      <c r="B948" s="48" t="n"/>
      <c r="C948" s="47" t="n"/>
      <c r="D948" s="45" t="n"/>
      <c r="E948" s="45" t="n"/>
      <c r="F948" s="45" t="n"/>
      <c r="G948" s="45" t="n"/>
      <c r="H948" s="45" t="n"/>
      <c r="I948" s="46" t="n"/>
      <c r="J948" s="45" t="n"/>
      <c r="K948" s="264" t="n"/>
      <c r="L948" s="39" t="n"/>
      <c r="M948" s="40" t="n"/>
      <c r="N948" s="42" t="n"/>
      <c r="O948" s="42" t="n"/>
      <c r="P948" s="41" t="n"/>
      <c r="Q948" s="41" t="n"/>
    </row>
    <row r="949">
      <c r="A949" s="47" t="n"/>
      <c r="B949" s="48" t="n"/>
      <c r="C949" s="47" t="n"/>
      <c r="D949" s="45" t="n"/>
      <c r="E949" s="45" t="n"/>
      <c r="F949" s="45" t="n"/>
      <c r="G949" s="45" t="n"/>
      <c r="H949" s="45" t="n"/>
      <c r="I949" s="46" t="n"/>
      <c r="J949" s="45" t="n"/>
      <c r="K949" s="264" t="n"/>
      <c r="L949" s="39" t="n"/>
      <c r="M949" s="40" t="n"/>
      <c r="N949" s="42" t="n"/>
      <c r="O949" s="42" t="n"/>
      <c r="P949" s="41" t="n"/>
      <c r="Q949" s="41" t="n"/>
    </row>
    <row r="950">
      <c r="A950" s="47" t="n"/>
      <c r="B950" s="48" t="n"/>
      <c r="C950" s="47" t="n"/>
      <c r="D950" s="45" t="n"/>
      <c r="E950" s="45" t="n"/>
      <c r="F950" s="45" t="n"/>
      <c r="G950" s="45" t="n"/>
      <c r="H950" s="45" t="n"/>
      <c r="I950" s="46" t="n"/>
      <c r="J950" s="45" t="n"/>
      <c r="K950" s="264" t="n"/>
      <c r="L950" s="39" t="n"/>
      <c r="M950" s="40" t="n"/>
      <c r="N950" s="42" t="n"/>
      <c r="O950" s="42" t="n"/>
      <c r="P950" s="41" t="n"/>
      <c r="Q950" s="41" t="n"/>
    </row>
    <row r="951">
      <c r="A951" s="47" t="n"/>
      <c r="B951" s="48" t="n"/>
      <c r="C951" s="47" t="n"/>
      <c r="D951" s="45" t="n"/>
      <c r="E951" s="45" t="n"/>
      <c r="F951" s="45" t="n"/>
      <c r="G951" s="45" t="n"/>
      <c r="H951" s="45" t="n"/>
      <c r="I951" s="46" t="n"/>
      <c r="J951" s="45" t="n"/>
      <c r="K951" s="264" t="n"/>
      <c r="L951" s="39" t="n"/>
      <c r="M951" s="40" t="n"/>
      <c r="N951" s="42" t="n"/>
      <c r="O951" s="42" t="n"/>
      <c r="P951" s="41" t="n"/>
      <c r="Q951" s="41" t="n"/>
    </row>
    <row r="952">
      <c r="A952" s="47" t="n"/>
      <c r="B952" s="48" t="n"/>
      <c r="C952" s="47" t="n"/>
      <c r="D952" s="45" t="n"/>
      <c r="E952" s="45" t="n"/>
      <c r="F952" s="45" t="n"/>
      <c r="G952" s="45" t="n"/>
      <c r="H952" s="45" t="n"/>
      <c r="I952" s="46" t="n"/>
      <c r="J952" s="45" t="n"/>
      <c r="K952" s="264" t="n"/>
      <c r="L952" s="39" t="n"/>
      <c r="M952" s="40" t="n"/>
      <c r="N952" s="42" t="n"/>
      <c r="O952" s="42" t="n"/>
      <c r="P952" s="41" t="n"/>
      <c r="Q952" s="41" t="n"/>
    </row>
    <row r="953">
      <c r="A953" s="47" t="n"/>
      <c r="B953" s="48" t="n"/>
      <c r="C953" s="47" t="n"/>
      <c r="D953" s="45" t="n"/>
      <c r="E953" s="45" t="n"/>
      <c r="F953" s="45" t="n"/>
      <c r="G953" s="45" t="n"/>
      <c r="H953" s="45" t="n"/>
      <c r="I953" s="46" t="n"/>
      <c r="J953" s="45" t="n"/>
      <c r="K953" s="264" t="n"/>
      <c r="L953" s="39" t="n"/>
      <c r="M953" s="40" t="n"/>
      <c r="N953" s="42" t="n"/>
      <c r="O953" s="42" t="n"/>
      <c r="P953" s="41" t="n"/>
      <c r="Q953" s="41" t="n"/>
    </row>
    <row r="954">
      <c r="A954" s="47" t="n"/>
      <c r="B954" s="48" t="n"/>
      <c r="C954" s="47" t="n"/>
      <c r="D954" s="45" t="n"/>
      <c r="E954" s="45" t="n"/>
      <c r="F954" s="45" t="n"/>
      <c r="G954" s="45" t="n"/>
      <c r="H954" s="45" t="n"/>
      <c r="I954" s="46" t="n"/>
      <c r="J954" s="45" t="n"/>
      <c r="K954" s="264" t="n"/>
      <c r="L954" s="39" t="n"/>
      <c r="M954" s="40" t="n"/>
      <c r="N954" s="42" t="n"/>
      <c r="O954" s="42" t="n"/>
      <c r="P954" s="41" t="n"/>
      <c r="Q954" s="41" t="n"/>
    </row>
    <row r="955">
      <c r="A955" s="47" t="n"/>
      <c r="B955" s="48" t="n"/>
      <c r="C955" s="47" t="n"/>
      <c r="D955" s="45" t="n"/>
      <c r="E955" s="45" t="n"/>
      <c r="F955" s="45" t="n"/>
      <c r="G955" s="45" t="n"/>
      <c r="H955" s="45" t="n"/>
      <c r="I955" s="46" t="n"/>
      <c r="J955" s="45" t="n"/>
      <c r="K955" s="264" t="n"/>
      <c r="L955" s="39" t="n"/>
      <c r="M955" s="40" t="n"/>
      <c r="N955" s="42" t="n"/>
      <c r="O955" s="42" t="n"/>
      <c r="P955" s="41" t="n"/>
      <c r="Q955" s="41" t="n"/>
    </row>
    <row r="956">
      <c r="A956" s="47" t="n"/>
      <c r="B956" s="48" t="n"/>
      <c r="C956" s="47" t="n"/>
      <c r="D956" s="45" t="n"/>
      <c r="E956" s="45" t="n"/>
      <c r="F956" s="45" t="n"/>
      <c r="G956" s="45" t="n"/>
      <c r="H956" s="45" t="n"/>
      <c r="I956" s="46" t="n"/>
      <c r="J956" s="45" t="n"/>
      <c r="K956" s="264" t="n"/>
      <c r="L956" s="39" t="n"/>
      <c r="M956" s="40" t="n"/>
      <c r="N956" s="42" t="n"/>
      <c r="O956" s="42" t="n"/>
      <c r="P956" s="41" t="n"/>
      <c r="Q956" s="41" t="n"/>
    </row>
    <row r="957">
      <c r="A957" s="47" t="n"/>
      <c r="B957" s="48" t="n"/>
      <c r="C957" s="47" t="n"/>
      <c r="D957" s="45" t="n"/>
      <c r="E957" s="45" t="n"/>
      <c r="F957" s="45" t="n"/>
      <c r="G957" s="45" t="n"/>
      <c r="H957" s="45" t="n"/>
      <c r="I957" s="46" t="n"/>
      <c r="J957" s="45" t="n"/>
      <c r="K957" s="264" t="n"/>
      <c r="L957" s="39" t="n"/>
      <c r="M957" s="40" t="n"/>
      <c r="N957" s="42" t="n"/>
      <c r="O957" s="42" t="n"/>
      <c r="P957" s="41" t="n"/>
      <c r="Q957" s="41" t="n"/>
    </row>
    <row r="958">
      <c r="A958" s="47" t="n"/>
      <c r="B958" s="48" t="n"/>
      <c r="C958" s="47" t="n"/>
      <c r="D958" s="45" t="n"/>
      <c r="E958" s="45" t="n"/>
      <c r="F958" s="45" t="n"/>
      <c r="G958" s="45" t="n"/>
      <c r="H958" s="45" t="n"/>
      <c r="I958" s="46" t="n"/>
      <c r="J958" s="45" t="n"/>
      <c r="K958" s="264" t="n"/>
      <c r="L958" s="39" t="n"/>
      <c r="M958" s="40" t="n"/>
      <c r="N958" s="42" t="n"/>
      <c r="O958" s="42" t="n"/>
      <c r="P958" s="41" t="n"/>
      <c r="Q958" s="41" t="n"/>
    </row>
    <row r="959">
      <c r="A959" s="47" t="n"/>
      <c r="B959" s="48" t="n"/>
      <c r="C959" s="47" t="n"/>
      <c r="D959" s="45" t="n"/>
      <c r="E959" s="45" t="n"/>
      <c r="F959" s="45" t="n"/>
      <c r="G959" s="45" t="n"/>
      <c r="H959" s="45" t="n"/>
      <c r="I959" s="46" t="n"/>
      <c r="J959" s="45" t="n"/>
      <c r="K959" s="264" t="n"/>
      <c r="L959" s="39" t="n"/>
      <c r="M959" s="40" t="n"/>
      <c r="N959" s="42" t="n"/>
      <c r="O959" s="42" t="n"/>
      <c r="P959" s="41" t="n"/>
      <c r="Q959" s="41" t="n"/>
    </row>
    <row r="960">
      <c r="A960" s="47" t="n"/>
      <c r="B960" s="48" t="n"/>
      <c r="C960" s="47" t="n"/>
      <c r="D960" s="45" t="n"/>
      <c r="E960" s="45" t="n"/>
      <c r="F960" s="45" t="n"/>
      <c r="G960" s="45" t="n"/>
      <c r="H960" s="45" t="n"/>
      <c r="I960" s="46" t="n"/>
      <c r="J960" s="45" t="n"/>
      <c r="K960" s="264" t="n"/>
      <c r="L960" s="39" t="n"/>
      <c r="M960" s="40" t="n"/>
      <c r="N960" s="42" t="n"/>
      <c r="O960" s="42" t="n"/>
      <c r="P960" s="41" t="n"/>
      <c r="Q960" s="41" t="n"/>
    </row>
    <row r="961">
      <c r="A961" s="47" t="n"/>
      <c r="B961" s="48" t="n"/>
      <c r="C961" s="47" t="n"/>
      <c r="D961" s="45" t="n"/>
      <c r="E961" s="45" t="n"/>
      <c r="F961" s="45" t="n"/>
      <c r="G961" s="45" t="n"/>
      <c r="H961" s="45" t="n"/>
      <c r="I961" s="46" t="n"/>
      <c r="J961" s="45" t="n"/>
      <c r="K961" s="264" t="n"/>
      <c r="L961" s="39" t="n"/>
      <c r="M961" s="40" t="n"/>
      <c r="N961" s="42" t="n"/>
      <c r="O961" s="42" t="n"/>
      <c r="P961" s="41" t="n"/>
      <c r="Q961" s="41" t="n"/>
    </row>
    <row r="962">
      <c r="A962" s="47" t="n"/>
      <c r="B962" s="48" t="n"/>
      <c r="C962" s="47" t="n"/>
      <c r="D962" s="45" t="n"/>
      <c r="E962" s="45" t="n"/>
      <c r="F962" s="45" t="n"/>
      <c r="G962" s="45" t="n"/>
      <c r="H962" s="45" t="n"/>
      <c r="I962" s="46" t="n"/>
      <c r="J962" s="45" t="n"/>
      <c r="K962" s="264" t="n"/>
      <c r="L962" s="39" t="n"/>
      <c r="M962" s="40" t="n"/>
      <c r="N962" s="42" t="n"/>
      <c r="O962" s="42" t="n"/>
      <c r="P962" s="41" t="n"/>
      <c r="Q962" s="41" t="n"/>
    </row>
    <row r="963">
      <c r="A963" s="47" t="n"/>
      <c r="B963" s="48" t="n"/>
      <c r="C963" s="47" t="n"/>
      <c r="D963" s="45" t="n"/>
      <c r="E963" s="45" t="n"/>
      <c r="F963" s="45" t="n"/>
      <c r="G963" s="45" t="n"/>
      <c r="H963" s="45" t="n"/>
      <c r="I963" s="46" t="n"/>
      <c r="J963" s="45" t="n"/>
      <c r="K963" s="264" t="n"/>
      <c r="L963" s="39" t="n"/>
      <c r="M963" s="40" t="n"/>
      <c r="N963" s="42" t="n"/>
      <c r="O963" s="42" t="n"/>
      <c r="P963" s="41" t="n"/>
      <c r="Q963" s="41" t="n"/>
    </row>
    <row r="964">
      <c r="A964" s="47" t="n"/>
      <c r="B964" s="48" t="n"/>
      <c r="C964" s="47" t="n"/>
      <c r="D964" s="45" t="n"/>
      <c r="E964" s="45" t="n"/>
      <c r="F964" s="45" t="n"/>
      <c r="G964" s="45" t="n"/>
      <c r="H964" s="45" t="n"/>
      <c r="I964" s="46" t="n"/>
      <c r="J964" s="45" t="n"/>
      <c r="K964" s="264" t="n"/>
      <c r="L964" s="39" t="n"/>
      <c r="M964" s="40" t="n"/>
      <c r="N964" s="42" t="n"/>
      <c r="O964" s="42" t="n"/>
      <c r="P964" s="41" t="n"/>
      <c r="Q964" s="41" t="n"/>
    </row>
    <row r="965">
      <c r="A965" s="47" t="n"/>
      <c r="B965" s="48" t="n"/>
      <c r="C965" s="47" t="n"/>
      <c r="D965" s="45" t="n"/>
      <c r="E965" s="45" t="n"/>
      <c r="F965" s="45" t="n"/>
      <c r="G965" s="45" t="n"/>
      <c r="H965" s="45" t="n"/>
      <c r="I965" s="46" t="n"/>
      <c r="J965" s="45" t="n"/>
      <c r="K965" s="264" t="n"/>
      <c r="L965" s="39" t="n"/>
      <c r="M965" s="40" t="n"/>
      <c r="N965" s="42" t="n"/>
      <c r="O965" s="42" t="n"/>
      <c r="P965" s="41" t="n"/>
      <c r="Q965" s="41" t="n"/>
    </row>
    <row r="966">
      <c r="A966" s="47" t="n"/>
      <c r="B966" s="48" t="n"/>
      <c r="C966" s="47" t="n"/>
      <c r="D966" s="45" t="n"/>
      <c r="E966" s="45" t="n"/>
      <c r="F966" s="45" t="n"/>
      <c r="G966" s="45" t="n"/>
      <c r="H966" s="45" t="n"/>
      <c r="I966" s="46" t="n"/>
      <c r="J966" s="45" t="n"/>
      <c r="K966" s="264" t="n"/>
      <c r="L966" s="39" t="n"/>
      <c r="M966" s="40" t="n"/>
      <c r="N966" s="42" t="n"/>
      <c r="O966" s="42" t="n"/>
      <c r="P966" s="41" t="n"/>
      <c r="Q966" s="41" t="n"/>
    </row>
    <row r="967">
      <c r="A967" s="47" t="n"/>
      <c r="B967" s="48" t="n"/>
      <c r="C967" s="47" t="n"/>
      <c r="D967" s="45" t="n"/>
      <c r="E967" s="45" t="n"/>
      <c r="F967" s="45" t="n"/>
      <c r="G967" s="45" t="n"/>
      <c r="H967" s="45" t="n"/>
      <c r="I967" s="46" t="n"/>
      <c r="J967" s="45" t="n"/>
      <c r="K967" s="264" t="n"/>
      <c r="L967" s="39" t="n"/>
      <c r="M967" s="40" t="n"/>
      <c r="N967" s="42" t="n"/>
      <c r="O967" s="42" t="n"/>
      <c r="P967" s="41" t="n"/>
      <c r="Q967" s="41" t="n"/>
    </row>
    <row r="968">
      <c r="A968" s="47" t="n"/>
      <c r="B968" s="48" t="n"/>
      <c r="C968" s="47" t="n"/>
      <c r="D968" s="45" t="n"/>
      <c r="E968" s="45" t="n"/>
      <c r="F968" s="45" t="n"/>
      <c r="G968" s="45" t="n"/>
      <c r="H968" s="45" t="n"/>
      <c r="I968" s="46" t="n"/>
      <c r="J968" s="45" t="n"/>
      <c r="K968" s="264" t="n"/>
      <c r="L968" s="39" t="n"/>
      <c r="M968" s="40" t="n"/>
      <c r="N968" s="42" t="n"/>
      <c r="O968" s="42" t="n"/>
      <c r="P968" s="41" t="n"/>
      <c r="Q968" s="41" t="n"/>
    </row>
    <row r="969">
      <c r="A969" s="47" t="n"/>
      <c r="B969" s="48" t="n"/>
      <c r="C969" s="47" t="n"/>
      <c r="D969" s="45" t="n"/>
      <c r="E969" s="45" t="n"/>
      <c r="F969" s="45" t="n"/>
      <c r="G969" s="45" t="n"/>
      <c r="H969" s="45" t="n"/>
      <c r="I969" s="46" t="n"/>
      <c r="J969" s="45" t="n"/>
      <c r="K969" s="264" t="n"/>
      <c r="L969" s="39" t="n"/>
      <c r="M969" s="40" t="n"/>
      <c r="N969" s="42" t="n"/>
      <c r="O969" s="42" t="n"/>
      <c r="P969" s="41" t="n"/>
      <c r="Q969" s="41" t="n"/>
    </row>
    <row r="970">
      <c r="A970" s="47" t="n"/>
      <c r="B970" s="48" t="n"/>
      <c r="C970" s="47" t="n"/>
      <c r="D970" s="45" t="n"/>
      <c r="E970" s="45" t="n"/>
      <c r="F970" s="45" t="n"/>
      <c r="G970" s="45" t="n"/>
      <c r="H970" s="45" t="n"/>
      <c r="I970" s="46" t="n"/>
      <c r="J970" s="45" t="n"/>
      <c r="K970" s="264" t="n"/>
      <c r="L970" s="39" t="n"/>
      <c r="M970" s="40" t="n"/>
      <c r="N970" s="42" t="n"/>
      <c r="O970" s="42" t="n"/>
      <c r="P970" s="41" t="n"/>
      <c r="Q970" s="41" t="n"/>
    </row>
    <row r="971">
      <c r="A971" s="47" t="n"/>
      <c r="B971" s="48" t="n"/>
      <c r="C971" s="47" t="n"/>
      <c r="D971" s="45" t="n"/>
      <c r="E971" s="45" t="n"/>
      <c r="F971" s="45" t="n"/>
      <c r="G971" s="45" t="n"/>
      <c r="H971" s="45" t="n"/>
      <c r="I971" s="46" t="n"/>
      <c r="J971" s="45" t="n"/>
      <c r="K971" s="264" t="n"/>
      <c r="L971" s="39" t="n"/>
      <c r="M971" s="40" t="n"/>
      <c r="N971" s="42" t="n"/>
      <c r="O971" s="42" t="n"/>
      <c r="P971" s="41" t="n"/>
      <c r="Q971" s="41" t="n"/>
    </row>
    <row r="972">
      <c r="A972" s="47" t="n"/>
      <c r="B972" s="48" t="n"/>
      <c r="C972" s="47" t="n"/>
      <c r="D972" s="45" t="n"/>
      <c r="E972" s="45" t="n"/>
      <c r="F972" s="45" t="n"/>
      <c r="G972" s="45" t="n"/>
      <c r="H972" s="45" t="n"/>
      <c r="I972" s="46" t="n"/>
      <c r="J972" s="45" t="n"/>
      <c r="K972" s="264" t="n"/>
      <c r="L972" s="39" t="n"/>
      <c r="M972" s="40" t="n"/>
      <c r="N972" s="42" t="n"/>
      <c r="O972" s="42" t="n"/>
      <c r="P972" s="41" t="n"/>
      <c r="Q972" s="41" t="n"/>
    </row>
    <row r="973">
      <c r="A973" s="47" t="n"/>
      <c r="B973" s="48" t="n"/>
      <c r="C973" s="47" t="n"/>
      <c r="D973" s="45" t="n"/>
      <c r="E973" s="45" t="n"/>
      <c r="F973" s="45" t="n"/>
      <c r="G973" s="45" t="n"/>
      <c r="H973" s="45" t="n"/>
      <c r="I973" s="46" t="n"/>
      <c r="J973" s="45" t="n"/>
      <c r="K973" s="264" t="n"/>
      <c r="L973" s="39" t="n"/>
      <c r="M973" s="40" t="n"/>
      <c r="N973" s="42" t="n"/>
      <c r="O973" s="42" t="n"/>
      <c r="P973" s="41" t="n"/>
      <c r="Q973" s="41" t="n"/>
    </row>
    <row r="974">
      <c r="A974" s="47" t="n"/>
      <c r="B974" s="48" t="n"/>
      <c r="C974" s="47" t="n"/>
      <c r="D974" s="45" t="n"/>
      <c r="E974" s="45" t="n"/>
      <c r="F974" s="45" t="n"/>
      <c r="G974" s="45" t="n"/>
      <c r="H974" s="45" t="n"/>
      <c r="I974" s="46" t="n"/>
      <c r="J974" s="45" t="n"/>
      <c r="K974" s="264" t="n"/>
      <c r="L974" s="39" t="n"/>
      <c r="M974" s="40" t="n"/>
      <c r="N974" s="42" t="n"/>
      <c r="O974" s="42" t="n"/>
      <c r="P974" s="41" t="n"/>
      <c r="Q974" s="41" t="n"/>
    </row>
    <row r="975">
      <c r="A975" s="47" t="n"/>
      <c r="B975" s="48" t="n"/>
      <c r="C975" s="47" t="n"/>
      <c r="D975" s="45" t="n"/>
      <c r="E975" s="45" t="n"/>
      <c r="F975" s="45" t="n"/>
      <c r="G975" s="45" t="n"/>
      <c r="H975" s="45" t="n"/>
      <c r="I975" s="46" t="n"/>
      <c r="J975" s="45" t="n"/>
      <c r="K975" s="264" t="n"/>
      <c r="L975" s="39" t="n"/>
      <c r="M975" s="40" t="n"/>
      <c r="N975" s="42" t="n"/>
      <c r="O975" s="42" t="n"/>
      <c r="P975" s="41" t="n"/>
      <c r="Q975" s="41" t="n"/>
    </row>
    <row r="976">
      <c r="A976" s="47" t="n"/>
      <c r="B976" s="48" t="n"/>
      <c r="C976" s="47" t="n"/>
      <c r="D976" s="45" t="n"/>
      <c r="E976" s="45" t="n"/>
      <c r="F976" s="45" t="n"/>
      <c r="G976" s="45" t="n"/>
      <c r="H976" s="45" t="n"/>
      <c r="I976" s="46" t="n"/>
      <c r="J976" s="45" t="n"/>
      <c r="K976" s="264" t="n"/>
      <c r="L976" s="39" t="n"/>
      <c r="M976" s="40" t="n"/>
      <c r="N976" s="42" t="n"/>
      <c r="O976" s="42" t="n"/>
      <c r="P976" s="41" t="n"/>
      <c r="Q976" s="41" t="n"/>
    </row>
    <row r="977">
      <c r="A977" s="47" t="n"/>
      <c r="B977" s="48" t="n"/>
      <c r="C977" s="47" t="n"/>
      <c r="D977" s="45" t="n"/>
      <c r="E977" s="45" t="n"/>
      <c r="F977" s="45" t="n"/>
      <c r="G977" s="45" t="n"/>
      <c r="H977" s="45" t="n"/>
      <c r="I977" s="46" t="n"/>
      <c r="J977" s="45" t="n"/>
      <c r="K977" s="264" t="n"/>
      <c r="L977" s="39" t="n"/>
      <c r="M977" s="40" t="n"/>
      <c r="N977" s="42" t="n"/>
      <c r="O977" s="42" t="n"/>
      <c r="P977" s="41" t="n"/>
      <c r="Q977" s="41" t="n"/>
    </row>
    <row r="978">
      <c r="A978" s="47" t="n"/>
      <c r="B978" s="48" t="n"/>
      <c r="C978" s="47" t="n"/>
      <c r="D978" s="45" t="n"/>
      <c r="E978" s="45" t="n"/>
      <c r="F978" s="45" t="n"/>
      <c r="G978" s="45" t="n"/>
      <c r="H978" s="45" t="n"/>
      <c r="I978" s="46" t="n"/>
      <c r="J978" s="45" t="n"/>
      <c r="K978" s="264" t="n"/>
      <c r="L978" s="39" t="n"/>
      <c r="M978" s="40" t="n"/>
      <c r="N978" s="42" t="n"/>
      <c r="O978" s="42" t="n"/>
      <c r="P978" s="41" t="n"/>
      <c r="Q978" s="41" t="n"/>
    </row>
    <row r="979">
      <c r="A979" s="47" t="n"/>
      <c r="B979" s="48" t="n"/>
      <c r="C979" s="47" t="n"/>
      <c r="D979" s="45" t="n"/>
      <c r="E979" s="45" t="n"/>
      <c r="F979" s="45" t="n"/>
      <c r="G979" s="45" t="n"/>
      <c r="H979" s="45" t="n"/>
      <c r="I979" s="46" t="n"/>
      <c r="J979" s="45" t="n"/>
      <c r="K979" s="264" t="n"/>
      <c r="L979" s="39" t="n"/>
      <c r="M979" s="40" t="n"/>
      <c r="N979" s="42" t="n"/>
      <c r="O979" s="42" t="n"/>
      <c r="P979" s="41" t="n"/>
      <c r="Q979" s="41" t="n"/>
    </row>
    <row r="980">
      <c r="A980" s="47" t="n"/>
      <c r="B980" s="48" t="n"/>
      <c r="C980" s="47" t="n"/>
      <c r="D980" s="45" t="n"/>
      <c r="E980" s="45" t="n"/>
      <c r="F980" s="45" t="n"/>
      <c r="G980" s="45" t="n"/>
      <c r="H980" s="45" t="n"/>
      <c r="I980" s="46" t="n"/>
      <c r="J980" s="45" t="n"/>
      <c r="K980" s="264" t="n"/>
      <c r="L980" s="39" t="n"/>
      <c r="M980" s="40" t="n"/>
      <c r="N980" s="42" t="n"/>
      <c r="O980" s="42" t="n"/>
      <c r="P980" s="41" t="n"/>
      <c r="Q980" s="41" t="n"/>
    </row>
    <row r="981">
      <c r="A981" s="47" t="n"/>
      <c r="B981" s="48" t="n"/>
      <c r="C981" s="47" t="n"/>
      <c r="D981" s="45" t="n"/>
      <c r="E981" s="45" t="n"/>
      <c r="F981" s="45" t="n"/>
      <c r="G981" s="45" t="n"/>
      <c r="H981" s="45" t="n"/>
      <c r="I981" s="46" t="n"/>
      <c r="J981" s="45" t="n"/>
      <c r="K981" s="264" t="n"/>
      <c r="L981" s="39" t="n"/>
      <c r="M981" s="40" t="n"/>
      <c r="N981" s="42" t="n"/>
      <c r="O981" s="42" t="n"/>
      <c r="P981" s="41" t="n"/>
      <c r="Q981" s="41" t="n"/>
    </row>
    <row r="982">
      <c r="A982" s="47" t="n"/>
      <c r="B982" s="48" t="n"/>
      <c r="C982" s="47" t="n"/>
      <c r="D982" s="45" t="n"/>
      <c r="E982" s="45" t="n"/>
      <c r="F982" s="45" t="n"/>
      <c r="G982" s="45" t="n"/>
      <c r="H982" s="45" t="n"/>
      <c r="I982" s="46" t="n"/>
      <c r="J982" s="45" t="n"/>
      <c r="K982" s="264" t="n"/>
      <c r="L982" s="39" t="n"/>
      <c r="M982" s="40" t="n"/>
      <c r="N982" s="42" t="n"/>
      <c r="O982" s="42" t="n"/>
      <c r="P982" s="41" t="n"/>
      <c r="Q982" s="41" t="n"/>
    </row>
    <row r="983">
      <c r="A983" s="47" t="n"/>
      <c r="B983" s="48" t="n"/>
      <c r="C983" s="47" t="n"/>
      <c r="D983" s="45" t="n"/>
      <c r="E983" s="45" t="n"/>
      <c r="F983" s="45" t="n"/>
      <c r="G983" s="45" t="n"/>
      <c r="H983" s="45" t="n"/>
      <c r="I983" s="46" t="n"/>
      <c r="J983" s="45" t="n"/>
      <c r="K983" s="264" t="n"/>
      <c r="L983" s="39" t="n"/>
      <c r="M983" s="40" t="n"/>
      <c r="N983" s="42" t="n"/>
      <c r="O983" s="42" t="n"/>
      <c r="P983" s="41" t="n"/>
      <c r="Q983" s="41" t="n"/>
    </row>
    <row r="984">
      <c r="A984" s="47" t="n"/>
      <c r="B984" s="48" t="n"/>
      <c r="C984" s="47" t="n"/>
      <c r="D984" s="45" t="n"/>
      <c r="E984" s="45" t="n"/>
      <c r="F984" s="45" t="n"/>
      <c r="G984" s="45" t="n"/>
      <c r="H984" s="45" t="n"/>
      <c r="I984" s="46" t="n"/>
      <c r="J984" s="45" t="n"/>
      <c r="K984" s="264" t="n"/>
      <c r="L984" s="39" t="n"/>
      <c r="M984" s="40" t="n"/>
      <c r="N984" s="42" t="n"/>
      <c r="O984" s="42" t="n"/>
      <c r="P984" s="41" t="n"/>
      <c r="Q984" s="41" t="n"/>
    </row>
    <row r="985">
      <c r="A985" s="47" t="n"/>
      <c r="B985" s="48" t="n"/>
      <c r="C985" s="47" t="n"/>
      <c r="D985" s="45" t="n"/>
      <c r="E985" s="45" t="n"/>
      <c r="F985" s="45" t="n"/>
      <c r="G985" s="45" t="n"/>
      <c r="H985" s="45" t="n"/>
      <c r="I985" s="46" t="n"/>
      <c r="J985" s="45" t="n"/>
      <c r="K985" s="264" t="n"/>
      <c r="L985" s="39" t="n"/>
      <c r="M985" s="40" t="n"/>
      <c r="N985" s="42" t="n"/>
      <c r="O985" s="42" t="n"/>
      <c r="P985" s="41" t="n"/>
      <c r="Q985" s="41" t="n"/>
    </row>
    <row r="986">
      <c r="A986" s="47" t="n"/>
      <c r="B986" s="48" t="n"/>
      <c r="C986" s="47" t="n"/>
      <c r="D986" s="45" t="n"/>
      <c r="E986" s="45" t="n"/>
      <c r="F986" s="45" t="n"/>
      <c r="G986" s="45" t="n"/>
      <c r="H986" s="45" t="n"/>
      <c r="I986" s="46" t="n"/>
      <c r="J986" s="45" t="n"/>
      <c r="K986" s="264" t="n"/>
      <c r="L986" s="39" t="n"/>
      <c r="M986" s="40" t="n"/>
      <c r="N986" s="42" t="n"/>
      <c r="O986" s="42" t="n"/>
      <c r="P986" s="41" t="n"/>
      <c r="Q986" s="41" t="n"/>
    </row>
    <row r="987">
      <c r="A987" s="47" t="n"/>
      <c r="B987" s="48" t="n"/>
      <c r="C987" s="47" t="n"/>
      <c r="D987" s="45" t="n"/>
      <c r="E987" s="45" t="n"/>
      <c r="F987" s="45" t="n"/>
      <c r="G987" s="45" t="n"/>
      <c r="H987" s="45" t="n"/>
      <c r="I987" s="46" t="n"/>
      <c r="J987" s="45" t="n"/>
      <c r="K987" s="264" t="n"/>
      <c r="L987" s="39" t="n"/>
      <c r="M987" s="40" t="n"/>
      <c r="N987" s="42" t="n"/>
      <c r="O987" s="42" t="n"/>
      <c r="P987" s="41" t="n"/>
      <c r="Q987" s="41" t="n"/>
    </row>
    <row r="988">
      <c r="A988" s="47" t="n"/>
      <c r="B988" s="48" t="n"/>
      <c r="C988" s="47" t="n"/>
      <c r="D988" s="45" t="n"/>
      <c r="E988" s="45" t="n"/>
      <c r="F988" s="45" t="n"/>
      <c r="G988" s="45" t="n"/>
      <c r="H988" s="45" t="n"/>
      <c r="I988" s="46" t="n"/>
      <c r="J988" s="45" t="n"/>
      <c r="K988" s="264" t="n"/>
      <c r="L988" s="39" t="n"/>
      <c r="M988" s="40" t="n"/>
      <c r="N988" s="42" t="n"/>
      <c r="O988" s="42" t="n"/>
      <c r="P988" s="41" t="n"/>
      <c r="Q988" s="41" t="n"/>
    </row>
    <row r="989">
      <c r="A989" s="47" t="n"/>
      <c r="B989" s="48" t="n"/>
      <c r="C989" s="47" t="n"/>
      <c r="D989" s="45" t="n"/>
      <c r="E989" s="45" t="n"/>
      <c r="F989" s="45" t="n"/>
      <c r="G989" s="45" t="n"/>
      <c r="H989" s="45" t="n"/>
      <c r="I989" s="46" t="n"/>
      <c r="J989" s="45" t="n"/>
      <c r="K989" s="264" t="n"/>
      <c r="L989" s="39" t="n"/>
      <c r="M989" s="40" t="n"/>
      <c r="N989" s="42" t="n"/>
      <c r="O989" s="42" t="n"/>
      <c r="P989" s="41" t="n"/>
      <c r="Q989" s="41" t="n"/>
    </row>
    <row r="990">
      <c r="A990" s="47" t="n"/>
      <c r="B990" s="48" t="n"/>
      <c r="C990" s="47" t="n"/>
      <c r="D990" s="45" t="n"/>
      <c r="E990" s="45" t="n"/>
      <c r="F990" s="45" t="n"/>
      <c r="G990" s="45" t="n"/>
      <c r="H990" s="45" t="n"/>
      <c r="I990" s="46" t="n"/>
      <c r="J990" s="45" t="n"/>
      <c r="K990" s="264" t="n"/>
      <c r="L990" s="39" t="n"/>
      <c r="M990" s="40" t="n"/>
      <c r="N990" s="42" t="n"/>
      <c r="O990" s="42" t="n"/>
      <c r="P990" s="41" t="n"/>
      <c r="Q990" s="41" t="n"/>
    </row>
    <row r="991">
      <c r="A991" s="47" t="n"/>
      <c r="B991" s="48" t="n"/>
      <c r="C991" s="47" t="n"/>
      <c r="D991" s="45" t="n"/>
      <c r="E991" s="45" t="n"/>
      <c r="F991" s="45" t="n"/>
      <c r="G991" s="45" t="n"/>
      <c r="H991" s="45" t="n"/>
      <c r="I991" s="46" t="n"/>
      <c r="J991" s="45" t="n"/>
      <c r="K991" s="264" t="n"/>
      <c r="L991" s="39" t="n"/>
      <c r="M991" s="40" t="n"/>
      <c r="N991" s="42" t="n"/>
      <c r="O991" s="42" t="n"/>
      <c r="P991" s="41" t="n"/>
      <c r="Q991" s="41" t="n"/>
    </row>
    <row r="992">
      <c r="A992" s="43" t="n"/>
      <c r="B992" s="33" t="n"/>
      <c r="C992" s="44" t="n"/>
      <c r="D992" s="35" t="n"/>
      <c r="E992" s="36" t="n"/>
      <c r="F992" s="36" t="n"/>
      <c r="G992" s="35" t="n"/>
      <c r="H992" s="37" t="n"/>
      <c r="I992" s="49" t="n"/>
      <c r="J992" s="36" t="n"/>
      <c r="K992" s="264" t="n"/>
      <c r="L992" s="39" t="n"/>
      <c r="M992" s="40" t="n"/>
      <c r="N992" s="42" t="n"/>
      <c r="O992" s="42" t="n"/>
      <c r="P992" s="41" t="n"/>
      <c r="Q992" s="41" t="n"/>
    </row>
    <row r="993">
      <c r="A993" s="169" t="n"/>
      <c r="B993" s="371" t="n"/>
      <c r="C993" s="169" t="n"/>
      <c r="D993" s="264" t="n"/>
      <c r="E993" s="264" t="n"/>
      <c r="F993" s="264" t="n"/>
      <c r="G993" s="264" t="n"/>
      <c r="H993" s="264" t="n"/>
      <c r="I993" s="372" t="n"/>
      <c r="J993" s="264" t="n"/>
      <c r="K993" s="264" t="n"/>
      <c r="L993" s="264" t="n"/>
      <c r="M993" s="264" t="n"/>
      <c r="N993" s="264" t="n"/>
      <c r="O993" s="264" t="n"/>
      <c r="P993" s="264" t="n"/>
      <c r="Q993" s="264" t="n"/>
    </row>
    <row r="994">
      <c r="A994" s="169" t="n"/>
      <c r="B994" s="371" t="n"/>
      <c r="C994" s="169" t="n"/>
      <c r="D994" s="264" t="n"/>
      <c r="E994" s="264" t="n"/>
      <c r="F994" s="264" t="n"/>
      <c r="G994" s="264" t="n"/>
      <c r="H994" s="264" t="n"/>
      <c r="I994" s="372" t="n"/>
      <c r="J994" s="264" t="n"/>
      <c r="K994" s="264" t="n"/>
      <c r="L994" s="264" t="n"/>
      <c r="M994" s="264" t="n"/>
      <c r="N994" s="264" t="n"/>
      <c r="O994" s="264" t="n"/>
      <c r="P994" s="264" t="n"/>
      <c r="Q994" s="264" t="n"/>
    </row>
    <row r="995">
      <c r="A995" s="169" t="n"/>
      <c r="B995" s="371" t="n"/>
      <c r="C995" s="169" t="n"/>
      <c r="D995" s="264" t="n"/>
      <c r="E995" s="264" t="n"/>
      <c r="F995" s="264" t="n"/>
      <c r="G995" s="264" t="n"/>
      <c r="H995" s="264" t="n"/>
      <c r="I995" s="372" t="n"/>
      <c r="J995" s="264" t="n"/>
      <c r="K995" s="264" t="n"/>
      <c r="L995" s="264" t="n"/>
      <c r="M995" s="264" t="n"/>
      <c r="N995" s="264" t="n"/>
      <c r="O995" s="264" t="n"/>
      <c r="P995" s="264" t="n"/>
      <c r="Q995" s="264" t="n"/>
    </row>
    <row r="996">
      <c r="A996" s="373" t="n"/>
      <c r="B996" s="374" t="n"/>
      <c r="C996" s="373" t="n"/>
      <c r="D996" s="375" t="n"/>
      <c r="E996" s="375" t="n"/>
      <c r="F996" s="375" t="n"/>
      <c r="G996" s="375" t="n"/>
      <c r="H996" s="375" t="n"/>
      <c r="I996" s="376" t="n"/>
      <c r="J996" s="375" t="n"/>
      <c r="K996" s="375" t="n"/>
      <c r="L996" s="375" t="n"/>
      <c r="M996" s="375" t="n"/>
      <c r="N996" s="375" t="n"/>
      <c r="O996" s="375" t="n"/>
      <c r="P996" s="375" t="n"/>
      <c r="Q996" s="375" t="n"/>
    </row>
    <row r="997">
      <c r="A997" s="373" t="n"/>
      <c r="B997" s="374" t="n"/>
      <c r="C997" s="373" t="n"/>
      <c r="D997" s="375" t="n"/>
      <c r="E997" s="375" t="n"/>
      <c r="F997" s="375" t="n"/>
      <c r="G997" s="375" t="n"/>
      <c r="H997" s="375" t="n"/>
      <c r="I997" s="376" t="n"/>
      <c r="J997" s="375" t="n"/>
      <c r="K997" s="375" t="n"/>
      <c r="L997" s="375" t="n"/>
      <c r="M997" s="375" t="n"/>
      <c r="N997" s="375" t="n"/>
      <c r="O997" s="375" t="n"/>
      <c r="P997" s="375" t="n"/>
      <c r="Q997" s="375" t="n"/>
    </row>
    <row r="998">
      <c r="A998" s="373" t="n"/>
      <c r="B998" s="374" t="n"/>
      <c r="C998" s="373" t="n"/>
      <c r="D998" s="375" t="n"/>
      <c r="E998" s="375" t="n"/>
      <c r="F998" s="375" t="n"/>
      <c r="G998" s="375" t="n"/>
      <c r="H998" s="375" t="n"/>
      <c r="I998" s="376" t="n"/>
      <c r="J998" s="375" t="n"/>
      <c r="K998" s="375" t="n"/>
      <c r="L998" s="375" t="n"/>
      <c r="M998" s="375" t="n"/>
      <c r="N998" s="375" t="n"/>
      <c r="O998" s="375" t="n"/>
      <c r="P998" s="375" t="n"/>
      <c r="Q998" s="375" t="n"/>
    </row>
    <row r="999">
      <c r="A999" s="373" t="n"/>
      <c r="B999" s="374" t="n"/>
      <c r="C999" s="373" t="n"/>
      <c r="D999" s="375" t="n"/>
      <c r="E999" s="375" t="n"/>
      <c r="F999" s="375" t="n"/>
      <c r="G999" s="375" t="n"/>
      <c r="H999" s="375" t="n"/>
      <c r="I999" s="376" t="n"/>
      <c r="J999" s="375" t="n"/>
      <c r="K999" s="375" t="n"/>
      <c r="L999" s="375" t="n"/>
      <c r="M999" s="375" t="n"/>
      <c r="N999" s="375" t="n"/>
      <c r="O999" s="375" t="n"/>
      <c r="P999" s="375" t="n"/>
      <c r="Q999" s="375" t="n"/>
    </row>
    <row r="1000">
      <c r="A1000" s="373" t="n"/>
      <c r="B1000" s="374" t="n"/>
      <c r="C1000" s="373" t="n"/>
      <c r="D1000" s="375" t="n"/>
      <c r="E1000" s="375" t="n"/>
      <c r="F1000" s="375" t="n"/>
      <c r="G1000" s="375" t="n"/>
      <c r="H1000" s="375" t="n"/>
      <c r="I1000" s="376" t="n"/>
      <c r="J1000" s="375" t="n"/>
      <c r="K1000" s="375" t="n"/>
      <c r="L1000" s="375" t="n"/>
      <c r="M1000" s="375" t="n"/>
      <c r="N1000" s="375" t="n"/>
      <c r="O1000" s="375" t="n"/>
      <c r="P1000" s="375" t="n"/>
      <c r="Q1000" s="375" t="n"/>
    </row>
    <row r="1001">
      <c r="A1001" s="373" t="n"/>
      <c r="B1001" s="374" t="n"/>
      <c r="C1001" s="373" t="n"/>
      <c r="D1001" s="375" t="n"/>
      <c r="E1001" s="375" t="n"/>
      <c r="F1001" s="375" t="n"/>
      <c r="G1001" s="375" t="n"/>
      <c r="H1001" s="375" t="n"/>
      <c r="I1001" s="376" t="n"/>
      <c r="J1001" s="375" t="n"/>
      <c r="K1001" s="375" t="n"/>
      <c r="L1001" s="375" t="n"/>
      <c r="M1001" s="375" t="n"/>
      <c r="N1001" s="375" t="n"/>
      <c r="O1001" s="375" t="n"/>
      <c r="P1001" s="375" t="n"/>
      <c r="Q1001" s="375" t="n"/>
    </row>
    <row r="1002">
      <c r="A1002" s="373" t="n"/>
      <c r="B1002" s="374" t="n"/>
      <c r="C1002" s="373" t="n"/>
      <c r="D1002" s="375" t="n"/>
      <c r="E1002" s="375" t="n"/>
      <c r="F1002" s="375" t="n"/>
      <c r="G1002" s="375" t="n"/>
      <c r="H1002" s="375" t="n"/>
      <c r="I1002" s="376" t="n"/>
      <c r="J1002" s="375" t="n"/>
      <c r="K1002" s="375" t="n"/>
      <c r="L1002" s="375" t="n"/>
      <c r="M1002" s="375" t="n"/>
      <c r="N1002" s="375" t="n"/>
      <c r="O1002" s="375" t="n"/>
      <c r="P1002" s="375" t="n"/>
      <c r="Q1002" s="375" t="n"/>
    </row>
    <row r="1003">
      <c r="A1003" s="373" t="n"/>
      <c r="B1003" s="374" t="n"/>
      <c r="C1003" s="373" t="n"/>
      <c r="D1003" s="375" t="n"/>
      <c r="E1003" s="375" t="n"/>
      <c r="F1003" s="375" t="n"/>
      <c r="G1003" s="375" t="n"/>
      <c r="H1003" s="375" t="n"/>
      <c r="I1003" s="376" t="n"/>
      <c r="J1003" s="375" t="n"/>
      <c r="K1003" s="375" t="n"/>
      <c r="L1003" s="375" t="n"/>
      <c r="M1003" s="375" t="n"/>
      <c r="N1003" s="375" t="n"/>
      <c r="O1003" s="375" t="n"/>
      <c r="P1003" s="375" t="n"/>
      <c r="Q1003" s="375" t="n"/>
    </row>
    <row r="1004">
      <c r="A1004" s="373" t="n"/>
      <c r="B1004" s="374" t="n"/>
      <c r="C1004" s="373" t="n"/>
      <c r="D1004" s="375" t="n"/>
      <c r="E1004" s="375" t="n"/>
      <c r="F1004" s="375" t="n"/>
      <c r="G1004" s="375" t="n"/>
      <c r="H1004" s="375" t="n"/>
      <c r="I1004" s="376" t="n"/>
      <c r="J1004" s="375" t="n"/>
      <c r="K1004" s="375" t="n"/>
      <c r="L1004" s="375" t="n"/>
      <c r="M1004" s="375" t="n"/>
      <c r="N1004" s="375" t="n"/>
      <c r="O1004" s="375" t="n"/>
      <c r="P1004" s="375" t="n"/>
      <c r="Q1004" s="375" t="n"/>
    </row>
  </sheetData>
  <mergeCells count="5">
    <mergeCell ref="A1:D1"/>
    <mergeCell ref="E1:G2"/>
    <mergeCell ref="H2:Q2"/>
    <mergeCell ref="A2:D2"/>
    <mergeCell ref="H1:Q1"/>
  </mergeCells>
  <conditionalFormatting sqref="A367:A370">
    <cfRule type="expression" priority="1" dxfId="105">
      <formula>AND($A367&lt;&gt;"",$L367=TODAY())</formula>
    </cfRule>
    <cfRule type="expression" priority="2" dxfId="101">
      <formula>AND($A367&lt;&gt;"",MOD(ROW(),2)=0)</formula>
    </cfRule>
  </conditionalFormatting>
  <conditionalFormatting sqref="A4:B366 A367:A992 B372:B992 C4:C992">
    <cfRule type="expression" priority="163" dxfId="78">
      <formula>$F4="Critical"</formula>
    </cfRule>
  </conditionalFormatting>
  <conditionalFormatting sqref="A4:H343 A343:C365 A366:B366 A371:B371 A372:H385 A386:A413 A407:H992 B341:B537 B402:C413 B406:H406 C366:C404 C404:H405 D344:H371 D386:H403 J4:L992">
    <cfRule type="expression" priority="72" dxfId="105">
      <formula>AND($A4&lt;&gt;"",$L4=TODAY())</formula>
    </cfRule>
  </conditionalFormatting>
  <conditionalFormatting sqref="A4:M278 A278:B366 A371 A372:M385 A386:A413 A407:M992 B386:B537 B402:C413 B406:M406 C279:M343 C343:C404 C404:M405 D344:M371 D386:M403 K404:K411">
    <cfRule type="expression" priority="169" dxfId="101">
      <formula>AND($A4&lt;&gt;"",MOD(ROW(),2)=0)</formula>
    </cfRule>
  </conditionalFormatting>
  <conditionalFormatting sqref="B367:B537">
    <cfRule type="expression" priority="3" dxfId="80">
      <formula>$F367="AOG"</formula>
    </cfRule>
    <cfRule type="expression" priority="4" dxfId="78">
      <formula>$F367="Critical"</formula>
    </cfRule>
    <cfRule type="expression" priority="5" dxfId="101">
      <formula>AND($A367&lt;&gt;"",MOD(ROW(),2)=0)</formula>
    </cfRule>
  </conditionalFormatting>
  <conditionalFormatting sqref="A4:B366 A367:A992 B372:B992">
    <cfRule type="expression" priority="54" dxfId="80">
      <formula>$F4="AOG"</formula>
    </cfRule>
  </conditionalFormatting>
  <conditionalFormatting sqref="C4:C184">
    <cfRule type="expression" priority="8" dxfId="80">
      <formula>$F4="AOG"</formula>
    </cfRule>
    <cfRule type="expression" priority="9" dxfId="78">
      <formula>$F4="Critical"</formula>
    </cfRule>
  </conditionalFormatting>
  <conditionalFormatting sqref="B401:B415 B402:C413">
    <cfRule type="expression" priority="6" dxfId="78">
      <formula>$F401="Critical"</formula>
    </cfRule>
  </conditionalFormatting>
  <conditionalFormatting sqref="D4:D992">
    <cfRule type="cellIs" priority="14" operator="equal" dxfId="96">
      <formula>"GENERAL CABIN"</formula>
    </cfRule>
    <cfRule type="cellIs" priority="15" operator="equal" dxfId="95">
      <formula>"GALLEY"</formula>
    </cfRule>
    <cfRule type="cellIs" priority="16" operator="equal" dxfId="94">
      <formula>"LAVATORY"</formula>
    </cfRule>
    <cfRule type="cellIs" priority="17" operator="equal" dxfId="93">
      <formula>"PAX DOORS"</formula>
    </cfRule>
    <cfRule type="cellIs" priority="18" operator="equal" dxfId="92">
      <formula>"F/A SEAT"</formula>
    </cfRule>
    <cfRule type="cellIs" priority="19" operator="equal" dxfId="91">
      <formula>"PAX SEAT"</formula>
    </cfRule>
    <cfRule type="cellIs" priority="20" operator="equal" dxfId="90">
      <formula>"FLIGHT DECK"</formula>
    </cfRule>
    <cfRule type="cellIs" priority="21" operator="equal" dxfId="89">
      <formula>"OFAR/OFCR"</formula>
    </cfRule>
    <cfRule type="cellIs" priority="22" operator="equal" dxfId="88">
      <formula>"TEDLAR/SIDEWALL"</formula>
    </cfRule>
    <cfRule type="cellIs" priority="23" operator="equal" dxfId="87">
      <formula>"PAINT"</formula>
    </cfRule>
    <cfRule type="cellIs" priority="24" operator="equal" dxfId="86">
      <formula>"ACFT GENERAL T/C"</formula>
    </cfRule>
    <cfRule type="cellIs" priority="61" operator="equal" dxfId="85">
      <formula>"ACCESS"</formula>
    </cfRule>
  </conditionalFormatting>
  <conditionalFormatting sqref="E4:E992">
    <cfRule type="cellIs" priority="104" operator="equal" dxfId="84">
      <formula>"Open"</formula>
    </cfRule>
    <cfRule type="cellIs" priority="105" operator="equal" dxfId="83">
      <formula>"I/W"</formula>
    </cfRule>
    <cfRule type="cellIs" priority="108" operator="equal" dxfId="82">
      <formula>"N/A"</formula>
    </cfRule>
    <cfRule type="cellIs" priority="165" operator="equal" dxfId="81">
      <formula>"HPC"</formula>
    </cfRule>
    <cfRule type="expression" priority="166" dxfId="80">
      <formula>$F4="AOG"</formula>
    </cfRule>
    <cfRule type="cellIs" priority="166" operator="equal" dxfId="79">
      <formula>"Closed"</formula>
    </cfRule>
    <cfRule type="expression" priority="166" dxfId="78">
      <formula>$F4="Critical"</formula>
    </cfRule>
    <cfRule type="cellIs" priority="166" operator="equal" dxfId="77">
      <formula>"On Hold"</formula>
    </cfRule>
    <cfRule type="cellIs" priority="166" operator="equal" dxfId="76">
      <formula>"Deferred"</formula>
    </cfRule>
  </conditionalFormatting>
  <conditionalFormatting sqref="F4:F992">
    <cfRule type="cellIs" priority="64" operator="equal" dxfId="75">
      <formula>"Normal"</formula>
    </cfRule>
    <cfRule type="cellIs" priority="109" operator="equal" dxfId="74">
      <formula>"AOG"</formula>
    </cfRule>
    <cfRule type="cellIs" priority="110" operator="equal" dxfId="73">
      <formula>"Critical"</formula>
    </cfRule>
  </conditionalFormatting>
  <conditionalFormatting sqref="F4:F993">
    <cfRule type="expression" priority="69" dxfId="72">
      <formula>$F4="ACCESS"</formula>
    </cfRule>
  </conditionalFormatting>
  <conditionalFormatting sqref="G4:G992">
    <cfRule type="cellIs" priority="40" operator="equal" dxfId="71">
      <formula>"CAB"</formula>
    </cfRule>
    <cfRule type="cellIs" priority="41" operator="equal" dxfId="70">
      <formula>"SEAT"</formula>
    </cfRule>
    <cfRule type="cellIs" priority="42" operator="equal" dxfId="60">
      <formula>"AV"</formula>
    </cfRule>
    <cfRule type="cellIs" priority="43" operator="equal" dxfId="68">
      <formula>"WALL"</formula>
    </cfRule>
    <cfRule type="cellIs" priority="44" operator="equal" dxfId="67">
      <formula>"S/M"</formula>
    </cfRule>
    <cfRule type="cellIs" priority="45" operator="equal" dxfId="66">
      <formula>"PAINT"</formula>
    </cfRule>
    <cfRule type="cellIs" priority="46" operator="equal" dxfId="65">
      <formula>"JOINT"</formula>
    </cfRule>
    <cfRule type="cellIs" priority="47" operator="equal" dxfId="64">
      <formula>"INSP"</formula>
    </cfRule>
    <cfRule type="cellIs" priority="167" operator="equal" dxfId="63">
      <formula>"AP"</formula>
    </cfRule>
  </conditionalFormatting>
  <conditionalFormatting sqref="H4:H992">
    <cfRule type="cellIs" priority="34" operator="equal" dxfId="62">
      <formula>"N/R"</formula>
    </cfRule>
    <cfRule type="cellIs" priority="35" operator="equal" dxfId="61">
      <formula>"Requested"</formula>
    </cfRule>
    <cfRule type="cellIs" priority="36" operator="equal" dxfId="60">
      <formula>"Requested - R"</formula>
    </cfRule>
    <cfRule type="cellIs" priority="37" operator="equal" dxfId="59">
      <formula>"Requested - CR"</formula>
    </cfRule>
    <cfRule type="cellIs" priority="38" operator="equal" dxfId="58">
      <formula>"Pending EVAL"</formula>
    </cfRule>
    <cfRule type="cellIs" priority="39" operator="equal" dxfId="57">
      <formula>"N/A"</formula>
    </cfRule>
  </conditionalFormatting>
  <conditionalFormatting sqref="I4:I992">
    <cfRule type="expression" priority="135" dxfId="56">
      <formula>OR(TRIM(I4)="C/W",TRIM(I4)="CW")</formula>
    </cfRule>
  </conditionalFormatting>
  <conditionalFormatting sqref="J4:J992">
    <cfRule type="cellIs" priority="160" operator="equal" dxfId="53">
      <formula>"Yes"</formula>
    </cfRule>
    <cfRule type="cellIs" priority="161" operator="equal" dxfId="53">
      <formula>"No"</formula>
    </cfRule>
    <cfRule type="cellIs" priority="162" operator="equal" dxfId="53">
      <formula>"N/A"</formula>
    </cfRule>
  </conditionalFormatting>
  <conditionalFormatting sqref="K4:K992">
    <cfRule type="cellIs" priority="60" operator="equal" dxfId="18">
      <formula>"MID"</formula>
    </cfRule>
    <cfRule type="cellIs" priority="131" operator="equal" dxfId="51">
      <formula>"FWD"</formula>
    </cfRule>
    <cfRule type="cellIs" priority="132" operator="equal" dxfId="50">
      <formula>"AFT"</formula>
    </cfRule>
    <cfRule type="cellIs" priority="133" operator="equal" dxfId="49">
      <formula>"JOINT"</formula>
    </cfRule>
  </conditionalFormatting>
  <conditionalFormatting sqref="M4:M992">
    <cfRule type="expression" priority="168" dxfId="48">
      <formula>AND($M4&lt;&gt;"",$E4&lt;&gt;"Closed")</formula>
    </cfRule>
    <cfRule type="expression" priority="168" dxfId="47">
      <formula>AND($E4="Closed",$M4="")</formula>
    </cfRule>
  </conditionalFormatting>
  <conditionalFormatting sqref="A4:A992">
    <cfRule type="expression" priority="1287" dxfId="4" stopIfTrue="1">
      <formula>AND($A4&lt;&gt;"",COUNTIF($A$4:$A$992,$A4)&gt;1)</formula>
    </cfRule>
    <cfRule type="expression" priority="1288" dxfId="3" stopIfTrue="1">
      <formula>AND(AND($A4&lt;&gt;"",LEN($A4)=8,ISNUMBER(--$A4)),LEFT($B4,8)="REPLACE ")</formula>
    </cfRule>
    <cfRule type="expression" priority="1289" dxfId="2" stopIfTrue="1">
      <formula>AND(AND($A4&lt;&gt;"",LEN($A4)=8,ISNUMBER(--$A4)),OR(LEFT($B4,4)="EOD-",LEFT($B4,3)="EO-",LEFT($B4,3)="ER-",LEFT($B4,5)="FRSEO",AND(LEFT($B4,1)="S",ISNUMBER(--MID($B4,2,2)),MID($B4,4,2)="-R"),ISNUMBER(SEARCH("/AD-",$B4))))</formula>
    </cfRule>
    <cfRule type="expression" priority="1290" dxfId="1">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0">
      <formula>LEFT($A4,4)="STJC"</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D68" sqref="D6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15" t="inlineStr">
        <is>
          <t>📊  HZ-ASD C2+6Y  —  WORK PACKAGE DASHBOARD</t>
        </is>
      </c>
      <c r="F1" s="316">
        <f>"DAY "&amp;MAX(MIN(TODAY()-DASHBOARD!$M$1+1,DASHBOARD!$M$2-DASHBOARD!$M$1+1),0)&amp;"/"&amp;(DASHBOARD!$M$2-DASHBOARD!$M$1+1)</f>
        <v/>
      </c>
      <c r="H1" s="226" t="n"/>
      <c r="I1" s="226" t="n"/>
      <c r="J1" s="226" t="n"/>
      <c r="K1" s="226" t="n"/>
      <c r="L1" s="171" t="inlineStr">
        <is>
          <t>START →</t>
        </is>
      </c>
      <c r="M1" s="31" t="n">
        <v>46221</v>
      </c>
    </row>
    <row r="2" ht="21.95" customHeight="1">
      <c r="A2" s="31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Tracker'!$A$4:$A$992,"&lt;&gt;",'HZ-ASD Tracker'!$E$4:$E$992,"Closed")/COUNTIF('HZ-ASD Tracker'!$A$4:$A$992,"&lt;&gt;"))&lt;1),"❌ CHECK PERIOD ENDED — Completion "&amp;TEXT((COUNTIFS('HZ-ASD Tracker'!$A$4:$A$992,"&lt;&gt;",'HZ-ASD Tracker'!$E$4:$E$992,"Closed")/COUNTIF('HZ-ASD Tracker'!$A$4:$A$992,"&lt;&gt;")),"0%")&amp;"  ·  Overdue by "&amp;(TODAY()-DASHBOARD!$M$2)&amp;" days",IF((COUNTIFS('HZ-ASD Tracker'!$A$4:$A$992,"&lt;&gt;",'HZ-ASD Tracker'!$E$4:$E$992,"Closed")/COUNTIF('HZ-ASD Tracker'!$A$4:$A$992,"&lt;&gt;"))&gt;=((TODAY()-DASHBOARD!$M$1)/(DASHBOARD!$M$2-DASHBOARD!$M$1))-0.05,"✅ ON TRACK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Tracker'!$E$4:$E$992,"Closed")/MAX(TODAY()-DASHBOARD!$M$1,1),"0.0")&amp;"/day",IF((COUNTIFS('HZ-ASD Tracker'!$A$4:$A$992,"&lt;&gt;",'HZ-ASD Tracker'!$E$4:$E$992,"Closed")/COUNTIF('HZ-ASD Tracker'!$A$4:$A$992,"&lt;&gt;"))&gt;=((TODAY()-DASHBOARD!$M$1)/(DASHBOARD!$M$2-DASHBOARD!$M$1))-0.15,"⚠️ WARNING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 CRITICAL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f>
        <v/>
      </c>
      <c r="H2" s="226" t="n"/>
      <c r="I2" s="226" t="n"/>
      <c r="J2" s="226" t="n"/>
      <c r="K2" s="226" t="n"/>
      <c r="L2" s="171" t="inlineStr">
        <is>
          <t>END →</t>
        </is>
      </c>
      <c r="M2" s="31" t="n">
        <v>46258</v>
      </c>
    </row>
    <row r="3" ht="6" customHeight="1">
      <c r="A3" s="226" t="n"/>
      <c r="B3" s="226" t="n"/>
      <c r="C3" s="226" t="n"/>
      <c r="D3" s="226" t="n"/>
      <c r="E3" s="226" t="n"/>
      <c r="F3" s="226" t="n"/>
      <c r="G3" s="226" t="n"/>
      <c r="H3" s="226" t="n"/>
      <c r="I3" s="226" t="n"/>
      <c r="J3" s="226" t="n"/>
      <c r="K3" s="226" t="n"/>
      <c r="L3" s="226" t="n"/>
      <c r="M3" s="226" t="n"/>
    </row>
    <row r="4" ht="14.1" customHeight="1">
      <c r="A4" s="172" t="inlineStr">
        <is>
          <t>TOTAL WOs</t>
        </is>
      </c>
      <c r="B4" s="173" t="inlineStr">
        <is>
          <t>CLOSED</t>
        </is>
      </c>
      <c r="C4" s="174" t="inlineStr">
        <is>
          <t>OPEN</t>
        </is>
      </c>
      <c r="D4" s="175" t="inlineStr">
        <is>
          <t>HPC ⏳</t>
        </is>
      </c>
      <c r="E4" s="176" t="inlineStr">
        <is>
          <t>🚨 AOG/CRIT</t>
        </is>
      </c>
      <c r="F4" s="177" t="inlineStr">
        <is>
          <t>MH DONE ⏱</t>
        </is>
      </c>
      <c r="G4" s="178" t="inlineStr">
        <is>
          <t>DONE</t>
        </is>
      </c>
      <c r="H4" s="226" t="n"/>
      <c r="I4" s="226" t="n"/>
      <c r="J4" s="226" t="n"/>
      <c r="K4" s="226" t="n"/>
      <c r="L4" s="226" t="n"/>
      <c r="M4" s="226" t="n"/>
    </row>
    <row r="5" ht="32.1" customHeight="1">
      <c r="A5" s="179">
        <f>COUNTIF('HZ-ASD Tracker'!$A$4:$A$992,"&lt;&gt;")</f>
        <v/>
      </c>
      <c r="B5" s="180">
        <f>COUNTIFS('HZ-ASD Tracker'!$A$4:$A$992,"&lt;&gt;",'HZ-ASD Tracker'!$E$4:$E$992,"Closed")</f>
        <v/>
      </c>
      <c r="C5" s="181">
        <f>COUNTIFS('HZ-ASD Tracker'!$A$4:$A$992,"&lt;&gt;",'HZ-ASD Tracker'!$E$4:$E$992,"Open")</f>
        <v/>
      </c>
      <c r="D5" s="182">
        <f>COUNTIFS('HZ-ASD Tracker'!$A$4:$A$992,"&lt;&gt;",'HZ-ASD Tracker'!$E$4:$E$992,"HPC")</f>
        <v/>
      </c>
      <c r="E5" s="183">
        <f>COUNTIFS('HZ-ASD Tracker'!$A$4:$A$992,"&lt;&gt;",'HZ-ASD Tracker'!$F$4:$F$992,"AOG",'HZ-ASD Tracker'!$E$4:$E$992,"&lt;&gt;Closed")+COUNTIFS('HZ-ASD Tracker'!$A$4:$A$992,"&lt;&gt;",'HZ-ASD Tracker'!$F$4:$F$992,"Critical",'HZ-ASD Tracker'!$E$4:$E$992,"&lt;&gt;Closed")</f>
        <v/>
      </c>
      <c r="F5" s="184">
        <f>IFERROR(SUMIFS('HZ-ASD Tracker'!$N$4:$N$992,'HZ-ASD Tracker'!$E$4:$E$992,"Closed")/SUM('HZ-ASD Tracker'!$N$4:$N$992),0)</f>
        <v/>
      </c>
      <c r="G5" s="185">
        <f>IFERROR(COUNTIFS('HZ-ASD Tracker'!$A$4:$A$992,"&lt;&gt;",'HZ-ASD Tracker'!$E$4:$E$992,"Closed")/COUNTIF('HZ-ASD Tracker'!$A$4:$A$992,"&lt;&gt;"),0)</f>
        <v/>
      </c>
      <c r="H5" s="226" t="n"/>
      <c r="I5" s="226" t="n"/>
      <c r="J5" s="226" t="n"/>
      <c r="K5" s="226" t="n"/>
      <c r="L5" s="226" t="n"/>
      <c r="M5" s="226" t="n"/>
    </row>
    <row r="6" ht="6" customHeight="1">
      <c r="A6" s="226" t="n"/>
      <c r="B6" s="226" t="n"/>
      <c r="C6" s="226" t="n"/>
      <c r="D6" s="226" t="n"/>
      <c r="E6" s="226" t="n"/>
      <c r="F6" s="226" t="n"/>
      <c r="G6" s="226" t="n"/>
      <c r="H6" s="226" t="n"/>
      <c r="I6" s="226" t="n"/>
      <c r="J6" s="226" t="n"/>
      <c r="K6" s="226" t="n"/>
      <c r="L6" s="226" t="n"/>
      <c r="M6" s="226" t="n"/>
    </row>
    <row r="7" ht="18" customHeight="1">
      <c r="A7" s="318" t="inlineStr">
        <is>
          <t xml:space="preserve">  TIMELINE  —  linked to LAYOVER sheet</t>
        </is>
      </c>
      <c r="H7" s="226" t="n"/>
      <c r="I7" s="226" t="n"/>
      <c r="J7" s="226" t="n"/>
      <c r="K7" s="226" t="n"/>
      <c r="L7" s="226" t="n"/>
      <c r="M7" s="226" t="n"/>
    </row>
    <row r="8" ht="24" customHeight="1">
      <c r="A8" s="319">
        <f>"🛬 O.O.S  "&amp;TEXT(DASHBOARD!$M$1-1,"DD-MMM")&amp;"      🛫 B.I.S  "&amp;TEXT(DASHBOARD!$M$2,"DD-MMM")&amp;"      GROUND TIME "&amp;(DASHBOARD!$M$2-DASHBOARD!$M$1+1)&amp;" days"&amp;"      ·      DAY "&amp;MAX(MIN(TODAY()-DASHBOARD!$M$1+1,DASHBOARD!$M$2-DASHBOARD!$M$1+1),0)&amp;"/"&amp;(DASHBOARD!$M$2-DASHBOARD!$M$1+1)</f>
        <v/>
      </c>
      <c r="H8" s="226" t="n"/>
      <c r="I8" s="226" t="n"/>
      <c r="J8" s="226" t="n"/>
      <c r="K8" s="226" t="n"/>
      <c r="L8" s="226" t="n"/>
      <c r="M8" s="226" t="n"/>
    </row>
    <row r="9" ht="18" customHeight="1">
      <c r="A9" s="320">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26" t="n"/>
      <c r="I9" s="226" t="n"/>
      <c r="J9" s="226" t="n"/>
      <c r="K9" s="226" t="n"/>
      <c r="L9" s="226" t="n"/>
      <c r="M9" s="226" t="n"/>
    </row>
    <row r="10" ht="18" customHeight="1">
      <c r="A10" s="321">
        <f>IF(NOT(ISNUMBER(LAYOVER!$B$19)),"⏳ set findings cutoff (LAYOVER)",IF(TODAY()&gt;LAYOVER!$B$19,"🔒 FINDINGS WINDOW CLOSED","⏳ Findings window closes in: "&amp;(LAYOVER!$B$19-TODAY())&amp;" day(s)"))</f>
        <v/>
      </c>
      <c r="H10" s="226" t="n"/>
      <c r="I10" s="226" t="n"/>
      <c r="J10" s="226" t="n"/>
      <c r="K10" s="226" t="n"/>
      <c r="L10" s="226" t="n"/>
      <c r="M10" s="226" t="n"/>
    </row>
    <row r="11" ht="18" customHeight="1">
      <c r="A11" s="322">
        <f>IF(MIN(LAYOVER!$D$41:$D$48)=9^9,"📅 No upcoming milestone","📅 Next: "&amp;INDEX(LAYOVER!$A$41:$A$48,MATCH(MIN(LAYOVER!$D$41:$D$48),LAYOVER!$D$41:$D$48,0))&amp;" — "&amp;TEXT(MIN(LAYOVER!$D$41:$D$48),"DD-MMM")&amp;IF(MIN(LAYOVER!$D$41:$D$48)=TODAY()," (TODAY!)"," (in "&amp;(MIN(LAYOVER!$D$41:$D$48)-TODAY())&amp;"d)"))</f>
        <v/>
      </c>
      <c r="H11" s="226" t="n"/>
      <c r="I11" s="226" t="n"/>
      <c r="J11" s="226" t="n"/>
      <c r="K11" s="226" t="n"/>
      <c r="L11" s="226" t="n"/>
      <c r="M11" s="226" t="n"/>
    </row>
    <row r="12" ht="18" customHeight="1">
      <c r="A12" s="323">
        <f>IF(NOT(ISNUMBER(LAYOVER!$C$28)),"🔒 Cabin close-up: date TBD",IF(TODAY()&gt;LAYOVER!$C$28,"🔒 Close-up date passed — "&amp;COUNTIFS('HZ-ASD Tracker'!$A$4:$A$994,"&lt;&gt;",'HZ-ASD Tracker'!$F$4:$F$994,"ACCESS",'HZ-ASD Tracker'!$E$4:$E$994,"&lt;&gt;Closed")&amp;" ACCESS still open","🔒 Close-up in "&amp;(LAYOVER!$C$28-TODAY())&amp;" day(s)  ·  "&amp;COUNTIFS('HZ-ASD Tracker'!$A$4:$A$994,"&lt;&gt;",'HZ-ASD Tracker'!$F$4:$F$994,"ACCESS",'HZ-ASD Tracker'!$E$4:$E$994,"&lt;&gt;Closed")&amp;" ACCESS still open"))</f>
        <v/>
      </c>
      <c r="H12" s="226" t="n"/>
      <c r="I12" s="226" t="n"/>
      <c r="J12" s="226" t="n"/>
      <c r="K12" s="226" t="n"/>
      <c r="L12" s="226" t="n"/>
      <c r="M12" s="226" t="n"/>
    </row>
    <row r="13" ht="18" customHeight="1">
      <c r="A13" s="318" t="inlineStr">
        <is>
          <t xml:space="preserve">  BY SOURCE</t>
        </is>
      </c>
      <c r="H13" s="226" t="n"/>
      <c r="I13" s="226" t="n"/>
      <c r="J13" s="226" t="n"/>
      <c r="K13" s="226" t="n"/>
      <c r="L13" s="226" t="n"/>
      <c r="M13" s="226" t="n"/>
    </row>
    <row r="14" ht="12" customHeight="1">
      <c r="A14" s="186" t="n"/>
      <c r="B14" s="186" t="inlineStr">
        <is>
          <t>Closed</t>
        </is>
      </c>
      <c r="C14" s="186" t="inlineStr">
        <is>
          <t>Total</t>
        </is>
      </c>
      <c r="D14" s="186" t="inlineStr">
        <is>
          <t>%</t>
        </is>
      </c>
      <c r="E14" s="186" t="inlineStr">
        <is>
          <t>Window ⏱</t>
        </is>
      </c>
      <c r="F14" s="186" t="inlineStr">
        <is>
          <t>Left</t>
        </is>
      </c>
      <c r="G14" s="226" t="n"/>
      <c r="H14" s="226" t="n"/>
      <c r="I14" s="226" t="n"/>
      <c r="J14" s="226" t="n"/>
      <c r="K14" s="226" t="n"/>
      <c r="L14" s="226" t="n"/>
      <c r="M14" s="226" t="n"/>
    </row>
    <row r="15" ht="16.5" customHeight="1">
      <c r="A15" s="14" t="inlineStr">
        <is>
          <t>ROUTINE TASKS (WP)</t>
        </is>
      </c>
      <c r="B15" s="15">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5" s="15">
        <f>(COUNTIF('HZ-ASD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16">
        <f>IFERROR(B15/C15,0)</f>
        <v/>
      </c>
      <c r="E15" s="16">
        <f>MIN(MAX((TODAY()-DASHBOARD!$M$1)/(DASHBOARD!$M$2-DASHBOARD!$M$1),0),1)</f>
        <v/>
      </c>
      <c r="F15" s="26">
        <f>C15-B15</f>
        <v/>
      </c>
      <c r="G15" s="12">
        <f>IF(D15=0,"",D15)</f>
        <v/>
      </c>
      <c r="H15" s="226" t="n"/>
      <c r="I15" s="226" t="n"/>
      <c r="J15" s="226" t="n"/>
      <c r="K15" s="226" t="n"/>
      <c r="L15" s="226" t="n"/>
      <c r="M15" s="226" t="n"/>
    </row>
    <row r="16" ht="16.5" customHeight="1">
      <c r="A16" s="17" t="inlineStr">
        <is>
          <t>ENG ORDERS (EOD/AD/EO)</t>
        </is>
      </c>
      <c r="B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f>
        <v/>
      </c>
      <c r="C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D16" s="16">
        <f>IFERROR(B16/C16,0)</f>
        <v/>
      </c>
      <c r="E16" s="16">
        <f>IF(AND(ISNUMBER(LAYOVER!$B$22),ISNUMBER(LAYOVER!$C$22)),MIN(MAX((TODAY()-LAYOVER!$B$22)/(LAYOVER!$C$22-LAYOVER!$B$22),0),1),"")</f>
        <v/>
      </c>
      <c r="F16" s="26">
        <f>C16-B16</f>
        <v/>
      </c>
      <c r="G16" s="12">
        <f>IF(D16=0,"",D16)</f>
        <v/>
      </c>
      <c r="H16" s="226" t="n"/>
      <c r="I16" s="226" t="n"/>
      <c r="J16" s="226" t="n"/>
      <c r="K16" s="226" t="n"/>
      <c r="L16" s="226" t="n"/>
      <c r="M16" s="226" t="n"/>
    </row>
    <row r="17" ht="16.5" customHeight="1">
      <c r="A17" s="18" t="inlineStr">
        <is>
          <t>FINDINGS (AMOS)</t>
        </is>
      </c>
      <c r="B17" s="15">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7" s="15">
        <f>(SUMPRODUCT(('HZ-ASD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7" s="16">
        <f>IFERROR(B17/C17,0)</f>
        <v/>
      </c>
      <c r="E17" s="16">
        <f>IF(AND(ISNUMBER(LAYOVER!$B$21),ISNUMBER(LAYOVER!$C$21)),MIN(MAX((TODAY()-LAYOVER!$B$21)/(LAYOVER!$C$21-LAYOVER!$B$21),0),1),"")</f>
        <v/>
      </c>
      <c r="F17" s="26">
        <f>C17-B17</f>
        <v/>
      </c>
      <c r="G17" s="12">
        <f>IF(D17=0,"",D17)</f>
        <v/>
      </c>
    </row>
    <row r="18" ht="6" customHeight="1">
      <c r="A18" s="226" t="n"/>
      <c r="B18" s="226" t="n"/>
      <c r="C18" s="226" t="n"/>
      <c r="D18" s="226" t="n"/>
      <c r="E18" s="226" t="n"/>
      <c r="F18" s="226" t="n"/>
      <c r="G18" s="226" t="n"/>
    </row>
    <row r="19" ht="18" customHeight="1">
      <c r="A19" s="318" t="inlineStr">
        <is>
          <t xml:space="preserve">  BY CATEGORY</t>
        </is>
      </c>
    </row>
    <row r="20" ht="12" customHeight="1">
      <c r="A20" s="186" t="n"/>
      <c r="B20" s="186" t="inlineStr">
        <is>
          <t>Closed</t>
        </is>
      </c>
      <c r="C20" s="186" t="inlineStr">
        <is>
          <t>Total</t>
        </is>
      </c>
      <c r="D20" s="186" t="inlineStr">
        <is>
          <t>%</t>
        </is>
      </c>
      <c r="E20" s="186" t="inlineStr">
        <is>
          <t>Share</t>
        </is>
      </c>
      <c r="F20" s="186" t="inlineStr">
        <is>
          <t>Left</t>
        </is>
      </c>
      <c r="G20" s="226" t="n"/>
    </row>
    <row r="21" ht="16.5" customHeight="1">
      <c r="A21" s="247" t="inlineStr">
        <is>
          <t>GENERAL CABIN</t>
        </is>
      </c>
      <c r="B21" s="15">
        <f>COUNTIFS('HZ-ASD Tracker'!$A$4:$A$992,"&lt;&gt;",'HZ-ASD Tracker'!$D$4:$D$992,"GENERAL CABIN",'HZ-ASD Tracker'!$E$4:$E$992,"Closed")</f>
        <v/>
      </c>
      <c r="C21" s="15">
        <f>COUNTIFS('HZ-ASD Tracker'!$A$4:$A$992,"&lt;&gt;",'HZ-ASD Tracker'!$D$4:$D$992,"GENERAL CABIN")</f>
        <v/>
      </c>
      <c r="D21" s="16">
        <f>IFERROR(B21/C21,0)</f>
        <v/>
      </c>
      <c r="E21" s="16">
        <f>IFERROR(C21/COUNTIF('HZ-ASD Tracker'!$A$4:$A$992,"&lt;&gt;"),0)</f>
        <v/>
      </c>
      <c r="F21" s="26">
        <f>C21-B21</f>
        <v/>
      </c>
      <c r="G21" s="12">
        <f>IF(D21=0,"",D21)</f>
        <v/>
      </c>
    </row>
    <row r="22" ht="16.5" customHeight="1">
      <c r="A22" s="248" t="inlineStr">
        <is>
          <t>GALLEY</t>
        </is>
      </c>
      <c r="B22" s="15">
        <f>COUNTIFS('HZ-ASD Tracker'!$A$4:$A$992,"&lt;&gt;",'HZ-ASD Tracker'!$D$4:$D$992,"GALLEY",'HZ-ASD Tracker'!$E$4:$E$992,"Closed")</f>
        <v/>
      </c>
      <c r="C22" s="15">
        <f>COUNTIFS('HZ-ASD Tracker'!$A$4:$A$992,"&lt;&gt;",'HZ-ASD Tracker'!$D$4:$D$992,"GALLEY")</f>
        <v/>
      </c>
      <c r="D22" s="16">
        <f>IFERROR(B22/C22,0)</f>
        <v/>
      </c>
      <c r="E22" s="16">
        <f>IFERROR(C22/COUNTIF('HZ-ASD Tracker'!$A$4:$A$992,"&lt;&gt;"),0)</f>
        <v/>
      </c>
      <c r="F22" s="26">
        <f>C22-B22</f>
        <v/>
      </c>
      <c r="G22" s="12">
        <f>IF(D22=0,"",D22)</f>
        <v/>
      </c>
    </row>
    <row r="23" ht="16.5" customHeight="1">
      <c r="A23" s="19" t="inlineStr">
        <is>
          <t>LAVATORY</t>
        </is>
      </c>
      <c r="B23" s="15">
        <f>COUNTIFS('HZ-ASD Tracker'!$A$4:$A$992,"&lt;&gt;",'HZ-ASD Tracker'!$D$4:$D$992,"LAVATORY",'HZ-ASD Tracker'!$E$4:$E$992,"Closed")</f>
        <v/>
      </c>
      <c r="C23" s="15">
        <f>COUNTIFS('HZ-ASD Tracker'!$A$4:$A$992,"&lt;&gt;",'HZ-ASD Tracker'!$D$4:$D$992,"LAVATORY")</f>
        <v/>
      </c>
      <c r="D23" s="16">
        <f>IFERROR(B23/C23,0)</f>
        <v/>
      </c>
      <c r="E23" s="16">
        <f>IFERROR(C23/COUNTIF('HZ-ASD Tracker'!$A$4:$A$992,"&lt;&gt;"),0)</f>
        <v/>
      </c>
      <c r="F23" s="26">
        <f>C23-B23</f>
        <v/>
      </c>
      <c r="G23" s="12">
        <f>IF(D23=0,"",D23)</f>
        <v/>
      </c>
    </row>
    <row r="24" ht="16.5" customHeight="1">
      <c r="A24" s="243" t="inlineStr">
        <is>
          <t>PAX DOORS</t>
        </is>
      </c>
      <c r="B24" s="15">
        <f>COUNTIFS('HZ-ASD Tracker'!$A$4:$A$992,"&lt;&gt;",'HZ-ASD Tracker'!$D$4:$D$992,"PAX DOORS",'HZ-ASD Tracker'!$E$4:$E$992,"Closed")</f>
        <v/>
      </c>
      <c r="C24" s="15">
        <f>COUNTIFS('HZ-ASD Tracker'!$A$4:$A$992,"&lt;&gt;",'HZ-ASD Tracker'!$D$4:$D$992,"PAX DOORS")</f>
        <v/>
      </c>
      <c r="D24" s="16">
        <f>IFERROR(B24/C24,0)</f>
        <v/>
      </c>
      <c r="E24" s="16">
        <f>IFERROR(C24/COUNTIF('HZ-ASD Tracker'!$A$4:$A$992,"&lt;&gt;"),0)</f>
        <v/>
      </c>
      <c r="F24" s="26">
        <f>C24-B24</f>
        <v/>
      </c>
      <c r="G24" s="12">
        <f>IF(D24=0,"",D24)</f>
        <v/>
      </c>
    </row>
    <row r="25" ht="16.5" customHeight="1">
      <c r="A25" s="250" t="inlineStr">
        <is>
          <t>F/A SEAT</t>
        </is>
      </c>
      <c r="B25" s="15">
        <f>COUNTIFS('HZ-ASD Tracker'!$A$4:$A$992,"&lt;&gt;",'HZ-ASD Tracker'!$D$4:$D$992,"F/A SEAT",'HZ-ASD Tracker'!$E$4:$E$992,"Closed")</f>
        <v/>
      </c>
      <c r="C25" s="15">
        <f>COUNTIFS('HZ-ASD Tracker'!$A$4:$A$992,"&lt;&gt;",'HZ-ASD Tracker'!$D$4:$D$992,"F/A SEAT")</f>
        <v/>
      </c>
      <c r="D25" s="16">
        <f>IFERROR(B25/C25,0)</f>
        <v/>
      </c>
      <c r="E25" s="16">
        <f>IFERROR(C25/COUNTIF('HZ-ASD Tracker'!$A$4:$A$992,"&lt;&gt;"),0)</f>
        <v/>
      </c>
      <c r="F25" s="26">
        <f>C25-B25</f>
        <v/>
      </c>
      <c r="G25" s="12">
        <f>IF(D25=0,"",D25)</f>
        <v/>
      </c>
    </row>
    <row r="26" ht="16.5" customHeight="1">
      <c r="A26" s="20" t="inlineStr">
        <is>
          <t>PAX SEAT</t>
        </is>
      </c>
      <c r="B26" s="15">
        <f>COUNTIFS('HZ-ASD Tracker'!$A$4:$A$992,"&lt;&gt;",'HZ-ASD Tracker'!$D$4:$D$992,"PAX SEAT",'HZ-ASD Tracker'!$E$4:$E$992,"Closed")</f>
        <v/>
      </c>
      <c r="C26" s="15">
        <f>COUNTIFS('HZ-ASD Tracker'!$A$4:$A$992,"&lt;&gt;",'HZ-ASD Tracker'!$D$4:$D$992,"PAX SEAT")</f>
        <v/>
      </c>
      <c r="D26" s="16">
        <f>IFERROR(B26/C26,0)</f>
        <v/>
      </c>
      <c r="E26" s="16">
        <f>IFERROR(C26/COUNTIF('HZ-ASD Tracker'!$A$4:$A$992,"&lt;&gt;"),0)</f>
        <v/>
      </c>
      <c r="F26" s="26">
        <f>C26-B26</f>
        <v/>
      </c>
      <c r="G26" s="12">
        <f>IF(D26=0,"",D26)</f>
        <v/>
      </c>
    </row>
    <row r="27" ht="16.5" customHeight="1">
      <c r="A27" s="21" t="inlineStr">
        <is>
          <t>FLIGHT DECK</t>
        </is>
      </c>
      <c r="B27" s="15">
        <f>COUNTIFS('HZ-ASD Tracker'!$A$4:$A$992,"&lt;&gt;",'HZ-ASD Tracker'!$D$4:$D$992,"FLIGHT DECK",'HZ-ASD Tracker'!$E$4:$E$992,"Closed")</f>
        <v/>
      </c>
      <c r="C27" s="15">
        <f>COUNTIFS('HZ-ASD Tracker'!$A$4:$A$992,"&lt;&gt;",'HZ-ASD Tracker'!$D$4:$D$992,"FLIGHT DECK")</f>
        <v/>
      </c>
      <c r="D27" s="16">
        <f>IFERROR(B27/C27,0)</f>
        <v/>
      </c>
      <c r="E27" s="16">
        <f>IFERROR(C27/COUNTIF('HZ-ASD Tracker'!$A$4:$A$992,"&lt;&gt;"),0)</f>
        <v/>
      </c>
      <c r="F27" s="26">
        <f>C27-B27</f>
        <v/>
      </c>
      <c r="G27" s="12">
        <f>IF(D27=0,"",D27)</f>
        <v/>
      </c>
    </row>
    <row r="28" ht="16.5" customHeight="1">
      <c r="A28" s="252" t="inlineStr">
        <is>
          <t>TEDLAR/SIDEWALL</t>
        </is>
      </c>
      <c r="B28" s="15">
        <f>COUNTIFS('HZ-ASD Tracker'!$A$4:$A$992,"&lt;&gt;",'HZ-ASD Tracker'!$D$4:$D$992,"TEDLAR/SIDEWALL",'HZ-ASD Tracker'!$E$4:$E$992,"Closed")</f>
        <v/>
      </c>
      <c r="C28" s="15">
        <f>COUNTIFS('HZ-ASD Tracker'!$A$4:$A$992,"&lt;&gt;",'HZ-ASD Tracker'!$D$4:$D$992,"TEDLAR/SIDEWALL")</f>
        <v/>
      </c>
      <c r="D28" s="16">
        <f>IFERROR(B28/C28,0)</f>
        <v/>
      </c>
      <c r="E28" s="16">
        <f>IFERROR(C28/COUNTIF('HZ-ASD Tracker'!$A$4:$A$992,"&lt;&gt;"),0)</f>
        <v/>
      </c>
      <c r="F28" s="26">
        <f>C28-B28</f>
        <v/>
      </c>
      <c r="G28" s="12">
        <f>IF(D28=0,"",D28)</f>
        <v/>
      </c>
    </row>
    <row r="29" ht="16.5" customHeight="1">
      <c r="A29" s="22" t="inlineStr">
        <is>
          <t>ACCESS</t>
        </is>
      </c>
      <c r="B29" s="15">
        <f>COUNTIFS('HZ-ASD Tracker'!$A$4:$A$992,"&lt;&gt;",'HZ-ASD Tracker'!$F$4:$F$992,"ACCESS",'HZ-ASD Tracker'!$E$4:$E$992,"Closed")</f>
        <v/>
      </c>
      <c r="C29" s="15">
        <f>COUNTIFS('HZ-ASD Tracker'!$A$4:$A$992,"&lt;&gt;",'HZ-ASD Tracker'!$F$4:$F$992,"ACCESS")</f>
        <v/>
      </c>
      <c r="D29" s="16">
        <f>IFERROR(B29/C29,0)</f>
        <v/>
      </c>
      <c r="E29" s="16">
        <f>IFERROR(C29/COUNTIF('HZ-ASD Tracker'!$A$4:$A$992,"&lt;&gt;"),0)</f>
        <v/>
      </c>
      <c r="F29" s="26">
        <f>C29-B29</f>
        <v/>
      </c>
      <c r="G29" s="12">
        <f>IF(D29=0,"",D29)</f>
        <v/>
      </c>
    </row>
    <row r="30" ht="16.5" customHeight="1">
      <c r="A30" s="23" t="inlineStr">
        <is>
          <t>ACFT GENERAL T/C</t>
        </is>
      </c>
      <c r="B30" s="15">
        <f>COUNTIFS('HZ-ASD Tracker'!$A$4:$A$992,"&lt;&gt;",'HZ-ASD Tracker'!$D$4:$D$992,"ACFT GENERAL T/C",'HZ-ASD Tracker'!$E$4:$E$992,"Closed")</f>
        <v/>
      </c>
      <c r="C30" s="15">
        <f>COUNTIFS('HZ-ASD Tracker'!$A$4:$A$992,"&lt;&gt;",'HZ-ASD Tracker'!$D$4:$D$992,"ACFT GENERAL T/C")</f>
        <v/>
      </c>
      <c r="D30" s="16">
        <f>IFERROR(B30/C30,0)</f>
        <v/>
      </c>
      <c r="E30" s="16">
        <f>IFERROR(C30/COUNTIF('HZ-ASD Tracker'!$A$4:$A$992,"&lt;&gt;"),0)</f>
        <v/>
      </c>
      <c r="F30" s="26">
        <f>C30-B30</f>
        <v/>
      </c>
      <c r="G30" s="12">
        <f>IF(D30=0,"",D30)</f>
        <v/>
      </c>
    </row>
    <row r="31" ht="6" customHeight="1">
      <c r="A31" s="226" t="n"/>
      <c r="B31" s="226" t="n"/>
      <c r="C31" s="226" t="n"/>
      <c r="D31" s="226" t="n"/>
      <c r="E31" s="226" t="n"/>
      <c r="F31" s="226" t="n"/>
      <c r="G31" s="226" t="n"/>
    </row>
    <row r="32" ht="18" customHeight="1">
      <c r="A32" s="318" t="inlineStr">
        <is>
          <t xml:space="preserve">  SPECIALTY</t>
        </is>
      </c>
    </row>
    <row r="33" ht="12" customHeight="1">
      <c r="A33" s="186" t="n"/>
      <c r="B33" s="186" t="inlineStr">
        <is>
          <t>Closed</t>
        </is>
      </c>
      <c r="C33" s="186" t="inlineStr">
        <is>
          <t>Total</t>
        </is>
      </c>
      <c r="D33" s="186" t="inlineStr">
        <is>
          <t>%</t>
        </is>
      </c>
      <c r="E33" s="186" t="inlineStr">
        <is>
          <t>Share</t>
        </is>
      </c>
      <c r="F33" s="186" t="inlineStr">
        <is>
          <t>Left</t>
        </is>
      </c>
      <c r="G33" s="226" t="n"/>
    </row>
    <row r="34" ht="16.5" customHeight="1">
      <c r="A34" s="255" t="inlineStr">
        <is>
          <t>CAB</t>
        </is>
      </c>
      <c r="B34" s="15">
        <f>COUNTIFS('HZ-ASD Tracker'!$A$4:$A$992,"&lt;&gt;",'HZ-ASD Tracker'!$G$4:$G$992,"CAB",'HZ-ASD Tracker'!$E$4:$E$992,"Closed")</f>
        <v/>
      </c>
      <c r="C34" s="15">
        <f>COUNTIFS('HZ-ASD Tracker'!$A$4:$A$992,"&lt;&gt;",'HZ-ASD Tracker'!$G$4:$G$992,"CAB")</f>
        <v/>
      </c>
      <c r="D34" s="16">
        <f>IFERROR(B34/C34,0)</f>
        <v/>
      </c>
      <c r="E34" s="16">
        <f>IFERROR(C34/COUNTIF('HZ-ASD Tracker'!$A$4:$A$992,"&lt;&gt;"),0)</f>
        <v/>
      </c>
      <c r="F34" s="26">
        <f>C34-B34</f>
        <v/>
      </c>
      <c r="G34" s="12">
        <f>IF(D34=0,"",D34)</f>
        <v/>
      </c>
    </row>
    <row r="35" ht="16.5" customHeight="1">
      <c r="A35" s="250" t="inlineStr">
        <is>
          <t>SEAT</t>
        </is>
      </c>
      <c r="B35" s="15">
        <f>COUNTIFS('HZ-ASD Tracker'!$A$4:$A$992,"&lt;&gt;",'HZ-ASD Tracker'!$G$4:$G$992,"SEAT",'HZ-ASD Tracker'!$E$4:$E$992,"Closed")</f>
        <v/>
      </c>
      <c r="C35" s="15">
        <f>COUNTIFS('HZ-ASD Tracker'!$A$4:$A$992,"&lt;&gt;",'HZ-ASD Tracker'!$G$4:$G$992,"SEAT")</f>
        <v/>
      </c>
      <c r="D35" s="16">
        <f>IFERROR(B35/C35,0)</f>
        <v/>
      </c>
      <c r="E35" s="16">
        <f>IFERROR(C35/COUNTIF('HZ-ASD Tracker'!$A$4:$A$992,"&lt;&gt;"),0)</f>
        <v/>
      </c>
      <c r="F35" s="26">
        <f>C35-B35</f>
        <v/>
      </c>
      <c r="G35" s="12">
        <f>IF(D35=0,"",D35)</f>
        <v/>
      </c>
    </row>
    <row r="36" ht="16.5" customHeight="1">
      <c r="A36" s="243" t="inlineStr">
        <is>
          <t>AV</t>
        </is>
      </c>
      <c r="B36" s="15">
        <f>COUNTIFS('HZ-ASD Tracker'!$A$4:$A$992,"&lt;&gt;",'HZ-ASD Tracker'!$G$4:$G$992,"AV",'HZ-ASD Tracker'!$E$4:$E$992,"Closed")</f>
        <v/>
      </c>
      <c r="C36" s="15">
        <f>COUNTIFS('HZ-ASD Tracker'!$A$4:$A$992,"&lt;&gt;",'HZ-ASD Tracker'!$G$4:$G$992,"AV")</f>
        <v/>
      </c>
      <c r="D36" s="16">
        <f>IFERROR(B36/C36,0)</f>
        <v/>
      </c>
      <c r="E36" s="16">
        <f>IFERROR(C36/COUNTIF('HZ-ASD Tracker'!$A$4:$A$992,"&lt;&gt;"),0)</f>
        <v/>
      </c>
      <c r="F36" s="26">
        <f>C36-B36</f>
        <v/>
      </c>
      <c r="G36" s="12">
        <f>IF(D36=0,"",D36)</f>
        <v/>
      </c>
    </row>
    <row r="37" ht="16.5" customHeight="1">
      <c r="A37" s="252" t="inlineStr">
        <is>
          <t>WALL</t>
        </is>
      </c>
      <c r="B37" s="15">
        <f>COUNTIFS('HZ-ASD Tracker'!$A$4:$A$992,"&lt;&gt;",'HZ-ASD Tracker'!$G$4:$G$992,"WALL",'HZ-ASD Tracker'!$E$4:$E$992,"Closed")</f>
        <v/>
      </c>
      <c r="C37" s="15">
        <f>COUNTIFS('HZ-ASD Tracker'!$A$4:$A$992,"&lt;&gt;",'HZ-ASD Tracker'!$G$4:$G$992,"WALL")</f>
        <v/>
      </c>
      <c r="D37" s="16">
        <f>IFERROR(B37/C37,0)</f>
        <v/>
      </c>
      <c r="E37" s="16">
        <f>IFERROR(C37/COUNTIF('HZ-ASD Tracker'!$A$4:$A$992,"&lt;&gt;"),0)</f>
        <v/>
      </c>
      <c r="F37" s="26">
        <f>C37-B37</f>
        <v/>
      </c>
      <c r="G37" s="12">
        <f>IF(D37=0,"",D37)</f>
        <v/>
      </c>
    </row>
    <row r="38" ht="16.5" customHeight="1">
      <c r="A38" s="248" t="inlineStr">
        <is>
          <t>S/M</t>
        </is>
      </c>
      <c r="B38" s="15">
        <f>COUNTIFS('HZ-ASD Tracker'!$A$4:$A$992,"&lt;&gt;",'HZ-ASD Tracker'!$G$4:$G$992,"S/M",'HZ-ASD Tracker'!$E$4:$E$992,"Closed")</f>
        <v/>
      </c>
      <c r="C38" s="15">
        <f>COUNTIFS('HZ-ASD Tracker'!$A$4:$A$992,"&lt;&gt;",'HZ-ASD Tracker'!$G$4:$G$992,"S/M")</f>
        <v/>
      </c>
      <c r="D38" s="16">
        <f>IFERROR(B38/C38,0)</f>
        <v/>
      </c>
      <c r="E38" s="16">
        <f>IFERROR(C38/COUNTIF('HZ-ASD Tracker'!$A$4:$A$992,"&lt;&gt;"),0)</f>
        <v/>
      </c>
      <c r="F38" s="26">
        <f>C38-B38</f>
        <v/>
      </c>
      <c r="G38" s="12">
        <f>IF(D38=0,"",D38)</f>
        <v/>
      </c>
    </row>
    <row r="39" ht="16.5" customHeight="1">
      <c r="A39" s="249" t="inlineStr">
        <is>
          <t>PAINT</t>
        </is>
      </c>
      <c r="B39" s="15">
        <f>COUNTIFS('HZ-ASD Tracker'!$A$4:$A$992,"&lt;&gt;",'HZ-ASD Tracker'!$G$4:$G$992,"PAINT",'HZ-ASD Tracker'!$E$4:$E$992,"Closed")</f>
        <v/>
      </c>
      <c r="C39" s="15">
        <f>COUNTIFS('HZ-ASD Tracker'!$A$4:$A$992,"&lt;&gt;",'HZ-ASD Tracker'!$G$4:$G$992,"PAINT")</f>
        <v/>
      </c>
      <c r="D39" s="16">
        <f>IFERROR(B39/C39,0)</f>
        <v/>
      </c>
      <c r="E39" s="16">
        <f>IFERROR(C39/COUNTIF('HZ-ASD Tracker'!$A$4:$A$992,"&lt;&gt;"),0)</f>
        <v/>
      </c>
      <c r="F39" s="26">
        <f>C39-B39</f>
        <v/>
      </c>
      <c r="G39" s="12">
        <f>IF(D39=0,"",D39)</f>
        <v/>
      </c>
    </row>
    <row r="40" ht="16.5" customHeight="1">
      <c r="A40" s="236" t="inlineStr">
        <is>
          <t>JOINT</t>
        </is>
      </c>
      <c r="B40" s="15">
        <f>COUNTIFS('HZ-ASD Tracker'!$A$4:$A$992,"&lt;&gt;",'HZ-ASD Tracker'!$G$4:$G$992,"JOINT",'HZ-ASD Tracker'!$E$4:$E$992,"Closed")</f>
        <v/>
      </c>
      <c r="C40" s="15">
        <f>COUNTIFS('HZ-ASD Tracker'!$A$4:$A$992,"&lt;&gt;",'HZ-ASD Tracker'!$G$4:$G$992,"JOINT")</f>
        <v/>
      </c>
      <c r="D40" s="16">
        <f>IFERROR(B40/C40,0)</f>
        <v/>
      </c>
      <c r="E40" s="16">
        <f>IFERROR(C40/COUNTIF('HZ-ASD Tracker'!$A$4:$A$992,"&lt;&gt;"),0)</f>
        <v/>
      </c>
      <c r="F40" s="26">
        <f>C40-B40</f>
        <v/>
      </c>
      <c r="G40" s="12">
        <f>IF(D40=0,"",D40)</f>
        <v/>
      </c>
    </row>
    <row r="41" ht="16.5" customHeight="1">
      <c r="A41" s="247" t="inlineStr">
        <is>
          <t>INSP</t>
        </is>
      </c>
      <c r="B41" s="15">
        <f>COUNTIFS('HZ-ASD Tracker'!$A$4:$A$992,"&lt;&gt;",'HZ-ASD Tracker'!$G$4:$G$992,"INSP",'HZ-ASD Tracker'!$E$4:$E$992,"Closed")</f>
        <v/>
      </c>
      <c r="C41" s="15">
        <f>COUNTIFS('HZ-ASD Tracker'!$A$4:$A$992,"&lt;&gt;",'HZ-ASD Tracker'!$G$4:$G$992,"INSP")</f>
        <v/>
      </c>
      <c r="D41" s="16">
        <f>IFERROR(B41/C41,0)</f>
        <v/>
      </c>
      <c r="E41" s="16">
        <f>IFERROR(C41/COUNTIF('HZ-ASD Tracker'!$A$4:$A$992,"&lt;&gt;"),0)</f>
        <v/>
      </c>
      <c r="F41" s="26">
        <f>C41-B41</f>
        <v/>
      </c>
      <c r="G41" s="12">
        <f>IF(D41=0,"",D41)</f>
        <v/>
      </c>
    </row>
    <row r="42" ht="16.5" customHeight="1">
      <c r="A42" s="244" t="inlineStr">
        <is>
          <t>AP</t>
        </is>
      </c>
      <c r="B42" s="15">
        <f>COUNTIFS('HZ-ASD Tracker'!$A$4:$A$992,"&lt;&gt;",'HZ-ASD Tracker'!$G$4:$G$992,"AP",'HZ-ASD Tracker'!$E$4:$E$992,"Closed")</f>
        <v/>
      </c>
      <c r="C42" s="15">
        <f>COUNTIFS('HZ-ASD Tracker'!$A$4:$A$992,"&lt;&gt;",'HZ-ASD Tracker'!$G$4:$G$992,"AP")</f>
        <v/>
      </c>
      <c r="D42" s="16">
        <f>IFERROR(B42/C42,0)</f>
        <v/>
      </c>
      <c r="E42" s="16">
        <f>IFERROR(C42/COUNTIF('HZ-ASD Tracker'!$A$4:$A$992,"&lt;&gt;"),0)</f>
        <v/>
      </c>
      <c r="F42" s="26">
        <f>C42-B42</f>
        <v/>
      </c>
      <c r="G42" s="12">
        <f>IF(D42=0,"",D42)</f>
        <v/>
      </c>
    </row>
    <row r="43" ht="6" customHeight="1">
      <c r="A43" s="226" t="n"/>
      <c r="B43" s="226" t="n"/>
      <c r="C43" s="226" t="n"/>
      <c r="D43" s="226" t="n"/>
      <c r="E43" s="226" t="n"/>
      <c r="F43" s="226" t="n"/>
      <c r="G43" s="226" t="n"/>
    </row>
    <row r="44" ht="18" customHeight="1">
      <c r="A44" s="318" t="inlineStr">
        <is>
          <t xml:space="preserve">  DAILY CLOSURES  —  last 10 days</t>
        </is>
      </c>
      <c r="C44" s="187" t="inlineStr">
        <is>
          <t>Σ Closed</t>
        </is>
      </c>
      <c r="D44" s="187" t="inlineStr">
        <is>
          <t>Left</t>
        </is>
      </c>
      <c r="E44" s="187" t="inlineStr">
        <is>
          <t>Cum %</t>
        </is>
      </c>
      <c r="F44" s="324">
        <f>IF(COUNTIFS('HZ-ASD Tracker'!$A$4:$A$993,"&lt;&gt;",'HZ-ASD Tracker'!$E$4:$E$993,"Closed")&gt;=ROUND(COUNTIF('HZ-ASD Tracker'!$A$4:$A$993,"&lt;&gt;")*VLOOKUP(MAX(MIN(TODAY()-DASHBOARD!$M$1+1,38),1),'FULL PKG'!$L$2:$M$39,2,0),0),"📈 S-curve: +"&amp;(COUNTIFS('HZ-ASD Tracker'!$A$4:$A$993,"&lt;&gt;",'HZ-ASD Tracker'!$E$4:$E$993,"Closed")-ROUND(COUNTIF('HZ-ASD Tracker'!$A$4:$A$993,"&lt;&gt;")*VLOOKUP(MAX(MIN(TODAY()-DASHBOARD!$M$1+1,38),1),'FULL PKG'!$L$2:$M$39,2,0),0))&amp;" ahead 🟢","📉 S-curve: "&amp;(COUNTIFS('HZ-ASD Tracker'!$A$4:$A$993,"&lt;&gt;",'HZ-ASD Tracker'!$E$4:$E$993,"Closed")-ROUND(COUNTIF('HZ-ASD Tracker'!$A$4:$A$993,"&lt;&gt;")*VLOOKUP(MAX(MIN(TODAY()-DASHBOARD!$M$1+1,38),1),'FULL PKG'!$L$2:$M$39,2,0),0))&amp;" behind 🔴")</f>
        <v/>
      </c>
    </row>
    <row r="45" ht="15" customHeight="1">
      <c r="A45" s="24">
        <f>TODAY()-9</f>
        <v/>
      </c>
      <c r="B45" s="13">
        <f>COUNTIFS('HZ-ASD Tracker'!$M$4:$M$992,TODAY()-9,'HZ-ASD Tracker'!$E$4:$E$992,"Closed")</f>
        <v/>
      </c>
      <c r="C45" s="26">
        <f>COUNTIFS('HZ-ASD Tracker'!$M$4:$M$992,"&lt;="&amp;TODAY()-9,'HZ-ASD Tracker'!$E$4:$E$992,"Closed")</f>
        <v/>
      </c>
      <c r="D45" s="26">
        <f>COUNTIF('HZ-ASD Tracker'!$A$4:$A$992,"&lt;&gt;")-C45</f>
        <v/>
      </c>
      <c r="E45" s="27">
        <f>IFERROR(C45/COUNTIF('HZ-ASD Tracker'!$A$4:$A$992,"&lt;&gt;"),0)</f>
        <v/>
      </c>
      <c r="F45" s="12">
        <f>IF(E45=0,"",E45)</f>
        <v/>
      </c>
      <c r="G45" s="12">
        <f>IF(B45=0,"",B45)</f>
        <v/>
      </c>
    </row>
    <row r="46" ht="15" customHeight="1">
      <c r="A46" s="24">
        <f>TODAY()-8</f>
        <v/>
      </c>
      <c r="B46" s="13">
        <f>COUNTIFS('HZ-ASD Tracker'!$M$4:$M$992,TODAY()-8,'HZ-ASD Tracker'!$E$4:$E$992,"Closed")</f>
        <v/>
      </c>
      <c r="C46" s="26">
        <f>COUNTIFS('HZ-ASD Tracker'!$M$4:$M$992,"&lt;="&amp;TODAY()-8,'HZ-ASD Tracker'!$E$4:$E$992,"Closed")</f>
        <v/>
      </c>
      <c r="D46" s="26">
        <f>COUNTIF('HZ-ASD Tracker'!$A$4:$A$992,"&lt;&gt;")-C46</f>
        <v/>
      </c>
      <c r="E46" s="27">
        <f>IFERROR(C46/COUNTIF('HZ-ASD Tracker'!$A$4:$A$992,"&lt;&gt;"),0)</f>
        <v/>
      </c>
      <c r="F46" s="12">
        <f>IF(E46=0,"",E46)</f>
        <v/>
      </c>
      <c r="G46" s="12">
        <f>IF(B46=0,"",B46)</f>
        <v/>
      </c>
    </row>
    <row r="47" ht="15" customHeight="1">
      <c r="A47" s="24">
        <f>TODAY()-7</f>
        <v/>
      </c>
      <c r="B47" s="13">
        <f>COUNTIFS('HZ-ASD Tracker'!$M$4:$M$992,TODAY()-7,'HZ-ASD Tracker'!$E$4:$E$992,"Closed")</f>
        <v/>
      </c>
      <c r="C47" s="26">
        <f>COUNTIFS('HZ-ASD Tracker'!$M$4:$M$992,"&lt;="&amp;TODAY()-7,'HZ-ASD Tracker'!$E$4:$E$992,"Closed")</f>
        <v/>
      </c>
      <c r="D47" s="26">
        <f>COUNTIF('HZ-ASD Tracker'!$A$4:$A$992,"&lt;&gt;")-C47</f>
        <v/>
      </c>
      <c r="E47" s="27">
        <f>IFERROR(C47/COUNTIF('HZ-ASD Tracker'!$A$4:$A$992,"&lt;&gt;"),0)</f>
        <v/>
      </c>
      <c r="F47" s="12">
        <f>IF(E47=0,"",E47)</f>
        <v/>
      </c>
      <c r="G47" s="12">
        <f>IF(B47=0,"",B47)</f>
        <v/>
      </c>
    </row>
    <row r="48" ht="15" customHeight="1">
      <c r="A48" s="24">
        <f>TODAY()-6</f>
        <v/>
      </c>
      <c r="B48" s="13">
        <f>COUNTIFS('HZ-ASD Tracker'!$M$4:$M$992,TODAY()-6,'HZ-ASD Tracker'!$E$4:$E$992,"Closed")</f>
        <v/>
      </c>
      <c r="C48" s="26">
        <f>COUNTIFS('HZ-ASD Tracker'!$M$4:$M$992,"&lt;="&amp;TODAY()-6,'HZ-ASD Tracker'!$E$4:$E$992,"Closed")</f>
        <v/>
      </c>
      <c r="D48" s="26">
        <f>COUNTIF('HZ-ASD Tracker'!$A$4:$A$992,"&lt;&gt;")-C48</f>
        <v/>
      </c>
      <c r="E48" s="27">
        <f>IFERROR(C48/COUNTIF('HZ-ASD Tracker'!$A$4:$A$992,"&lt;&gt;"),0)</f>
        <v/>
      </c>
      <c r="F48" s="12">
        <f>IF(E48=0,"",E48)</f>
        <v/>
      </c>
      <c r="G48" s="12">
        <f>IF(B48=0,"",B48)</f>
        <v/>
      </c>
    </row>
    <row r="49" ht="15" customHeight="1">
      <c r="A49" s="24">
        <f>TODAY()-5</f>
        <v/>
      </c>
      <c r="B49" s="13">
        <f>COUNTIFS('HZ-ASD Tracker'!$M$4:$M$992,TODAY()-5,'HZ-ASD Tracker'!$E$4:$E$992,"Closed")</f>
        <v/>
      </c>
      <c r="C49" s="26">
        <f>COUNTIFS('HZ-ASD Tracker'!$M$4:$M$992,"&lt;="&amp;TODAY()-5,'HZ-ASD Tracker'!$E$4:$E$992,"Closed")</f>
        <v/>
      </c>
      <c r="D49" s="26">
        <f>COUNTIF('HZ-ASD Tracker'!$A$4:$A$992,"&lt;&gt;")-C49</f>
        <v/>
      </c>
      <c r="E49" s="27">
        <f>IFERROR(C49/COUNTIF('HZ-ASD Tracker'!$A$4:$A$992,"&lt;&gt;"),0)</f>
        <v/>
      </c>
      <c r="F49" s="12">
        <f>IF(E49=0,"",E49)</f>
        <v/>
      </c>
      <c r="G49" s="12">
        <f>IF(B49=0,"",B49)</f>
        <v/>
      </c>
    </row>
    <row r="50" ht="15" customHeight="1">
      <c r="A50" s="24">
        <f>TODAY()-4</f>
        <v/>
      </c>
      <c r="B50" s="13">
        <f>COUNTIFS('HZ-ASD Tracker'!$M$4:$M$992,TODAY()-4,'HZ-ASD Tracker'!$E$4:$E$992,"Closed")</f>
        <v/>
      </c>
      <c r="C50" s="26">
        <f>COUNTIFS('HZ-ASD Tracker'!$M$4:$M$992,"&lt;="&amp;TODAY()-4,'HZ-ASD Tracker'!$E$4:$E$992,"Closed")</f>
        <v/>
      </c>
      <c r="D50" s="26">
        <f>COUNTIF('HZ-ASD Tracker'!$A$4:$A$992,"&lt;&gt;")-C50</f>
        <v/>
      </c>
      <c r="E50" s="27">
        <f>IFERROR(C50/COUNTIF('HZ-ASD Tracker'!$A$4:$A$992,"&lt;&gt;"),0)</f>
        <v/>
      </c>
      <c r="F50" s="12">
        <f>IF(E50=0,"",E50)</f>
        <v/>
      </c>
      <c r="G50" s="12">
        <f>IF(B50=0,"",B50)</f>
        <v/>
      </c>
    </row>
    <row r="51" ht="15" customHeight="1">
      <c r="A51" s="24">
        <f>TODAY()-3</f>
        <v/>
      </c>
      <c r="B51" s="13">
        <f>COUNTIFS('HZ-ASD Tracker'!$M$4:$M$992,TODAY()-3,'HZ-ASD Tracker'!$E$4:$E$992,"Closed")</f>
        <v/>
      </c>
      <c r="C51" s="26">
        <f>COUNTIFS('HZ-ASD Tracker'!$M$4:$M$992,"&lt;="&amp;TODAY()-3,'HZ-ASD Tracker'!$E$4:$E$992,"Closed")</f>
        <v/>
      </c>
      <c r="D51" s="26">
        <f>COUNTIF('HZ-ASD Tracker'!$A$4:$A$992,"&lt;&gt;")-C51</f>
        <v/>
      </c>
      <c r="E51" s="27">
        <f>IFERROR(C51/COUNTIF('HZ-ASD Tracker'!$A$4:$A$992,"&lt;&gt;"),0)</f>
        <v/>
      </c>
      <c r="F51" s="12">
        <f>IF(E51=0,"",E51)</f>
        <v/>
      </c>
      <c r="G51" s="12">
        <f>IF(B51=0,"",B51)</f>
        <v/>
      </c>
    </row>
    <row r="52" ht="15" customHeight="1">
      <c r="A52" s="24">
        <f>TODAY()-2</f>
        <v/>
      </c>
      <c r="B52" s="13">
        <f>COUNTIFS('HZ-ASD Tracker'!$M$4:$M$992,TODAY()-2,'HZ-ASD Tracker'!$E$4:$E$992,"Closed")</f>
        <v/>
      </c>
      <c r="C52" s="26">
        <f>COUNTIFS('HZ-ASD Tracker'!$M$4:$M$992,"&lt;="&amp;TODAY()-2,'HZ-ASD Tracker'!$E$4:$E$992,"Closed")</f>
        <v/>
      </c>
      <c r="D52" s="26">
        <f>COUNTIF('HZ-ASD Tracker'!$A$4:$A$992,"&lt;&gt;")-C52</f>
        <v/>
      </c>
      <c r="E52" s="27">
        <f>IFERROR(C52/COUNTIF('HZ-ASD Tracker'!$A$4:$A$992,"&lt;&gt;"),0)</f>
        <v/>
      </c>
      <c r="F52" s="12">
        <f>IF(E52=0,"",E52)</f>
        <v/>
      </c>
      <c r="G52" s="12">
        <f>IF(B52=0,"",B52)</f>
        <v/>
      </c>
    </row>
    <row r="53" ht="15" customHeight="1">
      <c r="A53" s="24">
        <f>TODAY()-1</f>
        <v/>
      </c>
      <c r="B53" s="13">
        <f>COUNTIFS('HZ-ASD Tracker'!$M$4:$M$992,TODAY()-1,'HZ-ASD Tracker'!$E$4:$E$992,"Closed")</f>
        <v/>
      </c>
      <c r="C53" s="26">
        <f>COUNTIFS('HZ-ASD Tracker'!$M$4:$M$992,"&lt;="&amp;TODAY()-1,'HZ-ASD Tracker'!$E$4:$E$992,"Closed")</f>
        <v/>
      </c>
      <c r="D53" s="26">
        <f>COUNTIF('HZ-ASD Tracker'!$A$4:$A$992,"&lt;&gt;")-C53</f>
        <v/>
      </c>
      <c r="E53" s="27">
        <f>IFERROR(C53/COUNTIF('HZ-ASD Tracker'!$A$4:$A$992,"&lt;&gt;"),0)</f>
        <v/>
      </c>
      <c r="F53" s="12">
        <f>IF(E53=0,"",E53)</f>
        <v/>
      </c>
      <c r="G53" s="12">
        <f>IF(B53=0,"",B53)</f>
        <v/>
      </c>
    </row>
    <row r="54" ht="15" customHeight="1">
      <c r="A54" s="24">
        <f>TODAY()-0</f>
        <v/>
      </c>
      <c r="B54" s="13">
        <f>COUNTIFS('HZ-ASD Tracker'!$M$4:$M$992,TODAY()-0,'HZ-ASD Tracker'!$E$4:$E$992,"Closed")</f>
        <v/>
      </c>
      <c r="C54" s="26">
        <f>COUNTIFS('HZ-ASD Tracker'!$M$4:$M$992,"&lt;="&amp;TODAY()-0,'HZ-ASD Tracker'!$E$4:$E$992,"Closed")</f>
        <v/>
      </c>
      <c r="D54" s="26">
        <f>COUNTIF('HZ-ASD Tracker'!$A$4:$A$992,"&lt;&gt;")-C54</f>
        <v/>
      </c>
      <c r="E54" s="27">
        <f>IFERROR(C54/COUNTIF('HZ-ASD Tracker'!$A$4:$A$992,"&lt;&gt;"),0)</f>
        <v/>
      </c>
      <c r="F54" s="12">
        <f>IF(E54=0,"",E54)</f>
        <v/>
      </c>
      <c r="G54" s="12">
        <f>IF(B54=0,"",B54)</f>
        <v/>
      </c>
    </row>
    <row r="55" ht="6" customHeight="1">
      <c r="A55" s="226" t="n"/>
      <c r="B55" s="226" t="n"/>
      <c r="C55" s="226" t="n"/>
      <c r="D55" s="226" t="n"/>
      <c r="E55" s="226" t="n"/>
      <c r="F55" s="226" t="n"/>
      <c r="G55" s="226" t="n"/>
    </row>
    <row r="56" ht="18" customHeight="1">
      <c r="A56" s="318" t="inlineStr">
        <is>
          <t xml:space="preserve">  OPEN UP / ACCESS  —  removed items status</t>
        </is>
      </c>
      <c r="E56" s="324">
        <f>IF(NOT(ISNUMBER(LAYOVER!$C$28)),"close-up date TBD",IF(TODAY()&gt;LAYOVER!$C$28,"⚠️ close-up PASSED — "&amp;COUNTIFS('HZ-ASD Tracker'!$A$4:$A$992,"&lt;&gt;",'HZ-ASD Tracker'!$F$4:$F$992,"ACCESS",'HZ-ASD Tracker'!$E$4:$E$992,"&lt;&gt;Closed")&amp;" open","close-up in "&amp;(LAYOVER!$C$28-TODAY())&amp;" d · "&amp;COUNTIFS('HZ-ASD Tracker'!$A$4:$A$992,"&lt;&gt;",'HZ-ASD Tracker'!$F$4:$F$992,"ACCESS",'HZ-ASD Tracker'!$E$4:$E$992,"&lt;&gt;Closed")&amp;" open"))</f>
        <v/>
      </c>
    </row>
    <row r="57" ht="12" customHeight="1">
      <c r="A57" s="186" t="inlineStr">
        <is>
          <t>🔴 Still Open</t>
        </is>
      </c>
      <c r="B57" s="186">
        <f>COUNTIFS('HZ-ASD Tracker'!$A$4:$A$992,"&lt;&gt;",'HZ-ASD Tracker'!$F$4:$F$992,"ACCESS",'HZ-ASD Tracker'!$E$4:$E$992,"Open")</f>
        <v/>
      </c>
      <c r="C57" s="186">
        <f>COUNTIFS('HZ-ASD Tracker'!$A$4:$A$992,"&lt;&gt;",'HZ-ASD Tracker'!$F$4:$F$992,"ACCESS")</f>
        <v/>
      </c>
      <c r="D57" s="188">
        <f>IFERROR(B57/C57,0)</f>
        <v/>
      </c>
      <c r="E57" s="186" t="n"/>
      <c r="F57" s="226" t="n"/>
      <c r="G57" s="226" t="n"/>
    </row>
    <row r="58" ht="16.5" customHeight="1">
      <c r="A58" s="25" t="inlineStr">
        <is>
          <t>🟡 I/W + HPC</t>
        </is>
      </c>
      <c r="B58" s="15">
        <f>COUNTIFS('HZ-ASD Tracker'!$A$4:$A$992,"&lt;&gt;",'HZ-ASD Tracker'!$F$4:$F$992,"ACCESS",'HZ-ASD Tracker'!$E$4:$E$992,"I/W")+COUNTIFS('HZ-ASD Tracker'!$A$4:$A$992,"&lt;&gt;",'HZ-ASD Tracker'!$F$4:$F$992,"ACCESS",'HZ-ASD Tracker'!$E$4:$E$992,"HPC")</f>
        <v/>
      </c>
      <c r="C58" s="15">
        <f>COUNTIFS('HZ-ASD Tracker'!$A$4:$A$992,"&lt;&gt;",'HZ-ASD Tracker'!$F$4:$F$992,"ACCESS")</f>
        <v/>
      </c>
      <c r="D58" s="16">
        <f>IFERROR(B58/C58,0)</f>
        <v/>
      </c>
      <c r="E58" s="189" t="n"/>
      <c r="F58" s="226" t="n"/>
      <c r="G58" s="12">
        <f>IF(D58=0,"",D58)</f>
        <v/>
      </c>
    </row>
    <row r="59" ht="16.5" customHeight="1">
      <c r="A59" s="20" t="inlineStr">
        <is>
          <t>🟢 Closed</t>
        </is>
      </c>
      <c r="B59" s="15">
        <f>COUNTIFS('HZ-ASD Tracker'!$A$4:$A$992,"&lt;&gt;",'HZ-ASD Tracker'!$F$4:$F$992,"ACCESS",'HZ-ASD Tracker'!$E$4:$E$992,"Closed")</f>
        <v/>
      </c>
      <c r="C59" s="15">
        <f>COUNTIFS('HZ-ASD Tracker'!$A$4:$A$992,"&lt;&gt;",'HZ-ASD Tracker'!$F$4:$F$992,"ACCESS")</f>
        <v/>
      </c>
      <c r="D59" s="16">
        <f>IFERROR(B59/C59,0)</f>
        <v/>
      </c>
      <c r="E59" s="189" t="n"/>
      <c r="F59" s="226" t="n"/>
      <c r="G59" s="12">
        <f>IF(D59=0,"",D59)</f>
        <v/>
      </c>
    </row>
    <row r="60" ht="16.5" customHeight="1">
      <c r="A60" s="247" t="inlineStr">
        <is>
          <t>🟢 Re-Installed</t>
        </is>
      </c>
      <c r="B60" s="15">
        <f>COUNTIFS('OPEN UP-ACCESS'!$B$4:$B$504,"&lt;&gt;",'OPEN UP-ACCESS'!$F$4:$F$504,"Re-Installed")</f>
        <v/>
      </c>
      <c r="C60" s="15">
        <f>COUNTIF('OPEN UP-ACCESS'!$B$4:$B$504,"&lt;&gt;")</f>
        <v/>
      </c>
      <c r="D60" s="16">
        <f>IFERROR(B60/C60,0)</f>
        <v/>
      </c>
      <c r="E60" s="189" t="n"/>
      <c r="F60" s="226" t="n"/>
      <c r="G60" s="12">
        <f>IF(D60=0,"",D60)</f>
        <v/>
      </c>
    </row>
    <row r="61" ht="6" customHeight="1">
      <c r="A61" s="226" t="n"/>
      <c r="B61" s="226" t="n"/>
      <c r="C61" s="226" t="n"/>
      <c r="D61" s="226" t="n"/>
      <c r="E61" s="226" t="n"/>
      <c r="F61" s="226" t="n"/>
      <c r="G61" s="226" t="n"/>
    </row>
    <row r="62" ht="17.1" customHeight="1">
      <c r="A62" s="325">
        <f>"🔧 PARTS  —  Requested: "&amp;(COUNTIFS('HZ-ASD Tracker'!$A$4:$A$992,"&lt;&gt;",'HZ-ASD Tracker'!$H$4:$H$992,"Requested")+COUNTIFS('HZ-ASD Tracker'!$A$4:$A$992,"&lt;&gt;",'HZ-ASD Tracker'!$H$4:$H$992,"Requested - R")+COUNTIFS('HZ-ASD Tracker'!$A$4:$A$992,"&lt;&gt;",'HZ-ASD Tracker'!$H$4:$H$992,"Requested - CR"))&amp;"      ·      Pending EVAL: "&amp;COUNTIFS('HZ-ASD Tracker'!$A$4:$A$992,"&lt;&gt;",'HZ-ASD Tracker'!$H$4:$H$992,"Pending EVAL")</f>
        <v/>
      </c>
    </row>
    <row r="63" ht="17.1" customHeight="1">
      <c r="A63" s="325">
        <f>"⚙️ Deferred: "&amp;COUNTIFS('HZ-ASD Tracker'!$A$4:$A$992,"&lt;&gt;",'HZ-ASD Tracker'!$E$4:$E$992,"Deferred")&amp;"   ·   On Hold: "&amp;COUNTIFS('HZ-ASD Tracker'!$A$4:$A$992,"&lt;&gt;",'HZ-ASD Tracker'!$E$4:$E$992,"On Hold")&amp;"   ·   N/A: "&amp;COUNTIFS('HZ-ASD Tracker'!$A$4:$A$992,"&lt;&gt;",'HZ-ASD Tracker'!$E$4:$E$992,"N/A")&amp;"        🚨 AOG open: "&amp;COUNTIFS('HZ-ASD Tracker'!$A$4:$A$992,"&lt;&gt;",'HZ-ASD Tracker'!$F$4:$F$992,"AOG",'HZ-ASD Tracker'!$E$4:$E$992,"&lt;&gt;Closed")&amp;"   ·   Critical open: "&amp;COUNTIFS('HZ-ASD Tracker'!$A$4:$A$992,"&lt;&gt;",'HZ-ASD Tracker'!$F$4:$F$992,"Critical",'HZ-ASD Tracker'!$E$4:$E$992,"&lt;&gt;Closed")&amp;"   ·   🔁 Reopened: "&amp;SUMPRODUCT(('HZ-ASD Tracker'!$M$4:$M$992&lt;&gt;"")*('HZ-ASD Tracker'!$E$4:$E$992&lt;&gt;"Closed")*('HZ-ASD Tracker'!$A$4:$A$992&lt;&gt;""))</f>
        <v/>
      </c>
    </row>
    <row r="64" ht="18" customHeight="1">
      <c r="A64" s="326">
        <f>"🕐 WORKLOAD — Est "&amp;TEXT(SUM('HZ-ASD Tracker'!$N$4:$N$992),"#,##0")&amp;" MH  ·  Booked "&amp;TEXT(SUM('HZ-ASD Tracker'!$P$4:$P$992),"#,##0")&amp;"  ·  Closed "&amp;TEXT(SUMIFS('HZ-ASD Tracker'!$N$4:$N$992,'HZ-ASD Tracker'!$E$4:$E$992,"Closed"),"#,##0")&amp;"  ·  MH "&amp;TEXT(IFERROR(SUMIFS('HZ-ASD Tracker'!$N$4:$N$992,'HZ-ASD Tracker'!$E$4:$E$992,"Closed")/SUM('HZ-ASD Tracker'!$N$4:$N$992),0),"0%")&amp;" vs cards "&amp;TEXT(IFERROR(COUNTIFS('HZ-ASD Tracker'!$A$4:$A$992,"&lt;&gt;",'HZ-ASD Tracker'!$E$4:$E$992,"Closed")/COUNTIF('HZ-ASD Tracker'!$A$4:$A$992,"&lt;&gt;"),0),"0%")&amp;"  ·  cabin "&amp;TEXT(IFERROR(SUM('HZ-ASD Tracker'!$N$4:$N$992)/SUM('FULL PKG'!$E$2:$E$2000),0),"0%")&amp;" of acft pkg"</f>
        <v/>
      </c>
    </row>
    <row r="65" ht="17.1" customHeight="1">
      <c r="A65" s="327" t="n"/>
    </row>
    <row r="66" ht="18" customHeight="1">
      <c r="A66" s="318" t="inlineStr">
        <is>
          <t xml:space="preserve">  WORKLOAD BY SPECIALTY  (Est MH)</t>
        </is>
      </c>
      <c r="C66" s="190" t="inlineStr">
        <is>
          <t>Est MH</t>
        </is>
      </c>
      <c r="D66" s="190" t="inlineStr">
        <is>
          <t>Booked</t>
        </is>
      </c>
      <c r="E66" s="190" t="inlineStr">
        <is>
          <t>Share %</t>
        </is>
      </c>
      <c r="F66" s="191" t="n"/>
      <c r="G66" s="191" t="n"/>
    </row>
    <row r="67" ht="16.5" customHeight="1">
      <c r="A67" s="255" t="inlineStr">
        <is>
          <t>CAB</t>
        </is>
      </c>
      <c r="B67" s="237" t="n"/>
      <c r="C67" s="28">
        <f>SUMIFS('HZ-ASD Tracker'!$N$4:$N$992,'HZ-ASD Tracker'!$G$4:$G$992,"CAB")</f>
        <v/>
      </c>
      <c r="D67" s="28">
        <f>SUMIFS('HZ-ASD Tracker'!$P$4:$P$992,'HZ-ASD Tracker'!$G$4:$G$992,"CAB")</f>
        <v/>
      </c>
      <c r="E67" s="16">
        <f>IFERROR(C67/SUM('HZ-ASD Tracker'!$N$4:$N$992),0)</f>
        <v/>
      </c>
      <c r="F67" s="11" t="n"/>
      <c r="G67" s="12">
        <f>IF(E67=0,"",E67)</f>
        <v/>
      </c>
    </row>
    <row r="68" ht="16.5" customHeight="1">
      <c r="A68" s="250" t="inlineStr">
        <is>
          <t>SEAT</t>
        </is>
      </c>
      <c r="B68" s="237" t="n"/>
      <c r="C68" s="28">
        <f>SUMIFS('HZ-ASD Tracker'!$N$4:$N$992,'HZ-ASD Tracker'!$G$4:$G$992,"SEAT")</f>
        <v/>
      </c>
      <c r="D68" s="28">
        <f>SUMIFS('HZ-ASD Tracker'!$P$4:$P$992,'HZ-ASD Tracker'!$G$4:$G$992,"SEAT")</f>
        <v/>
      </c>
      <c r="E68" s="16">
        <f>IFERROR(C68/SUM('HZ-ASD Tracker'!$N$4:$N$992),0)</f>
        <v/>
      </c>
      <c r="F68" s="11" t="n"/>
      <c r="G68" s="12">
        <f>IF(E68=0,"",E68)</f>
        <v/>
      </c>
    </row>
    <row r="69" ht="16.5" customHeight="1">
      <c r="A69" s="243" t="inlineStr">
        <is>
          <t>AV</t>
        </is>
      </c>
      <c r="B69" s="237" t="n"/>
      <c r="C69" s="28">
        <f>SUMIFS('HZ-ASD Tracker'!$N$4:$N$992,'HZ-ASD Tracker'!$G$4:$G$992,"AV")</f>
        <v/>
      </c>
      <c r="D69" s="28">
        <f>SUMIFS('HZ-ASD Tracker'!$P$4:$P$992,'HZ-ASD Tracker'!$G$4:$G$992,"AV")</f>
        <v/>
      </c>
      <c r="E69" s="16">
        <f>IFERROR(C69/SUM('HZ-ASD Tracker'!$N$4:$N$992),0)</f>
        <v/>
      </c>
      <c r="F69" s="11" t="n"/>
      <c r="G69" s="12">
        <f>IF(E69=0,"",E69)</f>
        <v/>
      </c>
    </row>
    <row r="70" ht="16.5" customHeight="1">
      <c r="A70" s="252" t="inlineStr">
        <is>
          <t>WALL</t>
        </is>
      </c>
      <c r="B70" s="237" t="n"/>
      <c r="C70" s="28">
        <f>SUMIFS('HZ-ASD Tracker'!$N$4:$N$992,'HZ-ASD Tracker'!$G$4:$G$992,"WALL")</f>
        <v/>
      </c>
      <c r="D70" s="28">
        <f>SUMIFS('HZ-ASD Tracker'!$P$4:$P$992,'HZ-ASD Tracker'!$G$4:$G$992,"WALL")</f>
        <v/>
      </c>
      <c r="E70" s="16">
        <f>IFERROR(C70/SUM('HZ-ASD Tracker'!$N$4:$N$992),0)</f>
        <v/>
      </c>
      <c r="F70" s="11" t="n"/>
      <c r="G70" s="12">
        <f>IF(E70=0,"",E70)</f>
        <v/>
      </c>
    </row>
    <row r="71" ht="16.5" customHeight="1">
      <c r="A71" s="248" t="inlineStr">
        <is>
          <t>S/M</t>
        </is>
      </c>
      <c r="B71" s="237" t="n"/>
      <c r="C71" s="28">
        <f>SUMIFS('HZ-ASD Tracker'!$N$4:$N$992,'HZ-ASD Tracker'!$G$4:$G$992,"S/M")</f>
        <v/>
      </c>
      <c r="D71" s="28">
        <f>SUMIFS('HZ-ASD Tracker'!$P$4:$P$992,'HZ-ASD Tracker'!$G$4:$G$992,"S/M")</f>
        <v/>
      </c>
      <c r="E71" s="16">
        <f>IFERROR(C71/SUM('HZ-ASD Tracker'!$N$4:$N$992),0)</f>
        <v/>
      </c>
      <c r="F71" s="11" t="n"/>
      <c r="G71" s="12">
        <f>IF(E71=0,"",E71)</f>
        <v/>
      </c>
    </row>
    <row r="72" ht="16.5" customHeight="1">
      <c r="A72" s="249" t="inlineStr">
        <is>
          <t>PAINT</t>
        </is>
      </c>
      <c r="B72" s="237" t="n"/>
      <c r="C72" s="28">
        <f>SUMIFS('HZ-ASD Tracker'!$N$4:$N$992,'HZ-ASD Tracker'!$G$4:$G$992,"PAINT")</f>
        <v/>
      </c>
      <c r="D72" s="28">
        <f>SUMIFS('HZ-ASD Tracker'!$P$4:$P$992,'HZ-ASD Tracker'!$G$4:$G$992,"PAINT")</f>
        <v/>
      </c>
      <c r="E72" s="16">
        <f>IFERROR(C72/SUM('HZ-ASD Tracker'!$N$4:$N$992),0)</f>
        <v/>
      </c>
      <c r="F72" s="11" t="n"/>
      <c r="G72" s="12">
        <f>IF(E72=0,"",E72)</f>
        <v/>
      </c>
    </row>
    <row r="73" ht="16.5" customHeight="1">
      <c r="A73" s="236" t="inlineStr">
        <is>
          <t>JOINT</t>
        </is>
      </c>
      <c r="B73" s="237" t="n"/>
      <c r="C73" s="28">
        <f>SUMIFS('HZ-ASD Tracker'!$N$4:$N$992,'HZ-ASD Tracker'!$G$4:$G$992,"JOINT")</f>
        <v/>
      </c>
      <c r="D73" s="28">
        <f>SUMIFS('HZ-ASD Tracker'!$P$4:$P$992,'HZ-ASD Tracker'!$G$4:$G$992,"JOINT")</f>
        <v/>
      </c>
      <c r="E73" s="16">
        <f>IFERROR(C73/SUM('HZ-ASD Tracker'!$N$4:$N$992),0)</f>
        <v/>
      </c>
      <c r="F73" s="11" t="n"/>
      <c r="G73" s="12">
        <f>IF(E73=0,"",E73)</f>
        <v/>
      </c>
    </row>
    <row r="74" ht="16.5" customHeight="1">
      <c r="A74" s="247" t="inlineStr">
        <is>
          <t>INSP</t>
        </is>
      </c>
      <c r="B74" s="237" t="n"/>
      <c r="C74" s="28">
        <f>SUMIFS('HZ-ASD Tracker'!$N$4:$N$992,'HZ-ASD Tracker'!$G$4:$G$992,"INSP")</f>
        <v/>
      </c>
      <c r="D74" s="28">
        <f>SUMIFS('HZ-ASD Tracker'!$P$4:$P$992,'HZ-ASD Tracker'!$G$4:$G$992,"INSP")</f>
        <v/>
      </c>
      <c r="E74" s="16">
        <f>IFERROR(C74/SUM('HZ-ASD Tracker'!$N$4:$N$992),0)</f>
        <v/>
      </c>
      <c r="F74" s="11" t="n"/>
      <c r="G74" s="12">
        <f>IF(E74=0,"",E74)</f>
        <v/>
      </c>
    </row>
    <row r="75" ht="16.5" customHeight="1">
      <c r="A75" s="244" t="inlineStr">
        <is>
          <t>AP</t>
        </is>
      </c>
      <c r="B75" s="237" t="n"/>
      <c r="C75" s="28">
        <f>SUMIFS('HZ-ASD Tracker'!$N$4:$N$992,'HZ-ASD Tracker'!$G$4:$G$992,"AP")</f>
        <v/>
      </c>
      <c r="D75" s="28">
        <f>SUMIFS('HZ-ASD Tracker'!$P$4:$P$992,'HZ-ASD Tracker'!$G$4:$G$992,"AP")</f>
        <v/>
      </c>
      <c r="E75" s="16">
        <f>IFERROR(C75/SUM('HZ-ASD Tracker'!$N$4:$N$992),0)</f>
        <v/>
      </c>
      <c r="F75" s="11" t="n"/>
      <c r="G75" s="12">
        <f>IF(E75=0,"",E75)</f>
        <v/>
      </c>
    </row>
    <row r="76" ht="18" customHeight="1">
      <c r="A76" s="328" t="n"/>
    </row>
    <row r="78" ht="17.1" customHeight="1">
      <c r="A78" s="329" t="inlineStr">
        <is>
          <t xml:space="preserve">  ✈️ AIRCRAFT PACKAGE — ALL TRADES  (whole-aircraft AMOS data · separate from cabin stats above)</t>
        </is>
      </c>
    </row>
    <row r="79" ht="12.95" customHeight="1">
      <c r="A79" s="192" t="inlineStr">
        <is>
          <t>TOTAL</t>
        </is>
      </c>
      <c r="B79" s="192" t="inlineStr">
        <is>
          <t>CLOSED</t>
        </is>
      </c>
      <c r="C79" s="192" t="inlineStr">
        <is>
          <t>OPEN</t>
        </is>
      </c>
      <c r="D79" s="192" t="inlineStr">
        <is>
          <t>DONE</t>
        </is>
      </c>
      <c r="E79" s="192" t="inlineStr">
        <is>
          <t>TIME</t>
        </is>
      </c>
      <c r="F79" s="192" t="inlineStr">
        <is>
          <t>EST MH</t>
        </is>
      </c>
      <c r="G79" s="192" t="inlineStr">
        <is>
          <t>BOOKED</t>
        </is>
      </c>
    </row>
    <row r="80" ht="24" customHeight="1">
      <c r="A80" s="193">
        <f>COUNTIF('FULL PKG'!$B$2:$B$3000,"&lt;&gt;")</f>
        <v/>
      </c>
      <c r="B80" s="193">
        <f>COUNTIF('FULL PKG'!$H$2:$H$3000,"Closed")</f>
        <v/>
      </c>
      <c r="C80" s="193">
        <f>COUNTIF('FULL PKG'!$B$2:$B$3000,"&lt;&gt;")-COUNTIF('FULL PKG'!$H$2:$H$3000,"Closed")</f>
        <v/>
      </c>
      <c r="D80" s="194">
        <f>IFERROR(COUNTIF('FULL PKG'!$H$2:$H$3000,"Closed")/COUNTIF('FULL PKG'!$B$2:$B$3000,"&lt;&gt;"),0)</f>
        <v/>
      </c>
      <c r="E80" s="194">
        <f>MIN(MAX((TODAY()-DASHBOARD!$M$1+1)/(DASHBOARD!$M$2-DASHBOARD!$M$1+1),0),1)</f>
        <v/>
      </c>
      <c r="F80" s="195">
        <f>SUM('FULL PKG'!$E$2:$E$3000)</f>
        <v/>
      </c>
      <c r="G80" s="195">
        <f>SUM('FULL PKG'!$F$2:$F$3000)</f>
        <v/>
      </c>
    </row>
    <row r="81" ht="15.95" customHeight="1">
      <c r="A81" s="330">
        <f>"⚖️ CARDS — Cabin: "&amp;TEXT(IFERROR(COUNTIFS('HZ-ASD Tracker'!$A$4:$A$992,"&lt;&gt;",'HZ-ASD Tracker'!$E$4:$E$992,"Closed")/COUNTIF('HZ-ASD Tracker'!$A$4:$A$992,"&lt;&gt;"),0),"0%")&amp;"   ·   Non-cabin: "&amp;TEXT(IFERROR((COUNTIF('FULL PKG'!$H$2:$H$3000,"Closed")-COUNTIFS('HZ-ASD Tracker'!$A$4:$A$992,"&lt;&gt;",'HZ-ASD Tracker'!$E$4:$E$992,"Closed"))/MAX(COUNTIF('FULL PKG'!$B$2:$B$3000,"&lt;&gt;")-COUNTIF('HZ-ASD Tracker'!$A$4:$A$992,"&lt;&gt;"),1),0),"0%")&amp;"   ·   Whole pkg: "&amp;TEXT(IFERROR(COUNTIF('FULL PKG'!$H$2:$H$3000,"Closed")/COUNTIF('FULL PKG'!$B$2:$B$3000,"&lt;&gt;"),0),"0%")&amp;"   ·   cabin share of pkg closures: "&amp;TEXT(IFERROR(COUNTIFS('HZ-ASD Tracker'!$A$4:$A$992,"&lt;&gt;",'HZ-ASD Tracker'!$E$4:$E$992,"Closed")/MAX(COUNTIF('FULL PKG'!$H$2:$H$3000,"Closed"),1),0),"0%")</f>
        <v/>
      </c>
    </row>
    <row r="82" ht="15.95" customHeight="1">
      <c r="A82" s="330">
        <f>"⏱ MH CABIN — Est "&amp;TEXT(SUM('HZ-ASD Tracker'!$N$4:$N$992),"#,##0")&amp;"h · Booked "&amp;TEXT(SUM('HZ-ASD Tracker'!$P$4:$P$992),"#,##0")&amp;"h ("&amp;TEXT(IFERROR(SUM('HZ-ASD Tracker'!$P$4:$P$992)/SUM('HZ-ASD Tracker'!$N$4:$N$992),0),"0%")&amp;" of est)"</f>
        <v/>
      </c>
    </row>
    <row r="83" ht="15.95" customHeight="1">
      <c r="A83" s="330">
        <f>"⏱ MH PKG — Est "&amp;TEXT(SUM('FULL PKG'!$E$2:$E$3000),"#,##0")&amp;"h · Booked "&amp;TEXT(SUM('FULL PKG'!$F$2:$F$3000),"#,##0")&amp;"h ("&amp;TEXT(IFERROR(SUM('FULL PKG'!$F$2:$F$3000)/SUM('FULL PKG'!$E$2:$E$3000),0),"0%")&amp;")  ·  cabin est share "&amp;TEXT(IFERROR(SUM('HZ-ASD Tracker'!$N$4:$N$992)/SUM('FULL PKG'!$E$2:$E$3000),0),"0%")</f>
        <v/>
      </c>
    </row>
    <row r="84" ht="17.1" customHeight="1">
      <c r="A84" s="331" t="inlineStr">
        <is>
          <t xml:space="preserve">  📍 BY AREA — cards &amp; man-hours</t>
        </is>
      </c>
    </row>
    <row r="85" ht="12" customHeight="1">
      <c r="A85" s="150" t="inlineStr">
        <is>
          <t>Area</t>
        </is>
      </c>
      <c r="B85" s="150" t="inlineStr">
        <is>
          <t>Cards</t>
        </is>
      </c>
      <c r="C85" s="150" t="inlineStr">
        <is>
          <t>Closed</t>
        </is>
      </c>
      <c r="D85" s="150" t="inlineStr">
        <is>
          <t>Done %</t>
        </is>
      </c>
      <c r="E85" s="150" t="inlineStr">
        <is>
          <t>Est MH</t>
        </is>
      </c>
      <c r="F85" s="150" t="inlineStr">
        <is>
          <t>Booked</t>
        </is>
      </c>
      <c r="G85" s="151" t="n"/>
    </row>
    <row r="86" ht="15" customHeight="1">
      <c r="A86" s="119" t="inlineStr">
        <is>
          <t>FWD</t>
        </is>
      </c>
      <c r="B86" s="120">
        <f>COUNTIFS('HZ-ASD Tracker'!$A$4:$A$992,"&lt;&gt;",'HZ-ASD Tracker'!$K$4:$K$992,"FWD")</f>
        <v/>
      </c>
      <c r="C86" s="120">
        <f>COUNTIFS('HZ-ASD Tracker'!$A$4:$A$992,"&lt;&gt;",'HZ-ASD Tracker'!$K$4:$K$992,"FWD",'HZ-ASD Tracker'!$E$4:$E$992,"Closed")</f>
        <v/>
      </c>
      <c r="D86" s="121">
        <f>IFERROR(C86/B86,0)</f>
        <v/>
      </c>
      <c r="E86" s="122">
        <f>SUMIFS('HZ-ASD Tracker'!$N$4:$N$992,'HZ-ASD Tracker'!$K$4:$K$992,"FWD")</f>
        <v/>
      </c>
      <c r="F86" s="122">
        <f>SUMIFS('HZ-ASD Tracker'!$P$4:$P$992,'HZ-ASD Tracker'!$K$4:$K$992,"FWD")</f>
        <v/>
      </c>
      <c r="G86" s="152" t="n"/>
    </row>
    <row r="87" ht="15" customHeight="1">
      <c r="A87" s="119" t="inlineStr">
        <is>
          <t>AFT</t>
        </is>
      </c>
      <c r="B87" s="120">
        <f>COUNTIFS('HZ-ASD Tracker'!$A$4:$A$992,"&lt;&gt;",'HZ-ASD Tracker'!$K$4:$K$992,"AFT")</f>
        <v/>
      </c>
      <c r="C87" s="120">
        <f>COUNTIFS('HZ-ASD Tracker'!$A$4:$A$992,"&lt;&gt;",'HZ-ASD Tracker'!$K$4:$K$992,"AFT",'HZ-ASD Tracker'!$E$4:$E$992,"Closed")</f>
        <v/>
      </c>
      <c r="D87" s="121">
        <f>IFERROR(C87/B87,0)</f>
        <v/>
      </c>
      <c r="E87" s="122">
        <f>SUMIFS('HZ-ASD Tracker'!$N$4:$N$992,'HZ-ASD Tracker'!$K$4:$K$992,"AFT")</f>
        <v/>
      </c>
      <c r="F87" s="122">
        <f>SUMIFS('HZ-ASD Tracker'!$P$4:$P$992,'HZ-ASD Tracker'!$K$4:$K$992,"AFT")</f>
        <v/>
      </c>
      <c r="G87" s="152" t="n"/>
    </row>
    <row r="88" ht="15" customHeight="1">
      <c r="A88" s="119" t="inlineStr">
        <is>
          <t>JOINT</t>
        </is>
      </c>
      <c r="B88" s="120">
        <f>COUNTIFS('HZ-ASD Tracker'!$A$4:$A$992,"&lt;&gt;",'HZ-ASD Tracker'!$K$4:$K$992,"JOINT")</f>
        <v/>
      </c>
      <c r="C88" s="120">
        <f>COUNTIFS('HZ-ASD Tracker'!$A$4:$A$992,"&lt;&gt;",'HZ-ASD Tracker'!$K$4:$K$992,"JOINT",'HZ-ASD Tracker'!$E$4:$E$992,"Closed")</f>
        <v/>
      </c>
      <c r="D88" s="121">
        <f>IFERROR(C88/B88,0)</f>
        <v/>
      </c>
      <c r="E88" s="122">
        <f>SUMIFS('HZ-ASD Tracker'!$N$4:$N$992,'HZ-ASD Tracker'!$K$4:$K$992,"JOINT")</f>
        <v/>
      </c>
      <c r="F88" s="122">
        <f>SUMIFS('HZ-ASD Tracker'!$P$4:$P$992,'HZ-ASD Tracker'!$K$4:$K$992,"JOINT")</f>
        <v/>
      </c>
      <c r="G88" s="152" t="n"/>
    </row>
    <row r="89" ht="17.1" customHeight="1">
      <c r="A89" s="332" t="inlineStr">
        <is>
          <t xml:space="preserve">  🐌 STALLED CARDS — longest open, least booked  (refreshed each closing cycle)</t>
        </is>
      </c>
    </row>
    <row r="90" ht="12" customHeight="1">
      <c r="A90" s="151" t="inlineStr">
        <is>
          <t>WO / Task</t>
        </is>
      </c>
      <c r="B90" s="151" t="inlineStr">
        <is>
          <t>Description</t>
        </is>
      </c>
      <c r="C90" s="151" t="n"/>
      <c r="D90" s="151" t="n"/>
      <c r="E90" s="153" t="inlineStr">
        <is>
          <t>Dur h</t>
        </is>
      </c>
      <c r="F90" s="153" t="inlineStr">
        <is>
          <t>Booked</t>
        </is>
      </c>
      <c r="G90" s="153" t="inlineStr">
        <is>
          <t>Idle h</t>
        </is>
      </c>
    </row>
    <row r="91" ht="14.45" customHeight="1">
      <c r="A91" s="133" t="inlineStr">
        <is>
          <t>80944787</t>
        </is>
      </c>
      <c r="B91" s="232" t="inlineStr">
        <is>
          <t>PANEL 41C CEILING PANEL FOUND DAMAGE</t>
        </is>
      </c>
      <c r="C91" s="233" t="n"/>
      <c r="D91" s="234" t="n"/>
      <c r="E91" s="134" t="n">
        <v>6744</v>
      </c>
      <c r="F91" s="134" t="n">
        <v>16</v>
      </c>
      <c r="G91" s="136" t="n">
        <v>6727</v>
      </c>
    </row>
    <row r="92" ht="14.45" customHeight="1">
      <c r="A92" s="133" t="inlineStr">
        <is>
          <t>81002632</t>
        </is>
      </c>
      <c r="B92" s="232" t="inlineStr">
        <is>
          <t>AFT GALLEY COMP COVERT ATTACHMENT FITTING S302 S303 S304 L</t>
        </is>
      </c>
      <c r="C92" s="233" t="n"/>
      <c r="D92" s="234" t="n"/>
      <c r="E92" s="134" t="n">
        <v>2236</v>
      </c>
      <c r="F92" s="134" t="n">
        <v>15</v>
      </c>
      <c r="G92" s="136" t="n">
        <v>2221</v>
      </c>
    </row>
    <row r="93" ht="14.45" customHeight="1">
      <c r="A93" s="133" t="inlineStr">
        <is>
          <t>81172702</t>
        </is>
      </c>
      <c r="B93" s="232" t="inlineStr">
        <is>
          <t>IFE REMOTE CONTROL VHS REMOTE CONTROL FOR 1L IS BROKEN  BY</t>
        </is>
      </c>
      <c r="C93" s="233" t="n"/>
      <c r="D93" s="234" t="n"/>
      <c r="E93" s="134" t="n">
        <v>645</v>
      </c>
      <c r="F93" s="134" t="n">
        <v>4</v>
      </c>
      <c r="G93" s="136" t="n">
        <v>642</v>
      </c>
    </row>
    <row r="94" ht="14.45" customHeight="1">
      <c r="A94" s="133" t="inlineStr">
        <is>
          <t>94844868</t>
        </is>
      </c>
      <c r="B94" s="232" t="inlineStr">
        <is>
          <t>L2 PAX DOOR REF. TO W/O: 94844866 LH-AFT PASSENGER DOOR SE</t>
        </is>
      </c>
      <c r="C94" s="233" t="n"/>
      <c r="D94" s="234" t="n"/>
      <c r="E94" s="133" t="n">
        <v>348</v>
      </c>
      <c r="F94" s="133" t="n">
        <v>35</v>
      </c>
      <c r="G94" s="137" t="n">
        <v>313</v>
      </c>
    </row>
    <row r="95" ht="14.45" customHeight="1">
      <c r="A95" s="133" t="inlineStr">
        <is>
          <t>32982199</t>
        </is>
      </c>
      <c r="B95" s="232" t="inlineStr">
        <is>
          <t>L1 INBOARD AND OUTBOARD WALL-MOUNTED FLIGHT ATTENDANT SEAT</t>
        </is>
      </c>
      <c r="C95" s="233" t="n"/>
      <c r="D95" s="234" t="n"/>
      <c r="E95" s="133" t="n">
        <v>252</v>
      </c>
      <c r="F95" s="133" t="n">
        <v>2</v>
      </c>
      <c r="G95" s="137" t="n">
        <v>251</v>
      </c>
    </row>
    <row r="96" ht="14.45" customHeight="1">
      <c r="A96" s="133" t="inlineStr">
        <is>
          <t>32982200</t>
        </is>
      </c>
      <c r="B96" s="232" t="inlineStr">
        <is>
          <t>SWIVEL FLIGHT ATTENDANT SEAT REQUIRE REMOVAL FOR ACCESS</t>
        </is>
      </c>
      <c r="C96" s="233" t="n"/>
      <c r="D96" s="234" t="n"/>
      <c r="E96" s="133" t="n">
        <v>253</v>
      </c>
      <c r="F96" s="133" t="n">
        <v>2</v>
      </c>
      <c r="G96" s="137" t="n">
        <v>251</v>
      </c>
    </row>
    <row r="97" ht="14.45" customHeight="1">
      <c r="A97" s="133" t="inlineStr">
        <is>
          <t>32982203</t>
        </is>
      </c>
      <c r="B97" s="232" t="inlineStr">
        <is>
          <t>L1 INBOARD AND OUTBOARD WALL-MOUNTED FLIGHT ATTENDANT SEAT</t>
        </is>
      </c>
      <c r="C97" s="233" t="n"/>
      <c r="D97" s="234" t="n"/>
      <c r="E97" s="135" t="n">
        <v>253</v>
      </c>
      <c r="F97" s="135" t="n">
        <v>4</v>
      </c>
      <c r="G97" s="138" t="n">
        <v>249</v>
      </c>
    </row>
    <row r="98" ht="14.45" customHeight="1">
      <c r="A98" s="133" t="inlineStr">
        <is>
          <t>32982197</t>
        </is>
      </c>
      <c r="B98" s="232" t="inlineStr">
        <is>
          <t>CAB-CALLBACK R2 STOWAGE REMOVED FOR ACCESS</t>
        </is>
      </c>
      <c r="C98" s="233" t="n"/>
      <c r="D98" s="234" t="n"/>
      <c r="E98" s="135" t="n">
        <v>255</v>
      </c>
      <c r="F98" s="135" t="n">
        <v>10</v>
      </c>
      <c r="G98" s="138" t="n">
        <v>245</v>
      </c>
    </row>
    <row r="99">
      <c r="A99" s="154" t="n"/>
      <c r="B99" s="155" t="n"/>
      <c r="C99" s="155" t="n"/>
      <c r="D99" s="156" t="n"/>
      <c r="E99" s="157" t="n"/>
      <c r="F99" s="157" t="n"/>
      <c r="G99" s="157" t="n"/>
    </row>
    <row r="100">
      <c r="A100" s="154" t="n"/>
      <c r="B100" s="155" t="n"/>
      <c r="C100" s="155" t="n"/>
      <c r="D100" s="156" t="n"/>
      <c r="E100" s="157" t="n"/>
      <c r="F100" s="157" t="n"/>
      <c r="G100" s="15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6" stopIfTrue="1">
      <formula>ISNUMBER(SEARCH("✅",$A$2))</formula>
    </cfRule>
    <cfRule type="expression" priority="2" dxfId="45" stopIfTrue="1">
      <formula>ISNUMBER(SEARCH("⚠️",$A$2))</formula>
    </cfRule>
    <cfRule type="expression" priority="3" dxfId="44" stopIfTrue="1">
      <formula>ISNUMBER(SEARCH("🔴",$A$2))</formula>
    </cfRule>
    <cfRule type="expression" priority="4" dxfId="43" stopIfTrue="1">
      <formula>ISNUMBER(SEARCH("❌",$A$2))</formula>
    </cfRule>
  </conditionalFormatting>
  <conditionalFormatting sqref="A15:G17">
    <cfRule type="expression" priority="19" dxfId="42">
      <formula>AND(ISNUMBER($E15),$E15&gt;$D15+0.1)</formula>
    </cfRule>
  </conditionalFormatting>
  <conditionalFormatting sqref="D15:D17">
    <cfRule type="expression" priority="11" dxfId="38">
      <formula>AND(D15&lt;&gt;"",D15=1)</formula>
    </cfRule>
  </conditionalFormatting>
  <conditionalFormatting sqref="D21:D30">
    <cfRule type="expression" priority="12" dxfId="38">
      <formula>AND(D21&lt;&gt;"",D21=1)</formula>
    </cfRule>
  </conditionalFormatting>
  <conditionalFormatting sqref="D34:D42">
    <cfRule type="expression" priority="13" dxfId="38">
      <formula>AND(D34&lt;&gt;"",D34=1)</formula>
    </cfRule>
  </conditionalFormatting>
  <conditionalFormatting sqref="D58:D60">
    <cfRule type="expression" priority="14" dxfId="38">
      <formula>AND(D58&lt;&gt;"",D58=1)</formula>
    </cfRule>
  </conditionalFormatting>
  <conditionalFormatting sqref="F15:F17">
    <cfRule type="expression" priority="15" dxfId="35">
      <formula>AND(F15&lt;&gt;"",F15=0)</formula>
    </cfRule>
  </conditionalFormatting>
  <conditionalFormatting sqref="F21:F30">
    <cfRule type="expression" priority="16" dxfId="35">
      <formula>AND(F21&lt;&gt;"",F21=0)</formula>
    </cfRule>
  </conditionalFormatting>
  <conditionalFormatting sqref="F34:F42">
    <cfRule type="expression" priority="17" dxfId="35">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sheetPr>
  <dimension ref="A1:M20"/>
  <sheetViews>
    <sheetView showGridLines="0" workbookViewId="0">
      <pane ySplit="3" topLeftCell="A4" activePane="bottomLeft" state="frozen"/>
      <selection pane="bottomLeft" activeCell="D8" sqref="D8"/>
    </sheetView>
  </sheetViews>
  <sheetFormatPr baseColWidth="8" defaultRowHeight="15"/>
  <cols>
    <col width="11" customWidth="1" min="1" max="1"/>
    <col width="6" customWidth="1" min="2" max="2"/>
    <col width="42" customWidth="1" min="3" max="3"/>
    <col width="26" customWidth="1" min="4" max="4"/>
    <col width="16" customWidth="1" min="5" max="5"/>
    <col width="28" customWidth="1" min="6" max="6"/>
    <col width="6" customWidth="1" min="7" max="8"/>
    <col width="15" customWidth="1" min="9" max="9"/>
    <col width="13" customWidth="1" min="10" max="10"/>
    <col width="12" customWidth="1" min="11" max="12"/>
    <col width="11" customWidth="1" min="13" max="13"/>
  </cols>
  <sheetData>
    <row r="1" ht="26.1" customHeight="1">
      <c r="A1" s="263" t="inlineStr">
        <is>
          <t>AOG / MATERIAL — CABIN · HZ-ASD C2+6Y · 29-Jul-2026</t>
        </is>
      </c>
    </row>
    <row r="3" ht="24" customHeight="1">
      <c r="A3" s="196" t="inlineStr">
        <is>
          <t>WO</t>
        </is>
      </c>
      <c r="B3" s="196" t="inlineStr">
        <is>
          <t>Seq</t>
        </is>
      </c>
      <c r="C3" s="196" t="inlineStr">
        <is>
          <t>Card Description</t>
        </is>
      </c>
      <c r="D3" s="196" t="inlineStr">
        <is>
          <t>Task Ref</t>
        </is>
      </c>
      <c r="E3" s="196" t="inlineStr">
        <is>
          <t>Part No.</t>
        </is>
      </c>
      <c r="F3" s="196" t="inlineStr">
        <is>
          <t>Part Description</t>
        </is>
      </c>
      <c r="G3" s="196" t="inlineStr">
        <is>
          <t>Qty</t>
        </is>
      </c>
      <c r="H3" s="196" t="inlineStr">
        <is>
          <t>Unit</t>
        </is>
      </c>
      <c r="I3" s="196" t="inlineStr">
        <is>
          <t>Availability</t>
        </is>
      </c>
      <c r="J3" s="196" t="inlineStr">
        <is>
          <t>Transfer</t>
        </is>
      </c>
      <c r="K3" s="196" t="inlineStr">
        <is>
          <t>Due Date</t>
        </is>
      </c>
      <c r="L3" s="196" t="inlineStr">
        <is>
          <t>Delivery Date</t>
        </is>
      </c>
      <c r="M3" s="196" t="inlineStr">
        <is>
          <t>Location</t>
        </is>
      </c>
    </row>
    <row r="4" ht="35.25" customHeight="1">
      <c r="A4" s="158" t="inlineStr">
        <is>
          <t>32982200</t>
        </is>
      </c>
      <c r="B4" s="159" t="n">
        <v>972</v>
      </c>
      <c r="C4" s="160" t="inlineStr">
        <is>
          <t>SWIVEL FLIGHT ATTENDANT SEAT REQUIRE REMOVAL FOR ACCESS</t>
        </is>
      </c>
      <c r="D4" s="160" t="inlineStr">
        <is>
          <t>RII-CAB-SWIVEL SWIVEL FLIGHT ATTENDANT S</t>
        </is>
      </c>
      <c r="E4" s="158" t="inlineStr">
        <is>
          <t>3B9002-7P</t>
        </is>
      </c>
      <c r="F4" s="160" t="inlineStr">
        <is>
          <t>KIT - INSTALLATION</t>
        </is>
      </c>
      <c r="G4" s="159" t="inlineStr">
        <is>
          <t>1.00</t>
        </is>
      </c>
      <c r="H4" s="159" t="inlineStr">
        <is>
          <t>EA</t>
        </is>
      </c>
      <c r="I4" s="161" t="inlineStr">
        <is>
          <t>UNAVAILABLE</t>
        </is>
      </c>
      <c r="J4" s="159" t="inlineStr">
        <is>
          <t>—</t>
        </is>
      </c>
      <c r="K4" s="159" t="inlineStr">
        <is>
          <t>19.Jul.2026</t>
        </is>
      </c>
      <c r="L4" s="159" t="inlineStr">
        <is>
          <t>—</t>
        </is>
      </c>
      <c r="M4" s="158" t="inlineStr">
        <is>
          <t>—</t>
        </is>
      </c>
    </row>
    <row r="5" ht="35.25" customHeight="1">
      <c r="A5" s="158" t="inlineStr">
        <is>
          <t>32985332</t>
        </is>
      </c>
      <c r="B5" s="159" t="n">
        <v>1038</v>
      </c>
      <c r="C5" s="160" t="inlineStr">
        <is>
          <t>CAB - NO CALL BACK L1 DOOR INBOARD F/A SEAT BELT DIRTY</t>
        </is>
      </c>
      <c r="D5" s="160" t="inlineStr">
        <is>
          <t>CAB - NO CALL BACK L1 DOOR INBOARD F/A S</t>
        </is>
      </c>
      <c r="E5" s="158" t="inlineStr">
        <is>
          <t>4115-1-131-8110</t>
        </is>
      </c>
      <c r="F5" s="160" t="inlineStr">
        <is>
          <t>RESTRNT-SYSTEM</t>
        </is>
      </c>
      <c r="G5" s="159" t="inlineStr">
        <is>
          <t>2.00</t>
        </is>
      </c>
      <c r="H5" s="159" t="inlineStr">
        <is>
          <t>EA</t>
        </is>
      </c>
      <c r="I5" s="161" t="inlineStr">
        <is>
          <t>UNAVAILABLE</t>
        </is>
      </c>
      <c r="J5" s="159" t="inlineStr">
        <is>
          <t>—</t>
        </is>
      </c>
      <c r="K5" s="159" t="inlineStr">
        <is>
          <t>20.Jul.2026</t>
        </is>
      </c>
      <c r="L5" s="159" t="inlineStr">
        <is>
          <t>—</t>
        </is>
      </c>
      <c r="M5" s="158" t="inlineStr">
        <is>
          <t>—</t>
        </is>
      </c>
    </row>
    <row r="6" ht="35.25" customHeight="1">
      <c r="A6" s="158" t="inlineStr">
        <is>
          <t>32985343</t>
        </is>
      </c>
      <c r="B6" s="159" t="n">
        <v>1045</v>
      </c>
      <c r="C6" s="160" t="inlineStr">
        <is>
          <t>CAB - NO CALLBACK L1 DOOR OUTBOARD F/A SEAT BELT DIRTY</t>
        </is>
      </c>
      <c r="D6" s="160" t="inlineStr">
        <is>
          <t>CAB - NO CALLBACK L1 DOOR OUTBOARD F/A S</t>
        </is>
      </c>
      <c r="E6" s="158" t="inlineStr">
        <is>
          <t>4115-1-131-8110</t>
        </is>
      </c>
      <c r="F6" s="160" t="inlineStr">
        <is>
          <t>RESTRNT-SYSTEM</t>
        </is>
      </c>
      <c r="G6" s="159" t="inlineStr">
        <is>
          <t>2.00</t>
        </is>
      </c>
      <c r="H6" s="159" t="inlineStr">
        <is>
          <t>EA</t>
        </is>
      </c>
      <c r="I6" s="161" t="inlineStr">
        <is>
          <t>UNAVAILABLE</t>
        </is>
      </c>
      <c r="J6" s="159" t="inlineStr">
        <is>
          <t>—</t>
        </is>
      </c>
      <c r="K6" s="159" t="inlineStr">
        <is>
          <t>20.Jul.2026</t>
        </is>
      </c>
      <c r="L6" s="159" t="inlineStr">
        <is>
          <t>—</t>
        </is>
      </c>
      <c r="M6" s="158" t="inlineStr">
        <is>
          <t>—</t>
        </is>
      </c>
    </row>
    <row r="7" ht="35.25" customHeight="1">
      <c r="A7" s="158" t="inlineStr">
        <is>
          <t>32985832</t>
        </is>
      </c>
      <c r="B7" s="159" t="n">
        <v>1061</v>
      </c>
      <c r="C7" s="160" t="inlineStr">
        <is>
          <t>CAB -RII DURING OXYGEN GENERATOR CHECK FOUND GREEN LANYARD M</t>
        </is>
      </c>
      <c r="D7" s="160" t="inlineStr">
        <is>
          <t>CAB -RII DURING OXYGEN GENERATOR CHECK F</t>
        </is>
      </c>
      <c r="E7" s="158" t="inlineStr">
        <is>
          <t>E60614-00XXXX</t>
        </is>
      </c>
      <c r="F7" s="160" t="inlineStr">
        <is>
          <t>LANYARD, GENERATOR RELEASE (GREEN)</t>
        </is>
      </c>
      <c r="G7" s="159" t="inlineStr">
        <is>
          <t>72.00</t>
        </is>
      </c>
      <c r="H7" s="159" t="inlineStr">
        <is>
          <t>EA</t>
        </is>
      </c>
      <c r="I7" s="161" t="inlineStr">
        <is>
          <t>UNAVAILABLE</t>
        </is>
      </c>
      <c r="J7" s="159" t="inlineStr">
        <is>
          <t>—</t>
        </is>
      </c>
      <c r="K7" s="159" t="inlineStr">
        <is>
          <t>20.Jul.2026</t>
        </is>
      </c>
      <c r="L7" s="159" t="inlineStr">
        <is>
          <t>—</t>
        </is>
      </c>
      <c r="M7" s="158" t="inlineStr">
        <is>
          <t>—</t>
        </is>
      </c>
    </row>
    <row r="8" ht="35.25" customHeight="1">
      <c r="A8" s="158" t="inlineStr">
        <is>
          <t>32985832</t>
        </is>
      </c>
      <c r="B8" s="159" t="n">
        <v>1061</v>
      </c>
      <c r="C8" s="160" t="inlineStr">
        <is>
          <t>CAB -RII DURING OXYGEN GENERATOR CHECK FOUND GREEN LANYARD M</t>
        </is>
      </c>
      <c r="D8" s="160" t="inlineStr">
        <is>
          <t>CAB -RII DURING OXYGEN GENERATOR CHECK F</t>
        </is>
      </c>
      <c r="E8" s="158" t="inlineStr">
        <is>
          <t>E61445-00</t>
        </is>
      </c>
      <c r="F8" s="160" t="inlineStr">
        <is>
          <t>RPOE TENSIONING</t>
        </is>
      </c>
      <c r="G8" s="159" t="inlineStr">
        <is>
          <t>18.00</t>
        </is>
      </c>
      <c r="H8" s="159" t="inlineStr">
        <is>
          <t>EA</t>
        </is>
      </c>
      <c r="I8" s="161" t="inlineStr">
        <is>
          <t>UNAVAILABLE</t>
        </is>
      </c>
      <c r="J8" s="159" t="inlineStr">
        <is>
          <t>—</t>
        </is>
      </c>
      <c r="K8" s="159" t="inlineStr">
        <is>
          <t>20.Jul.2026</t>
        </is>
      </c>
      <c r="L8" s="159" t="inlineStr">
        <is>
          <t>—</t>
        </is>
      </c>
      <c r="M8" s="158" t="inlineStr">
        <is>
          <t>—</t>
        </is>
      </c>
    </row>
    <row r="9" ht="35.25" customHeight="1">
      <c r="A9" s="158" t="inlineStr">
        <is>
          <t>32985833</t>
        </is>
      </c>
      <c r="B9" s="159" t="n">
        <v>1062</v>
      </c>
      <c r="C9" s="160" t="inlineStr">
        <is>
          <t>CAB -RII DURING OXYGEN GENERATOR CHECK FOUND GREEN LANYARD M</t>
        </is>
      </c>
      <c r="D9" s="160" t="inlineStr">
        <is>
          <t>CAB -RII DURING OXYGEN GENERATOR CHECK F</t>
        </is>
      </c>
      <c r="E9" s="158" t="inlineStr">
        <is>
          <t>E60614-00XXXX</t>
        </is>
      </c>
      <c r="F9" s="160" t="inlineStr">
        <is>
          <t>LANYARD, GENERATOR RELEASE (GREEN)</t>
        </is>
      </c>
      <c r="G9" s="159" t="inlineStr">
        <is>
          <t>72.00</t>
        </is>
      </c>
      <c r="H9" s="159" t="inlineStr">
        <is>
          <t>EA</t>
        </is>
      </c>
      <c r="I9" s="161" t="inlineStr">
        <is>
          <t>UNAVAILABLE</t>
        </is>
      </c>
      <c r="J9" s="159" t="inlineStr">
        <is>
          <t>—</t>
        </is>
      </c>
      <c r="K9" s="159" t="inlineStr">
        <is>
          <t>20.Jul.2026</t>
        </is>
      </c>
      <c r="L9" s="159" t="inlineStr">
        <is>
          <t>—</t>
        </is>
      </c>
      <c r="M9" s="158" t="inlineStr">
        <is>
          <t>—</t>
        </is>
      </c>
    </row>
    <row r="10" ht="35.25" customHeight="1">
      <c r="A10" s="158" t="inlineStr">
        <is>
          <t>32988850</t>
        </is>
      </c>
      <c r="B10" s="159" t="n">
        <v>1121</v>
      </c>
      <c r="C10" s="160" t="inlineStr">
        <is>
          <t>CAB - NO CALLBACK - FWD GALLEY FWD GALLEY SEVERAL AIR FLAP S</t>
        </is>
      </c>
      <c r="D10" s="160" t="inlineStr">
        <is>
          <t>CAB - NO CALLBACK - FWD GALLEY FWD GALLE</t>
        </is>
      </c>
      <c r="E10" s="158" t="inlineStr">
        <is>
          <t>SP1395</t>
        </is>
      </c>
      <c r="F10" s="160" t="inlineStr">
        <is>
          <t>VALVE ASSY-FLAP</t>
        </is>
      </c>
      <c r="G10" s="159" t="inlineStr">
        <is>
          <t>6.00</t>
        </is>
      </c>
      <c r="H10" s="159" t="inlineStr">
        <is>
          <t>EA</t>
        </is>
      </c>
      <c r="I10" s="161" t="inlineStr">
        <is>
          <t>UNAVAILABLE</t>
        </is>
      </c>
      <c r="J10" s="159" t="inlineStr">
        <is>
          <t>—</t>
        </is>
      </c>
      <c r="K10" s="159" t="inlineStr">
        <is>
          <t>21.Jul.2026</t>
        </is>
      </c>
      <c r="L10" s="159" t="inlineStr">
        <is>
          <t>—</t>
        </is>
      </c>
      <c r="M10" s="158" t="inlineStr">
        <is>
          <t>—</t>
        </is>
      </c>
    </row>
    <row r="11" ht="35.25" customHeight="1">
      <c r="A11" s="158" t="inlineStr">
        <is>
          <t>33019264</t>
        </is>
      </c>
      <c r="B11" s="159" t="inlineStr">
        <is>
          <t>1321</t>
        </is>
      </c>
      <c r="C11" s="160" t="inlineStr">
        <is>
          <t xml:space="preserve">ESCAPE SLIDE -RII FWD PAX DOOR L/H ESCAPE SLIDE RQE REMOVED </t>
        </is>
      </c>
      <c r="D11" s="160" t="inlineStr">
        <is>
          <t>ESCAPE SLIDE -RII FWD PAX DOOR L/H ESCAP</t>
        </is>
      </c>
      <c r="E11" s="158" t="inlineStr">
        <is>
          <t>FE240-221-001</t>
        </is>
      </c>
      <c r="F11" s="160" t="inlineStr">
        <is>
          <t>DIAPHRAGM SEAL</t>
        </is>
      </c>
      <c r="G11" s="159" t="inlineStr">
        <is>
          <t>1.00</t>
        </is>
      </c>
      <c r="H11" s="159" t="inlineStr">
        <is>
          <t>EA</t>
        </is>
      </c>
      <c r="I11" s="161" t="inlineStr">
        <is>
          <t>UNAVAILABLE</t>
        </is>
      </c>
      <c r="J11" s="159" t="inlineStr">
        <is>
          <t>—</t>
        </is>
      </c>
      <c r="K11" s="159" t="inlineStr">
        <is>
          <t>27.Jul.2026</t>
        </is>
      </c>
      <c r="L11" s="159" t="inlineStr">
        <is>
          <t>—</t>
        </is>
      </c>
      <c r="M11" s="158" t="inlineStr">
        <is>
          <t>—</t>
        </is>
      </c>
    </row>
    <row r="12" ht="35.25" customHeight="1">
      <c r="A12" s="158" t="inlineStr">
        <is>
          <t>33019327</t>
        </is>
      </c>
      <c r="B12" s="159" t="inlineStr">
        <is>
          <t>1323</t>
        </is>
      </c>
      <c r="C12" s="160" t="inlineStr">
        <is>
          <t>ESCAPE SLIDE RII FWD PAX DOOR ESCAPE SLIDE R/H RQE REMOVAL F</t>
        </is>
      </c>
      <c r="D12" s="160" t="inlineStr">
        <is>
          <t>ESCAPE SLIDE RII FWD PAX DOOR ESCAPE SLI</t>
        </is>
      </c>
      <c r="E12" s="158" t="inlineStr">
        <is>
          <t>FE240-221-001</t>
        </is>
      </c>
      <c r="F12" s="160" t="inlineStr">
        <is>
          <t>DIAPHRAGM SEAL</t>
        </is>
      </c>
      <c r="G12" s="159" t="inlineStr">
        <is>
          <t>1.00</t>
        </is>
      </c>
      <c r="H12" s="159" t="inlineStr">
        <is>
          <t>EA</t>
        </is>
      </c>
      <c r="I12" s="161" t="inlineStr">
        <is>
          <t>UNAVAILABLE</t>
        </is>
      </c>
      <c r="J12" s="159" t="inlineStr">
        <is>
          <t>—</t>
        </is>
      </c>
      <c r="K12" s="159" t="inlineStr">
        <is>
          <t>27.Jul.2026</t>
        </is>
      </c>
      <c r="L12" s="159" t="inlineStr">
        <is>
          <t>—</t>
        </is>
      </c>
      <c r="M12" s="158" t="inlineStr">
        <is>
          <t>—</t>
        </is>
      </c>
    </row>
    <row r="13" ht="35.25" customHeight="1">
      <c r="A13" s="158" t="inlineStr">
        <is>
          <t>33019384</t>
        </is>
      </c>
      <c r="B13" s="159" t="inlineStr">
        <is>
          <t>1324</t>
        </is>
      </c>
      <c r="C13" s="160" t="inlineStr">
        <is>
          <t>ESCAPE SLIDE RII AFT PAX DOOR ESCAPE SLIDE R/H RQE REMOVED F</t>
        </is>
      </c>
      <c r="D13" s="160" t="inlineStr">
        <is>
          <t>ESCAPE SLIDE RII AFT PAX DOOR ESCAPE SLI</t>
        </is>
      </c>
      <c r="E13" s="158" t="inlineStr">
        <is>
          <t>FE240-221-001</t>
        </is>
      </c>
      <c r="F13" s="160" t="inlineStr">
        <is>
          <t>DIAPHRAGM SEAL</t>
        </is>
      </c>
      <c r="G13" s="159" t="inlineStr">
        <is>
          <t>1.00</t>
        </is>
      </c>
      <c r="H13" s="159" t="inlineStr">
        <is>
          <t>EA</t>
        </is>
      </c>
      <c r="I13" s="161" t="inlineStr">
        <is>
          <t>UNAVAILABLE</t>
        </is>
      </c>
      <c r="J13" s="159" t="inlineStr">
        <is>
          <t>—</t>
        </is>
      </c>
      <c r="K13" s="159" t="inlineStr">
        <is>
          <t>27.Jul.2026</t>
        </is>
      </c>
      <c r="L13" s="159" t="inlineStr">
        <is>
          <t>—</t>
        </is>
      </c>
      <c r="M13" s="158" t="inlineStr">
        <is>
          <t>—</t>
        </is>
      </c>
    </row>
    <row r="14" ht="35.25" customHeight="1">
      <c r="A14" s="158" t="inlineStr">
        <is>
          <t>33022670</t>
        </is>
      </c>
      <c r="B14" s="159" t="n">
        <v>1342</v>
      </c>
      <c r="C14" s="160" t="inlineStr">
        <is>
          <t>CAB - NO CALL BACK - GALLEY G2 GALLEY FOOT STEP LEVER MISSIN</t>
        </is>
      </c>
      <c r="D14" s="160" t="inlineStr">
        <is>
          <t>CAB - NO CALL BACK - GALLEY G2 GALLEY FO</t>
        </is>
      </c>
      <c r="E14" s="158" t="inlineStr">
        <is>
          <t>3212MU01SA41</t>
        </is>
      </c>
      <c r="F14" s="160" t="inlineStr">
        <is>
          <t>FOOTSTEP ASSY</t>
        </is>
      </c>
      <c r="G14" s="159" t="inlineStr">
        <is>
          <t>1.00</t>
        </is>
      </c>
      <c r="H14" s="159" t="inlineStr">
        <is>
          <t>EA</t>
        </is>
      </c>
      <c r="I14" s="161" t="inlineStr">
        <is>
          <t>UNAVAILABLE</t>
        </is>
      </c>
      <c r="J14" s="159" t="inlineStr">
        <is>
          <t>—</t>
        </is>
      </c>
      <c r="K14" s="159" t="inlineStr">
        <is>
          <t>28.Jul.2026</t>
        </is>
      </c>
      <c r="L14" s="159" t="inlineStr">
        <is>
          <t>—</t>
        </is>
      </c>
      <c r="M14" s="158" t="inlineStr">
        <is>
          <t>—</t>
        </is>
      </c>
    </row>
    <row r="15" ht="35.25" customHeight="1">
      <c r="A15" s="158" t="inlineStr">
        <is>
          <t>33022800</t>
        </is>
      </c>
      <c r="B15" s="159" t="n">
        <v>1343</v>
      </c>
      <c r="C15" s="160" t="inlineStr">
        <is>
          <t>CAB - NO CALLBACK - FWD FLOOR MAT J/C ENTRY WAY AND FWD GALL</t>
        </is>
      </c>
      <c r="D15" s="160" t="inlineStr">
        <is>
          <t>CAB - NO CALLBACK - FWD FLOOR MAT J/C EN</t>
        </is>
      </c>
      <c r="E15" s="158" t="inlineStr">
        <is>
          <t>918J8028</t>
        </is>
      </c>
      <c r="F15" s="160" t="inlineStr">
        <is>
          <t>SEALANT GERFLOR FLOOR MAT</t>
        </is>
      </c>
      <c r="G15" s="159" t="inlineStr">
        <is>
          <t>4.00</t>
        </is>
      </c>
      <c r="H15" s="159" t="inlineStr">
        <is>
          <t>EA</t>
        </is>
      </c>
      <c r="I15" s="161" t="inlineStr">
        <is>
          <t>UNAVAILABLE</t>
        </is>
      </c>
      <c r="J15" s="159" t="inlineStr">
        <is>
          <t>—</t>
        </is>
      </c>
      <c r="K15" s="159" t="inlineStr">
        <is>
          <t>28.Jul.2026</t>
        </is>
      </c>
      <c r="L15" s="159" t="inlineStr">
        <is>
          <t>—</t>
        </is>
      </c>
      <c r="M15" s="158" t="inlineStr">
        <is>
          <t>—</t>
        </is>
      </c>
    </row>
    <row r="16" ht="35.25" customHeight="1">
      <c r="A16" s="158" t="inlineStr">
        <is>
          <t>33025667</t>
        </is>
      </c>
      <c r="B16" s="159" t="n">
        <v>1360</v>
      </c>
      <c r="C16" s="160" t="inlineStr">
        <is>
          <t>CAB - RII - R2 DOOR PANEL ASSY-FLOOR L2 &amp; R2 DOOR PANEL FLOO</t>
        </is>
      </c>
      <c r="D16" s="160" t="inlineStr">
        <is>
          <t xml:space="preserve">CAB - RII - R2 DOOR PANEL ASSY-FLOOR L2 </t>
        </is>
      </c>
      <c r="E16" s="158" t="inlineStr">
        <is>
          <t>D5367680500300</t>
        </is>
      </c>
      <c r="F16" s="160" t="inlineStr">
        <is>
          <t>PANEL ASSY-FLOOR</t>
        </is>
      </c>
      <c r="G16" s="159" t="inlineStr">
        <is>
          <t>1.00</t>
        </is>
      </c>
      <c r="H16" s="159" t="inlineStr">
        <is>
          <t>EA</t>
        </is>
      </c>
      <c r="I16" s="161" t="inlineStr">
        <is>
          <t>UNAVAILABLE</t>
        </is>
      </c>
      <c r="J16" s="159" t="inlineStr">
        <is>
          <t>—</t>
        </is>
      </c>
      <c r="K16" s="159" t="inlineStr">
        <is>
          <t>28.Jul.2026</t>
        </is>
      </c>
      <c r="L16" s="159" t="inlineStr">
        <is>
          <t>—</t>
        </is>
      </c>
      <c r="M16" s="158" t="inlineStr">
        <is>
          <t>—</t>
        </is>
      </c>
    </row>
    <row r="17" ht="35.25" customHeight="1">
      <c r="A17" s="158" t="inlineStr">
        <is>
          <t>32985833</t>
        </is>
      </c>
      <c r="B17" s="159" t="n">
        <v>1062</v>
      </c>
      <c r="C17" s="160" t="inlineStr">
        <is>
          <t>CAB -RII DURING OXYGEN GENERATOR CHECK FOUND GREEN LANYARD M</t>
        </is>
      </c>
      <c r="D17" s="160" t="inlineStr">
        <is>
          <t>CAB -RII DURING OXYGEN GENERATOR CHECK F</t>
        </is>
      </c>
      <c r="E17" s="160" t="inlineStr">
        <is>
          <t>E61445-00</t>
        </is>
      </c>
      <c r="F17" s="160" t="inlineStr">
        <is>
          <t>RPOE TENSIONING</t>
        </is>
      </c>
      <c r="G17" s="159" t="inlineStr">
        <is>
          <t>15.00</t>
        </is>
      </c>
      <c r="H17" s="159" t="inlineStr">
        <is>
          <t>EA</t>
        </is>
      </c>
      <c r="I17" s="161" t="inlineStr">
        <is>
          <t>UNAVAILABLE</t>
        </is>
      </c>
      <c r="J17" s="160" t="inlineStr">
        <is>
          <t>—</t>
        </is>
      </c>
      <c r="K17" s="159" t="inlineStr">
        <is>
          <t>20.Jul.2026</t>
        </is>
      </c>
      <c r="L17" s="159" t="inlineStr">
        <is>
          <t>30.Jul.2026</t>
        </is>
      </c>
      <c r="M17" s="160" t="inlineStr">
        <is>
          <t>—</t>
        </is>
      </c>
    </row>
    <row r="18" ht="35.25" customHeight="1">
      <c r="A18" s="158" t="inlineStr">
        <is>
          <t>33023803</t>
        </is>
      </c>
      <c r="B18" s="159" t="n">
        <v>1356</v>
      </c>
      <c r="C18" s="160" t="inlineStr">
        <is>
          <t>CAB - RII - 3RD OCCUPANT FLIGHT DECK 3RD OCCUPANT LOWER SHRO</t>
        </is>
      </c>
      <c r="D18" s="160" t="inlineStr">
        <is>
          <t>CAB - RII - 3RD OCCUPANT FLIGHT DECK 3RD</t>
        </is>
      </c>
      <c r="E18" s="160" t="inlineStr">
        <is>
          <t>16800-01-00</t>
        </is>
      </c>
      <c r="F18" s="160" t="inlineStr">
        <is>
          <t>THIRD OCCUPANT SEAT ASSY</t>
        </is>
      </c>
      <c r="G18" s="159" t="inlineStr">
        <is>
          <t>1.00</t>
        </is>
      </c>
      <c r="H18" s="159" t="inlineStr">
        <is>
          <t>EA</t>
        </is>
      </c>
      <c r="I18" s="161" t="inlineStr">
        <is>
          <t>UNAVAILABLE</t>
        </is>
      </c>
      <c r="J18" s="160" t="inlineStr">
        <is>
          <t>TRANSFER_NEEDED</t>
        </is>
      </c>
      <c r="K18" s="159" t="inlineStr">
        <is>
          <t>28.Jul.2026</t>
        </is>
      </c>
      <c r="L18" s="159" t="inlineStr">
        <is>
          <t>—</t>
        </is>
      </c>
      <c r="M18" s="160" t="inlineStr">
        <is>
          <t>—</t>
        </is>
      </c>
    </row>
    <row r="20" hidden="1">
      <c r="A20" s="197" t="inlineStr">
        <is>
          <t>TOTAL: 30 part lines · 21 cabin cards · UNAVAILABLE: 25 · AVAILABLE: 5</t>
        </is>
      </c>
      <c r="B20" s="226" t="n"/>
      <c r="C20" s="226" t="n"/>
      <c r="D20" s="226" t="n"/>
      <c r="E20" s="226" t="n"/>
      <c r="F20" s="226" t="n"/>
      <c r="G20" s="226" t="n"/>
      <c r="H20" s="226" t="n"/>
      <c r="I20" s="226" t="n"/>
      <c r="J20" s="226" t="n"/>
      <c r="K20" s="226" t="n"/>
      <c r="L20" s="226" t="n"/>
      <c r="M20" s="226" t="n"/>
    </row>
  </sheetData>
  <autoFilter ref="A3:M18"/>
  <mergeCells count="1">
    <mergeCell ref="A1:M1"/>
  </mergeCells>
  <pageMargins left="0.75" right="0.75" top="1" bottom="1" header="0.5" footer="0.5"/>
  <pageSetup orientation="portrait"/>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33" t="n"/>
      <c r="D1" s="334" t="inlineStr">
        <is>
          <t>HZ-ASD  C2+6Y-CHK  +  WIFI  —  LAYOVER SCHEDULE</t>
        </is>
      </c>
      <c r="AQ1" s="335">
        <f>"O.O.S  "&amp;TEXT(DASHBOARD!$M$1-1,"DD-MMM")&amp;"      B.I.S  "&amp;TEXT(DASHBOARD!$M$2,"DD-MMM")&amp;"      GROUND TIME  "&amp;(DASHBOARD!$M$2-DASHBOARD!$M$1+1)&amp;" DAYS"</f>
        <v/>
      </c>
    </row>
    <row r="2" ht="19.9" customHeight="1"/>
    <row r="3" ht="13.15" customHeight="1">
      <c r="A3" s="336" t="inlineStr">
        <is>
          <t>TASK</t>
        </is>
      </c>
      <c r="B3" s="275" t="inlineStr">
        <is>
          <t>Start</t>
        </is>
      </c>
      <c r="C3" s="275" t="inlineStr">
        <is>
          <t>Finish</t>
        </is>
      </c>
      <c r="D3" s="337">
        <f>IF(DASHBOARD!$M$2-DASHBOARD!$M$1&gt;=0,"Day "&amp;1,"")</f>
        <v/>
      </c>
      <c r="G3" s="337">
        <f>IF(DASHBOARD!$M$2-DASHBOARD!$M$1&gt;=1,"Day "&amp;2,"")</f>
        <v/>
      </c>
      <c r="J3" s="337">
        <f>IF(DASHBOARD!$M$2-DASHBOARD!$M$1&gt;=2,"Day "&amp;3,"")</f>
        <v/>
      </c>
      <c r="M3" s="337">
        <f>IF(DASHBOARD!$M$2-DASHBOARD!$M$1&gt;=3,"Day "&amp;4,"")</f>
        <v/>
      </c>
      <c r="P3" s="337">
        <f>IF(DASHBOARD!$M$2-DASHBOARD!$M$1&gt;=4,"Day "&amp;5,"")</f>
        <v/>
      </c>
      <c r="S3" s="337">
        <f>IF(DASHBOARD!$M$2-DASHBOARD!$M$1&gt;=5,"Day "&amp;6,"")</f>
        <v/>
      </c>
      <c r="V3" s="337">
        <f>IF(DASHBOARD!$M$2-DASHBOARD!$M$1&gt;=6,"Day "&amp;7,"")</f>
        <v/>
      </c>
      <c r="Y3" s="337">
        <f>IF(DASHBOARD!$M$2-DASHBOARD!$M$1&gt;=7,"Day "&amp;8,"")</f>
        <v/>
      </c>
      <c r="AB3" s="337">
        <f>IF(DASHBOARD!$M$2-DASHBOARD!$M$1&gt;=8,"Day "&amp;9,"")</f>
        <v/>
      </c>
      <c r="AE3" s="337">
        <f>IF(DASHBOARD!$M$2-DASHBOARD!$M$1&gt;=9,"Day "&amp;10,"")</f>
        <v/>
      </c>
      <c r="AH3" s="337">
        <f>IF(DASHBOARD!$M$2-DASHBOARD!$M$1&gt;=10,"Day "&amp;11,"")</f>
        <v/>
      </c>
      <c r="AK3" s="337">
        <f>IF(DASHBOARD!$M$2-DASHBOARD!$M$1&gt;=11,"Day "&amp;12,"")</f>
        <v/>
      </c>
      <c r="AN3" s="337">
        <f>IF(DASHBOARD!$M$2-DASHBOARD!$M$1&gt;=12,"Day "&amp;13,"")</f>
        <v/>
      </c>
      <c r="AQ3" s="337">
        <f>IF(DASHBOARD!$M$2-DASHBOARD!$M$1&gt;=13,"Day "&amp;14,"")</f>
        <v/>
      </c>
      <c r="AT3" s="337">
        <f>IF(DASHBOARD!$M$2-DASHBOARD!$M$1&gt;=14,"Day "&amp;15,"")</f>
        <v/>
      </c>
      <c r="AW3" s="337">
        <f>IF(DASHBOARD!$M$2-DASHBOARD!$M$1&gt;=15,"Day "&amp;16,"")</f>
        <v/>
      </c>
      <c r="AZ3" s="337">
        <f>IF(DASHBOARD!$M$2-DASHBOARD!$M$1&gt;=16,"Day "&amp;17,"")</f>
        <v/>
      </c>
      <c r="BC3" s="337">
        <f>IF(DASHBOARD!$M$2-DASHBOARD!$M$1&gt;=17,"Day "&amp;18,"")</f>
        <v/>
      </c>
      <c r="BF3" s="337">
        <f>IF(DASHBOARD!$M$2-DASHBOARD!$M$1&gt;=18,"Day "&amp;19,"")</f>
        <v/>
      </c>
      <c r="BI3" s="337">
        <f>IF(DASHBOARD!$M$2-DASHBOARD!$M$1&gt;=19,"Day "&amp;20,"")</f>
        <v/>
      </c>
      <c r="BL3" s="337">
        <f>IF(DASHBOARD!$M$2-DASHBOARD!$M$1&gt;=20,"Day "&amp;21,"")</f>
        <v/>
      </c>
      <c r="BO3" s="337">
        <f>IF(DASHBOARD!$M$2-DASHBOARD!$M$1&gt;=21,"Day "&amp;22,"")</f>
        <v/>
      </c>
      <c r="BR3" s="337">
        <f>IF(DASHBOARD!$M$2-DASHBOARD!$M$1&gt;=22,"Day "&amp;23,"")</f>
        <v/>
      </c>
      <c r="BU3" s="337">
        <f>IF(DASHBOARD!$M$2-DASHBOARD!$M$1&gt;=23,"Day "&amp;24,"")</f>
        <v/>
      </c>
      <c r="BX3" s="337">
        <f>IF(DASHBOARD!$M$2-DASHBOARD!$M$1&gt;=24,"Day "&amp;25,"")</f>
        <v/>
      </c>
      <c r="CA3" s="337">
        <f>IF(DASHBOARD!$M$2-DASHBOARD!$M$1&gt;=25,"Day "&amp;26,"")</f>
        <v/>
      </c>
      <c r="CD3" s="337">
        <f>IF(DASHBOARD!$M$2-DASHBOARD!$M$1&gt;=26,"Day "&amp;27,"")</f>
        <v/>
      </c>
      <c r="CG3" s="337">
        <f>IF(DASHBOARD!$M$2-DASHBOARD!$M$1&gt;=27,"Day "&amp;28,"")</f>
        <v/>
      </c>
      <c r="CJ3" s="337">
        <f>IF(DASHBOARD!$M$2-DASHBOARD!$M$1&gt;=28,"Day "&amp;29,"")</f>
        <v/>
      </c>
      <c r="CM3" s="337">
        <f>IF(DASHBOARD!$M$2-DASHBOARD!$M$1&gt;=29,"Day "&amp;30,"")</f>
        <v/>
      </c>
      <c r="CP3" s="337">
        <f>IF(DASHBOARD!$M$2-DASHBOARD!$M$1&gt;=30,"Day "&amp;31,"")</f>
        <v/>
      </c>
      <c r="CS3" s="337">
        <f>IF(DASHBOARD!$M$2-DASHBOARD!$M$1&gt;=31,"Day "&amp;32,"")</f>
        <v/>
      </c>
      <c r="CV3" s="337">
        <f>IF(DASHBOARD!$M$2-DASHBOARD!$M$1&gt;=32,"Day "&amp;33,"")</f>
        <v/>
      </c>
      <c r="CY3" s="337">
        <f>IF(DASHBOARD!$M$2-DASHBOARD!$M$1&gt;=33,"Day "&amp;34,"")</f>
        <v/>
      </c>
      <c r="DB3" s="337">
        <f>IF(DASHBOARD!$M$2-DASHBOARD!$M$1&gt;=34,"Day "&amp;35,"")</f>
        <v/>
      </c>
      <c r="DE3" s="337">
        <f>IF(DASHBOARD!$M$2-DASHBOARD!$M$1&gt;=35,"Day "&amp;36,"")</f>
        <v/>
      </c>
      <c r="DH3" s="337">
        <f>IF(DASHBOARD!$M$2-DASHBOARD!$M$1&gt;=36,"Day "&amp;37,"")</f>
        <v/>
      </c>
      <c r="DK3" s="337">
        <f>IF(DASHBOARD!$M$2-DASHBOARD!$M$1&gt;=37,"Day "&amp;38,"")</f>
        <v/>
      </c>
      <c r="DN3" s="337">
        <f>IF(DASHBOARD!$M$2-DASHBOARD!$M$1&gt;=38,"Day "&amp;39,"")</f>
        <v/>
      </c>
      <c r="DQ3" s="337">
        <f>IF(DASHBOARD!$M$2-DASHBOARD!$M$1&gt;=39,"Day "&amp;40,"")</f>
        <v/>
      </c>
      <c r="DT3" s="337">
        <f>IF(DASHBOARD!$M$2-DASHBOARD!$M$1&gt;=40,"Day "&amp;41,"")</f>
        <v/>
      </c>
      <c r="DW3" s="337">
        <f>IF(DASHBOARD!$M$2-DASHBOARD!$M$1&gt;=41,"Day "&amp;42,"")</f>
        <v/>
      </c>
      <c r="DZ3" s="337">
        <f>IF(DASHBOARD!$M$2-DASHBOARD!$M$1&gt;=42,"Day "&amp;43,"")</f>
        <v/>
      </c>
      <c r="EC3" s="337">
        <f>IF(DASHBOARD!$M$2-DASHBOARD!$M$1&gt;=43,"Day "&amp;44,"")</f>
        <v/>
      </c>
      <c r="EF3" s="337">
        <f>IF(DASHBOARD!$M$2-DASHBOARD!$M$1&gt;=44,"Day "&amp;45,"")</f>
        <v/>
      </c>
      <c r="EI3" s="337">
        <f>IF(DASHBOARD!$M$2-DASHBOARD!$M$1&gt;=45,"Day "&amp;46,"")</f>
        <v/>
      </c>
      <c r="EL3" s="337">
        <f>IF(DASHBOARD!$M$2-DASHBOARD!$M$1&gt;=46,"Day "&amp;47,"")</f>
        <v/>
      </c>
      <c r="EO3" s="337">
        <f>IF(DASHBOARD!$M$2-DASHBOARD!$M$1&gt;=47,"Day "&amp;48,"")</f>
        <v/>
      </c>
      <c r="ER3" s="337">
        <f>IF(DASHBOARD!$M$2-DASHBOARD!$M$1&gt;=48,"Day "&amp;49,"")</f>
        <v/>
      </c>
      <c r="EU3" s="337">
        <f>IF(DASHBOARD!$M$2-DASHBOARD!$M$1&gt;=49,"Day "&amp;50,"")</f>
        <v/>
      </c>
    </row>
    <row r="4" ht="15" customHeight="1">
      <c r="B4" s="276" t="n"/>
      <c r="C4" s="276" t="n"/>
      <c r="D4" s="338">
        <f>IF(DASHBOARD!$M$2-DASHBOARD!$M$1&gt;=0,DASHBOARD!$M$1+0,"")</f>
        <v/>
      </c>
      <c r="G4" s="338">
        <f>IF(DASHBOARD!$M$2-DASHBOARD!$M$1&gt;=1,DASHBOARD!$M$1+1,"")</f>
        <v/>
      </c>
      <c r="J4" s="338">
        <f>IF(DASHBOARD!$M$2-DASHBOARD!$M$1&gt;=2,DASHBOARD!$M$1+2,"")</f>
        <v/>
      </c>
      <c r="M4" s="338">
        <f>IF(DASHBOARD!$M$2-DASHBOARD!$M$1&gt;=3,DASHBOARD!$M$1+3,"")</f>
        <v/>
      </c>
      <c r="P4" s="338">
        <f>IF(DASHBOARD!$M$2-DASHBOARD!$M$1&gt;=4,DASHBOARD!$M$1+4,"")</f>
        <v/>
      </c>
      <c r="S4" s="338">
        <f>IF(DASHBOARD!$M$2-DASHBOARD!$M$1&gt;=5,DASHBOARD!$M$1+5,"")</f>
        <v/>
      </c>
      <c r="V4" s="338">
        <f>IF(DASHBOARD!$M$2-DASHBOARD!$M$1&gt;=6,DASHBOARD!$M$1+6,"")</f>
        <v/>
      </c>
      <c r="Y4" s="338">
        <f>IF(DASHBOARD!$M$2-DASHBOARD!$M$1&gt;=7,DASHBOARD!$M$1+7,"")</f>
        <v/>
      </c>
      <c r="AB4" s="338">
        <f>IF(DASHBOARD!$M$2-DASHBOARD!$M$1&gt;=8,DASHBOARD!$M$1+8,"")</f>
        <v/>
      </c>
      <c r="AE4" s="338">
        <f>IF(DASHBOARD!$M$2-DASHBOARD!$M$1&gt;=9,DASHBOARD!$M$1+9,"")</f>
        <v/>
      </c>
      <c r="AH4" s="338">
        <f>IF(DASHBOARD!$M$2-DASHBOARD!$M$1&gt;=10,DASHBOARD!$M$1+10,"")</f>
        <v/>
      </c>
      <c r="AK4" s="338">
        <f>IF(DASHBOARD!$M$2-DASHBOARD!$M$1&gt;=11,DASHBOARD!$M$1+11,"")</f>
        <v/>
      </c>
      <c r="AN4" s="338">
        <f>IF(DASHBOARD!$M$2-DASHBOARD!$M$1&gt;=12,DASHBOARD!$M$1+12,"")</f>
        <v/>
      </c>
      <c r="AQ4" s="338">
        <f>IF(DASHBOARD!$M$2-DASHBOARD!$M$1&gt;=13,DASHBOARD!$M$1+13,"")</f>
        <v/>
      </c>
      <c r="AT4" s="338">
        <f>IF(DASHBOARD!$M$2-DASHBOARD!$M$1&gt;=14,DASHBOARD!$M$1+14,"")</f>
        <v/>
      </c>
      <c r="AW4" s="338">
        <f>IF(DASHBOARD!$M$2-DASHBOARD!$M$1&gt;=15,DASHBOARD!$M$1+15,"")</f>
        <v/>
      </c>
      <c r="AZ4" s="338">
        <f>IF(DASHBOARD!$M$2-DASHBOARD!$M$1&gt;=16,DASHBOARD!$M$1+16,"")</f>
        <v/>
      </c>
      <c r="BC4" s="338">
        <f>IF(DASHBOARD!$M$2-DASHBOARD!$M$1&gt;=17,DASHBOARD!$M$1+17,"")</f>
        <v/>
      </c>
      <c r="BF4" s="338">
        <f>IF(DASHBOARD!$M$2-DASHBOARD!$M$1&gt;=18,DASHBOARD!$M$1+18,"")</f>
        <v/>
      </c>
      <c r="BI4" s="338">
        <f>IF(DASHBOARD!$M$2-DASHBOARD!$M$1&gt;=19,DASHBOARD!$M$1+19,"")</f>
        <v/>
      </c>
      <c r="BL4" s="338">
        <f>IF(DASHBOARD!$M$2-DASHBOARD!$M$1&gt;=20,DASHBOARD!$M$1+20,"")</f>
        <v/>
      </c>
      <c r="BO4" s="338">
        <f>IF(DASHBOARD!$M$2-DASHBOARD!$M$1&gt;=21,DASHBOARD!$M$1+21,"")</f>
        <v/>
      </c>
      <c r="BR4" s="338">
        <f>IF(DASHBOARD!$M$2-DASHBOARD!$M$1&gt;=22,DASHBOARD!$M$1+22,"")</f>
        <v/>
      </c>
      <c r="BU4" s="338">
        <f>IF(DASHBOARD!$M$2-DASHBOARD!$M$1&gt;=23,DASHBOARD!$M$1+23,"")</f>
        <v/>
      </c>
      <c r="BX4" s="338">
        <f>IF(DASHBOARD!$M$2-DASHBOARD!$M$1&gt;=24,DASHBOARD!$M$1+24,"")</f>
        <v/>
      </c>
      <c r="CA4" s="338">
        <f>IF(DASHBOARD!$M$2-DASHBOARD!$M$1&gt;=25,DASHBOARD!$M$1+25,"")</f>
        <v/>
      </c>
      <c r="CD4" s="338">
        <f>IF(DASHBOARD!$M$2-DASHBOARD!$M$1&gt;=26,DASHBOARD!$M$1+26,"")</f>
        <v/>
      </c>
      <c r="CG4" s="338">
        <f>IF(DASHBOARD!$M$2-DASHBOARD!$M$1&gt;=27,DASHBOARD!$M$1+27,"")</f>
        <v/>
      </c>
      <c r="CJ4" s="338">
        <f>IF(DASHBOARD!$M$2-DASHBOARD!$M$1&gt;=28,DASHBOARD!$M$1+28,"")</f>
        <v/>
      </c>
      <c r="CM4" s="338">
        <f>IF(DASHBOARD!$M$2-DASHBOARD!$M$1&gt;=29,DASHBOARD!$M$1+29,"")</f>
        <v/>
      </c>
      <c r="CP4" s="338">
        <f>IF(DASHBOARD!$M$2-DASHBOARD!$M$1&gt;=30,DASHBOARD!$M$1+30,"")</f>
        <v/>
      </c>
      <c r="CS4" s="338">
        <f>IF(DASHBOARD!$M$2-DASHBOARD!$M$1&gt;=31,DASHBOARD!$M$1+31,"")</f>
        <v/>
      </c>
      <c r="CV4" s="338">
        <f>IF(DASHBOARD!$M$2-DASHBOARD!$M$1&gt;=32,DASHBOARD!$M$1+32,"")</f>
        <v/>
      </c>
      <c r="CY4" s="338">
        <f>IF(DASHBOARD!$M$2-DASHBOARD!$M$1&gt;=33,DASHBOARD!$M$1+33,"")</f>
        <v/>
      </c>
      <c r="DB4" s="338">
        <f>IF(DASHBOARD!$M$2-DASHBOARD!$M$1&gt;=34,DASHBOARD!$M$1+34,"")</f>
        <v/>
      </c>
      <c r="DE4" s="338">
        <f>IF(DASHBOARD!$M$2-DASHBOARD!$M$1&gt;=35,DASHBOARD!$M$1+35,"")</f>
        <v/>
      </c>
      <c r="DH4" s="338">
        <f>IF(DASHBOARD!$M$2-DASHBOARD!$M$1&gt;=36,DASHBOARD!$M$1+36,"")</f>
        <v/>
      </c>
      <c r="DK4" s="338">
        <f>IF(DASHBOARD!$M$2-DASHBOARD!$M$1&gt;=37,DASHBOARD!$M$1+37,"")</f>
        <v/>
      </c>
      <c r="DN4" s="338">
        <f>IF(DASHBOARD!$M$2-DASHBOARD!$M$1&gt;=38,DASHBOARD!$M$1+38,"")</f>
        <v/>
      </c>
      <c r="DQ4" s="338">
        <f>IF(DASHBOARD!$M$2-DASHBOARD!$M$1&gt;=39,DASHBOARD!$M$1+39,"")</f>
        <v/>
      </c>
      <c r="DT4" s="338">
        <f>IF(DASHBOARD!$M$2-DASHBOARD!$M$1&gt;=40,DASHBOARD!$M$1+40,"")</f>
        <v/>
      </c>
      <c r="DW4" s="338">
        <f>IF(DASHBOARD!$M$2-DASHBOARD!$M$1&gt;=41,DASHBOARD!$M$1+41,"")</f>
        <v/>
      </c>
      <c r="DZ4" s="338">
        <f>IF(DASHBOARD!$M$2-DASHBOARD!$M$1&gt;=42,DASHBOARD!$M$1+42,"")</f>
        <v/>
      </c>
      <c r="EC4" s="338">
        <f>IF(DASHBOARD!$M$2-DASHBOARD!$M$1&gt;=43,DASHBOARD!$M$1+43,"")</f>
        <v/>
      </c>
      <c r="EF4" s="338">
        <f>IF(DASHBOARD!$M$2-DASHBOARD!$M$1&gt;=44,DASHBOARD!$M$1+44,"")</f>
        <v/>
      </c>
      <c r="EI4" s="338">
        <f>IF(DASHBOARD!$M$2-DASHBOARD!$M$1&gt;=45,DASHBOARD!$M$1+45,"")</f>
        <v/>
      </c>
      <c r="EL4" s="338">
        <f>IF(DASHBOARD!$M$2-DASHBOARD!$M$1&gt;=46,DASHBOARD!$M$1+46,"")</f>
        <v/>
      </c>
      <c r="EO4" s="338">
        <f>IF(DASHBOARD!$M$2-DASHBOARD!$M$1&gt;=47,DASHBOARD!$M$1+47,"")</f>
        <v/>
      </c>
      <c r="ER4" s="338">
        <f>IF(DASHBOARD!$M$2-DASHBOARD!$M$1&gt;=48,DASHBOARD!$M$1+48,"")</f>
        <v/>
      </c>
      <c r="EU4" s="338">
        <f>IF(DASHBOARD!$M$2-DASHBOARD!$M$1&gt;=49,DASHBOARD!$M$1+49,"")</f>
        <v/>
      </c>
    </row>
    <row r="5" ht="10.9"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 customHeight="1">
      <c r="A6" s="266" t="inlineStr">
        <is>
          <t>PHASE 1  (Pre Hangar)</t>
        </is>
      </c>
      <c r="B6" s="267" t="n"/>
      <c r="C6" s="268" t="n"/>
      <c r="D6" s="357" t="n"/>
      <c r="E6" s="357" t="n"/>
      <c r="F6" s="358" t="n"/>
      <c r="G6" s="357" t="n"/>
      <c r="H6" s="357" t="n"/>
      <c r="I6" s="358" t="n"/>
      <c r="J6" s="357" t="n"/>
      <c r="K6" s="357" t="n"/>
      <c r="L6" s="358" t="n"/>
      <c r="M6" s="357" t="n"/>
      <c r="N6" s="357" t="n"/>
      <c r="O6" s="358" t="n"/>
      <c r="P6" s="357" t="n"/>
      <c r="Q6" s="357" t="n"/>
      <c r="R6" s="358" t="n"/>
      <c r="S6" s="357" t="n"/>
      <c r="T6" s="357" t="n"/>
      <c r="U6" s="358" t="n"/>
      <c r="V6" s="357" t="n"/>
      <c r="W6" s="357" t="n"/>
      <c r="X6" s="358" t="n"/>
      <c r="Y6" s="357" t="n"/>
      <c r="Z6" s="357" t="n"/>
      <c r="AA6" s="358" t="n"/>
      <c r="AB6" s="357" t="n"/>
      <c r="AC6" s="357" t="n"/>
      <c r="AD6" s="358" t="n"/>
      <c r="AE6" s="357" t="n"/>
      <c r="AF6" s="357" t="n"/>
      <c r="AG6" s="358" t="n"/>
      <c r="AH6" s="357" t="n"/>
      <c r="AI6" s="357" t="n"/>
      <c r="AJ6" s="358" t="n"/>
      <c r="AK6" s="357" t="n"/>
      <c r="AL6" s="357" t="n"/>
      <c r="AM6" s="358" t="n"/>
      <c r="AN6" s="357" t="n"/>
      <c r="AO6" s="357" t="n"/>
      <c r="AP6" s="358" t="n"/>
      <c r="AQ6" s="357" t="n"/>
      <c r="AR6" s="357" t="n"/>
      <c r="AS6" s="358" t="n"/>
      <c r="AT6" s="357" t="n"/>
      <c r="AU6" s="357" t="n"/>
      <c r="AV6" s="358" t="n"/>
      <c r="AW6" s="357" t="n"/>
      <c r="AX6" s="357" t="n"/>
      <c r="AY6" s="358" t="n"/>
      <c r="AZ6" s="357" t="n"/>
      <c r="BA6" s="357" t="n"/>
      <c r="BB6" s="358" t="n"/>
      <c r="BC6" s="357" t="n"/>
      <c r="BD6" s="357" t="n"/>
      <c r="BE6" s="358" t="n"/>
      <c r="BF6" s="357" t="n"/>
      <c r="BG6" s="357" t="n"/>
      <c r="BH6" s="358" t="n"/>
      <c r="BI6" s="357" t="n"/>
      <c r="BJ6" s="357" t="n"/>
      <c r="BK6" s="358" t="n"/>
      <c r="BL6" s="357" t="n"/>
      <c r="BM6" s="357" t="n"/>
      <c r="BN6" s="358" t="n"/>
      <c r="BO6" s="357" t="n"/>
      <c r="BP6" s="357" t="n"/>
      <c r="BQ6" s="358" t="n"/>
      <c r="BR6" s="357" t="n"/>
      <c r="BS6" s="357" t="n"/>
      <c r="BT6" s="358" t="n"/>
      <c r="BU6" s="357" t="n"/>
      <c r="BV6" s="357" t="n"/>
      <c r="BW6" s="358" t="n"/>
      <c r="BX6" s="357" t="n"/>
      <c r="BY6" s="357" t="n"/>
      <c r="BZ6" s="358" t="n"/>
      <c r="CA6" s="357" t="n"/>
      <c r="CB6" s="357" t="n"/>
      <c r="CC6" s="358" t="n"/>
      <c r="CD6" s="357" t="n"/>
      <c r="CE6" s="357" t="n"/>
      <c r="CF6" s="358" t="n"/>
      <c r="CG6" s="357" t="n"/>
      <c r="CH6" s="357" t="n"/>
      <c r="CI6" s="358" t="n"/>
      <c r="CJ6" s="357" t="n"/>
      <c r="CK6" s="357" t="n"/>
      <c r="CL6" s="358" t="n"/>
      <c r="CM6" s="357" t="n"/>
      <c r="CN6" s="357" t="n"/>
      <c r="CO6" s="358" t="n"/>
      <c r="CP6" s="357" t="n"/>
      <c r="CQ6" s="357" t="n"/>
      <c r="CR6" s="358" t="n"/>
      <c r="CS6" s="357" t="n"/>
      <c r="CT6" s="357" t="n"/>
      <c r="CU6" s="358" t="n"/>
      <c r="CV6" s="357" t="n"/>
      <c r="CW6" s="357" t="n"/>
      <c r="CX6" s="358" t="n"/>
      <c r="CY6" s="357" t="n"/>
      <c r="CZ6" s="357" t="n"/>
      <c r="DA6" s="358" t="n"/>
      <c r="DB6" s="357" t="n"/>
      <c r="DC6" s="357" t="n"/>
      <c r="DD6" s="358" t="n"/>
      <c r="DE6" s="357" t="n"/>
      <c r="DF6" s="357" t="n"/>
      <c r="DG6" s="358" t="n"/>
      <c r="DH6" s="357" t="n"/>
      <c r="DI6" s="357" t="n"/>
      <c r="DJ6" s="358" t="n"/>
      <c r="DK6" s="357" t="n"/>
      <c r="DL6" s="357" t="n"/>
      <c r="DM6" s="358" t="n"/>
      <c r="DN6" s="357" t="n"/>
      <c r="DO6" s="357" t="n"/>
      <c r="DP6" s="358" t="n"/>
      <c r="DQ6" s="357" t="n"/>
      <c r="DR6" s="357" t="n"/>
      <c r="DS6" s="358" t="n"/>
      <c r="DT6" s="357" t="n"/>
      <c r="DU6" s="357" t="n"/>
      <c r="DV6" s="358" t="n"/>
      <c r="DW6" s="357" t="n"/>
      <c r="DX6" s="357" t="n"/>
      <c r="DY6" s="358" t="n"/>
      <c r="DZ6" s="357" t="n"/>
      <c r="EA6" s="357" t="n"/>
      <c r="EB6" s="358" t="n"/>
      <c r="EC6" s="357" t="n"/>
      <c r="ED6" s="357" t="n"/>
      <c r="EE6" s="358" t="n"/>
      <c r="EF6" s="357" t="n"/>
      <c r="EG6" s="357" t="n"/>
      <c r="EH6" s="358" t="n"/>
      <c r="EI6" s="357" t="n"/>
      <c r="EJ6" s="357" t="n"/>
      <c r="EK6" s="358" t="n"/>
      <c r="EL6" s="357" t="n"/>
      <c r="EM6" s="357" t="n"/>
      <c r="EN6" s="358" t="n"/>
      <c r="EO6" s="357" t="n"/>
      <c r="EP6" s="357" t="n"/>
      <c r="EQ6" s="358" t="n"/>
      <c r="ER6" s="357" t="n"/>
      <c r="ES6" s="357" t="n"/>
      <c r="ET6" s="358" t="n"/>
      <c r="EU6" s="357" t="n"/>
      <c r="EV6" s="357" t="n"/>
      <c r="EW6" s="358" t="n"/>
    </row>
    <row r="7" ht="15.4" customHeight="1">
      <c r="A7" s="10" t="inlineStr">
        <is>
          <t>Aircraft Arrival</t>
        </is>
      </c>
      <c r="B7" s="269" t="n">
        <v>46221.95833333334</v>
      </c>
      <c r="C7" s="268" t="n"/>
      <c r="D7" s="357" t="n"/>
      <c r="E7" s="357" t="n"/>
      <c r="F7" s="358" t="n"/>
      <c r="G7" s="357" t="n"/>
      <c r="H7" s="357" t="n"/>
      <c r="I7" s="358" t="n"/>
      <c r="J7" s="357" t="n"/>
      <c r="K7" s="357" t="n"/>
      <c r="L7" s="358" t="n"/>
      <c r="M7" s="357" t="n"/>
      <c r="N7" s="357" t="n"/>
      <c r="O7" s="358" t="n"/>
      <c r="P7" s="357" t="n"/>
      <c r="Q7" s="357" t="n"/>
      <c r="R7" s="358" t="n"/>
      <c r="S7" s="357" t="n"/>
      <c r="T7" s="357" t="n"/>
      <c r="U7" s="358" t="n"/>
      <c r="V7" s="357" t="n"/>
      <c r="W7" s="357" t="n"/>
      <c r="X7" s="358" t="n"/>
      <c r="Y7" s="357" t="n"/>
      <c r="Z7" s="357" t="n"/>
      <c r="AA7" s="358" t="n"/>
      <c r="AB7" s="357" t="n"/>
      <c r="AC7" s="357" t="n"/>
      <c r="AD7" s="358" t="n"/>
      <c r="AE7" s="357" t="n"/>
      <c r="AF7" s="357" t="n"/>
      <c r="AG7" s="358" t="n"/>
      <c r="AH7" s="357" t="n"/>
      <c r="AI7" s="357" t="n"/>
      <c r="AJ7" s="358" t="n"/>
      <c r="AK7" s="357" t="n"/>
      <c r="AL7" s="357" t="n"/>
      <c r="AM7" s="358" t="n"/>
      <c r="AN7" s="357" t="n"/>
      <c r="AO7" s="357" t="n"/>
      <c r="AP7" s="358" t="n"/>
      <c r="AQ7" s="357" t="n"/>
      <c r="AR7" s="357" t="n"/>
      <c r="AS7" s="358" t="n"/>
      <c r="AT7" s="357" t="n"/>
      <c r="AU7" s="357" t="n"/>
      <c r="AV7" s="358" t="n"/>
      <c r="AW7" s="357" t="n"/>
      <c r="AX7" s="357" t="n"/>
      <c r="AY7" s="358" t="n"/>
      <c r="AZ7" s="357" t="n"/>
      <c r="BA7" s="357" t="n"/>
      <c r="BB7" s="358" t="n"/>
      <c r="BC7" s="357" t="n"/>
      <c r="BD7" s="357" t="n"/>
      <c r="BE7" s="358" t="n"/>
      <c r="BF7" s="357" t="n"/>
      <c r="BG7" s="357" t="n"/>
      <c r="BH7" s="358" t="n"/>
      <c r="BI7" s="357" t="n"/>
      <c r="BJ7" s="357" t="n"/>
      <c r="BK7" s="358" t="n"/>
      <c r="BL7" s="357" t="n"/>
      <c r="BM7" s="357" t="n"/>
      <c r="BN7" s="358" t="n"/>
      <c r="BO7" s="357" t="n"/>
      <c r="BP7" s="357" t="n"/>
      <c r="BQ7" s="358" t="n"/>
      <c r="BR7" s="357" t="n"/>
      <c r="BS7" s="357" t="n"/>
      <c r="BT7" s="358" t="n"/>
      <c r="BU7" s="357" t="n"/>
      <c r="BV7" s="357" t="n"/>
      <c r="BW7" s="358" t="n"/>
      <c r="BX7" s="357" t="n"/>
      <c r="BY7" s="357" t="n"/>
      <c r="BZ7" s="358" t="n"/>
      <c r="CA7" s="357" t="n"/>
      <c r="CB7" s="357" t="n"/>
      <c r="CC7" s="358" t="n"/>
      <c r="CD7" s="357" t="n"/>
      <c r="CE7" s="357" t="n"/>
      <c r="CF7" s="358" t="n"/>
      <c r="CG7" s="357" t="n"/>
      <c r="CH7" s="357" t="n"/>
      <c r="CI7" s="358" t="n"/>
      <c r="CJ7" s="357" t="n"/>
      <c r="CK7" s="357" t="n"/>
      <c r="CL7" s="358" t="n"/>
      <c r="CM7" s="357" t="n"/>
      <c r="CN7" s="357" t="n"/>
      <c r="CO7" s="358" t="n"/>
      <c r="CP7" s="357" t="n"/>
      <c r="CQ7" s="357" t="n"/>
      <c r="CR7" s="358" t="n"/>
      <c r="CS7" s="357" t="n"/>
      <c r="CT7" s="357" t="n"/>
      <c r="CU7" s="358" t="n"/>
      <c r="CV7" s="357" t="n"/>
      <c r="CW7" s="357" t="n"/>
      <c r="CX7" s="358" t="n"/>
      <c r="CY7" s="357" t="n"/>
      <c r="CZ7" s="357" t="n"/>
      <c r="DA7" s="358" t="n"/>
      <c r="DB7" s="357" t="n"/>
      <c r="DC7" s="357" t="n"/>
      <c r="DD7" s="358" t="n"/>
      <c r="DE7" s="357" t="n"/>
      <c r="DF7" s="357" t="n"/>
      <c r="DG7" s="358" t="n"/>
      <c r="DH7" s="357" t="n"/>
      <c r="DI7" s="357" t="n"/>
      <c r="DJ7" s="358" t="n"/>
      <c r="DK7" s="357" t="n"/>
      <c r="DL7" s="357" t="n"/>
      <c r="DM7" s="358" t="n"/>
      <c r="DN7" s="357" t="n"/>
      <c r="DO7" s="357" t="n"/>
      <c r="DP7" s="358" t="n"/>
      <c r="DQ7" s="357" t="n"/>
      <c r="DR7" s="357" t="n"/>
      <c r="DS7" s="358" t="n"/>
      <c r="DT7" s="357" t="n"/>
      <c r="DU7" s="357" t="n"/>
      <c r="DV7" s="358" t="n"/>
      <c r="DW7" s="357" t="n"/>
      <c r="DX7" s="357" t="n"/>
      <c r="DY7" s="358" t="n"/>
      <c r="DZ7" s="357" t="n"/>
      <c r="EA7" s="357" t="n"/>
      <c r="EB7" s="358" t="n"/>
      <c r="EC7" s="357" t="n"/>
      <c r="ED7" s="357" t="n"/>
      <c r="EE7" s="358" t="n"/>
      <c r="EF7" s="357" t="n"/>
      <c r="EG7" s="357" t="n"/>
      <c r="EH7" s="358" t="n"/>
      <c r="EI7" s="357" t="n"/>
      <c r="EJ7" s="357" t="n"/>
      <c r="EK7" s="358" t="n"/>
      <c r="EL7" s="357" t="n"/>
      <c r="EM7" s="357" t="n"/>
      <c r="EN7" s="358" t="n"/>
      <c r="EO7" s="357" t="n"/>
      <c r="EP7" s="357" t="n"/>
      <c r="EQ7" s="358" t="n"/>
      <c r="ER7" s="357" t="n"/>
      <c r="ES7" s="357" t="n"/>
      <c r="ET7" s="358" t="n"/>
      <c r="EU7" s="357" t="n"/>
      <c r="EV7" s="357" t="n"/>
      <c r="EW7" s="358" t="n"/>
    </row>
    <row r="8" ht="15.4" customHeight="1">
      <c r="A8" s="10" t="inlineStr">
        <is>
          <t>Heavy Wash</t>
        </is>
      </c>
      <c r="B8" s="269" t="n">
        <v>46222.25</v>
      </c>
      <c r="C8" s="268" t="n"/>
      <c r="D8" s="357" t="n"/>
      <c r="E8" s="357" t="n"/>
      <c r="F8" s="358" t="n"/>
      <c r="G8" s="357" t="n"/>
      <c r="H8" s="357" t="n"/>
      <c r="I8" s="358" t="n"/>
      <c r="J8" s="357" t="n"/>
      <c r="K8" s="357" t="n"/>
      <c r="L8" s="358" t="n"/>
      <c r="M8" s="357" t="n"/>
      <c r="N8" s="357" t="n"/>
      <c r="O8" s="358" t="n"/>
      <c r="P8" s="357" t="n"/>
      <c r="Q8" s="357" t="n"/>
      <c r="R8" s="358" t="n"/>
      <c r="S8" s="357" t="n"/>
      <c r="T8" s="357" t="n"/>
      <c r="U8" s="358" t="n"/>
      <c r="V8" s="357" t="n"/>
      <c r="W8" s="357" t="n"/>
      <c r="X8" s="358" t="n"/>
      <c r="Y8" s="357" t="n"/>
      <c r="Z8" s="357" t="n"/>
      <c r="AA8" s="358" t="n"/>
      <c r="AB8" s="357" t="n"/>
      <c r="AC8" s="357" t="n"/>
      <c r="AD8" s="358" t="n"/>
      <c r="AE8" s="357" t="n"/>
      <c r="AF8" s="357" t="n"/>
      <c r="AG8" s="358" t="n"/>
      <c r="AH8" s="357" t="n"/>
      <c r="AI8" s="357" t="n"/>
      <c r="AJ8" s="358" t="n"/>
      <c r="AK8" s="357" t="n"/>
      <c r="AL8" s="357" t="n"/>
      <c r="AM8" s="358" t="n"/>
      <c r="AN8" s="357" t="n"/>
      <c r="AO8" s="357" t="n"/>
      <c r="AP8" s="358" t="n"/>
      <c r="AQ8" s="357" t="n"/>
      <c r="AR8" s="357" t="n"/>
      <c r="AS8" s="358" t="n"/>
      <c r="AT8" s="357" t="n"/>
      <c r="AU8" s="357" t="n"/>
      <c r="AV8" s="358" t="n"/>
      <c r="AW8" s="357" t="n"/>
      <c r="AX8" s="357" t="n"/>
      <c r="AY8" s="358" t="n"/>
      <c r="AZ8" s="357" t="n"/>
      <c r="BA8" s="357" t="n"/>
      <c r="BB8" s="358" t="n"/>
      <c r="BC8" s="357" t="n"/>
      <c r="BD8" s="357" t="n"/>
      <c r="BE8" s="358" t="n"/>
      <c r="BF8" s="357" t="n"/>
      <c r="BG8" s="357" t="n"/>
      <c r="BH8" s="358" t="n"/>
      <c r="BI8" s="357" t="n"/>
      <c r="BJ8" s="357" t="n"/>
      <c r="BK8" s="358" t="n"/>
      <c r="BL8" s="357" t="n"/>
      <c r="BM8" s="357" t="n"/>
      <c r="BN8" s="358" t="n"/>
      <c r="BO8" s="357" t="n"/>
      <c r="BP8" s="357" t="n"/>
      <c r="BQ8" s="358" t="n"/>
      <c r="BR8" s="357" t="n"/>
      <c r="BS8" s="357" t="n"/>
      <c r="BT8" s="358" t="n"/>
      <c r="BU8" s="357" t="n"/>
      <c r="BV8" s="357" t="n"/>
      <c r="BW8" s="358" t="n"/>
      <c r="BX8" s="357" t="n"/>
      <c r="BY8" s="357" t="n"/>
      <c r="BZ8" s="358" t="n"/>
      <c r="CA8" s="357" t="n"/>
      <c r="CB8" s="357" t="n"/>
      <c r="CC8" s="358" t="n"/>
      <c r="CD8" s="357" t="n"/>
      <c r="CE8" s="357" t="n"/>
      <c r="CF8" s="358" t="n"/>
      <c r="CG8" s="357" t="n"/>
      <c r="CH8" s="357" t="n"/>
      <c r="CI8" s="358" t="n"/>
      <c r="CJ8" s="357" t="n"/>
      <c r="CK8" s="357" t="n"/>
      <c r="CL8" s="358" t="n"/>
      <c r="CM8" s="357" t="n"/>
      <c r="CN8" s="357" t="n"/>
      <c r="CO8" s="358" t="n"/>
      <c r="CP8" s="357" t="n"/>
      <c r="CQ8" s="357" t="n"/>
      <c r="CR8" s="358" t="n"/>
      <c r="CS8" s="357" t="n"/>
      <c r="CT8" s="357" t="n"/>
      <c r="CU8" s="358" t="n"/>
      <c r="CV8" s="357" t="n"/>
      <c r="CW8" s="357" t="n"/>
      <c r="CX8" s="358" t="n"/>
      <c r="CY8" s="357" t="n"/>
      <c r="CZ8" s="357" t="n"/>
      <c r="DA8" s="358" t="n"/>
      <c r="DB8" s="357" t="n"/>
      <c r="DC8" s="357" t="n"/>
      <c r="DD8" s="358" t="n"/>
      <c r="DE8" s="357" t="n"/>
      <c r="DF8" s="357" t="n"/>
      <c r="DG8" s="358" t="n"/>
      <c r="DH8" s="357" t="n"/>
      <c r="DI8" s="357" t="n"/>
      <c r="DJ8" s="358" t="n"/>
      <c r="DK8" s="357" t="n"/>
      <c r="DL8" s="357" t="n"/>
      <c r="DM8" s="358" t="n"/>
      <c r="DN8" s="357" t="n"/>
      <c r="DO8" s="357" t="n"/>
      <c r="DP8" s="358" t="n"/>
      <c r="DQ8" s="357" t="n"/>
      <c r="DR8" s="357" t="n"/>
      <c r="DS8" s="358" t="n"/>
      <c r="DT8" s="357" t="n"/>
      <c r="DU8" s="357" t="n"/>
      <c r="DV8" s="358" t="n"/>
      <c r="DW8" s="357" t="n"/>
      <c r="DX8" s="357" t="n"/>
      <c r="DY8" s="358" t="n"/>
      <c r="DZ8" s="357" t="n"/>
      <c r="EA8" s="357" t="n"/>
      <c r="EB8" s="358" t="n"/>
      <c r="EC8" s="357" t="n"/>
      <c r="ED8" s="357" t="n"/>
      <c r="EE8" s="358" t="n"/>
      <c r="EF8" s="357" t="n"/>
      <c r="EG8" s="357" t="n"/>
      <c r="EH8" s="358" t="n"/>
      <c r="EI8" s="357" t="n"/>
      <c r="EJ8" s="357" t="n"/>
      <c r="EK8" s="358" t="n"/>
      <c r="EL8" s="357" t="n"/>
      <c r="EM8" s="357" t="n"/>
      <c r="EN8" s="358" t="n"/>
      <c r="EO8" s="357" t="n"/>
      <c r="EP8" s="357" t="n"/>
      <c r="EQ8" s="358" t="n"/>
      <c r="ER8" s="357" t="n"/>
      <c r="ES8" s="357" t="n"/>
      <c r="ET8" s="358" t="n"/>
      <c r="EU8" s="357" t="n"/>
      <c r="EV8" s="357" t="n"/>
      <c r="EW8" s="358" t="n"/>
    </row>
    <row r="9" hidden="1" ht="15.4" customHeight="1">
      <c r="A9" s="10" t="inlineStr">
        <is>
          <t>Both ENG Preservation</t>
        </is>
      </c>
      <c r="B9" s="269" t="n">
        <v>46221.58333333334</v>
      </c>
      <c r="C9" s="269" t="n"/>
      <c r="D9" s="357" t="n"/>
      <c r="E9" s="357" t="n"/>
      <c r="F9" s="358" t="n"/>
      <c r="G9" s="357" t="n"/>
      <c r="H9" s="357" t="n"/>
      <c r="I9" s="358" t="n"/>
      <c r="J9" s="357" t="n"/>
      <c r="K9" s="357" t="n"/>
      <c r="L9" s="358" t="n"/>
      <c r="M9" s="357" t="n"/>
      <c r="N9" s="357" t="n"/>
      <c r="O9" s="358" t="n"/>
      <c r="P9" s="357" t="n"/>
      <c r="Q9" s="357" t="n"/>
      <c r="R9" s="358" t="n"/>
      <c r="S9" s="357" t="n"/>
      <c r="T9" s="357" t="n"/>
      <c r="U9" s="358" t="n"/>
      <c r="V9" s="357" t="n"/>
      <c r="W9" s="357" t="n"/>
      <c r="X9" s="358" t="n"/>
      <c r="Y9" s="357" t="n"/>
      <c r="Z9" s="357" t="n"/>
      <c r="AA9" s="358" t="n"/>
      <c r="AB9" s="357" t="n"/>
      <c r="AC9" s="357" t="n"/>
      <c r="AD9" s="358" t="n"/>
      <c r="AE9" s="357" t="n"/>
      <c r="AF9" s="357" t="n"/>
      <c r="AG9" s="358" t="n"/>
      <c r="AH9" s="357" t="n"/>
      <c r="AI9" s="357" t="n"/>
      <c r="AJ9" s="358" t="n"/>
      <c r="AK9" s="357" t="n"/>
      <c r="AL9" s="357" t="n"/>
      <c r="AM9" s="358" t="n"/>
      <c r="AN9" s="357" t="n"/>
      <c r="AO9" s="357" t="n"/>
      <c r="AP9" s="358" t="n"/>
      <c r="AQ9" s="357" t="n"/>
      <c r="AR9" s="357" t="n"/>
      <c r="AS9" s="358" t="n"/>
      <c r="AT9" s="357" t="n"/>
      <c r="AU9" s="357" t="n"/>
      <c r="AV9" s="358" t="n"/>
      <c r="AW9" s="357" t="n"/>
      <c r="AX9" s="357" t="n"/>
      <c r="AY9" s="358" t="n"/>
      <c r="AZ9" s="357" t="n"/>
      <c r="BA9" s="357" t="n"/>
      <c r="BB9" s="358" t="n"/>
      <c r="BC9" s="357" t="n"/>
      <c r="BD9" s="357" t="n"/>
      <c r="BE9" s="358" t="n"/>
      <c r="BF9" s="357" t="n"/>
      <c r="BG9" s="357" t="n"/>
      <c r="BH9" s="358" t="n"/>
      <c r="BI9" s="357" t="n"/>
      <c r="BJ9" s="357" t="n"/>
      <c r="BK9" s="358" t="n"/>
      <c r="BL9" s="357" t="n"/>
      <c r="BM9" s="357" t="n"/>
      <c r="BN9" s="358" t="n"/>
      <c r="BO9" s="357" t="n"/>
      <c r="BP9" s="357" t="n"/>
      <c r="BQ9" s="358" t="n"/>
      <c r="BR9" s="357" t="n"/>
      <c r="BS9" s="357" t="n"/>
      <c r="BT9" s="358" t="n"/>
      <c r="BU9" s="357" t="n"/>
      <c r="BV9" s="357" t="n"/>
      <c r="BW9" s="358" t="n"/>
      <c r="BX9" s="357" t="n"/>
      <c r="BY9" s="357" t="n"/>
      <c r="BZ9" s="358" t="n"/>
      <c r="CA9" s="357" t="n"/>
      <c r="CB9" s="357" t="n"/>
      <c r="CC9" s="358" t="n"/>
      <c r="CD9" s="357" t="n"/>
      <c r="CE9" s="357" t="n"/>
      <c r="CF9" s="358" t="n"/>
      <c r="CG9" s="357" t="n"/>
      <c r="CH9" s="357" t="n"/>
      <c r="CI9" s="358" t="n"/>
      <c r="CJ9" s="357" t="n"/>
      <c r="CK9" s="357" t="n"/>
      <c r="CL9" s="358" t="n"/>
      <c r="CM9" s="357" t="n"/>
      <c r="CN9" s="357" t="n"/>
      <c r="CO9" s="358" t="n"/>
      <c r="CP9" s="357" t="n"/>
      <c r="CQ9" s="357" t="n"/>
      <c r="CR9" s="358" t="n"/>
      <c r="CS9" s="357" t="n"/>
      <c r="CT9" s="357" t="n"/>
      <c r="CU9" s="358" t="n"/>
      <c r="CV9" s="357" t="n"/>
      <c r="CW9" s="357" t="n"/>
      <c r="CX9" s="358" t="n"/>
      <c r="CY9" s="357" t="n"/>
      <c r="CZ9" s="357" t="n"/>
      <c r="DA9" s="358" t="n"/>
      <c r="DB9" s="357" t="n"/>
      <c r="DC9" s="357" t="n"/>
      <c r="DD9" s="358" t="n"/>
      <c r="DE9" s="357" t="n"/>
      <c r="DF9" s="357" t="n"/>
      <c r="DG9" s="358" t="n"/>
      <c r="DH9" s="357" t="n"/>
      <c r="DI9" s="357" t="n"/>
      <c r="DJ9" s="358" t="n"/>
      <c r="DK9" s="357" t="n"/>
      <c r="DL9" s="357" t="n"/>
      <c r="DM9" s="358" t="n"/>
      <c r="DN9" s="357" t="n"/>
      <c r="DO9" s="357" t="n"/>
      <c r="DP9" s="358" t="n"/>
      <c r="DQ9" s="357" t="n"/>
      <c r="DR9" s="357" t="n"/>
      <c r="DS9" s="358" t="n"/>
      <c r="DT9" s="357" t="n"/>
      <c r="DU9" s="357" t="n"/>
      <c r="DV9" s="358" t="n"/>
      <c r="DW9" s="357" t="n"/>
      <c r="DX9" s="357" t="n"/>
      <c r="DY9" s="358" t="n"/>
      <c r="DZ9" s="357" t="n"/>
      <c r="EA9" s="357" t="n"/>
      <c r="EB9" s="358" t="n"/>
      <c r="EC9" s="357" t="n"/>
      <c r="ED9" s="357" t="n"/>
      <c r="EE9" s="358" t="n"/>
      <c r="EF9" s="357" t="n"/>
      <c r="EG9" s="357" t="n"/>
      <c r="EH9" s="358" t="n"/>
      <c r="EI9" s="357" t="n"/>
      <c r="EJ9" s="357" t="n"/>
      <c r="EK9" s="358" t="n"/>
      <c r="EL9" s="357" t="n"/>
      <c r="EM9" s="357" t="n"/>
      <c r="EN9" s="358" t="n"/>
      <c r="EO9" s="357" t="n"/>
      <c r="EP9" s="357" t="n"/>
      <c r="EQ9" s="358" t="n"/>
      <c r="ER9" s="357" t="n"/>
      <c r="ES9" s="357" t="n"/>
      <c r="ET9" s="358" t="n"/>
      <c r="EU9" s="357" t="n"/>
      <c r="EV9" s="357" t="n"/>
      <c r="EW9" s="358" t="n"/>
    </row>
    <row r="10" ht="15.4" customHeight="1">
      <c r="A10" s="10" t="inlineStr">
        <is>
          <t>Pre HGR</t>
        </is>
      </c>
      <c r="B10" s="269" t="n">
        <v>46222.58333333334</v>
      </c>
      <c r="C10" s="269" t="n">
        <v>46224</v>
      </c>
      <c r="D10" s="357" t="n"/>
      <c r="E10" s="357" t="n"/>
      <c r="F10" s="358" t="n"/>
      <c r="G10" s="357" t="n"/>
      <c r="H10" s="357" t="n"/>
      <c r="I10" s="358" t="n"/>
      <c r="J10" s="357" t="n"/>
      <c r="K10" s="357" t="n"/>
      <c r="L10" s="358" t="n"/>
      <c r="M10" s="357" t="inlineStr">
        <is>
          <t>21-Jul</t>
        </is>
      </c>
      <c r="N10" s="357" t="n"/>
      <c r="O10" s="358" t="n"/>
      <c r="P10" s="357" t="n"/>
      <c r="Q10" s="357" t="n"/>
      <c r="R10" s="358" t="n"/>
      <c r="S10" s="357" t="n"/>
      <c r="T10" s="357" t="n"/>
      <c r="U10" s="358" t="n"/>
      <c r="V10" s="357" t="n"/>
      <c r="W10" s="357" t="n"/>
      <c r="X10" s="358" t="n"/>
      <c r="Y10" s="357" t="n"/>
      <c r="Z10" s="357" t="n"/>
      <c r="AA10" s="358" t="n"/>
      <c r="AB10" s="357" t="n"/>
      <c r="AC10" s="357" t="n"/>
      <c r="AD10" s="358" t="n"/>
      <c r="AE10" s="357" t="n"/>
      <c r="AF10" s="357" t="n"/>
      <c r="AG10" s="358" t="n"/>
      <c r="AH10" s="357" t="n"/>
      <c r="AI10" s="357" t="n"/>
      <c r="AJ10" s="358" t="n"/>
      <c r="AK10" s="357" t="n"/>
      <c r="AL10" s="357" t="n"/>
      <c r="AM10" s="358" t="n"/>
      <c r="AN10" s="357" t="n"/>
      <c r="AO10" s="357" t="n"/>
      <c r="AP10" s="358" t="n"/>
      <c r="AQ10" s="357" t="n"/>
      <c r="AR10" s="357" t="n"/>
      <c r="AS10" s="358" t="n"/>
      <c r="AT10" s="357" t="n"/>
      <c r="AU10" s="357" t="n"/>
      <c r="AV10" s="358" t="n"/>
      <c r="AW10" s="357" t="n"/>
      <c r="AX10" s="357" t="n"/>
      <c r="AY10" s="358" t="n"/>
      <c r="AZ10" s="357" t="n"/>
      <c r="BA10" s="357" t="n"/>
      <c r="BB10" s="358" t="n"/>
      <c r="BC10" s="357" t="n"/>
      <c r="BD10" s="357" t="n"/>
      <c r="BE10" s="358" t="n"/>
      <c r="BF10" s="357" t="n"/>
      <c r="BG10" s="357" t="n"/>
      <c r="BH10" s="358" t="n"/>
      <c r="BI10" s="357" t="n"/>
      <c r="BJ10" s="357" t="n"/>
      <c r="BK10" s="358" t="n"/>
      <c r="BL10" s="357" t="n"/>
      <c r="BM10" s="357" t="n"/>
      <c r="BN10" s="358" t="n"/>
      <c r="BO10" s="357" t="n"/>
      <c r="BP10" s="357" t="n"/>
      <c r="BQ10" s="358" t="n"/>
      <c r="BR10" s="357" t="n"/>
      <c r="BS10" s="357" t="n"/>
      <c r="BT10" s="358" t="n"/>
      <c r="BU10" s="357" t="n"/>
      <c r="BV10" s="357" t="n"/>
      <c r="BW10" s="358" t="n"/>
      <c r="BX10" s="357" t="n"/>
      <c r="BY10" s="357" t="n"/>
      <c r="BZ10" s="358" t="n"/>
      <c r="CA10" s="357" t="n"/>
      <c r="CB10" s="357" t="n"/>
      <c r="CC10" s="358" t="n"/>
      <c r="CD10" s="357" t="n"/>
      <c r="CE10" s="357" t="n"/>
      <c r="CF10" s="358" t="n"/>
      <c r="CG10" s="357" t="n"/>
      <c r="CH10" s="357" t="n"/>
      <c r="CI10" s="358" t="n"/>
      <c r="CJ10" s="357" t="n"/>
      <c r="CK10" s="357" t="n"/>
      <c r="CL10" s="358" t="n"/>
      <c r="CM10" s="357" t="n"/>
      <c r="CN10" s="357" t="n"/>
      <c r="CO10" s="358" t="n"/>
      <c r="CP10" s="357" t="n"/>
      <c r="CQ10" s="357" t="n"/>
      <c r="CR10" s="358" t="n"/>
      <c r="CS10" s="357" t="n"/>
      <c r="CT10" s="357" t="n"/>
      <c r="CU10" s="358" t="n"/>
      <c r="CV10" s="357" t="n"/>
      <c r="CW10" s="357" t="n"/>
      <c r="CX10" s="358" t="n"/>
      <c r="CY10" s="357" t="n"/>
      <c r="CZ10" s="357" t="n"/>
      <c r="DA10" s="358" t="n"/>
      <c r="DB10" s="357" t="n"/>
      <c r="DC10" s="357" t="n"/>
      <c r="DD10" s="358" t="n"/>
      <c r="DE10" s="357" t="n"/>
      <c r="DF10" s="357" t="n"/>
      <c r="DG10" s="358" t="n"/>
      <c r="DH10" s="357" t="n"/>
      <c r="DI10" s="357" t="n"/>
      <c r="DJ10" s="358" t="n"/>
      <c r="DK10" s="357" t="n"/>
      <c r="DL10" s="357" t="n"/>
      <c r="DM10" s="358" t="n"/>
      <c r="DN10" s="357" t="n"/>
      <c r="DO10" s="357" t="n"/>
      <c r="DP10" s="358" t="n"/>
      <c r="DQ10" s="357" t="n"/>
      <c r="DR10" s="357" t="n"/>
      <c r="DS10" s="358" t="n"/>
      <c r="DT10" s="357" t="n"/>
      <c r="DU10" s="357" t="n"/>
      <c r="DV10" s="358" t="n"/>
      <c r="DW10" s="357" t="n"/>
      <c r="DX10" s="357" t="n"/>
      <c r="DY10" s="358" t="n"/>
      <c r="DZ10" s="357" t="n"/>
      <c r="EA10" s="357" t="n"/>
      <c r="EB10" s="358" t="n"/>
      <c r="EC10" s="357" t="n"/>
      <c r="ED10" s="357" t="n"/>
      <c r="EE10" s="358" t="n"/>
      <c r="EF10" s="357" t="n"/>
      <c r="EG10" s="357" t="n"/>
      <c r="EH10" s="358" t="n"/>
      <c r="EI10" s="357" t="n"/>
      <c r="EJ10" s="357" t="n"/>
      <c r="EK10" s="358" t="n"/>
      <c r="EL10" s="357" t="n"/>
      <c r="EM10" s="357" t="n"/>
      <c r="EN10" s="358" t="n"/>
      <c r="EO10" s="357" t="n"/>
      <c r="EP10" s="357" t="n"/>
      <c r="EQ10" s="358" t="n"/>
      <c r="ER10" s="357" t="n"/>
      <c r="ES10" s="357" t="n"/>
      <c r="ET10" s="358" t="n"/>
      <c r="EU10" s="357" t="n"/>
      <c r="EV10" s="357" t="n"/>
      <c r="EW10" s="358" t="n"/>
    </row>
    <row r="11" ht="15.4" customHeight="1">
      <c r="A11" s="10" t="inlineStr">
        <is>
          <t>Pre Insp</t>
        </is>
      </c>
      <c r="B11" s="269" t="n">
        <v>46222.58333333334</v>
      </c>
      <c r="C11" s="269" t="n">
        <v>46224</v>
      </c>
      <c r="D11" s="357" t="n"/>
      <c r="E11" s="357" t="n"/>
      <c r="F11" s="358" t="n"/>
      <c r="G11" s="357" t="n"/>
      <c r="H11" s="357" t="n"/>
      <c r="I11" s="358" t="n"/>
      <c r="J11" s="357" t="n"/>
      <c r="K11" s="357" t="n"/>
      <c r="L11" s="358" t="n"/>
      <c r="M11" s="357" t="inlineStr">
        <is>
          <t>21-Jul</t>
        </is>
      </c>
      <c r="N11" s="357" t="n"/>
      <c r="O11" s="358" t="n"/>
      <c r="P11" s="357" t="n"/>
      <c r="Q11" s="357" t="n"/>
      <c r="R11" s="358" t="n"/>
      <c r="S11" s="357" t="n"/>
      <c r="T11" s="357" t="n"/>
      <c r="U11" s="358" t="n"/>
      <c r="V11" s="357" t="n"/>
      <c r="W11" s="357" t="n"/>
      <c r="X11" s="358" t="n"/>
      <c r="Y11" s="357" t="n"/>
      <c r="Z11" s="357" t="n"/>
      <c r="AA11" s="358" t="n"/>
      <c r="AB11" s="357" t="n"/>
      <c r="AC11" s="357" t="n"/>
      <c r="AD11" s="358" t="n"/>
      <c r="AE11" s="357" t="n"/>
      <c r="AF11" s="357" t="n"/>
      <c r="AG11" s="358" t="n"/>
      <c r="AH11" s="357" t="n"/>
      <c r="AI11" s="357" t="n"/>
      <c r="AJ11" s="358" t="n"/>
      <c r="AK11" s="357" t="n"/>
      <c r="AL11" s="357" t="n"/>
      <c r="AM11" s="358" t="n"/>
      <c r="AN11" s="357" t="n"/>
      <c r="AO11" s="357" t="n"/>
      <c r="AP11" s="358" t="n"/>
      <c r="AQ11" s="357" t="n"/>
      <c r="AR11" s="357" t="n"/>
      <c r="AS11" s="358" t="n"/>
      <c r="AT11" s="357" t="n"/>
      <c r="AU11" s="357" t="n"/>
      <c r="AV11" s="358" t="n"/>
      <c r="AW11" s="357" t="n"/>
      <c r="AX11" s="357" t="n"/>
      <c r="AY11" s="358" t="n"/>
      <c r="AZ11" s="357" t="n"/>
      <c r="BA11" s="357" t="n"/>
      <c r="BB11" s="358" t="n"/>
      <c r="BC11" s="357" t="n"/>
      <c r="BD11" s="357" t="n"/>
      <c r="BE11" s="358" t="n"/>
      <c r="BF11" s="357" t="n"/>
      <c r="BG11" s="357" t="n"/>
      <c r="BH11" s="358" t="n"/>
      <c r="BI11" s="357" t="n"/>
      <c r="BJ11" s="357" t="n"/>
      <c r="BK11" s="358" t="n"/>
      <c r="BL11" s="357" t="n"/>
      <c r="BM11" s="357" t="n"/>
      <c r="BN11" s="358" t="n"/>
      <c r="BO11" s="357" t="n"/>
      <c r="BP11" s="357" t="n"/>
      <c r="BQ11" s="358" t="n"/>
      <c r="BR11" s="357" t="n"/>
      <c r="BS11" s="357" t="n"/>
      <c r="BT11" s="358" t="n"/>
      <c r="BU11" s="357" t="n"/>
      <c r="BV11" s="357" t="n"/>
      <c r="BW11" s="358" t="n"/>
      <c r="BX11" s="357" t="n"/>
      <c r="BY11" s="357" t="n"/>
      <c r="BZ11" s="358" t="n"/>
      <c r="CA11" s="357" t="n"/>
      <c r="CB11" s="357" t="n"/>
      <c r="CC11" s="358" t="n"/>
      <c r="CD11" s="357" t="n"/>
      <c r="CE11" s="357" t="n"/>
      <c r="CF11" s="358" t="n"/>
      <c r="CG11" s="357" t="n"/>
      <c r="CH11" s="357" t="n"/>
      <c r="CI11" s="358" t="n"/>
      <c r="CJ11" s="357" t="n"/>
      <c r="CK11" s="357" t="n"/>
      <c r="CL11" s="358" t="n"/>
      <c r="CM11" s="357" t="n"/>
      <c r="CN11" s="357" t="n"/>
      <c r="CO11" s="358" t="n"/>
      <c r="CP11" s="357" t="n"/>
      <c r="CQ11" s="357" t="n"/>
      <c r="CR11" s="358" t="n"/>
      <c r="CS11" s="357" t="n"/>
      <c r="CT11" s="357" t="n"/>
      <c r="CU11" s="358" t="n"/>
      <c r="CV11" s="357" t="n"/>
      <c r="CW11" s="357" t="n"/>
      <c r="CX11" s="358" t="n"/>
      <c r="CY11" s="357" t="n"/>
      <c r="CZ11" s="357" t="n"/>
      <c r="DA11" s="358" t="n"/>
      <c r="DB11" s="357" t="n"/>
      <c r="DC11" s="357" t="n"/>
      <c r="DD11" s="358" t="n"/>
      <c r="DE11" s="357" t="n"/>
      <c r="DF11" s="357" t="n"/>
      <c r="DG11" s="358" t="n"/>
      <c r="DH11" s="357" t="n"/>
      <c r="DI11" s="357" t="n"/>
      <c r="DJ11" s="358" t="n"/>
      <c r="DK11" s="357" t="n"/>
      <c r="DL11" s="357" t="n"/>
      <c r="DM11" s="358" t="n"/>
      <c r="DN11" s="357" t="n"/>
      <c r="DO11" s="357" t="n"/>
      <c r="DP11" s="358" t="n"/>
      <c r="DQ11" s="357" t="n"/>
      <c r="DR11" s="357" t="n"/>
      <c r="DS11" s="358" t="n"/>
      <c r="DT11" s="357" t="n"/>
      <c r="DU11" s="357" t="n"/>
      <c r="DV11" s="358" t="n"/>
      <c r="DW11" s="357" t="n"/>
      <c r="DX11" s="357" t="n"/>
      <c r="DY11" s="358" t="n"/>
      <c r="DZ11" s="357" t="n"/>
      <c r="EA11" s="357" t="n"/>
      <c r="EB11" s="358" t="n"/>
      <c r="EC11" s="357" t="n"/>
      <c r="ED11" s="357" t="n"/>
      <c r="EE11" s="358" t="n"/>
      <c r="EF11" s="357" t="n"/>
      <c r="EG11" s="357" t="n"/>
      <c r="EH11" s="358" t="n"/>
      <c r="EI11" s="357" t="n"/>
      <c r="EJ11" s="357" t="n"/>
      <c r="EK11" s="358" t="n"/>
      <c r="EL11" s="357" t="n"/>
      <c r="EM11" s="357" t="n"/>
      <c r="EN11" s="358" t="n"/>
      <c r="EO11" s="357" t="n"/>
      <c r="EP11" s="357" t="n"/>
      <c r="EQ11" s="358" t="n"/>
      <c r="ER11" s="357" t="n"/>
      <c r="ES11" s="357" t="n"/>
      <c r="ET11" s="358" t="n"/>
      <c r="EU11" s="357" t="n"/>
      <c r="EV11" s="357" t="n"/>
      <c r="EW11" s="358" t="n"/>
    </row>
    <row r="12" ht="15.4" customHeight="1">
      <c r="A12" s="10" t="inlineStr">
        <is>
          <t>Defuel</t>
        </is>
      </c>
      <c r="B12" s="269" t="n">
        <v>46225</v>
      </c>
      <c r="C12" s="268" t="n"/>
      <c r="D12" s="357" t="n"/>
      <c r="E12" s="357" t="n"/>
      <c r="F12" s="358" t="n"/>
      <c r="G12" s="357" t="n"/>
      <c r="H12" s="357" t="n"/>
      <c r="I12" s="358" t="n"/>
      <c r="J12" s="357" t="n"/>
      <c r="K12" s="357" t="n"/>
      <c r="L12" s="358" t="n"/>
      <c r="M12" s="357" t="n"/>
      <c r="N12" s="357" t="n"/>
      <c r="O12" s="358" t="n"/>
      <c r="P12" s="357" t="inlineStr">
        <is>
          <t>22-Jul</t>
        </is>
      </c>
      <c r="Q12" s="357" t="n"/>
      <c r="R12" s="358" t="n"/>
      <c r="S12" s="357" t="n"/>
      <c r="T12" s="357" t="n"/>
      <c r="U12" s="358" t="n"/>
      <c r="V12" s="357" t="n"/>
      <c r="W12" s="357" t="n"/>
      <c r="X12" s="358" t="n"/>
      <c r="Y12" s="357" t="n"/>
      <c r="Z12" s="357" t="n"/>
      <c r="AA12" s="358" t="n"/>
      <c r="AB12" s="357" t="n"/>
      <c r="AC12" s="357" t="n"/>
      <c r="AD12" s="358" t="n"/>
      <c r="AE12" s="357" t="n"/>
      <c r="AF12" s="357" t="n"/>
      <c r="AG12" s="358" t="n"/>
      <c r="AH12" s="357" t="n"/>
      <c r="AI12" s="357" t="n"/>
      <c r="AJ12" s="358" t="n"/>
      <c r="AK12" s="357" t="n"/>
      <c r="AL12" s="357" t="n"/>
      <c r="AM12" s="358" t="n"/>
      <c r="AN12" s="357" t="n"/>
      <c r="AO12" s="357" t="n"/>
      <c r="AP12" s="358" t="n"/>
      <c r="AQ12" s="357" t="n"/>
      <c r="AR12" s="357" t="n"/>
      <c r="AS12" s="358" t="n"/>
      <c r="AT12" s="357" t="n"/>
      <c r="AU12" s="357" t="n"/>
      <c r="AV12" s="358" t="n"/>
      <c r="AW12" s="357" t="n"/>
      <c r="AX12" s="357" t="n"/>
      <c r="AY12" s="358" t="n"/>
      <c r="AZ12" s="357" t="n"/>
      <c r="BA12" s="357" t="n"/>
      <c r="BB12" s="358" t="n"/>
      <c r="BC12" s="357" t="n"/>
      <c r="BD12" s="357" t="n"/>
      <c r="BE12" s="358" t="n"/>
      <c r="BF12" s="357" t="n"/>
      <c r="BG12" s="357" t="n"/>
      <c r="BH12" s="358" t="n"/>
      <c r="BI12" s="357" t="n"/>
      <c r="BJ12" s="357" t="n"/>
      <c r="BK12" s="358" t="n"/>
      <c r="BL12" s="357" t="n"/>
      <c r="BM12" s="357" t="n"/>
      <c r="BN12" s="358" t="n"/>
      <c r="BO12" s="357" t="n"/>
      <c r="BP12" s="357" t="n"/>
      <c r="BQ12" s="358" t="n"/>
      <c r="BR12" s="357" t="n"/>
      <c r="BS12" s="357" t="n"/>
      <c r="BT12" s="358" t="n"/>
      <c r="BU12" s="357" t="n"/>
      <c r="BV12" s="357" t="n"/>
      <c r="BW12" s="358" t="n"/>
      <c r="BX12" s="357" t="n"/>
      <c r="BY12" s="357" t="n"/>
      <c r="BZ12" s="358" t="n"/>
      <c r="CA12" s="357" t="n"/>
      <c r="CB12" s="357" t="n"/>
      <c r="CC12" s="358" t="n"/>
      <c r="CD12" s="357" t="n"/>
      <c r="CE12" s="357" t="n"/>
      <c r="CF12" s="358" t="n"/>
      <c r="CG12" s="357" t="n"/>
      <c r="CH12" s="357" t="n"/>
      <c r="CI12" s="358" t="n"/>
      <c r="CJ12" s="357" t="n"/>
      <c r="CK12" s="357" t="n"/>
      <c r="CL12" s="358" t="n"/>
      <c r="CM12" s="357" t="n"/>
      <c r="CN12" s="357" t="n"/>
      <c r="CO12" s="358" t="n"/>
      <c r="CP12" s="357" t="n"/>
      <c r="CQ12" s="357" t="n"/>
      <c r="CR12" s="358" t="n"/>
      <c r="CS12" s="357" t="n"/>
      <c r="CT12" s="357" t="n"/>
      <c r="CU12" s="358" t="n"/>
      <c r="CV12" s="357" t="n"/>
      <c r="CW12" s="357" t="n"/>
      <c r="CX12" s="358" t="n"/>
      <c r="CY12" s="357" t="n"/>
      <c r="CZ12" s="357" t="n"/>
      <c r="DA12" s="358" t="n"/>
      <c r="DB12" s="357" t="n"/>
      <c r="DC12" s="357" t="n"/>
      <c r="DD12" s="358" t="n"/>
      <c r="DE12" s="357" t="n"/>
      <c r="DF12" s="357" t="n"/>
      <c r="DG12" s="358" t="n"/>
      <c r="DH12" s="357" t="n"/>
      <c r="DI12" s="357" t="n"/>
      <c r="DJ12" s="358" t="n"/>
      <c r="DK12" s="357" t="n"/>
      <c r="DL12" s="357" t="n"/>
      <c r="DM12" s="358" t="n"/>
      <c r="DN12" s="357" t="n"/>
      <c r="DO12" s="357" t="n"/>
      <c r="DP12" s="358" t="n"/>
      <c r="DQ12" s="357" t="n"/>
      <c r="DR12" s="357" t="n"/>
      <c r="DS12" s="358" t="n"/>
      <c r="DT12" s="357" t="n"/>
      <c r="DU12" s="357" t="n"/>
      <c r="DV12" s="358" t="n"/>
      <c r="DW12" s="357" t="n"/>
      <c r="DX12" s="357" t="n"/>
      <c r="DY12" s="358" t="n"/>
      <c r="DZ12" s="357" t="n"/>
      <c r="EA12" s="357" t="n"/>
      <c r="EB12" s="358" t="n"/>
      <c r="EC12" s="357" t="n"/>
      <c r="ED12" s="357" t="n"/>
      <c r="EE12" s="358" t="n"/>
      <c r="EF12" s="357" t="n"/>
      <c r="EG12" s="357" t="n"/>
      <c r="EH12" s="358" t="n"/>
      <c r="EI12" s="357" t="n"/>
      <c r="EJ12" s="357" t="n"/>
      <c r="EK12" s="358" t="n"/>
      <c r="EL12" s="357" t="n"/>
      <c r="EM12" s="357" t="n"/>
      <c r="EN12" s="358" t="n"/>
      <c r="EO12" s="357" t="n"/>
      <c r="EP12" s="357" t="n"/>
      <c r="EQ12" s="358" t="n"/>
      <c r="ER12" s="357" t="n"/>
      <c r="ES12" s="357" t="n"/>
      <c r="ET12" s="358" t="n"/>
      <c r="EU12" s="357" t="n"/>
      <c r="EV12" s="357" t="n"/>
      <c r="EW12" s="358" t="n"/>
    </row>
    <row r="13" ht="15.4" customHeight="1">
      <c r="A13" s="266" t="inlineStr">
        <is>
          <t>PHASE 2  (Inspection)</t>
        </is>
      </c>
      <c r="B13" s="267" t="n"/>
      <c r="C13" s="268" t="n"/>
      <c r="D13" s="357" t="n"/>
      <c r="E13" s="357" t="n"/>
      <c r="F13" s="358" t="n"/>
      <c r="G13" s="357" t="n"/>
      <c r="H13" s="357" t="n"/>
      <c r="I13" s="358" t="n"/>
      <c r="J13" s="357" t="n"/>
      <c r="K13" s="357" t="n"/>
      <c r="L13" s="358" t="n"/>
      <c r="M13" s="357" t="n"/>
      <c r="N13" s="357" t="n"/>
      <c r="O13" s="358" t="n"/>
      <c r="P13" s="357" t="n"/>
      <c r="Q13" s="357" t="n"/>
      <c r="R13" s="358" t="n"/>
      <c r="S13" s="357" t="n"/>
      <c r="T13" s="357" t="n"/>
      <c r="U13" s="358" t="n"/>
      <c r="V13" s="357" t="n"/>
      <c r="W13" s="357" t="n"/>
      <c r="X13" s="358" t="n"/>
      <c r="Y13" s="357" t="n"/>
      <c r="Z13" s="357" t="n"/>
      <c r="AA13" s="358" t="n"/>
      <c r="AB13" s="357" t="n"/>
      <c r="AC13" s="357" t="n"/>
      <c r="AD13" s="358" t="n"/>
      <c r="AE13" s="357" t="n"/>
      <c r="AF13" s="357" t="n"/>
      <c r="AG13" s="358" t="n"/>
      <c r="AH13" s="357" t="n"/>
      <c r="AI13" s="357" t="n"/>
      <c r="AJ13" s="358" t="n"/>
      <c r="AK13" s="357" t="n"/>
      <c r="AL13" s="357" t="n"/>
      <c r="AM13" s="358" t="n"/>
      <c r="AN13" s="357" t="n"/>
      <c r="AO13" s="357" t="n"/>
      <c r="AP13" s="358" t="n"/>
      <c r="AQ13" s="357" t="n"/>
      <c r="AR13" s="357" t="n"/>
      <c r="AS13" s="358" t="n"/>
      <c r="AT13" s="357" t="n"/>
      <c r="AU13" s="357" t="n"/>
      <c r="AV13" s="358" t="n"/>
      <c r="AW13" s="357" t="n"/>
      <c r="AX13" s="357" t="n"/>
      <c r="AY13" s="358" t="n"/>
      <c r="AZ13" s="357" t="n"/>
      <c r="BA13" s="357" t="n"/>
      <c r="BB13" s="358" t="n"/>
      <c r="BC13" s="357" t="n"/>
      <c r="BD13" s="357" t="n"/>
      <c r="BE13" s="358" t="n"/>
      <c r="BF13" s="357" t="n"/>
      <c r="BG13" s="357" t="n"/>
      <c r="BH13" s="358" t="n"/>
      <c r="BI13" s="357" t="n"/>
      <c r="BJ13" s="357" t="n"/>
      <c r="BK13" s="358" t="n"/>
      <c r="BL13" s="357" t="n"/>
      <c r="BM13" s="357" t="n"/>
      <c r="BN13" s="358" t="n"/>
      <c r="BO13" s="357" t="n"/>
      <c r="BP13" s="357" t="n"/>
      <c r="BQ13" s="358" t="n"/>
      <c r="BR13" s="357" t="n"/>
      <c r="BS13" s="357" t="n"/>
      <c r="BT13" s="358" t="n"/>
      <c r="BU13" s="357" t="n"/>
      <c r="BV13" s="357" t="n"/>
      <c r="BW13" s="358" t="n"/>
      <c r="BX13" s="357" t="n"/>
      <c r="BY13" s="357" t="n"/>
      <c r="BZ13" s="358" t="n"/>
      <c r="CA13" s="357" t="n"/>
      <c r="CB13" s="357" t="n"/>
      <c r="CC13" s="358" t="n"/>
      <c r="CD13" s="357" t="n"/>
      <c r="CE13" s="357" t="n"/>
      <c r="CF13" s="358" t="n"/>
      <c r="CG13" s="357" t="n"/>
      <c r="CH13" s="357" t="n"/>
      <c r="CI13" s="358" t="n"/>
      <c r="CJ13" s="357" t="n"/>
      <c r="CK13" s="357" t="n"/>
      <c r="CL13" s="358" t="n"/>
      <c r="CM13" s="357" t="n"/>
      <c r="CN13" s="357" t="n"/>
      <c r="CO13" s="358" t="n"/>
      <c r="CP13" s="357" t="n"/>
      <c r="CQ13" s="357" t="n"/>
      <c r="CR13" s="358" t="n"/>
      <c r="CS13" s="357" t="n"/>
      <c r="CT13" s="357" t="n"/>
      <c r="CU13" s="358" t="n"/>
      <c r="CV13" s="357" t="n"/>
      <c r="CW13" s="357" t="n"/>
      <c r="CX13" s="358" t="n"/>
      <c r="CY13" s="357" t="n"/>
      <c r="CZ13" s="357" t="n"/>
      <c r="DA13" s="358" t="n"/>
      <c r="DB13" s="357" t="n"/>
      <c r="DC13" s="357" t="n"/>
      <c r="DD13" s="358" t="n"/>
      <c r="DE13" s="357" t="n"/>
      <c r="DF13" s="357" t="n"/>
      <c r="DG13" s="358" t="n"/>
      <c r="DH13" s="357" t="n"/>
      <c r="DI13" s="357" t="n"/>
      <c r="DJ13" s="358" t="n"/>
      <c r="DK13" s="357" t="n"/>
      <c r="DL13" s="357" t="n"/>
      <c r="DM13" s="358" t="n"/>
      <c r="DN13" s="357" t="n"/>
      <c r="DO13" s="357" t="n"/>
      <c r="DP13" s="358" t="n"/>
      <c r="DQ13" s="357" t="n"/>
      <c r="DR13" s="357" t="n"/>
      <c r="DS13" s="358" t="n"/>
      <c r="DT13" s="357" t="n"/>
      <c r="DU13" s="357" t="n"/>
      <c r="DV13" s="358" t="n"/>
      <c r="DW13" s="357" t="n"/>
      <c r="DX13" s="357" t="n"/>
      <c r="DY13" s="358" t="n"/>
      <c r="DZ13" s="357" t="n"/>
      <c r="EA13" s="357" t="n"/>
      <c r="EB13" s="358" t="n"/>
      <c r="EC13" s="357" t="n"/>
      <c r="ED13" s="357" t="n"/>
      <c r="EE13" s="358" t="n"/>
      <c r="EF13" s="357" t="n"/>
      <c r="EG13" s="357" t="n"/>
      <c r="EH13" s="358" t="n"/>
      <c r="EI13" s="357" t="n"/>
      <c r="EJ13" s="357" t="n"/>
      <c r="EK13" s="358" t="n"/>
      <c r="EL13" s="357" t="n"/>
      <c r="EM13" s="357" t="n"/>
      <c r="EN13" s="358" t="n"/>
      <c r="EO13" s="357" t="n"/>
      <c r="EP13" s="357" t="n"/>
      <c r="EQ13" s="358" t="n"/>
      <c r="ER13" s="357" t="n"/>
      <c r="ES13" s="357" t="n"/>
      <c r="ET13" s="358" t="n"/>
      <c r="EU13" s="357" t="n"/>
      <c r="EV13" s="357" t="n"/>
      <c r="EW13" s="358" t="n"/>
    </row>
    <row r="14" ht="15.4" customHeight="1">
      <c r="A14" s="10" t="inlineStr">
        <is>
          <t>Nose Jacking – Prox Sensor Check</t>
        </is>
      </c>
      <c r="B14" s="269" t="n">
        <v>46226</v>
      </c>
      <c r="C14" s="268" t="n"/>
      <c r="D14" s="357" t="n"/>
      <c r="E14" s="357" t="n"/>
      <c r="F14" s="358" t="n"/>
      <c r="G14" s="357" t="n"/>
      <c r="H14" s="357" t="n"/>
      <c r="I14" s="358" t="n"/>
      <c r="J14" s="357" t="n"/>
      <c r="K14" s="357" t="n"/>
      <c r="L14" s="358" t="n"/>
      <c r="M14" s="357" t="n"/>
      <c r="N14" s="357" t="n"/>
      <c r="O14" s="358" t="n"/>
      <c r="P14" s="357" t="n"/>
      <c r="Q14" s="357" t="n"/>
      <c r="R14" s="358" t="n"/>
      <c r="S14" s="357" t="inlineStr">
        <is>
          <t>23-Jul</t>
        </is>
      </c>
      <c r="T14" s="357" t="n"/>
      <c r="U14" s="358" t="n"/>
      <c r="V14" s="357" t="n"/>
      <c r="W14" s="357" t="n"/>
      <c r="X14" s="358" t="n"/>
      <c r="Y14" s="357" t="n"/>
      <c r="Z14" s="357" t="n"/>
      <c r="AA14" s="358" t="n"/>
      <c r="AB14" s="357" t="n"/>
      <c r="AC14" s="357" t="n"/>
      <c r="AD14" s="358" t="n"/>
      <c r="AE14" s="357" t="n"/>
      <c r="AF14" s="357" t="n"/>
      <c r="AG14" s="358" t="n"/>
      <c r="AH14" s="357" t="n"/>
      <c r="AI14" s="357" t="n"/>
      <c r="AJ14" s="358" t="n"/>
      <c r="AK14" s="357" t="n"/>
      <c r="AL14" s="357" t="n"/>
      <c r="AM14" s="358" t="n"/>
      <c r="AN14" s="357" t="n"/>
      <c r="AO14" s="357" t="n"/>
      <c r="AP14" s="358" t="n"/>
      <c r="AQ14" s="357" t="n"/>
      <c r="AR14" s="357" t="n"/>
      <c r="AS14" s="358" t="n"/>
      <c r="AT14" s="357" t="n"/>
      <c r="AU14" s="357" t="n"/>
      <c r="AV14" s="358" t="n"/>
      <c r="AW14" s="357" t="n"/>
      <c r="AX14" s="357" t="n"/>
      <c r="AY14" s="358" t="n"/>
      <c r="AZ14" s="357" t="n"/>
      <c r="BA14" s="357" t="n"/>
      <c r="BB14" s="358" t="n"/>
      <c r="BC14" s="357" t="n"/>
      <c r="BD14" s="357" t="n"/>
      <c r="BE14" s="358" t="n"/>
      <c r="BF14" s="357" t="n"/>
      <c r="BG14" s="357" t="n"/>
      <c r="BH14" s="358" t="n"/>
      <c r="BI14" s="357" t="n"/>
      <c r="BJ14" s="357" t="n"/>
      <c r="BK14" s="358" t="n"/>
      <c r="BL14" s="357" t="n"/>
      <c r="BM14" s="357" t="n"/>
      <c r="BN14" s="358" t="n"/>
      <c r="BO14" s="357" t="n"/>
      <c r="BP14" s="357" t="n"/>
      <c r="BQ14" s="358" t="n"/>
      <c r="BR14" s="357" t="n"/>
      <c r="BS14" s="357" t="n"/>
      <c r="BT14" s="358" t="n"/>
      <c r="BU14" s="357" t="n"/>
      <c r="BV14" s="357" t="n"/>
      <c r="BW14" s="358" t="n"/>
      <c r="BX14" s="357" t="n"/>
      <c r="BY14" s="357" t="n"/>
      <c r="BZ14" s="358" t="n"/>
      <c r="CA14" s="357" t="n"/>
      <c r="CB14" s="357" t="n"/>
      <c r="CC14" s="358" t="n"/>
      <c r="CD14" s="357" t="n"/>
      <c r="CE14" s="357" t="n"/>
      <c r="CF14" s="358" t="n"/>
      <c r="CG14" s="357" t="n"/>
      <c r="CH14" s="357" t="n"/>
      <c r="CI14" s="358" t="n"/>
      <c r="CJ14" s="357" t="n"/>
      <c r="CK14" s="357" t="n"/>
      <c r="CL14" s="358" t="n"/>
      <c r="CM14" s="357" t="n"/>
      <c r="CN14" s="357" t="n"/>
      <c r="CO14" s="358" t="n"/>
      <c r="CP14" s="357" t="n"/>
      <c r="CQ14" s="357" t="n"/>
      <c r="CR14" s="358" t="n"/>
      <c r="CS14" s="357" t="n"/>
      <c r="CT14" s="357" t="n"/>
      <c r="CU14" s="358" t="n"/>
      <c r="CV14" s="357" t="n"/>
      <c r="CW14" s="357" t="n"/>
      <c r="CX14" s="358" t="n"/>
      <c r="CY14" s="357" t="n"/>
      <c r="CZ14" s="357" t="n"/>
      <c r="DA14" s="358" t="n"/>
      <c r="DB14" s="357" t="n"/>
      <c r="DC14" s="357" t="n"/>
      <c r="DD14" s="358" t="n"/>
      <c r="DE14" s="357" t="n"/>
      <c r="DF14" s="357" t="n"/>
      <c r="DG14" s="358" t="n"/>
      <c r="DH14" s="357" t="n"/>
      <c r="DI14" s="357" t="n"/>
      <c r="DJ14" s="358" t="n"/>
      <c r="DK14" s="357" t="n"/>
      <c r="DL14" s="357" t="n"/>
      <c r="DM14" s="358" t="n"/>
      <c r="DN14" s="357" t="n"/>
      <c r="DO14" s="357" t="n"/>
      <c r="DP14" s="358" t="n"/>
      <c r="DQ14" s="357" t="n"/>
      <c r="DR14" s="357" t="n"/>
      <c r="DS14" s="358" t="n"/>
      <c r="DT14" s="357" t="n"/>
      <c r="DU14" s="357" t="n"/>
      <c r="DV14" s="358" t="n"/>
      <c r="DW14" s="357" t="n"/>
      <c r="DX14" s="357" t="n"/>
      <c r="DY14" s="358" t="n"/>
      <c r="DZ14" s="357" t="n"/>
      <c r="EA14" s="357" t="n"/>
      <c r="EB14" s="358" t="n"/>
      <c r="EC14" s="357" t="n"/>
      <c r="ED14" s="357" t="n"/>
      <c r="EE14" s="358" t="n"/>
      <c r="EF14" s="357" t="n"/>
      <c r="EG14" s="357" t="n"/>
      <c r="EH14" s="358" t="n"/>
      <c r="EI14" s="357" t="n"/>
      <c r="EJ14" s="357" t="n"/>
      <c r="EK14" s="358" t="n"/>
      <c r="EL14" s="357" t="n"/>
      <c r="EM14" s="357" t="n"/>
      <c r="EN14" s="358" t="n"/>
      <c r="EO14" s="357" t="n"/>
      <c r="EP14" s="357" t="n"/>
      <c r="EQ14" s="358" t="n"/>
      <c r="ER14" s="357" t="n"/>
      <c r="ES14" s="357" t="n"/>
      <c r="ET14" s="358" t="n"/>
      <c r="EU14" s="357" t="n"/>
      <c r="EV14" s="357" t="n"/>
      <c r="EW14" s="358" t="n"/>
    </row>
    <row r="15" ht="15.4" customHeight="1">
      <c r="A15" s="10" t="inlineStr">
        <is>
          <t>Open-Up</t>
        </is>
      </c>
      <c r="B15" s="269" t="n">
        <v>46224</v>
      </c>
      <c r="C15" s="269" t="n">
        <v>46229</v>
      </c>
      <c r="D15" s="357" t="n"/>
      <c r="E15" s="357" t="n"/>
      <c r="F15" s="358" t="n"/>
      <c r="G15" s="357" t="n"/>
      <c r="H15" s="357" t="n"/>
      <c r="I15" s="358" t="n"/>
      <c r="J15" s="357" t="n"/>
      <c r="K15" s="357" t="n"/>
      <c r="L15" s="358" t="n"/>
      <c r="M15" s="357" t="n"/>
      <c r="N15" s="357" t="n"/>
      <c r="O15" s="358" t="n"/>
      <c r="P15" s="357" t="n"/>
      <c r="Q15" s="357" t="n"/>
      <c r="R15" s="358" t="n"/>
      <c r="S15" s="357" t="n"/>
      <c r="T15" s="357" t="n"/>
      <c r="U15" s="358" t="n"/>
      <c r="V15" s="357" t="n"/>
      <c r="W15" s="357" t="n"/>
      <c r="X15" s="358" t="n"/>
      <c r="Y15" s="357" t="n"/>
      <c r="Z15" s="357" t="n"/>
      <c r="AA15" s="358" t="n"/>
      <c r="AB15" s="357" t="inlineStr">
        <is>
          <t>26-Jul</t>
        </is>
      </c>
      <c r="AC15" s="357" t="n"/>
      <c r="AD15" s="358" t="n"/>
      <c r="AE15" s="357" t="n"/>
      <c r="AF15" s="357" t="n"/>
      <c r="AG15" s="358" t="n"/>
      <c r="AH15" s="357" t="n"/>
      <c r="AI15" s="357" t="n"/>
      <c r="AJ15" s="358" t="n"/>
      <c r="AK15" s="357" t="n"/>
      <c r="AL15" s="357" t="n"/>
      <c r="AM15" s="358" t="n"/>
      <c r="AN15" s="357" t="n"/>
      <c r="AO15" s="357" t="n"/>
      <c r="AP15" s="358" t="n"/>
      <c r="AQ15" s="357" t="n"/>
      <c r="AR15" s="357" t="n"/>
      <c r="AS15" s="358" t="n"/>
      <c r="AT15" s="357" t="n"/>
      <c r="AU15" s="357" t="n"/>
      <c r="AV15" s="358" t="n"/>
      <c r="AW15" s="357" t="n"/>
      <c r="AX15" s="357" t="n"/>
      <c r="AY15" s="358" t="n"/>
      <c r="AZ15" s="357" t="n"/>
      <c r="BA15" s="357" t="n"/>
      <c r="BB15" s="358" t="n"/>
      <c r="BC15" s="357" t="n"/>
      <c r="BD15" s="357" t="n"/>
      <c r="BE15" s="358" t="n"/>
      <c r="BF15" s="357" t="n"/>
      <c r="BG15" s="357" t="n"/>
      <c r="BH15" s="358" t="n"/>
      <c r="BI15" s="357" t="n"/>
      <c r="BJ15" s="357" t="n"/>
      <c r="BK15" s="358" t="n"/>
      <c r="BL15" s="357" t="n"/>
      <c r="BM15" s="357" t="n"/>
      <c r="BN15" s="358" t="n"/>
      <c r="BO15" s="357" t="n"/>
      <c r="BP15" s="357" t="n"/>
      <c r="BQ15" s="358" t="n"/>
      <c r="BR15" s="357" t="n"/>
      <c r="BS15" s="357" t="n"/>
      <c r="BT15" s="358" t="n"/>
      <c r="BU15" s="357" t="n"/>
      <c r="BV15" s="357" t="n"/>
      <c r="BW15" s="358" t="n"/>
      <c r="BX15" s="357" t="n"/>
      <c r="BY15" s="357" t="n"/>
      <c r="BZ15" s="358" t="n"/>
      <c r="CA15" s="357" t="n"/>
      <c r="CB15" s="357" t="n"/>
      <c r="CC15" s="358" t="n"/>
      <c r="CD15" s="357" t="n"/>
      <c r="CE15" s="357" t="n"/>
      <c r="CF15" s="358" t="n"/>
      <c r="CG15" s="357" t="n"/>
      <c r="CH15" s="357" t="n"/>
      <c r="CI15" s="358" t="n"/>
      <c r="CJ15" s="357" t="n"/>
      <c r="CK15" s="357" t="n"/>
      <c r="CL15" s="358" t="n"/>
      <c r="CM15" s="357" t="n"/>
      <c r="CN15" s="357" t="n"/>
      <c r="CO15" s="358" t="n"/>
      <c r="CP15" s="357" t="n"/>
      <c r="CQ15" s="357" t="n"/>
      <c r="CR15" s="358" t="n"/>
      <c r="CS15" s="357" t="n"/>
      <c r="CT15" s="357" t="n"/>
      <c r="CU15" s="358" t="n"/>
      <c r="CV15" s="357" t="n"/>
      <c r="CW15" s="357" t="n"/>
      <c r="CX15" s="358" t="n"/>
      <c r="CY15" s="357" t="n"/>
      <c r="CZ15" s="357" t="n"/>
      <c r="DA15" s="358" t="n"/>
      <c r="DB15" s="357" t="n"/>
      <c r="DC15" s="357" t="n"/>
      <c r="DD15" s="358" t="n"/>
      <c r="DE15" s="357" t="n"/>
      <c r="DF15" s="357" t="n"/>
      <c r="DG15" s="358" t="n"/>
      <c r="DH15" s="357" t="n"/>
      <c r="DI15" s="357" t="n"/>
      <c r="DJ15" s="358" t="n"/>
      <c r="DK15" s="357" t="n"/>
      <c r="DL15" s="357" t="n"/>
      <c r="DM15" s="358" t="n"/>
      <c r="DN15" s="357" t="n"/>
      <c r="DO15" s="357" t="n"/>
      <c r="DP15" s="358" t="n"/>
      <c r="DQ15" s="357" t="n"/>
      <c r="DR15" s="357" t="n"/>
      <c r="DS15" s="358" t="n"/>
      <c r="DT15" s="357" t="n"/>
      <c r="DU15" s="357" t="n"/>
      <c r="DV15" s="358" t="n"/>
      <c r="DW15" s="357" t="n"/>
      <c r="DX15" s="357" t="n"/>
      <c r="DY15" s="358" t="n"/>
      <c r="DZ15" s="357" t="n"/>
      <c r="EA15" s="357" t="n"/>
      <c r="EB15" s="358" t="n"/>
      <c r="EC15" s="357" t="n"/>
      <c r="ED15" s="357" t="n"/>
      <c r="EE15" s="358" t="n"/>
      <c r="EF15" s="357" t="n"/>
      <c r="EG15" s="357" t="n"/>
      <c r="EH15" s="358" t="n"/>
      <c r="EI15" s="357" t="n"/>
      <c r="EJ15" s="357" t="n"/>
      <c r="EK15" s="358" t="n"/>
      <c r="EL15" s="357" t="n"/>
      <c r="EM15" s="357" t="n"/>
      <c r="EN15" s="358" t="n"/>
      <c r="EO15" s="357" t="n"/>
      <c r="EP15" s="357" t="n"/>
      <c r="EQ15" s="358" t="n"/>
      <c r="ER15" s="357" t="n"/>
      <c r="ES15" s="357" t="n"/>
      <c r="ET15" s="358" t="n"/>
      <c r="EU15" s="357" t="n"/>
      <c r="EV15" s="357" t="n"/>
      <c r="EW15" s="358" t="n"/>
    </row>
    <row r="16" ht="15.4" customHeight="1">
      <c r="A16" s="10" t="inlineStr">
        <is>
          <t>Joint Cards Insp</t>
        </is>
      </c>
      <c r="B16" s="269" t="n">
        <v>46224</v>
      </c>
      <c r="C16" s="269" t="n">
        <v>46237</v>
      </c>
      <c r="D16" s="357" t="n"/>
      <c r="E16" s="357" t="n"/>
      <c r="F16" s="358" t="n"/>
      <c r="G16" s="357" t="n"/>
      <c r="H16" s="357" t="n"/>
      <c r="I16" s="358" t="n"/>
      <c r="J16" s="357" t="n"/>
      <c r="K16" s="357" t="n"/>
      <c r="L16" s="358" t="n"/>
      <c r="M16" s="357" t="n"/>
      <c r="N16" s="357" t="n"/>
      <c r="O16" s="358" t="n"/>
      <c r="P16" s="357" t="n"/>
      <c r="Q16" s="357" t="n"/>
      <c r="R16" s="358" t="n"/>
      <c r="S16" s="357" t="n"/>
      <c r="T16" s="357" t="n"/>
      <c r="U16" s="358" t="n"/>
      <c r="V16" s="357" t="n"/>
      <c r="W16" s="357" t="n"/>
      <c r="X16" s="358" t="n"/>
      <c r="Y16" s="357" t="n"/>
      <c r="Z16" s="357" t="n"/>
      <c r="AA16" s="358" t="n"/>
      <c r="AB16" s="357" t="n"/>
      <c r="AC16" s="357" t="n"/>
      <c r="AD16" s="358" t="n"/>
      <c r="AE16" s="357" t="n"/>
      <c r="AF16" s="357" t="n"/>
      <c r="AG16" s="358" t="n"/>
      <c r="AH16" s="357" t="n"/>
      <c r="AI16" s="357" t="n"/>
      <c r="AJ16" s="358" t="n"/>
      <c r="AK16" s="357" t="n"/>
      <c r="AL16" s="357" t="n"/>
      <c r="AM16" s="358" t="n"/>
      <c r="AN16" s="357" t="n"/>
      <c r="AO16" s="357" t="n"/>
      <c r="AP16" s="358" t="n"/>
      <c r="AQ16" s="357" t="n"/>
      <c r="AR16" s="357" t="n"/>
      <c r="AS16" s="358" t="n"/>
      <c r="AT16" s="357" t="n"/>
      <c r="AU16" s="357" t="n"/>
      <c r="AV16" s="358" t="n"/>
      <c r="AW16" s="357" t="n"/>
      <c r="AX16" s="357" t="n"/>
      <c r="AY16" s="358" t="n"/>
      <c r="AZ16" s="357" t="inlineStr">
        <is>
          <t>3-Aug</t>
        </is>
      </c>
      <c r="BA16" s="357" t="n"/>
      <c r="BB16" s="358" t="n"/>
      <c r="BC16" s="357" t="n"/>
      <c r="BD16" s="357" t="n"/>
      <c r="BE16" s="358" t="n"/>
      <c r="BF16" s="357" t="n"/>
      <c r="BG16" s="357" t="n"/>
      <c r="BH16" s="358" t="n"/>
      <c r="BI16" s="357" t="n"/>
      <c r="BJ16" s="357" t="n"/>
      <c r="BK16" s="358" t="n"/>
      <c r="BL16" s="357" t="n"/>
      <c r="BM16" s="357" t="n"/>
      <c r="BN16" s="358" t="n"/>
      <c r="BO16" s="357" t="n"/>
      <c r="BP16" s="357" t="n"/>
      <c r="BQ16" s="358" t="n"/>
      <c r="BR16" s="357" t="n"/>
      <c r="BS16" s="357" t="n"/>
      <c r="BT16" s="358" t="n"/>
      <c r="BU16" s="357" t="n"/>
      <c r="BV16" s="357" t="n"/>
      <c r="BW16" s="358" t="n"/>
      <c r="BX16" s="357" t="n"/>
      <c r="BY16" s="357" t="n"/>
      <c r="BZ16" s="358" t="n"/>
      <c r="CA16" s="357" t="n"/>
      <c r="CB16" s="357" t="n"/>
      <c r="CC16" s="358" t="n"/>
      <c r="CD16" s="357" t="n"/>
      <c r="CE16" s="357" t="n"/>
      <c r="CF16" s="358" t="n"/>
      <c r="CG16" s="357" t="n"/>
      <c r="CH16" s="357" t="n"/>
      <c r="CI16" s="358" t="n"/>
      <c r="CJ16" s="357" t="n"/>
      <c r="CK16" s="357" t="n"/>
      <c r="CL16" s="358" t="n"/>
      <c r="CM16" s="357" t="n"/>
      <c r="CN16" s="357" t="n"/>
      <c r="CO16" s="358" t="n"/>
      <c r="CP16" s="357" t="n"/>
      <c r="CQ16" s="357" t="n"/>
      <c r="CR16" s="358" t="n"/>
      <c r="CS16" s="357" t="n"/>
      <c r="CT16" s="357" t="n"/>
      <c r="CU16" s="358" t="n"/>
      <c r="CV16" s="357" t="n"/>
      <c r="CW16" s="357" t="n"/>
      <c r="CX16" s="358" t="n"/>
      <c r="CY16" s="357" t="n"/>
      <c r="CZ16" s="357" t="n"/>
      <c r="DA16" s="358" t="n"/>
      <c r="DB16" s="357" t="n"/>
      <c r="DC16" s="357" t="n"/>
      <c r="DD16" s="358" t="n"/>
      <c r="DE16" s="357" t="n"/>
      <c r="DF16" s="357" t="n"/>
      <c r="DG16" s="358" t="n"/>
      <c r="DH16" s="357" t="n"/>
      <c r="DI16" s="357" t="n"/>
      <c r="DJ16" s="358" t="n"/>
      <c r="DK16" s="357" t="n"/>
      <c r="DL16" s="357" t="n"/>
      <c r="DM16" s="358" t="n"/>
      <c r="DN16" s="357" t="n"/>
      <c r="DO16" s="357" t="n"/>
      <c r="DP16" s="358" t="n"/>
      <c r="DQ16" s="357" t="n"/>
      <c r="DR16" s="357" t="n"/>
      <c r="DS16" s="358" t="n"/>
      <c r="DT16" s="357" t="n"/>
      <c r="DU16" s="357" t="n"/>
      <c r="DV16" s="358" t="n"/>
      <c r="DW16" s="357" t="n"/>
      <c r="DX16" s="357" t="n"/>
      <c r="DY16" s="358" t="n"/>
      <c r="DZ16" s="357" t="n"/>
      <c r="EA16" s="357" t="n"/>
      <c r="EB16" s="358" t="n"/>
      <c r="EC16" s="357" t="n"/>
      <c r="ED16" s="357" t="n"/>
      <c r="EE16" s="358" t="n"/>
      <c r="EF16" s="357" t="n"/>
      <c r="EG16" s="357" t="n"/>
      <c r="EH16" s="358" t="n"/>
      <c r="EI16" s="357" t="n"/>
      <c r="EJ16" s="357" t="n"/>
      <c r="EK16" s="358" t="n"/>
      <c r="EL16" s="357" t="n"/>
      <c r="EM16" s="357" t="n"/>
      <c r="EN16" s="358" t="n"/>
      <c r="EO16" s="357" t="n"/>
      <c r="EP16" s="357" t="n"/>
      <c r="EQ16" s="358" t="n"/>
      <c r="ER16" s="357" t="n"/>
      <c r="ES16" s="357" t="n"/>
      <c r="ET16" s="358" t="n"/>
      <c r="EU16" s="357" t="n"/>
      <c r="EV16" s="357" t="n"/>
      <c r="EW16" s="358" t="n"/>
    </row>
    <row r="17" ht="15.4" customHeight="1">
      <c r="A17" s="10" t="inlineStr">
        <is>
          <t>Jacking – Free Fall Func Chk &amp; NLG</t>
        </is>
      </c>
      <c r="B17" s="269" t="n">
        <v>46226</v>
      </c>
      <c r="C17" s="269" t="n">
        <v>46226</v>
      </c>
      <c r="D17" s="357" t="n"/>
      <c r="E17" s="357" t="n"/>
      <c r="F17" s="358" t="n"/>
      <c r="G17" s="357" t="n"/>
      <c r="H17" s="357" t="n"/>
      <c r="I17" s="358" t="n"/>
      <c r="J17" s="357" t="n"/>
      <c r="K17" s="357" t="n"/>
      <c r="L17" s="358" t="n"/>
      <c r="M17" s="357" t="n"/>
      <c r="N17" s="357" t="n"/>
      <c r="O17" s="358" t="n"/>
      <c r="P17" s="357" t="n"/>
      <c r="Q17" s="357" t="n"/>
      <c r="R17" s="358" t="n"/>
      <c r="S17" s="357" t="inlineStr">
        <is>
          <t>23-Jul</t>
        </is>
      </c>
      <c r="T17" s="357" t="n"/>
      <c r="U17" s="358" t="n"/>
      <c r="V17" s="357" t="n"/>
      <c r="W17" s="357" t="n"/>
      <c r="X17" s="358" t="n"/>
      <c r="Y17" s="357" t="n"/>
      <c r="Z17" s="357" t="n"/>
      <c r="AA17" s="358" t="n"/>
      <c r="AB17" s="357" t="n"/>
      <c r="AC17" s="357" t="n"/>
      <c r="AD17" s="358" t="n"/>
      <c r="AE17" s="357" t="n"/>
      <c r="AF17" s="357" t="n"/>
      <c r="AG17" s="358" t="n"/>
      <c r="AH17" s="357" t="n"/>
      <c r="AI17" s="357" t="n"/>
      <c r="AJ17" s="358" t="n"/>
      <c r="AK17" s="357" t="n"/>
      <c r="AL17" s="357" t="n"/>
      <c r="AM17" s="358" t="n"/>
      <c r="AN17" s="357" t="n"/>
      <c r="AO17" s="357" t="n"/>
      <c r="AP17" s="358" t="n"/>
      <c r="AQ17" s="357" t="n"/>
      <c r="AR17" s="357" t="n"/>
      <c r="AS17" s="358" t="n"/>
      <c r="AT17" s="357" t="n"/>
      <c r="AU17" s="357" t="n"/>
      <c r="AV17" s="358" t="n"/>
      <c r="AW17" s="357" t="n"/>
      <c r="AX17" s="357" t="n"/>
      <c r="AY17" s="358" t="n"/>
      <c r="AZ17" s="357" t="n"/>
      <c r="BA17" s="357" t="n"/>
      <c r="BB17" s="358" t="n"/>
      <c r="BC17" s="357" t="n"/>
      <c r="BD17" s="357" t="n"/>
      <c r="BE17" s="358" t="n"/>
      <c r="BF17" s="357" t="n"/>
      <c r="BG17" s="357" t="n"/>
      <c r="BH17" s="358" t="n"/>
      <c r="BI17" s="357" t="n"/>
      <c r="BJ17" s="357" t="n"/>
      <c r="BK17" s="358" t="n"/>
      <c r="BL17" s="357" t="n"/>
      <c r="BM17" s="357" t="n"/>
      <c r="BN17" s="358" t="n"/>
      <c r="BO17" s="357" t="n"/>
      <c r="BP17" s="357" t="n"/>
      <c r="BQ17" s="358" t="n"/>
      <c r="BR17" s="357" t="n"/>
      <c r="BS17" s="357" t="n"/>
      <c r="BT17" s="358" t="n"/>
      <c r="BU17" s="357" t="n"/>
      <c r="BV17" s="357" t="n"/>
      <c r="BW17" s="358" t="n"/>
      <c r="BX17" s="357" t="n"/>
      <c r="BY17" s="357" t="n"/>
      <c r="BZ17" s="358" t="n"/>
      <c r="CA17" s="357" t="n"/>
      <c r="CB17" s="357" t="n"/>
      <c r="CC17" s="358" t="n"/>
      <c r="CD17" s="357" t="n"/>
      <c r="CE17" s="357" t="n"/>
      <c r="CF17" s="358" t="n"/>
      <c r="CG17" s="357" t="n"/>
      <c r="CH17" s="357" t="n"/>
      <c r="CI17" s="358" t="n"/>
      <c r="CJ17" s="357" t="n"/>
      <c r="CK17" s="357" t="n"/>
      <c r="CL17" s="358" t="n"/>
      <c r="CM17" s="357" t="n"/>
      <c r="CN17" s="357" t="n"/>
      <c r="CO17" s="358" t="n"/>
      <c r="CP17" s="357" t="n"/>
      <c r="CQ17" s="357" t="n"/>
      <c r="CR17" s="358" t="n"/>
      <c r="CS17" s="357" t="n"/>
      <c r="CT17" s="357" t="n"/>
      <c r="CU17" s="358" t="n"/>
      <c r="CV17" s="357" t="n"/>
      <c r="CW17" s="357" t="n"/>
      <c r="CX17" s="358" t="n"/>
      <c r="CY17" s="357" t="n"/>
      <c r="CZ17" s="357" t="n"/>
      <c r="DA17" s="358" t="n"/>
      <c r="DB17" s="357" t="n"/>
      <c r="DC17" s="357" t="n"/>
      <c r="DD17" s="358" t="n"/>
      <c r="DE17" s="357" t="n"/>
      <c r="DF17" s="357" t="n"/>
      <c r="DG17" s="358" t="n"/>
      <c r="DH17" s="357" t="n"/>
      <c r="DI17" s="357" t="n"/>
      <c r="DJ17" s="358" t="n"/>
      <c r="DK17" s="357" t="n"/>
      <c r="DL17" s="357" t="n"/>
      <c r="DM17" s="358" t="n"/>
      <c r="DN17" s="357" t="n"/>
      <c r="DO17" s="357" t="n"/>
      <c r="DP17" s="358" t="n"/>
      <c r="DQ17" s="357" t="n"/>
      <c r="DR17" s="357" t="n"/>
      <c r="DS17" s="358" t="n"/>
      <c r="DT17" s="357" t="n"/>
      <c r="DU17" s="357" t="n"/>
      <c r="DV17" s="358" t="n"/>
      <c r="DW17" s="357" t="n"/>
      <c r="DX17" s="357" t="n"/>
      <c r="DY17" s="358" t="n"/>
      <c r="DZ17" s="357" t="n"/>
      <c r="EA17" s="357" t="n"/>
      <c r="EB17" s="358" t="n"/>
      <c r="EC17" s="357" t="n"/>
      <c r="ED17" s="357" t="n"/>
      <c r="EE17" s="358" t="n"/>
      <c r="EF17" s="357" t="n"/>
      <c r="EG17" s="357" t="n"/>
      <c r="EH17" s="358" t="n"/>
      <c r="EI17" s="357" t="n"/>
      <c r="EJ17" s="357" t="n"/>
      <c r="EK17" s="358" t="n"/>
      <c r="EL17" s="357" t="n"/>
      <c r="EM17" s="357" t="n"/>
      <c r="EN17" s="358" t="n"/>
      <c r="EO17" s="357" t="n"/>
      <c r="EP17" s="357" t="n"/>
      <c r="EQ17" s="358" t="n"/>
      <c r="ER17" s="357" t="n"/>
      <c r="ES17" s="357" t="n"/>
      <c r="ET17" s="358" t="n"/>
      <c r="EU17" s="357" t="n"/>
      <c r="EV17" s="357" t="n"/>
      <c r="EW17" s="358" t="n"/>
    </row>
    <row r="18" ht="15.4" customHeight="1">
      <c r="A18" s="10" t="inlineStr">
        <is>
          <t>Power Off</t>
        </is>
      </c>
      <c r="B18" s="269" t="n">
        <v>46229</v>
      </c>
      <c r="C18" s="269" t="n">
        <v>46236</v>
      </c>
      <c r="D18" s="357" t="n"/>
      <c r="E18" s="357" t="n"/>
      <c r="F18" s="358" t="n"/>
      <c r="G18" s="357" t="n"/>
      <c r="H18" s="357" t="n"/>
      <c r="I18" s="358" t="n"/>
      <c r="J18" s="357" t="n"/>
      <c r="K18" s="357" t="n"/>
      <c r="L18" s="358" t="n"/>
      <c r="M18" s="357" t="n"/>
      <c r="N18" s="357" t="n"/>
      <c r="O18" s="358" t="n"/>
      <c r="P18" s="357" t="n"/>
      <c r="Q18" s="357" t="n"/>
      <c r="R18" s="358" t="n"/>
      <c r="S18" s="357" t="n"/>
      <c r="T18" s="357" t="n"/>
      <c r="U18" s="358" t="n"/>
      <c r="V18" s="357" t="n"/>
      <c r="W18" s="357" t="n"/>
      <c r="X18" s="358" t="n"/>
      <c r="Y18" s="357" t="n"/>
      <c r="Z18" s="357" t="n"/>
      <c r="AA18" s="358" t="n"/>
      <c r="AB18" s="357" t="n"/>
      <c r="AC18" s="357" t="n"/>
      <c r="AD18" s="358" t="n"/>
      <c r="AE18" s="357" t="n"/>
      <c r="AF18" s="357" t="n"/>
      <c r="AG18" s="358" t="n"/>
      <c r="AH18" s="357" t="n"/>
      <c r="AI18" s="357" t="n"/>
      <c r="AJ18" s="358" t="n"/>
      <c r="AK18" s="357" t="n"/>
      <c r="AL18" s="357" t="n"/>
      <c r="AM18" s="358" t="n"/>
      <c r="AN18" s="357" t="n"/>
      <c r="AO18" s="357" t="n"/>
      <c r="AP18" s="358" t="n"/>
      <c r="AQ18" s="357" t="n"/>
      <c r="AR18" s="357" t="n"/>
      <c r="AS18" s="358" t="n"/>
      <c r="AT18" s="357" t="n"/>
      <c r="AU18" s="357" t="n"/>
      <c r="AV18" s="358" t="n"/>
      <c r="AW18" s="357" t="inlineStr">
        <is>
          <t>2-Aug</t>
        </is>
      </c>
      <c r="AX18" s="357" t="n"/>
      <c r="AY18" s="358" t="n"/>
      <c r="AZ18" s="357" t="n"/>
      <c r="BA18" s="357" t="n"/>
      <c r="BB18" s="358" t="n"/>
      <c r="BC18" s="357" t="n"/>
      <c r="BD18" s="357" t="n"/>
      <c r="BE18" s="358" t="n"/>
      <c r="BF18" s="357" t="n"/>
      <c r="BG18" s="357" t="n"/>
      <c r="BH18" s="358" t="n"/>
      <c r="BI18" s="357" t="n"/>
      <c r="BJ18" s="357" t="n"/>
      <c r="BK18" s="358" t="n"/>
      <c r="BL18" s="357" t="n"/>
      <c r="BM18" s="357" t="n"/>
      <c r="BN18" s="358" t="n"/>
      <c r="BO18" s="357" t="n"/>
      <c r="BP18" s="357" t="n"/>
      <c r="BQ18" s="358" t="n"/>
      <c r="BR18" s="357" t="n"/>
      <c r="BS18" s="357" t="n"/>
      <c r="BT18" s="358" t="n"/>
      <c r="BU18" s="357" t="n"/>
      <c r="BV18" s="357" t="n"/>
      <c r="BW18" s="358" t="n"/>
      <c r="BX18" s="357" t="n"/>
      <c r="BY18" s="357" t="n"/>
      <c r="BZ18" s="358" t="n"/>
      <c r="CA18" s="357" t="n"/>
      <c r="CB18" s="357" t="n"/>
      <c r="CC18" s="358" t="n"/>
      <c r="CD18" s="357" t="n"/>
      <c r="CE18" s="357" t="n"/>
      <c r="CF18" s="358" t="n"/>
      <c r="CG18" s="357" t="n"/>
      <c r="CH18" s="357" t="n"/>
      <c r="CI18" s="358" t="n"/>
      <c r="CJ18" s="357" t="n"/>
      <c r="CK18" s="357" t="n"/>
      <c r="CL18" s="358" t="n"/>
      <c r="CM18" s="357" t="n"/>
      <c r="CN18" s="357" t="n"/>
      <c r="CO18" s="358" t="n"/>
      <c r="CP18" s="357" t="n"/>
      <c r="CQ18" s="357" t="n"/>
      <c r="CR18" s="358" t="n"/>
      <c r="CS18" s="357" t="n"/>
      <c r="CT18" s="357" t="n"/>
      <c r="CU18" s="358" t="n"/>
      <c r="CV18" s="357" t="n"/>
      <c r="CW18" s="357" t="n"/>
      <c r="CX18" s="358" t="n"/>
      <c r="CY18" s="357" t="n"/>
      <c r="CZ18" s="357" t="n"/>
      <c r="DA18" s="358" t="n"/>
      <c r="DB18" s="357" t="n"/>
      <c r="DC18" s="357" t="n"/>
      <c r="DD18" s="358" t="n"/>
      <c r="DE18" s="357" t="n"/>
      <c r="DF18" s="357" t="n"/>
      <c r="DG18" s="358" t="n"/>
      <c r="DH18" s="357" t="n"/>
      <c r="DI18" s="357" t="n"/>
      <c r="DJ18" s="358" t="n"/>
      <c r="DK18" s="357" t="n"/>
      <c r="DL18" s="357" t="n"/>
      <c r="DM18" s="358" t="n"/>
      <c r="DN18" s="357" t="n"/>
      <c r="DO18" s="357" t="n"/>
      <c r="DP18" s="358" t="n"/>
      <c r="DQ18" s="357" t="n"/>
      <c r="DR18" s="357" t="n"/>
      <c r="DS18" s="358" t="n"/>
      <c r="DT18" s="357" t="n"/>
      <c r="DU18" s="357" t="n"/>
      <c r="DV18" s="358" t="n"/>
      <c r="DW18" s="357" t="n"/>
      <c r="DX18" s="357" t="n"/>
      <c r="DY18" s="358" t="n"/>
      <c r="DZ18" s="357" t="n"/>
      <c r="EA18" s="357" t="n"/>
      <c r="EB18" s="358" t="n"/>
      <c r="EC18" s="357" t="n"/>
      <c r="ED18" s="357" t="n"/>
      <c r="EE18" s="358" t="n"/>
      <c r="EF18" s="357" t="n"/>
      <c r="EG18" s="357" t="n"/>
      <c r="EH18" s="358" t="n"/>
      <c r="EI18" s="357" t="n"/>
      <c r="EJ18" s="357" t="n"/>
      <c r="EK18" s="358" t="n"/>
      <c r="EL18" s="357" t="n"/>
      <c r="EM18" s="357" t="n"/>
      <c r="EN18" s="358" t="n"/>
      <c r="EO18" s="357" t="n"/>
      <c r="EP18" s="357" t="n"/>
      <c r="EQ18" s="358" t="n"/>
      <c r="ER18" s="357" t="n"/>
      <c r="ES18" s="357" t="n"/>
      <c r="ET18" s="358" t="n"/>
      <c r="EU18" s="357" t="n"/>
      <c r="EV18" s="357" t="n"/>
      <c r="EW18" s="358" t="n"/>
    </row>
    <row r="19" ht="15.4" customHeight="1">
      <c r="A19" s="50" t="inlineStr">
        <is>
          <t>FINDING CUT-OFF</t>
        </is>
      </c>
      <c r="B19" s="278" t="n">
        <v>46235</v>
      </c>
      <c r="C19" s="268" t="n"/>
      <c r="D19" s="370">
        <f>IF((DASHBOARD!$M$1+INT((COLUMN()-4)/3))=INT($B$19),"◆ "&amp;TEXT($B$19,"D-MMM"),"")</f>
        <v/>
      </c>
      <c r="E19" s="357" t="n"/>
      <c r="F19" s="358" t="n"/>
      <c r="G19" s="370">
        <f>IF((DASHBOARD!$M$1+INT((COLUMN()-4)/3))=INT($B$19),"◆ "&amp;TEXT($B$19,"D-MMM"),"")</f>
        <v/>
      </c>
      <c r="H19" s="357" t="n"/>
      <c r="I19" s="358" t="n"/>
      <c r="J19" s="370">
        <f>IF((DASHBOARD!$M$1+INT((COLUMN()-4)/3))=INT($B$19),"◆ "&amp;TEXT($B$19,"D-MMM"),"")</f>
        <v/>
      </c>
      <c r="K19" s="357" t="n"/>
      <c r="L19" s="358" t="n"/>
      <c r="M19" s="370">
        <f>IF((DASHBOARD!$M$1+INT((COLUMN()-4)/3))=INT($B$19),"◆ "&amp;TEXT($B$19,"D-MMM"),"")</f>
        <v/>
      </c>
      <c r="N19" s="357" t="n"/>
      <c r="O19" s="358" t="n"/>
      <c r="P19" s="370">
        <f>IF((DASHBOARD!$M$1+INT((COLUMN()-4)/3))=INT($B$19),"◆ "&amp;TEXT($B$19,"D-MMM"),"")</f>
        <v/>
      </c>
      <c r="Q19" s="357" t="n"/>
      <c r="R19" s="358" t="n"/>
      <c r="S19" s="370">
        <f>IF((DASHBOARD!$M$1+INT((COLUMN()-4)/3))=INT($B$19),"◆ "&amp;TEXT($B$19,"D-MMM"),"")</f>
        <v/>
      </c>
      <c r="T19" s="357" t="n"/>
      <c r="U19" s="358" t="n"/>
      <c r="V19" s="370">
        <f>IF((DASHBOARD!$M$1+INT((COLUMN()-4)/3))=INT($B$19),"◆ "&amp;TEXT($B$19,"D-MMM"),"")</f>
        <v/>
      </c>
      <c r="W19" s="357" t="n"/>
      <c r="X19" s="358" t="n"/>
      <c r="Y19" s="370">
        <f>IF((DASHBOARD!$M$1+INT((COLUMN()-4)/3))=INT($B$19),"◆ "&amp;TEXT($B$19,"D-MMM"),"")</f>
        <v/>
      </c>
      <c r="Z19" s="357" t="n"/>
      <c r="AA19" s="358" t="n"/>
      <c r="AB19" s="370">
        <f>IF((DASHBOARD!$M$1+INT((COLUMN()-4)/3))=INT($B$19),"◆ "&amp;TEXT($B$19,"D-MMM"),"")</f>
        <v/>
      </c>
      <c r="AC19" s="357" t="n"/>
      <c r="AD19" s="358" t="n"/>
      <c r="AE19" s="370">
        <f>IF((DASHBOARD!$M$1+INT((COLUMN()-4)/3))=INT($B$19),"◆ "&amp;TEXT($B$19,"D-MMM"),"")</f>
        <v/>
      </c>
      <c r="AF19" s="357" t="n"/>
      <c r="AG19" s="358" t="n"/>
      <c r="AH19" s="370">
        <f>IF((DASHBOARD!$M$1+INT((COLUMN()-4)/3))=INT($B$19),"◆ "&amp;TEXT($B$19,"D-MMM"),"")</f>
        <v/>
      </c>
      <c r="AI19" s="357" t="n"/>
      <c r="AJ19" s="358" t="n"/>
      <c r="AK19" s="370">
        <f>IF((DASHBOARD!$M$1+INT((COLUMN()-4)/3))=INT($B$19),"◆ "&amp;TEXT($B$19,"D-MMM"),"")</f>
        <v/>
      </c>
      <c r="AL19" s="357" t="n"/>
      <c r="AM19" s="358" t="n"/>
      <c r="AN19" s="370">
        <f>IF((DASHBOARD!$M$1+INT((COLUMN()-4)/3))=INT($B$19),"◆ "&amp;TEXT($B$19,"D-MMM"),"")</f>
        <v/>
      </c>
      <c r="AO19" s="357" t="n"/>
      <c r="AP19" s="358" t="n"/>
      <c r="AQ19" s="370">
        <f>IF((DASHBOARD!$M$1+INT((COLUMN()-4)/3))=INT($B$19),"◆ "&amp;TEXT($B$19,"D-MMM"),"")</f>
        <v/>
      </c>
      <c r="AR19" s="357" t="n"/>
      <c r="AS19" s="358" t="n"/>
      <c r="AT19" s="370">
        <f>IF((DASHBOARD!$M$1+INT((COLUMN()-4)/3))=INT($B$19),"◆ "&amp;TEXT($B$19,"D-MMM"),"")</f>
        <v/>
      </c>
      <c r="AU19" s="357" t="n"/>
      <c r="AV19" s="358" t="n"/>
      <c r="AW19" s="370">
        <f>IF((DASHBOARD!$M$1+INT((COLUMN()-4)/3))=INT($B$19),"◆ "&amp;TEXT($B$19,"D-MMM"),"")</f>
        <v/>
      </c>
      <c r="AX19" s="357" t="n"/>
      <c r="AY19" s="358" t="n"/>
      <c r="AZ19" s="370">
        <f>IF((DASHBOARD!$M$1+INT((COLUMN()-4)/3))=INT($B$19),"◆ "&amp;TEXT($B$19,"D-MMM"),"")</f>
        <v/>
      </c>
      <c r="BA19" s="357" t="n"/>
      <c r="BB19" s="358" t="n"/>
      <c r="BC19" s="370">
        <f>IF((DASHBOARD!$M$1+INT((COLUMN()-4)/3))=INT($B$19),"◆ "&amp;TEXT($B$19,"D-MMM"),"")</f>
        <v/>
      </c>
      <c r="BD19" s="357" t="n"/>
      <c r="BE19" s="358" t="n"/>
      <c r="BF19" s="370">
        <f>IF((DASHBOARD!$M$1+INT((COLUMN()-4)/3))=INT($B$19),"◆ "&amp;TEXT($B$19,"D-MMM"),"")</f>
        <v/>
      </c>
      <c r="BG19" s="357" t="n"/>
      <c r="BH19" s="358" t="n"/>
      <c r="BI19" s="370">
        <f>IF((DASHBOARD!$M$1+INT((COLUMN()-4)/3))=INT($B$19),"◆ "&amp;TEXT($B$19,"D-MMM"),"")</f>
        <v/>
      </c>
      <c r="BJ19" s="357" t="n"/>
      <c r="BK19" s="358" t="n"/>
      <c r="BL19" s="370">
        <f>IF((DASHBOARD!$M$1+INT((COLUMN()-4)/3))=INT($B$19),"◆ "&amp;TEXT($B$19,"D-MMM"),"")</f>
        <v/>
      </c>
      <c r="BM19" s="357" t="n"/>
      <c r="BN19" s="358" t="n"/>
      <c r="BO19" s="370">
        <f>IF((DASHBOARD!$M$1+INT((COLUMN()-4)/3))=INT($B$19),"◆ "&amp;TEXT($B$19,"D-MMM"),"")</f>
        <v/>
      </c>
      <c r="BP19" s="357" t="n"/>
      <c r="BQ19" s="358" t="n"/>
      <c r="BR19" s="370">
        <f>IF((DASHBOARD!$M$1+INT((COLUMN()-4)/3))=INT($B$19),"◆ "&amp;TEXT($B$19,"D-MMM"),"")</f>
        <v/>
      </c>
      <c r="BS19" s="357" t="n"/>
      <c r="BT19" s="358" t="n"/>
      <c r="BU19" s="370">
        <f>IF((DASHBOARD!$M$1+INT((COLUMN()-4)/3))=INT($B$19),"◆ "&amp;TEXT($B$19,"D-MMM"),"")</f>
        <v/>
      </c>
      <c r="BV19" s="357" t="n"/>
      <c r="BW19" s="358" t="n"/>
      <c r="BX19" s="370">
        <f>IF((DASHBOARD!$M$1+INT((COLUMN()-4)/3))=INT($B$19),"◆ "&amp;TEXT($B$19,"D-MMM"),"")</f>
        <v/>
      </c>
      <c r="BY19" s="357" t="n"/>
      <c r="BZ19" s="358" t="n"/>
      <c r="CA19" s="370">
        <f>IF((DASHBOARD!$M$1+INT((COLUMN()-4)/3))=INT($B$19),"◆ "&amp;TEXT($B$19,"D-MMM"),"")</f>
        <v/>
      </c>
      <c r="CB19" s="357" t="n"/>
      <c r="CC19" s="358" t="n"/>
      <c r="CD19" s="370">
        <f>IF((DASHBOARD!$M$1+INT((COLUMN()-4)/3))=INT($B$19),"◆ "&amp;TEXT($B$19,"D-MMM"),"")</f>
        <v/>
      </c>
      <c r="CE19" s="357" t="n"/>
      <c r="CF19" s="358" t="n"/>
      <c r="CG19" s="370">
        <f>IF((DASHBOARD!$M$1+INT((COLUMN()-4)/3))=INT($B$19),"◆ "&amp;TEXT($B$19,"D-MMM"),"")</f>
        <v/>
      </c>
      <c r="CH19" s="357" t="n"/>
      <c r="CI19" s="358" t="n"/>
      <c r="CJ19" s="370">
        <f>IF((DASHBOARD!$M$1+INT((COLUMN()-4)/3))=INT($B$19),"◆ "&amp;TEXT($B$19,"D-MMM"),"")</f>
        <v/>
      </c>
      <c r="CK19" s="357" t="n"/>
      <c r="CL19" s="358" t="n"/>
      <c r="CM19" s="370">
        <f>IF((DASHBOARD!$M$1+INT((COLUMN()-4)/3))=INT($B$19),"◆ "&amp;TEXT($B$19,"D-MMM"),"")</f>
        <v/>
      </c>
      <c r="CN19" s="357" t="n"/>
      <c r="CO19" s="358" t="n"/>
      <c r="CP19" s="370">
        <f>IF((DASHBOARD!$M$1+INT((COLUMN()-4)/3))=INT($B$19),"◆ "&amp;TEXT($B$19,"D-MMM"),"")</f>
        <v/>
      </c>
      <c r="CQ19" s="357" t="n"/>
      <c r="CR19" s="358" t="n"/>
      <c r="CS19" s="370">
        <f>IF((DASHBOARD!$M$1+INT((COLUMN()-4)/3))=INT($B$19),"◆ "&amp;TEXT($B$19,"D-MMM"),"")</f>
        <v/>
      </c>
      <c r="CT19" s="357" t="n"/>
      <c r="CU19" s="358" t="n"/>
      <c r="CV19" s="370">
        <f>IF((DASHBOARD!$M$1+INT((COLUMN()-4)/3))=INT($B$19),"◆ "&amp;TEXT($B$19,"D-MMM"),"")</f>
        <v/>
      </c>
      <c r="CW19" s="357" t="n"/>
      <c r="CX19" s="358" t="n"/>
      <c r="CY19" s="370">
        <f>IF((DASHBOARD!$M$1+INT((COLUMN()-4)/3))=INT($B$19),"◆ "&amp;TEXT($B$19,"D-MMM"),"")</f>
        <v/>
      </c>
      <c r="CZ19" s="357" t="n"/>
      <c r="DA19" s="358" t="n"/>
      <c r="DB19" s="370">
        <f>IF((DASHBOARD!$M$1+INT((COLUMN()-4)/3))=INT($B$19),"◆ "&amp;TEXT($B$19,"D-MMM"),"")</f>
        <v/>
      </c>
      <c r="DC19" s="357" t="n"/>
      <c r="DD19" s="358" t="n"/>
      <c r="DE19" s="370">
        <f>IF((DASHBOARD!$M$1+INT((COLUMN()-4)/3))=INT($B$19),"◆ "&amp;TEXT($B$19,"D-MMM"),"")</f>
        <v/>
      </c>
      <c r="DF19" s="357" t="n"/>
      <c r="DG19" s="358" t="n"/>
      <c r="DH19" s="370">
        <f>IF((DASHBOARD!$M$1+INT((COLUMN()-4)/3))=INT($B$19),"◆ "&amp;TEXT($B$19,"D-MMM"),"")</f>
        <v/>
      </c>
      <c r="DI19" s="357" t="n"/>
      <c r="DJ19" s="358" t="n"/>
      <c r="DK19" s="370">
        <f>IF((DASHBOARD!$M$1+INT((COLUMN()-4)/3))=INT($B$19),"◆ "&amp;TEXT($B$19,"D-MMM"),"")</f>
        <v/>
      </c>
      <c r="DL19" s="357" t="n"/>
      <c r="DM19" s="358" t="n"/>
      <c r="DN19" s="370">
        <f>IF((DASHBOARD!$M$1+INT((COLUMN()-4)/3))=INT($B$19),"◆ "&amp;TEXT($B$19,"D-MMM"),"")</f>
        <v/>
      </c>
      <c r="DO19" s="357" t="n"/>
      <c r="DP19" s="358" t="n"/>
      <c r="DQ19" s="370">
        <f>IF((DASHBOARD!$M$1+INT((COLUMN()-4)/3))=INT($B$19),"◆ "&amp;TEXT($B$19,"D-MMM"),"")</f>
        <v/>
      </c>
      <c r="DR19" s="357" t="n"/>
      <c r="DS19" s="358" t="n"/>
      <c r="DT19" s="370">
        <f>IF((DASHBOARD!$M$1+INT((COLUMN()-4)/3))=INT($B$19),"◆ "&amp;TEXT($B$19,"D-MMM"),"")</f>
        <v/>
      </c>
      <c r="DU19" s="357" t="n"/>
      <c r="DV19" s="358" t="n"/>
      <c r="DW19" s="370">
        <f>IF((DASHBOARD!$M$1+INT((COLUMN()-4)/3))=INT($B$19),"◆ "&amp;TEXT($B$19,"D-MMM"),"")</f>
        <v/>
      </c>
      <c r="DX19" s="357" t="n"/>
      <c r="DY19" s="358" t="n"/>
      <c r="DZ19" s="370">
        <f>IF((DASHBOARD!$M$1+INT((COLUMN()-4)/3))=INT($B$19),"◆ "&amp;TEXT($B$19,"D-MMM"),"")</f>
        <v/>
      </c>
      <c r="EA19" s="357" t="n"/>
      <c r="EB19" s="358" t="n"/>
      <c r="EC19" s="370">
        <f>IF((DASHBOARD!$M$1+INT((COLUMN()-4)/3))=INT($B$19),"◆ "&amp;TEXT($B$19,"D-MMM"),"")</f>
        <v/>
      </c>
      <c r="ED19" s="357" t="n"/>
      <c r="EE19" s="358" t="n"/>
      <c r="EF19" s="370">
        <f>IF((DASHBOARD!$M$1+INT((COLUMN()-4)/3))=INT($B$19),"◆ "&amp;TEXT($B$19,"D-MMM"),"")</f>
        <v/>
      </c>
      <c r="EG19" s="357" t="n"/>
      <c r="EH19" s="358" t="n"/>
      <c r="EI19" s="370">
        <f>IF((DASHBOARD!$M$1+INT((COLUMN()-4)/3))=INT($B$19),"◆ "&amp;TEXT($B$19,"D-MMM"),"")</f>
        <v/>
      </c>
      <c r="EJ19" s="357" t="n"/>
      <c r="EK19" s="358" t="n"/>
      <c r="EL19" s="370">
        <f>IF((DASHBOARD!$M$1+INT((COLUMN()-4)/3))=INT($B$19),"◆ "&amp;TEXT($B$19,"D-MMM"),"")</f>
        <v/>
      </c>
      <c r="EM19" s="357" t="n"/>
      <c r="EN19" s="358" t="n"/>
      <c r="EO19" s="370">
        <f>IF((DASHBOARD!$M$1+INT((COLUMN()-4)/3))=INT($B$19),"◆ "&amp;TEXT($B$19,"D-MMM"),"")</f>
        <v/>
      </c>
      <c r="EP19" s="357" t="n"/>
      <c r="EQ19" s="358" t="n"/>
      <c r="ER19" s="370">
        <f>IF((DASHBOARD!$M$1+INT((COLUMN()-4)/3))=INT($B$19),"◆ "&amp;TEXT($B$19,"D-MMM"),"")</f>
        <v/>
      </c>
      <c r="ES19" s="357" t="n"/>
      <c r="ET19" s="358" t="n"/>
      <c r="EU19" s="370">
        <f>IF((DASHBOARD!$M$1+INT((COLUMN()-4)/3))=INT($B$19),"◆ "&amp;TEXT($B$19,"D-MMM"),"")</f>
        <v/>
      </c>
      <c r="EV19" s="357" t="n"/>
      <c r="EW19" s="358" t="n"/>
    </row>
    <row r="20" ht="15.4" customHeight="1">
      <c r="A20" s="266" t="inlineStr">
        <is>
          <t>PHASE 3  (Modification &amp; Rectification)</t>
        </is>
      </c>
      <c r="B20" s="267" t="n"/>
      <c r="C20" s="268" t="n"/>
      <c r="D20" s="357" t="n"/>
      <c r="E20" s="357" t="n"/>
      <c r="F20" s="358" t="n"/>
      <c r="G20" s="357" t="n"/>
      <c r="H20" s="357" t="n"/>
      <c r="I20" s="358" t="n"/>
      <c r="J20" s="357" t="n"/>
      <c r="K20" s="357" t="n"/>
      <c r="L20" s="358" t="n"/>
      <c r="M20" s="357" t="n"/>
      <c r="N20" s="357" t="n"/>
      <c r="O20" s="358" t="n"/>
      <c r="P20" s="357" t="n"/>
      <c r="Q20" s="357" t="n"/>
      <c r="R20" s="358" t="n"/>
      <c r="S20" s="357" t="n"/>
      <c r="T20" s="357" t="n"/>
      <c r="U20" s="358" t="n"/>
      <c r="V20" s="357" t="n"/>
      <c r="W20" s="357" t="n"/>
      <c r="X20" s="358" t="n"/>
      <c r="Y20" s="357" t="n"/>
      <c r="Z20" s="357" t="n"/>
      <c r="AA20" s="358" t="n"/>
      <c r="AB20" s="357" t="n"/>
      <c r="AC20" s="357" t="n"/>
      <c r="AD20" s="358" t="n"/>
      <c r="AE20" s="357" t="n"/>
      <c r="AF20" s="357" t="n"/>
      <c r="AG20" s="358" t="n"/>
      <c r="AH20" s="357" t="n"/>
      <c r="AI20" s="357" t="n"/>
      <c r="AJ20" s="358" t="n"/>
      <c r="AK20" s="357" t="n"/>
      <c r="AL20" s="357" t="n"/>
      <c r="AM20" s="358" t="n"/>
      <c r="AN20" s="357" t="n"/>
      <c r="AO20" s="357" t="n"/>
      <c r="AP20" s="358" t="n"/>
      <c r="AQ20" s="357" t="n"/>
      <c r="AR20" s="357" t="n"/>
      <c r="AS20" s="358" t="n"/>
      <c r="AT20" s="357" t="n"/>
      <c r="AU20" s="357" t="n"/>
      <c r="AV20" s="358" t="n"/>
      <c r="AW20" s="357" t="n"/>
      <c r="AX20" s="357" t="n"/>
      <c r="AY20" s="358" t="n"/>
      <c r="AZ20" s="357" t="n"/>
      <c r="BA20" s="357" t="n"/>
      <c r="BB20" s="358" t="n"/>
      <c r="BC20" s="357" t="n"/>
      <c r="BD20" s="357" t="n"/>
      <c r="BE20" s="358" t="n"/>
      <c r="BF20" s="357" t="n"/>
      <c r="BG20" s="357" t="n"/>
      <c r="BH20" s="358" t="n"/>
      <c r="BI20" s="357" t="n"/>
      <c r="BJ20" s="357" t="n"/>
      <c r="BK20" s="358" t="n"/>
      <c r="BL20" s="357" t="n"/>
      <c r="BM20" s="357" t="n"/>
      <c r="BN20" s="358" t="n"/>
      <c r="BO20" s="357" t="n"/>
      <c r="BP20" s="357" t="n"/>
      <c r="BQ20" s="358" t="n"/>
      <c r="BR20" s="357" t="n"/>
      <c r="BS20" s="357" t="n"/>
      <c r="BT20" s="358" t="n"/>
      <c r="BU20" s="357" t="n"/>
      <c r="BV20" s="357" t="n"/>
      <c r="BW20" s="358" t="n"/>
      <c r="BX20" s="357" t="n"/>
      <c r="BY20" s="357" t="n"/>
      <c r="BZ20" s="358" t="n"/>
      <c r="CA20" s="357" t="n"/>
      <c r="CB20" s="357" t="n"/>
      <c r="CC20" s="358" t="n"/>
      <c r="CD20" s="357" t="n"/>
      <c r="CE20" s="357" t="n"/>
      <c r="CF20" s="358" t="n"/>
      <c r="CG20" s="357" t="n"/>
      <c r="CH20" s="357" t="n"/>
      <c r="CI20" s="358" t="n"/>
      <c r="CJ20" s="357" t="n"/>
      <c r="CK20" s="357" t="n"/>
      <c r="CL20" s="358" t="n"/>
      <c r="CM20" s="357" t="n"/>
      <c r="CN20" s="357" t="n"/>
      <c r="CO20" s="358" t="n"/>
      <c r="CP20" s="357" t="n"/>
      <c r="CQ20" s="357" t="n"/>
      <c r="CR20" s="358" t="n"/>
      <c r="CS20" s="357" t="n"/>
      <c r="CT20" s="357" t="n"/>
      <c r="CU20" s="358" t="n"/>
      <c r="CV20" s="357" t="n"/>
      <c r="CW20" s="357" t="n"/>
      <c r="CX20" s="358" t="n"/>
      <c r="CY20" s="357" t="n"/>
      <c r="CZ20" s="357" t="n"/>
      <c r="DA20" s="358" t="n"/>
      <c r="DB20" s="357" t="n"/>
      <c r="DC20" s="357" t="n"/>
      <c r="DD20" s="358" t="n"/>
      <c r="DE20" s="357" t="n"/>
      <c r="DF20" s="357" t="n"/>
      <c r="DG20" s="358" t="n"/>
      <c r="DH20" s="357" t="n"/>
      <c r="DI20" s="357" t="n"/>
      <c r="DJ20" s="358" t="n"/>
      <c r="DK20" s="357" t="n"/>
      <c r="DL20" s="357" t="n"/>
      <c r="DM20" s="358" t="n"/>
      <c r="DN20" s="357" t="n"/>
      <c r="DO20" s="357" t="n"/>
      <c r="DP20" s="358" t="n"/>
      <c r="DQ20" s="357" t="n"/>
      <c r="DR20" s="357" t="n"/>
      <c r="DS20" s="358" t="n"/>
      <c r="DT20" s="357" t="n"/>
      <c r="DU20" s="357" t="n"/>
      <c r="DV20" s="358" t="n"/>
      <c r="DW20" s="357" t="n"/>
      <c r="DX20" s="357" t="n"/>
      <c r="DY20" s="358" t="n"/>
      <c r="DZ20" s="357" t="n"/>
      <c r="EA20" s="357" t="n"/>
      <c r="EB20" s="358" t="n"/>
      <c r="EC20" s="357" t="n"/>
      <c r="ED20" s="357" t="n"/>
      <c r="EE20" s="358" t="n"/>
      <c r="EF20" s="357" t="n"/>
      <c r="EG20" s="357" t="n"/>
      <c r="EH20" s="358" t="n"/>
      <c r="EI20" s="357" t="n"/>
      <c r="EJ20" s="357" t="n"/>
      <c r="EK20" s="358" t="n"/>
      <c r="EL20" s="357" t="n"/>
      <c r="EM20" s="357" t="n"/>
      <c r="EN20" s="358" t="n"/>
      <c r="EO20" s="357" t="n"/>
      <c r="EP20" s="357" t="n"/>
      <c r="EQ20" s="358" t="n"/>
      <c r="ER20" s="357" t="n"/>
      <c r="ES20" s="357" t="n"/>
      <c r="ET20" s="358" t="n"/>
      <c r="EU20" s="357" t="n"/>
      <c r="EV20" s="357" t="n"/>
      <c r="EW20" s="358" t="n"/>
    </row>
    <row r="21" ht="15.4" customHeight="1">
      <c r="A21" s="10" t="inlineStr">
        <is>
          <t>Findings &amp; Rectification</t>
        </is>
      </c>
      <c r="B21" s="269" t="n">
        <v>46220</v>
      </c>
      <c r="C21" s="269" t="n">
        <v>46253</v>
      </c>
      <c r="D21" s="357" t="n"/>
      <c r="E21" s="357" t="n"/>
      <c r="F21" s="358" t="n"/>
      <c r="G21" s="357" t="n"/>
      <c r="H21" s="357" t="n"/>
      <c r="I21" s="358" t="n"/>
      <c r="J21" s="357" t="n"/>
      <c r="K21" s="357" t="n"/>
      <c r="L21" s="358" t="n"/>
      <c r="M21" s="357" t="n"/>
      <c r="N21" s="357" t="n"/>
      <c r="O21" s="358" t="n"/>
      <c r="P21" s="357" t="n"/>
      <c r="Q21" s="357" t="n"/>
      <c r="R21" s="358" t="n"/>
      <c r="S21" s="357" t="n"/>
      <c r="T21" s="357" t="n"/>
      <c r="U21" s="358" t="n"/>
      <c r="V21" s="357" t="n"/>
      <c r="W21" s="357" t="n"/>
      <c r="X21" s="358" t="n"/>
      <c r="Y21" s="357" t="n"/>
      <c r="Z21" s="357" t="n"/>
      <c r="AA21" s="358" t="n"/>
      <c r="AB21" s="357" t="n"/>
      <c r="AC21" s="357" t="n"/>
      <c r="AD21" s="358" t="n"/>
      <c r="AE21" s="357" t="n"/>
      <c r="AF21" s="357" t="n"/>
      <c r="AG21" s="358" t="n"/>
      <c r="AH21" s="357" t="n"/>
      <c r="AI21" s="357" t="n"/>
      <c r="AJ21" s="358" t="n"/>
      <c r="AK21" s="357" t="n"/>
      <c r="AL21" s="357" t="n"/>
      <c r="AM21" s="358" t="n"/>
      <c r="AN21" s="357" t="n"/>
      <c r="AO21" s="357" t="n"/>
      <c r="AP21" s="358" t="n"/>
      <c r="AQ21" s="357" t="n"/>
      <c r="AR21" s="357" t="n"/>
      <c r="AS21" s="358" t="n"/>
      <c r="AT21" s="357" t="n"/>
      <c r="AU21" s="357" t="n"/>
      <c r="AV21" s="358" t="n"/>
      <c r="AW21" s="357" t="n"/>
      <c r="AX21" s="357" t="n"/>
      <c r="AY21" s="358" t="n"/>
      <c r="AZ21" s="357" t="n"/>
      <c r="BA21" s="357" t="n"/>
      <c r="BB21" s="358" t="n"/>
      <c r="BC21" s="357" t="n"/>
      <c r="BD21" s="357" t="n"/>
      <c r="BE21" s="358" t="n"/>
      <c r="BF21" s="357" t="n"/>
      <c r="BG21" s="357" t="n"/>
      <c r="BH21" s="358" t="n"/>
      <c r="BI21" s="357" t="n"/>
      <c r="BJ21" s="357" t="n"/>
      <c r="BK21" s="358" t="n"/>
      <c r="BL21" s="357" t="n"/>
      <c r="BM21" s="357" t="n"/>
      <c r="BN21" s="358" t="n"/>
      <c r="BO21" s="357" t="n"/>
      <c r="BP21" s="357" t="n"/>
      <c r="BQ21" s="358" t="n"/>
      <c r="BR21" s="357" t="n"/>
      <c r="BS21" s="357" t="n"/>
      <c r="BT21" s="358" t="n"/>
      <c r="BU21" s="357" t="n"/>
      <c r="BV21" s="357" t="n"/>
      <c r="BW21" s="358" t="n"/>
      <c r="BX21" s="357" t="n"/>
      <c r="BY21" s="357" t="n"/>
      <c r="BZ21" s="358" t="n"/>
      <c r="CA21" s="357" t="n"/>
      <c r="CB21" s="357" t="n"/>
      <c r="CC21" s="358" t="n"/>
      <c r="CD21" s="357" t="n"/>
      <c r="CE21" s="357" t="n"/>
      <c r="CF21" s="358" t="n"/>
      <c r="CG21" s="357" t="n"/>
      <c r="CH21" s="357" t="n"/>
      <c r="CI21" s="358" t="n"/>
      <c r="CJ21" s="357" t="n"/>
      <c r="CK21" s="357" t="n"/>
      <c r="CL21" s="358" t="n"/>
      <c r="CM21" s="357" t="n"/>
      <c r="CN21" s="357" t="n"/>
      <c r="CO21" s="358" t="n"/>
      <c r="CP21" s="357" t="n"/>
      <c r="CQ21" s="357" t="n"/>
      <c r="CR21" s="358" t="n"/>
      <c r="CS21" s="357" t="n"/>
      <c r="CT21" s="357" t="n"/>
      <c r="CU21" s="358" t="n"/>
      <c r="CV21" s="357" t="inlineStr">
        <is>
          <t>19-Aug</t>
        </is>
      </c>
      <c r="CW21" s="357" t="n"/>
      <c r="CX21" s="358" t="n"/>
      <c r="CY21" s="357" t="n"/>
      <c r="CZ21" s="357" t="n"/>
      <c r="DA21" s="358" t="n"/>
      <c r="DB21" s="357" t="n"/>
      <c r="DC21" s="357" t="n"/>
      <c r="DD21" s="358" t="n"/>
      <c r="DE21" s="357" t="n"/>
      <c r="DF21" s="357" t="n"/>
      <c r="DG21" s="358" t="n"/>
      <c r="DH21" s="357" t="n"/>
      <c r="DI21" s="357" t="n"/>
      <c r="DJ21" s="358" t="n"/>
      <c r="DK21" s="357" t="n"/>
      <c r="DL21" s="357" t="n"/>
      <c r="DM21" s="358" t="n"/>
      <c r="DN21" s="357" t="n"/>
      <c r="DO21" s="357" t="n"/>
      <c r="DP21" s="358" t="n"/>
      <c r="DQ21" s="357" t="n"/>
      <c r="DR21" s="357" t="n"/>
      <c r="DS21" s="358" t="n"/>
      <c r="DT21" s="357" t="n"/>
      <c r="DU21" s="357" t="n"/>
      <c r="DV21" s="358" t="n"/>
      <c r="DW21" s="357" t="n"/>
      <c r="DX21" s="357" t="n"/>
      <c r="DY21" s="358" t="n"/>
      <c r="DZ21" s="357" t="n"/>
      <c r="EA21" s="357" t="n"/>
      <c r="EB21" s="358" t="n"/>
      <c r="EC21" s="357" t="n"/>
      <c r="ED21" s="357" t="n"/>
      <c r="EE21" s="358" t="n"/>
      <c r="EF21" s="357" t="n"/>
      <c r="EG21" s="357" t="n"/>
      <c r="EH21" s="358" t="n"/>
      <c r="EI21" s="357" t="n"/>
      <c r="EJ21" s="357" t="n"/>
      <c r="EK21" s="358" t="n"/>
      <c r="EL21" s="357" t="n"/>
      <c r="EM21" s="357" t="n"/>
      <c r="EN21" s="358" t="n"/>
      <c r="EO21" s="357" t="n"/>
      <c r="EP21" s="357" t="n"/>
      <c r="EQ21" s="358" t="n"/>
      <c r="ER21" s="357" t="n"/>
      <c r="ES21" s="357" t="n"/>
      <c r="ET21" s="358" t="n"/>
      <c r="EU21" s="357" t="n"/>
      <c r="EV21" s="357" t="n"/>
      <c r="EW21" s="358" t="n"/>
    </row>
    <row r="22" ht="15.4" customHeight="1">
      <c r="A22" s="10" t="inlineStr">
        <is>
          <t>Engineering Orders Doc (EOD's / ER's)</t>
        </is>
      </c>
      <c r="B22" s="269" t="n">
        <v>46228</v>
      </c>
      <c r="C22" s="269" t="n">
        <v>46242</v>
      </c>
      <c r="D22" s="357" t="n"/>
      <c r="E22" s="357" t="n"/>
      <c r="F22" s="358" t="n"/>
      <c r="G22" s="357" t="n"/>
      <c r="H22" s="357" t="n"/>
      <c r="I22" s="358" t="n"/>
      <c r="J22" s="357" t="n"/>
      <c r="K22" s="357" t="n"/>
      <c r="L22" s="358" t="n"/>
      <c r="M22" s="357" t="n"/>
      <c r="N22" s="357" t="n"/>
      <c r="O22" s="358" t="n"/>
      <c r="P22" s="357" t="n"/>
      <c r="Q22" s="357" t="n"/>
      <c r="R22" s="358" t="n"/>
      <c r="S22" s="357" t="n"/>
      <c r="T22" s="357" t="n"/>
      <c r="U22" s="358" t="n"/>
      <c r="V22" s="357" t="n"/>
      <c r="W22" s="357" t="n"/>
      <c r="X22" s="358" t="n"/>
      <c r="Y22" s="357" t="n"/>
      <c r="Z22" s="357" t="n"/>
      <c r="AA22" s="358" t="n"/>
      <c r="AB22" s="357" t="n"/>
      <c r="AC22" s="357" t="n"/>
      <c r="AD22" s="358" t="n"/>
      <c r="AE22" s="357" t="n"/>
      <c r="AF22" s="357" t="n"/>
      <c r="AG22" s="358" t="n"/>
      <c r="AH22" s="357" t="n"/>
      <c r="AI22" s="357" t="n"/>
      <c r="AJ22" s="358" t="n"/>
      <c r="AK22" s="357" t="n"/>
      <c r="AL22" s="357" t="n"/>
      <c r="AM22" s="358" t="n"/>
      <c r="AN22" s="357" t="n"/>
      <c r="AO22" s="357" t="n"/>
      <c r="AP22" s="358" t="n"/>
      <c r="AQ22" s="357" t="n"/>
      <c r="AR22" s="357" t="n"/>
      <c r="AS22" s="358" t="n"/>
      <c r="AT22" s="357" t="n"/>
      <c r="AU22" s="357" t="n"/>
      <c r="AV22" s="358" t="n"/>
      <c r="AW22" s="357" t="n"/>
      <c r="AX22" s="357" t="n"/>
      <c r="AY22" s="358" t="n"/>
      <c r="AZ22" s="357" t="n"/>
      <c r="BA22" s="357" t="n"/>
      <c r="BB22" s="358" t="n"/>
      <c r="BC22" s="357" t="n"/>
      <c r="BD22" s="357" t="n"/>
      <c r="BE22" s="358" t="n"/>
      <c r="BF22" s="357" t="n"/>
      <c r="BG22" s="357" t="n"/>
      <c r="BH22" s="358" t="n"/>
      <c r="BI22" s="357" t="n"/>
      <c r="BJ22" s="357" t="n"/>
      <c r="BK22" s="358" t="n"/>
      <c r="BL22" s="357" t="n"/>
      <c r="BM22" s="357" t="n"/>
      <c r="BN22" s="358" t="n"/>
      <c r="BO22" s="357" t="inlineStr">
        <is>
          <t>8-Aug</t>
        </is>
      </c>
      <c r="BP22" s="357" t="n"/>
      <c r="BQ22" s="358" t="n"/>
      <c r="BR22" s="357" t="n"/>
      <c r="BS22" s="357" t="n"/>
      <c r="BT22" s="358" t="n"/>
      <c r="BU22" s="357" t="n"/>
      <c r="BV22" s="357" t="n"/>
      <c r="BW22" s="358" t="n"/>
      <c r="BX22" s="357" t="n"/>
      <c r="BY22" s="357" t="n"/>
      <c r="BZ22" s="358" t="n"/>
      <c r="CA22" s="357" t="n"/>
      <c r="CB22" s="357" t="n"/>
      <c r="CC22" s="358" t="n"/>
      <c r="CD22" s="357" t="n"/>
      <c r="CE22" s="357" t="n"/>
      <c r="CF22" s="358" t="n"/>
      <c r="CG22" s="357" t="n"/>
      <c r="CH22" s="357" t="n"/>
      <c r="CI22" s="358" t="n"/>
      <c r="CJ22" s="357" t="n"/>
      <c r="CK22" s="357" t="n"/>
      <c r="CL22" s="358" t="n"/>
      <c r="CM22" s="357" t="n"/>
      <c r="CN22" s="357" t="n"/>
      <c r="CO22" s="358" t="n"/>
      <c r="CP22" s="357" t="n"/>
      <c r="CQ22" s="357" t="n"/>
      <c r="CR22" s="358" t="n"/>
      <c r="CS22" s="357" t="n"/>
      <c r="CT22" s="357" t="n"/>
      <c r="CU22" s="358" t="n"/>
      <c r="CV22" s="357" t="n"/>
      <c r="CW22" s="357" t="n"/>
      <c r="CX22" s="358" t="n"/>
      <c r="CY22" s="357" t="n"/>
      <c r="CZ22" s="357" t="n"/>
      <c r="DA22" s="358" t="n"/>
      <c r="DB22" s="357" t="n"/>
      <c r="DC22" s="357" t="n"/>
      <c r="DD22" s="358" t="n"/>
      <c r="DE22" s="357" t="n"/>
      <c r="DF22" s="357" t="n"/>
      <c r="DG22" s="358" t="n"/>
      <c r="DH22" s="357" t="n"/>
      <c r="DI22" s="357" t="n"/>
      <c r="DJ22" s="358" t="n"/>
      <c r="DK22" s="357" t="n"/>
      <c r="DL22" s="357" t="n"/>
      <c r="DM22" s="358" t="n"/>
      <c r="DN22" s="357" t="n"/>
      <c r="DO22" s="357" t="n"/>
      <c r="DP22" s="358" t="n"/>
      <c r="DQ22" s="357" t="n"/>
      <c r="DR22" s="357" t="n"/>
      <c r="DS22" s="358" t="n"/>
      <c r="DT22" s="357" t="n"/>
      <c r="DU22" s="357" t="n"/>
      <c r="DV22" s="358" t="n"/>
      <c r="DW22" s="357" t="n"/>
      <c r="DX22" s="357" t="n"/>
      <c r="DY22" s="358" t="n"/>
      <c r="DZ22" s="357" t="n"/>
      <c r="EA22" s="357" t="n"/>
      <c r="EB22" s="358" t="n"/>
      <c r="EC22" s="357" t="n"/>
      <c r="ED22" s="357" t="n"/>
      <c r="EE22" s="358" t="n"/>
      <c r="EF22" s="357" t="n"/>
      <c r="EG22" s="357" t="n"/>
      <c r="EH22" s="358" t="n"/>
      <c r="EI22" s="357" t="n"/>
      <c r="EJ22" s="357" t="n"/>
      <c r="EK22" s="358" t="n"/>
      <c r="EL22" s="357" t="n"/>
      <c r="EM22" s="357" t="n"/>
      <c r="EN22" s="358" t="n"/>
      <c r="EO22" s="357" t="n"/>
      <c r="EP22" s="357" t="n"/>
      <c r="EQ22" s="358" t="n"/>
      <c r="ER22" s="357" t="n"/>
      <c r="ES22" s="357" t="n"/>
      <c r="ET22" s="358" t="n"/>
      <c r="EU22" s="357" t="n"/>
      <c r="EV22" s="357" t="n"/>
      <c r="EW22" s="358" t="n"/>
    </row>
    <row r="23" ht="15.4" customHeight="1">
      <c r="A23" s="10" t="inlineStr">
        <is>
          <t>FOMAX &amp; Eclipse Connectivity Mods</t>
        </is>
      </c>
      <c r="B23" s="269" t="n">
        <v>46229</v>
      </c>
      <c r="C23" s="269" t="n">
        <v>46239</v>
      </c>
      <c r="D23" s="357" t="n"/>
      <c r="E23" s="357" t="n"/>
      <c r="F23" s="358" t="n"/>
      <c r="G23" s="357" t="n"/>
      <c r="H23" s="357" t="n"/>
      <c r="I23" s="358" t="n"/>
      <c r="J23" s="357" t="n"/>
      <c r="K23" s="357" t="n"/>
      <c r="L23" s="358" t="n"/>
      <c r="M23" s="357" t="n"/>
      <c r="N23" s="357" t="n"/>
      <c r="O23" s="358" t="n"/>
      <c r="P23" s="357" t="n"/>
      <c r="Q23" s="357" t="n"/>
      <c r="R23" s="358" t="n"/>
      <c r="S23" s="357" t="n"/>
      <c r="T23" s="357" t="n"/>
      <c r="U23" s="358" t="n"/>
      <c r="V23" s="357" t="n"/>
      <c r="W23" s="357" t="n"/>
      <c r="X23" s="358" t="n"/>
      <c r="Y23" s="357" t="n"/>
      <c r="Z23" s="357" t="n"/>
      <c r="AA23" s="358" t="n"/>
      <c r="AB23" s="357" t="n"/>
      <c r="AC23" s="357" t="n"/>
      <c r="AD23" s="358" t="n"/>
      <c r="AE23" s="357" t="n"/>
      <c r="AF23" s="357" t="n"/>
      <c r="AG23" s="358" t="n"/>
      <c r="AH23" s="357" t="n"/>
      <c r="AI23" s="357" t="n"/>
      <c r="AJ23" s="358" t="n"/>
      <c r="AK23" s="357" t="n"/>
      <c r="AL23" s="357" t="n"/>
      <c r="AM23" s="358" t="n"/>
      <c r="AN23" s="357" t="n"/>
      <c r="AO23" s="357" t="n"/>
      <c r="AP23" s="358" t="n"/>
      <c r="AQ23" s="357" t="n"/>
      <c r="AR23" s="357" t="n"/>
      <c r="AS23" s="358" t="n"/>
      <c r="AT23" s="357" t="n"/>
      <c r="AU23" s="357" t="n"/>
      <c r="AV23" s="358" t="n"/>
      <c r="AW23" s="357" t="n"/>
      <c r="AX23" s="357" t="n"/>
      <c r="AY23" s="358" t="n"/>
      <c r="AZ23" s="357" t="n"/>
      <c r="BA23" s="357" t="n"/>
      <c r="BB23" s="358" t="n"/>
      <c r="BC23" s="357" t="n"/>
      <c r="BD23" s="357" t="n"/>
      <c r="BE23" s="358" t="n"/>
      <c r="BF23" s="357" t="inlineStr">
        <is>
          <t>5-Aug</t>
        </is>
      </c>
      <c r="BG23" s="357" t="n"/>
      <c r="BH23" s="358" t="n"/>
      <c r="BI23" s="357" t="n"/>
      <c r="BJ23" s="357" t="n"/>
      <c r="BK23" s="358" t="n"/>
      <c r="BL23" s="357" t="n"/>
      <c r="BM23" s="357" t="n"/>
      <c r="BN23" s="358" t="n"/>
      <c r="BO23" s="357" t="n"/>
      <c r="BP23" s="357" t="n"/>
      <c r="BQ23" s="358" t="n"/>
      <c r="BR23" s="357" t="n"/>
      <c r="BS23" s="357" t="n"/>
      <c r="BT23" s="358" t="n"/>
      <c r="BU23" s="357" t="n"/>
      <c r="BV23" s="357" t="n"/>
      <c r="BW23" s="358" t="n"/>
      <c r="BX23" s="357" t="n"/>
      <c r="BY23" s="357" t="n"/>
      <c r="BZ23" s="358" t="n"/>
      <c r="CA23" s="357" t="n"/>
      <c r="CB23" s="357" t="n"/>
      <c r="CC23" s="358" t="n"/>
      <c r="CD23" s="357" t="n"/>
      <c r="CE23" s="357" t="n"/>
      <c r="CF23" s="358" t="n"/>
      <c r="CG23" s="357" t="n"/>
      <c r="CH23" s="357" t="n"/>
      <c r="CI23" s="358" t="n"/>
      <c r="CJ23" s="357" t="n"/>
      <c r="CK23" s="357" t="n"/>
      <c r="CL23" s="358" t="n"/>
      <c r="CM23" s="357" t="n"/>
      <c r="CN23" s="357" t="n"/>
      <c r="CO23" s="358" t="n"/>
      <c r="CP23" s="357" t="n"/>
      <c r="CQ23" s="357" t="n"/>
      <c r="CR23" s="358" t="n"/>
      <c r="CS23" s="357" t="n"/>
      <c r="CT23" s="357" t="n"/>
      <c r="CU23" s="358" t="n"/>
      <c r="CV23" s="357" t="n"/>
      <c r="CW23" s="357" t="n"/>
      <c r="CX23" s="358" t="n"/>
      <c r="CY23" s="357" t="n"/>
      <c r="CZ23" s="357" t="n"/>
      <c r="DA23" s="358" t="n"/>
      <c r="DB23" s="357" t="n"/>
      <c r="DC23" s="357" t="n"/>
      <c r="DD23" s="358" t="n"/>
      <c r="DE23" s="357" t="n"/>
      <c r="DF23" s="357" t="n"/>
      <c r="DG23" s="358" t="n"/>
      <c r="DH23" s="357" t="n"/>
      <c r="DI23" s="357" t="n"/>
      <c r="DJ23" s="358" t="n"/>
      <c r="DK23" s="357" t="n"/>
      <c r="DL23" s="357" t="n"/>
      <c r="DM23" s="358" t="n"/>
      <c r="DN23" s="357" t="n"/>
      <c r="DO23" s="357" t="n"/>
      <c r="DP23" s="358" t="n"/>
      <c r="DQ23" s="357" t="n"/>
      <c r="DR23" s="357" t="n"/>
      <c r="DS23" s="358" t="n"/>
      <c r="DT23" s="357" t="n"/>
      <c r="DU23" s="357" t="n"/>
      <c r="DV23" s="358" t="n"/>
      <c r="DW23" s="357" t="n"/>
      <c r="DX23" s="357" t="n"/>
      <c r="DY23" s="358" t="n"/>
      <c r="DZ23" s="357" t="n"/>
      <c r="EA23" s="357" t="n"/>
      <c r="EB23" s="358" t="n"/>
      <c r="EC23" s="357" t="n"/>
      <c r="ED23" s="357" t="n"/>
      <c r="EE23" s="358" t="n"/>
      <c r="EF23" s="357" t="n"/>
      <c r="EG23" s="357" t="n"/>
      <c r="EH23" s="358" t="n"/>
      <c r="EI23" s="357" t="n"/>
      <c r="EJ23" s="357" t="n"/>
      <c r="EK23" s="358" t="n"/>
      <c r="EL23" s="357" t="n"/>
      <c r="EM23" s="357" t="n"/>
      <c r="EN23" s="358" t="n"/>
      <c r="EO23" s="357" t="n"/>
      <c r="EP23" s="357" t="n"/>
      <c r="EQ23" s="358" t="n"/>
      <c r="ER23" s="357" t="n"/>
      <c r="ES23" s="357" t="n"/>
      <c r="ET23" s="358" t="n"/>
      <c r="EU23" s="357" t="n"/>
      <c r="EV23" s="357" t="n"/>
      <c r="EW23" s="358" t="n"/>
    </row>
    <row r="24" hidden="1" ht="15.4" customHeight="1">
      <c r="A24" s="10" t="n"/>
      <c r="B24" s="269" t="n"/>
      <c r="C24" s="269" t="n"/>
      <c r="D24" s="357" t="n"/>
      <c r="E24" s="357" t="n"/>
      <c r="F24" s="358" t="n"/>
      <c r="G24" s="357" t="n"/>
      <c r="H24" s="357" t="n"/>
      <c r="I24" s="358" t="n"/>
      <c r="J24" s="357" t="n"/>
      <c r="K24" s="357" t="n"/>
      <c r="L24" s="358" t="n"/>
      <c r="M24" s="357" t="n"/>
      <c r="N24" s="357" t="n"/>
      <c r="O24" s="358" t="n"/>
      <c r="P24" s="357" t="n"/>
      <c r="Q24" s="357" t="n"/>
      <c r="R24" s="358" t="n"/>
      <c r="S24" s="357" t="n"/>
      <c r="T24" s="357" t="n"/>
      <c r="U24" s="358" t="n"/>
      <c r="V24" s="357" t="n"/>
      <c r="W24" s="357" t="n"/>
      <c r="X24" s="358" t="n"/>
      <c r="Y24" s="357" t="n"/>
      <c r="Z24" s="357" t="n"/>
      <c r="AA24" s="358" t="n"/>
      <c r="AB24" s="357" t="n"/>
      <c r="AC24" s="357" t="n"/>
      <c r="AD24" s="358" t="n"/>
      <c r="AE24" s="357" t="n"/>
      <c r="AF24" s="357" t="n"/>
      <c r="AG24" s="358" t="n"/>
      <c r="AH24" s="357" t="n"/>
      <c r="AI24" s="357" t="n"/>
      <c r="AJ24" s="358" t="n"/>
      <c r="AK24" s="357" t="n"/>
      <c r="AL24" s="357" t="n"/>
      <c r="AM24" s="358" t="n"/>
      <c r="AN24" s="357" t="n"/>
      <c r="AO24" s="357" t="n"/>
      <c r="AP24" s="358" t="n"/>
      <c r="AQ24" s="357" t="n"/>
      <c r="AR24" s="357" t="n"/>
      <c r="AS24" s="358" t="n"/>
      <c r="AT24" s="357" t="n"/>
      <c r="AU24" s="357" t="n"/>
      <c r="AV24" s="358" t="n"/>
      <c r="AW24" s="357" t="n"/>
      <c r="AX24" s="357" t="n"/>
      <c r="AY24" s="358" t="n"/>
      <c r="AZ24" s="357" t="n"/>
      <c r="BA24" s="357" t="n"/>
      <c r="BB24" s="358" t="n"/>
      <c r="BC24" s="357" t="n"/>
      <c r="BD24" s="357" t="n"/>
      <c r="BE24" s="358" t="n"/>
      <c r="BF24" s="357" t="n"/>
      <c r="BG24" s="357" t="n"/>
      <c r="BH24" s="358" t="n"/>
      <c r="BI24" s="357" t="n"/>
      <c r="BJ24" s="357" t="n"/>
      <c r="BK24" s="358" t="n"/>
      <c r="BL24" s="357" t="n"/>
      <c r="BM24" s="357" t="n"/>
      <c r="BN24" s="358" t="n"/>
      <c r="BO24" s="357" t="n"/>
      <c r="BP24" s="357" t="n"/>
      <c r="BQ24" s="358" t="n"/>
      <c r="BR24" s="357" t="n"/>
      <c r="BS24" s="357" t="n"/>
      <c r="BT24" s="358" t="n"/>
      <c r="BU24" s="357" t="n"/>
      <c r="BV24" s="357" t="n"/>
      <c r="BW24" s="358" t="n"/>
      <c r="BX24" s="357" t="n"/>
      <c r="BY24" s="357" t="n"/>
      <c r="BZ24" s="358" t="n"/>
      <c r="CA24" s="357" t="n"/>
      <c r="CB24" s="357" t="n"/>
      <c r="CC24" s="358" t="n"/>
      <c r="CD24" s="357" t="n"/>
      <c r="CE24" s="357" t="n"/>
      <c r="CF24" s="358" t="n"/>
      <c r="CG24" s="357" t="n"/>
      <c r="CH24" s="357" t="n"/>
      <c r="CI24" s="358" t="n"/>
      <c r="CJ24" s="357" t="n"/>
      <c r="CK24" s="357" t="n"/>
      <c r="CL24" s="358" t="n"/>
      <c r="CM24" s="357" t="n"/>
      <c r="CN24" s="357" t="n"/>
      <c r="CO24" s="358" t="n"/>
      <c r="CP24" s="357" t="n"/>
      <c r="CQ24" s="357" t="n"/>
      <c r="CR24" s="358" t="n"/>
      <c r="CS24" s="357" t="n"/>
      <c r="CT24" s="357" t="n"/>
      <c r="CU24" s="358" t="n"/>
      <c r="CV24" s="357" t="n"/>
      <c r="CW24" s="357" t="n"/>
      <c r="CX24" s="358" t="n"/>
      <c r="CY24" s="357" t="n"/>
      <c r="CZ24" s="357" t="n"/>
      <c r="DA24" s="358" t="n"/>
      <c r="DB24" s="357" t="n"/>
      <c r="DC24" s="357" t="n"/>
      <c r="DD24" s="358" t="n"/>
      <c r="DE24" s="357" t="n"/>
      <c r="DF24" s="357" t="n"/>
      <c r="DG24" s="358" t="n"/>
      <c r="DH24" s="357" t="n"/>
      <c r="DI24" s="357" t="n"/>
      <c r="DJ24" s="358" t="n"/>
      <c r="DK24" s="357" t="n"/>
      <c r="DL24" s="357" t="n"/>
      <c r="DM24" s="358" t="n"/>
      <c r="DN24" s="357" t="n"/>
      <c r="DO24" s="357" t="n"/>
      <c r="DP24" s="358" t="n"/>
      <c r="DQ24" s="357" t="n"/>
      <c r="DR24" s="357" t="n"/>
      <c r="DS24" s="358" t="n"/>
      <c r="DT24" s="357" t="n"/>
      <c r="DU24" s="357" t="n"/>
      <c r="DV24" s="358" t="n"/>
      <c r="DW24" s="357" t="n"/>
      <c r="DX24" s="357" t="n"/>
      <c r="DY24" s="358" t="n"/>
      <c r="DZ24" s="357" t="n"/>
      <c r="EA24" s="357" t="n"/>
      <c r="EB24" s="358" t="n"/>
      <c r="EC24" s="357" t="n"/>
      <c r="ED24" s="357" t="n"/>
      <c r="EE24" s="358" t="n"/>
      <c r="EF24" s="357" t="n"/>
      <c r="EG24" s="357" t="n"/>
      <c r="EH24" s="358" t="n"/>
      <c r="EI24" s="357" t="n"/>
      <c r="EJ24" s="357" t="n"/>
      <c r="EK24" s="358" t="n"/>
      <c r="EL24" s="357" t="n"/>
      <c r="EM24" s="357" t="n"/>
      <c r="EN24" s="358" t="n"/>
      <c r="EO24" s="357" t="n"/>
      <c r="EP24" s="357" t="n"/>
      <c r="EQ24" s="358" t="n"/>
      <c r="ER24" s="357" t="n"/>
      <c r="ES24" s="357" t="n"/>
      <c r="ET24" s="358" t="n"/>
      <c r="EU24" s="357" t="n"/>
      <c r="EV24" s="357" t="n"/>
      <c r="EW24" s="358" t="n"/>
    </row>
    <row r="25" ht="15.4" customHeight="1">
      <c r="A25" s="50" t="inlineStr">
        <is>
          <t>MATERIALS ARRIVAL CUT-OFF</t>
        </is>
      </c>
      <c r="B25" s="278" t="n">
        <v>46244</v>
      </c>
      <c r="C25" s="268" t="n"/>
      <c r="D25" s="370">
        <f>IF((DASHBOARD!$M$1+INT((COLUMN()-4)/3))=INT($B$25),"◆ "&amp;TEXT($B$25,"D-MMM"),"")</f>
        <v/>
      </c>
      <c r="E25" s="357" t="n"/>
      <c r="F25" s="358" t="n"/>
      <c r="G25" s="370">
        <f>IF((DASHBOARD!$M$1+INT((COLUMN()-4)/3))=INT($B$25),"◆ "&amp;TEXT($B$25,"D-MMM"),"")</f>
        <v/>
      </c>
      <c r="H25" s="357" t="n"/>
      <c r="I25" s="358" t="n"/>
      <c r="J25" s="370">
        <f>IF((DASHBOARD!$M$1+INT((COLUMN()-4)/3))=INT($B$25),"◆ "&amp;TEXT($B$25,"D-MMM"),"")</f>
        <v/>
      </c>
      <c r="K25" s="357" t="n"/>
      <c r="L25" s="358" t="n"/>
      <c r="M25" s="370">
        <f>IF((DASHBOARD!$M$1+INT((COLUMN()-4)/3))=INT($B$25),"◆ "&amp;TEXT($B$25,"D-MMM"),"")</f>
        <v/>
      </c>
      <c r="N25" s="357" t="n"/>
      <c r="O25" s="358" t="n"/>
      <c r="P25" s="370">
        <f>IF((DASHBOARD!$M$1+INT((COLUMN()-4)/3))=INT($B$25),"◆ "&amp;TEXT($B$25,"D-MMM"),"")</f>
        <v/>
      </c>
      <c r="Q25" s="357" t="n"/>
      <c r="R25" s="358" t="n"/>
      <c r="S25" s="370">
        <f>IF((DASHBOARD!$M$1+INT((COLUMN()-4)/3))=INT($B$25),"◆ "&amp;TEXT($B$25,"D-MMM"),"")</f>
        <v/>
      </c>
      <c r="T25" s="357" t="n"/>
      <c r="U25" s="358" t="n"/>
      <c r="V25" s="370">
        <f>IF((DASHBOARD!$M$1+INT((COLUMN()-4)/3))=INT($B$25),"◆ "&amp;TEXT($B$25,"D-MMM"),"")</f>
        <v/>
      </c>
      <c r="W25" s="357" t="n"/>
      <c r="X25" s="358" t="n"/>
      <c r="Y25" s="370">
        <f>IF((DASHBOARD!$M$1+INT((COLUMN()-4)/3))=INT($B$25),"◆ "&amp;TEXT($B$25,"D-MMM"),"")</f>
        <v/>
      </c>
      <c r="Z25" s="357" t="n"/>
      <c r="AA25" s="358" t="n"/>
      <c r="AB25" s="370">
        <f>IF((DASHBOARD!$M$1+INT((COLUMN()-4)/3))=INT($B$25),"◆ "&amp;TEXT($B$25,"D-MMM"),"")</f>
        <v/>
      </c>
      <c r="AC25" s="357" t="n"/>
      <c r="AD25" s="358" t="n"/>
      <c r="AE25" s="370">
        <f>IF((DASHBOARD!$M$1+INT((COLUMN()-4)/3))=INT($B$25),"◆ "&amp;TEXT($B$25,"D-MMM"),"")</f>
        <v/>
      </c>
      <c r="AF25" s="357" t="n"/>
      <c r="AG25" s="358" t="n"/>
      <c r="AH25" s="370">
        <f>IF((DASHBOARD!$M$1+INT((COLUMN()-4)/3))=INT($B$25),"◆ "&amp;TEXT($B$25,"D-MMM"),"")</f>
        <v/>
      </c>
      <c r="AI25" s="357" t="n"/>
      <c r="AJ25" s="358" t="n"/>
      <c r="AK25" s="370">
        <f>IF((DASHBOARD!$M$1+INT((COLUMN()-4)/3))=INT($B$25),"◆ "&amp;TEXT($B$25,"D-MMM"),"")</f>
        <v/>
      </c>
      <c r="AL25" s="357" t="n"/>
      <c r="AM25" s="358" t="n"/>
      <c r="AN25" s="370">
        <f>IF((DASHBOARD!$M$1+INT((COLUMN()-4)/3))=INT($B$25),"◆ "&amp;TEXT($B$25,"D-MMM"),"")</f>
        <v/>
      </c>
      <c r="AO25" s="357" t="n"/>
      <c r="AP25" s="358" t="n"/>
      <c r="AQ25" s="370">
        <f>IF((DASHBOARD!$M$1+INT((COLUMN()-4)/3))=INT($B$25),"◆ "&amp;TEXT($B$25,"D-MMM"),"")</f>
        <v/>
      </c>
      <c r="AR25" s="357" t="n"/>
      <c r="AS25" s="358" t="n"/>
      <c r="AT25" s="370">
        <f>IF((DASHBOARD!$M$1+INT((COLUMN()-4)/3))=INT($B$25),"◆ "&amp;TEXT($B$25,"D-MMM"),"")</f>
        <v/>
      </c>
      <c r="AU25" s="357" t="n"/>
      <c r="AV25" s="358" t="n"/>
      <c r="AW25" s="370">
        <f>IF((DASHBOARD!$M$1+INT((COLUMN()-4)/3))=INT($B$25),"◆ "&amp;TEXT($B$25,"D-MMM"),"")</f>
        <v/>
      </c>
      <c r="AX25" s="357" t="n"/>
      <c r="AY25" s="358" t="n"/>
      <c r="AZ25" s="370">
        <f>IF((DASHBOARD!$M$1+INT((COLUMN()-4)/3))=INT($B$25),"◆ "&amp;TEXT($B$25,"D-MMM"),"")</f>
        <v/>
      </c>
      <c r="BA25" s="357" t="n"/>
      <c r="BB25" s="358" t="n"/>
      <c r="BC25" s="370">
        <f>IF((DASHBOARD!$M$1+INT((COLUMN()-4)/3))=INT($B$25),"◆ "&amp;TEXT($B$25,"D-MMM"),"")</f>
        <v/>
      </c>
      <c r="BD25" s="357" t="n"/>
      <c r="BE25" s="358" t="n"/>
      <c r="BF25" s="370">
        <f>IF((DASHBOARD!$M$1+INT((COLUMN()-4)/3))=INT($B$25),"◆ "&amp;TEXT($B$25,"D-MMM"),"")</f>
        <v/>
      </c>
      <c r="BG25" s="357" t="n"/>
      <c r="BH25" s="358" t="n"/>
      <c r="BI25" s="370">
        <f>IF((DASHBOARD!$M$1+INT((COLUMN()-4)/3))=INT($B$25),"◆ "&amp;TEXT($B$25,"D-MMM"),"")</f>
        <v/>
      </c>
      <c r="BJ25" s="357" t="n"/>
      <c r="BK25" s="358" t="n"/>
      <c r="BL25" s="370">
        <f>IF((DASHBOARD!$M$1+INT((COLUMN()-4)/3))=INT($B$25),"◆ "&amp;TEXT($B$25,"D-MMM"),"")</f>
        <v/>
      </c>
      <c r="BM25" s="357" t="n"/>
      <c r="BN25" s="358" t="n"/>
      <c r="BO25" s="370">
        <f>IF((DASHBOARD!$M$1+INT((COLUMN()-4)/3))=INT($B$25),"◆ "&amp;TEXT($B$25,"D-MMM"),"")</f>
        <v/>
      </c>
      <c r="BP25" s="357" t="n"/>
      <c r="BQ25" s="358" t="n"/>
      <c r="BR25" s="370">
        <f>IF((DASHBOARD!$M$1+INT((COLUMN()-4)/3))=INT($B$25),"◆ "&amp;TEXT($B$25,"D-MMM"),"")</f>
        <v/>
      </c>
      <c r="BS25" s="357" t="n"/>
      <c r="BT25" s="358" t="n"/>
      <c r="BU25" s="370">
        <f>IF((DASHBOARD!$M$1+INT((COLUMN()-4)/3))=INT($B$25),"◆ "&amp;TEXT($B$25,"D-MMM"),"")</f>
        <v/>
      </c>
      <c r="BV25" s="357" t="n"/>
      <c r="BW25" s="358" t="n"/>
      <c r="BX25" s="370">
        <f>IF((DASHBOARD!$M$1+INT((COLUMN()-4)/3))=INT($B$25),"◆ "&amp;TEXT($B$25,"D-MMM"),"")</f>
        <v/>
      </c>
      <c r="BY25" s="357" t="n"/>
      <c r="BZ25" s="358" t="n"/>
      <c r="CA25" s="370">
        <f>IF((DASHBOARD!$M$1+INT((COLUMN()-4)/3))=INT($B$25),"◆ "&amp;TEXT($B$25,"D-MMM"),"")</f>
        <v/>
      </c>
      <c r="CB25" s="357" t="n"/>
      <c r="CC25" s="358" t="n"/>
      <c r="CD25" s="370">
        <f>IF((DASHBOARD!$M$1+INT((COLUMN()-4)/3))=INT($B$25),"◆ "&amp;TEXT($B$25,"D-MMM"),"")</f>
        <v/>
      </c>
      <c r="CE25" s="357" t="n"/>
      <c r="CF25" s="358" t="n"/>
      <c r="CG25" s="370">
        <f>IF((DASHBOARD!$M$1+INT((COLUMN()-4)/3))=INT($B$25),"◆ "&amp;TEXT($B$25,"D-MMM"),"")</f>
        <v/>
      </c>
      <c r="CH25" s="357" t="n"/>
      <c r="CI25" s="358" t="n"/>
      <c r="CJ25" s="370">
        <f>IF((DASHBOARD!$M$1+INT((COLUMN()-4)/3))=INT($B$25),"◆ "&amp;TEXT($B$25,"D-MMM"),"")</f>
        <v/>
      </c>
      <c r="CK25" s="357" t="n"/>
      <c r="CL25" s="358" t="n"/>
      <c r="CM25" s="370">
        <f>IF((DASHBOARD!$M$1+INT((COLUMN()-4)/3))=INT($B$25),"◆ "&amp;TEXT($B$25,"D-MMM"),"")</f>
        <v/>
      </c>
      <c r="CN25" s="357" t="n"/>
      <c r="CO25" s="358" t="n"/>
      <c r="CP25" s="370">
        <f>IF((DASHBOARD!$M$1+INT((COLUMN()-4)/3))=INT($B$25),"◆ "&amp;TEXT($B$25,"D-MMM"),"")</f>
        <v/>
      </c>
      <c r="CQ25" s="357" t="n"/>
      <c r="CR25" s="358" t="n"/>
      <c r="CS25" s="370">
        <f>IF((DASHBOARD!$M$1+INT((COLUMN()-4)/3))=INT($B$25),"◆ "&amp;TEXT($B$25,"D-MMM"),"")</f>
        <v/>
      </c>
      <c r="CT25" s="357" t="n"/>
      <c r="CU25" s="358" t="n"/>
      <c r="CV25" s="370">
        <f>IF((DASHBOARD!$M$1+INT((COLUMN()-4)/3))=INT($B$25),"◆ "&amp;TEXT($B$25,"D-MMM"),"")</f>
        <v/>
      </c>
      <c r="CW25" s="357" t="n"/>
      <c r="CX25" s="358" t="n"/>
      <c r="CY25" s="370">
        <f>IF((DASHBOARD!$M$1+INT((COLUMN()-4)/3))=INT($B$25),"◆ "&amp;TEXT($B$25,"D-MMM"),"")</f>
        <v/>
      </c>
      <c r="CZ25" s="357" t="n"/>
      <c r="DA25" s="358" t="n"/>
      <c r="DB25" s="370">
        <f>IF((DASHBOARD!$M$1+INT((COLUMN()-4)/3))=INT($B$25),"◆ "&amp;TEXT($B$25,"D-MMM"),"")</f>
        <v/>
      </c>
      <c r="DC25" s="357" t="n"/>
      <c r="DD25" s="358" t="n"/>
      <c r="DE25" s="370">
        <f>IF((DASHBOARD!$M$1+INT((COLUMN()-4)/3))=INT($B$25),"◆ "&amp;TEXT($B$25,"D-MMM"),"")</f>
        <v/>
      </c>
      <c r="DF25" s="357" t="n"/>
      <c r="DG25" s="358" t="n"/>
      <c r="DH25" s="370">
        <f>IF((DASHBOARD!$M$1+INT((COLUMN()-4)/3))=INT($B$25),"◆ "&amp;TEXT($B$25,"D-MMM"),"")</f>
        <v/>
      </c>
      <c r="DI25" s="357" t="n"/>
      <c r="DJ25" s="358" t="n"/>
      <c r="DK25" s="370">
        <f>IF((DASHBOARD!$M$1+INT((COLUMN()-4)/3))=INT($B$25),"◆ "&amp;TEXT($B$25,"D-MMM"),"")</f>
        <v/>
      </c>
      <c r="DL25" s="357" t="n"/>
      <c r="DM25" s="358" t="n"/>
      <c r="DN25" s="370">
        <f>IF((DASHBOARD!$M$1+INT((COLUMN()-4)/3))=INT($B$25),"◆ "&amp;TEXT($B$25,"D-MMM"),"")</f>
        <v/>
      </c>
      <c r="DO25" s="357" t="n"/>
      <c r="DP25" s="358" t="n"/>
      <c r="DQ25" s="370">
        <f>IF((DASHBOARD!$M$1+INT((COLUMN()-4)/3))=INT($B$25),"◆ "&amp;TEXT($B$25,"D-MMM"),"")</f>
        <v/>
      </c>
      <c r="DR25" s="357" t="n"/>
      <c r="DS25" s="358" t="n"/>
      <c r="DT25" s="370">
        <f>IF((DASHBOARD!$M$1+INT((COLUMN()-4)/3))=INT($B$25),"◆ "&amp;TEXT($B$25,"D-MMM"),"")</f>
        <v/>
      </c>
      <c r="DU25" s="357" t="n"/>
      <c r="DV25" s="358" t="n"/>
      <c r="DW25" s="370">
        <f>IF((DASHBOARD!$M$1+INT((COLUMN()-4)/3))=INT($B$25),"◆ "&amp;TEXT($B$25,"D-MMM"),"")</f>
        <v/>
      </c>
      <c r="DX25" s="357" t="n"/>
      <c r="DY25" s="358" t="n"/>
      <c r="DZ25" s="370">
        <f>IF((DASHBOARD!$M$1+INT((COLUMN()-4)/3))=INT($B$25),"◆ "&amp;TEXT($B$25,"D-MMM"),"")</f>
        <v/>
      </c>
      <c r="EA25" s="357" t="n"/>
      <c r="EB25" s="358" t="n"/>
      <c r="EC25" s="370">
        <f>IF((DASHBOARD!$M$1+INT((COLUMN()-4)/3))=INT($B$25),"◆ "&amp;TEXT($B$25,"D-MMM"),"")</f>
        <v/>
      </c>
      <c r="ED25" s="357" t="n"/>
      <c r="EE25" s="358" t="n"/>
      <c r="EF25" s="370">
        <f>IF((DASHBOARD!$M$1+INT((COLUMN()-4)/3))=INT($B$25),"◆ "&amp;TEXT($B$25,"D-MMM"),"")</f>
        <v/>
      </c>
      <c r="EG25" s="357" t="n"/>
      <c r="EH25" s="358" t="n"/>
      <c r="EI25" s="370">
        <f>IF((DASHBOARD!$M$1+INT((COLUMN()-4)/3))=INT($B$25),"◆ "&amp;TEXT($B$25,"D-MMM"),"")</f>
        <v/>
      </c>
      <c r="EJ25" s="357" t="n"/>
      <c r="EK25" s="358" t="n"/>
      <c r="EL25" s="370">
        <f>IF((DASHBOARD!$M$1+INT((COLUMN()-4)/3))=INT($B$25),"◆ "&amp;TEXT($B$25,"D-MMM"),"")</f>
        <v/>
      </c>
      <c r="EM25" s="357" t="n"/>
      <c r="EN25" s="358" t="n"/>
      <c r="EO25" s="370">
        <f>IF((DASHBOARD!$M$1+INT((COLUMN()-4)/3))=INT($B$25),"◆ "&amp;TEXT($B$25,"D-MMM"),"")</f>
        <v/>
      </c>
      <c r="EP25" s="357" t="n"/>
      <c r="EQ25" s="358" t="n"/>
      <c r="ER25" s="370">
        <f>IF((DASHBOARD!$M$1+INT((COLUMN()-4)/3))=INT($B$25),"◆ "&amp;TEXT($B$25,"D-MMM"),"")</f>
        <v/>
      </c>
      <c r="ES25" s="357" t="n"/>
      <c r="ET25" s="358" t="n"/>
      <c r="EU25" s="370">
        <f>IF((DASHBOARD!$M$1+INT((COLUMN()-4)/3))=INT($B$25),"◆ "&amp;TEXT($B$25,"D-MMM"),"")</f>
        <v/>
      </c>
      <c r="EV25" s="357" t="n"/>
      <c r="EW25" s="358" t="n"/>
    </row>
    <row r="26" ht="15.4" customHeight="1">
      <c r="A26" s="266" t="inlineStr">
        <is>
          <t>PHASE 4  (Close Up &amp; Final Inspection)</t>
        </is>
      </c>
      <c r="B26" s="267" t="n"/>
      <c r="C26" s="268" t="n"/>
      <c r="D26" s="357" t="n"/>
      <c r="E26" s="357" t="n"/>
      <c r="F26" s="358" t="n"/>
      <c r="G26" s="357" t="n"/>
      <c r="H26" s="357" t="n"/>
      <c r="I26" s="358" t="n"/>
      <c r="J26" s="357" t="n"/>
      <c r="K26" s="357" t="n"/>
      <c r="L26" s="358" t="n"/>
      <c r="M26" s="357" t="n"/>
      <c r="N26" s="357" t="n"/>
      <c r="O26" s="358" t="n"/>
      <c r="P26" s="357" t="n"/>
      <c r="Q26" s="357" t="n"/>
      <c r="R26" s="358" t="n"/>
      <c r="S26" s="357" t="n"/>
      <c r="T26" s="357" t="n"/>
      <c r="U26" s="358" t="n"/>
      <c r="V26" s="357" t="n"/>
      <c r="W26" s="357" t="n"/>
      <c r="X26" s="358" t="n"/>
      <c r="Y26" s="357" t="n"/>
      <c r="Z26" s="357" t="n"/>
      <c r="AA26" s="358" t="n"/>
      <c r="AB26" s="357" t="n"/>
      <c r="AC26" s="357" t="n"/>
      <c r="AD26" s="358" t="n"/>
      <c r="AE26" s="357" t="n"/>
      <c r="AF26" s="357" t="n"/>
      <c r="AG26" s="358" t="n"/>
      <c r="AH26" s="357" t="n"/>
      <c r="AI26" s="357" t="n"/>
      <c r="AJ26" s="358" t="n"/>
      <c r="AK26" s="357" t="n"/>
      <c r="AL26" s="357" t="n"/>
      <c r="AM26" s="358" t="n"/>
      <c r="AN26" s="357" t="n"/>
      <c r="AO26" s="357" t="n"/>
      <c r="AP26" s="358" t="n"/>
      <c r="AQ26" s="357" t="n"/>
      <c r="AR26" s="357" t="n"/>
      <c r="AS26" s="358" t="n"/>
      <c r="AT26" s="357" t="n"/>
      <c r="AU26" s="357" t="n"/>
      <c r="AV26" s="358" t="n"/>
      <c r="AW26" s="357" t="n"/>
      <c r="AX26" s="357" t="n"/>
      <c r="AY26" s="358" t="n"/>
      <c r="AZ26" s="357" t="n"/>
      <c r="BA26" s="357" t="n"/>
      <c r="BB26" s="358" t="n"/>
      <c r="BC26" s="357" t="n"/>
      <c r="BD26" s="357" t="n"/>
      <c r="BE26" s="358" t="n"/>
      <c r="BF26" s="357" t="n"/>
      <c r="BG26" s="357" t="n"/>
      <c r="BH26" s="358" t="n"/>
      <c r="BI26" s="357" t="n"/>
      <c r="BJ26" s="357" t="n"/>
      <c r="BK26" s="358" t="n"/>
      <c r="BL26" s="357" t="n"/>
      <c r="BM26" s="357" t="n"/>
      <c r="BN26" s="358" t="n"/>
      <c r="BO26" s="357" t="n"/>
      <c r="BP26" s="357" t="n"/>
      <c r="BQ26" s="358" t="n"/>
      <c r="BR26" s="357" t="n"/>
      <c r="BS26" s="357" t="n"/>
      <c r="BT26" s="358" t="n"/>
      <c r="BU26" s="357" t="n"/>
      <c r="BV26" s="357" t="n"/>
      <c r="BW26" s="358" t="n"/>
      <c r="BX26" s="357" t="n"/>
      <c r="BY26" s="357" t="n"/>
      <c r="BZ26" s="358" t="n"/>
      <c r="CA26" s="357" t="n"/>
      <c r="CB26" s="357" t="n"/>
      <c r="CC26" s="358" t="n"/>
      <c r="CD26" s="357" t="n"/>
      <c r="CE26" s="357" t="n"/>
      <c r="CF26" s="358" t="n"/>
      <c r="CG26" s="357" t="n"/>
      <c r="CH26" s="357" t="n"/>
      <c r="CI26" s="358" t="n"/>
      <c r="CJ26" s="357" t="n"/>
      <c r="CK26" s="357" t="n"/>
      <c r="CL26" s="358" t="n"/>
      <c r="CM26" s="357" t="n"/>
      <c r="CN26" s="357" t="n"/>
      <c r="CO26" s="358" t="n"/>
      <c r="CP26" s="357" t="n"/>
      <c r="CQ26" s="357" t="n"/>
      <c r="CR26" s="358" t="n"/>
      <c r="CS26" s="357" t="n"/>
      <c r="CT26" s="357" t="n"/>
      <c r="CU26" s="358" t="n"/>
      <c r="CV26" s="357" t="n"/>
      <c r="CW26" s="357" t="n"/>
      <c r="CX26" s="358" t="n"/>
      <c r="CY26" s="357" t="n"/>
      <c r="CZ26" s="357" t="n"/>
      <c r="DA26" s="358" t="n"/>
      <c r="DB26" s="357" t="n"/>
      <c r="DC26" s="357" t="n"/>
      <c r="DD26" s="358" t="n"/>
      <c r="DE26" s="357" t="n"/>
      <c r="DF26" s="357" t="n"/>
      <c r="DG26" s="358" t="n"/>
      <c r="DH26" s="357" t="n"/>
      <c r="DI26" s="357" t="n"/>
      <c r="DJ26" s="358" t="n"/>
      <c r="DK26" s="357" t="n"/>
      <c r="DL26" s="357" t="n"/>
      <c r="DM26" s="358" t="n"/>
      <c r="DN26" s="357" t="n"/>
      <c r="DO26" s="357" t="n"/>
      <c r="DP26" s="358" t="n"/>
      <c r="DQ26" s="357" t="n"/>
      <c r="DR26" s="357" t="n"/>
      <c r="DS26" s="358" t="n"/>
      <c r="DT26" s="357" t="n"/>
      <c r="DU26" s="357" t="n"/>
      <c r="DV26" s="358" t="n"/>
      <c r="DW26" s="357" t="n"/>
      <c r="DX26" s="357" t="n"/>
      <c r="DY26" s="358" t="n"/>
      <c r="DZ26" s="357" t="n"/>
      <c r="EA26" s="357" t="n"/>
      <c r="EB26" s="358" t="n"/>
      <c r="EC26" s="357" t="n"/>
      <c r="ED26" s="357" t="n"/>
      <c r="EE26" s="358" t="n"/>
      <c r="EF26" s="357" t="n"/>
      <c r="EG26" s="357" t="n"/>
      <c r="EH26" s="358" t="n"/>
      <c r="EI26" s="357" t="n"/>
      <c r="EJ26" s="357" t="n"/>
      <c r="EK26" s="358" t="n"/>
      <c r="EL26" s="357" t="n"/>
      <c r="EM26" s="357" t="n"/>
      <c r="EN26" s="358" t="n"/>
      <c r="EO26" s="357" t="n"/>
      <c r="EP26" s="357" t="n"/>
      <c r="EQ26" s="358" t="n"/>
      <c r="ER26" s="357" t="n"/>
      <c r="ES26" s="357" t="n"/>
      <c r="ET26" s="358" t="n"/>
      <c r="EU26" s="357" t="n"/>
      <c r="EV26" s="357" t="n"/>
      <c r="EW26" s="358" t="n"/>
    </row>
    <row r="27" hidden="1" ht="15.4" customHeight="1">
      <c r="A27" s="10" t="inlineStr">
        <is>
          <t>Cabin Restoration</t>
        </is>
      </c>
      <c r="B27" s="269" t="n"/>
      <c r="C27" s="269" t="n"/>
      <c r="D27" s="357" t="n"/>
      <c r="E27" s="357" t="n"/>
      <c r="F27" s="358" t="n"/>
      <c r="G27" s="357" t="n"/>
      <c r="H27" s="357" t="n"/>
      <c r="I27" s="358" t="n"/>
      <c r="J27" s="357" t="n"/>
      <c r="K27" s="357" t="n"/>
      <c r="L27" s="358" t="n"/>
      <c r="M27" s="357" t="n"/>
      <c r="N27" s="357" t="n"/>
      <c r="O27" s="358" t="n"/>
      <c r="P27" s="357" t="n"/>
      <c r="Q27" s="357" t="n"/>
      <c r="R27" s="358" t="n"/>
      <c r="S27" s="357" t="n"/>
      <c r="T27" s="357" t="n"/>
      <c r="U27" s="358" t="n"/>
      <c r="V27" s="357" t="n"/>
      <c r="W27" s="357" t="n"/>
      <c r="X27" s="358" t="n"/>
      <c r="Y27" s="357" t="n"/>
      <c r="Z27" s="357" t="n"/>
      <c r="AA27" s="358" t="n"/>
      <c r="AB27" s="357" t="n"/>
      <c r="AC27" s="357" t="n"/>
      <c r="AD27" s="358" t="n"/>
      <c r="AE27" s="357" t="n"/>
      <c r="AF27" s="357" t="n"/>
      <c r="AG27" s="358" t="n"/>
      <c r="AH27" s="357" t="n"/>
      <c r="AI27" s="357" t="n"/>
      <c r="AJ27" s="358" t="n"/>
      <c r="AK27" s="357" t="n"/>
      <c r="AL27" s="357" t="n"/>
      <c r="AM27" s="358" t="n"/>
      <c r="AN27" s="357" t="n"/>
      <c r="AO27" s="357" t="n"/>
      <c r="AP27" s="358" t="n"/>
      <c r="AQ27" s="357" t="n"/>
      <c r="AR27" s="357" t="n"/>
      <c r="AS27" s="358" t="n"/>
      <c r="AT27" s="357" t="n"/>
      <c r="AU27" s="357" t="n"/>
      <c r="AV27" s="358" t="n"/>
      <c r="AW27" s="357" t="n"/>
      <c r="AX27" s="357" t="n"/>
      <c r="AY27" s="358" t="n"/>
      <c r="AZ27" s="357" t="n"/>
      <c r="BA27" s="357" t="n"/>
      <c r="BB27" s="358" t="n"/>
      <c r="BC27" s="357" t="n"/>
      <c r="BD27" s="357" t="n"/>
      <c r="BE27" s="358" t="n"/>
      <c r="BF27" s="357" t="n"/>
      <c r="BG27" s="357" t="n"/>
      <c r="BH27" s="358" t="n"/>
      <c r="BI27" s="357" t="n"/>
      <c r="BJ27" s="357" t="n"/>
      <c r="BK27" s="358" t="n"/>
      <c r="BL27" s="357" t="n"/>
      <c r="BM27" s="357" t="n"/>
      <c r="BN27" s="358" t="n"/>
      <c r="BO27" s="357" t="n"/>
      <c r="BP27" s="357" t="n"/>
      <c r="BQ27" s="358" t="n"/>
      <c r="BR27" s="357" t="n"/>
      <c r="BS27" s="357" t="n"/>
      <c r="BT27" s="358" t="n"/>
      <c r="BU27" s="357" t="n"/>
      <c r="BV27" s="357" t="n"/>
      <c r="BW27" s="358" t="n"/>
      <c r="BX27" s="357" t="n"/>
      <c r="BY27" s="357" t="n"/>
      <c r="BZ27" s="358" t="n"/>
      <c r="CA27" s="357" t="n"/>
      <c r="CB27" s="357" t="n"/>
      <c r="CC27" s="358" t="n"/>
      <c r="CD27" s="357" t="n"/>
      <c r="CE27" s="357" t="n"/>
      <c r="CF27" s="358" t="n"/>
      <c r="CG27" s="357" t="n"/>
      <c r="CH27" s="357" t="n"/>
      <c r="CI27" s="358" t="n"/>
      <c r="CJ27" s="357" t="n"/>
      <c r="CK27" s="357" t="n"/>
      <c r="CL27" s="358" t="n"/>
      <c r="CM27" s="357" t="n"/>
      <c r="CN27" s="357" t="n"/>
      <c r="CO27" s="358" t="n"/>
      <c r="CP27" s="357" t="n"/>
      <c r="CQ27" s="357" t="n"/>
      <c r="CR27" s="358" t="n"/>
      <c r="CS27" s="357" t="n"/>
      <c r="CT27" s="357" t="n"/>
      <c r="CU27" s="358" t="n"/>
      <c r="CV27" s="357" t="n"/>
      <c r="CW27" s="357" t="n"/>
      <c r="CX27" s="358" t="n"/>
      <c r="CY27" s="357" t="n"/>
      <c r="CZ27" s="357" t="n"/>
      <c r="DA27" s="358" t="n"/>
      <c r="DB27" s="357" t="n"/>
      <c r="DC27" s="357" t="n"/>
      <c r="DD27" s="358" t="n"/>
      <c r="DE27" s="357" t="n"/>
      <c r="DF27" s="357" t="n"/>
      <c r="DG27" s="358" t="n"/>
      <c r="DH27" s="357" t="n"/>
      <c r="DI27" s="357" t="n"/>
      <c r="DJ27" s="358" t="n"/>
      <c r="DK27" s="357" t="n"/>
      <c r="DL27" s="357" t="n"/>
      <c r="DM27" s="358" t="n"/>
      <c r="DN27" s="357" t="n"/>
      <c r="DO27" s="357" t="n"/>
      <c r="DP27" s="358" t="n"/>
      <c r="DQ27" s="357" t="n"/>
      <c r="DR27" s="357" t="n"/>
      <c r="DS27" s="358" t="n"/>
      <c r="DT27" s="357" t="n"/>
      <c r="DU27" s="357" t="n"/>
      <c r="DV27" s="358" t="n"/>
      <c r="DW27" s="357" t="n"/>
      <c r="DX27" s="357" t="n"/>
      <c r="DY27" s="358" t="n"/>
      <c r="DZ27" s="357" t="n"/>
      <c r="EA27" s="357" t="n"/>
      <c r="EB27" s="358" t="n"/>
      <c r="EC27" s="357" t="n"/>
      <c r="ED27" s="357" t="n"/>
      <c r="EE27" s="358" t="n"/>
      <c r="EF27" s="357" t="n"/>
      <c r="EG27" s="357" t="n"/>
      <c r="EH27" s="358" t="n"/>
      <c r="EI27" s="357" t="n"/>
      <c r="EJ27" s="357" t="n"/>
      <c r="EK27" s="358" t="n"/>
      <c r="EL27" s="357" t="n"/>
      <c r="EM27" s="357" t="n"/>
      <c r="EN27" s="358" t="n"/>
      <c r="EO27" s="357" t="n"/>
      <c r="EP27" s="357" t="n"/>
      <c r="EQ27" s="358" t="n"/>
      <c r="ER27" s="357" t="n"/>
      <c r="ES27" s="357" t="n"/>
      <c r="ET27" s="358" t="n"/>
      <c r="EU27" s="357" t="n"/>
      <c r="EV27" s="357" t="n"/>
      <c r="EW27" s="358" t="n"/>
    </row>
    <row r="28" ht="15.4" customHeight="1">
      <c r="A28" s="10" t="inlineStr">
        <is>
          <t>Areas Close Up</t>
        </is>
      </c>
      <c r="B28" s="269" t="n">
        <v>46248</v>
      </c>
      <c r="C28" s="269" t="n">
        <v>46253</v>
      </c>
      <c r="D28" s="357" t="n"/>
      <c r="E28" s="357" t="n"/>
      <c r="F28" s="358" t="n"/>
      <c r="G28" s="357" t="n"/>
      <c r="H28" s="357" t="n"/>
      <c r="I28" s="358" t="n"/>
      <c r="J28" s="357" t="n"/>
      <c r="K28" s="357" t="n"/>
      <c r="L28" s="358" t="n"/>
      <c r="M28" s="357" t="n"/>
      <c r="N28" s="357" t="n"/>
      <c r="O28" s="358" t="n"/>
      <c r="P28" s="357" t="n"/>
      <c r="Q28" s="357" t="n"/>
      <c r="R28" s="358" t="n"/>
      <c r="S28" s="357" t="n"/>
      <c r="T28" s="357" t="n"/>
      <c r="U28" s="358" t="n"/>
      <c r="V28" s="357" t="n"/>
      <c r="W28" s="357" t="n"/>
      <c r="X28" s="358" t="n"/>
      <c r="Y28" s="357" t="n"/>
      <c r="Z28" s="357" t="n"/>
      <c r="AA28" s="358" t="n"/>
      <c r="AB28" s="357" t="n"/>
      <c r="AC28" s="357" t="n"/>
      <c r="AD28" s="358" t="n"/>
      <c r="AE28" s="357" t="n"/>
      <c r="AF28" s="357" t="n"/>
      <c r="AG28" s="358" t="n"/>
      <c r="AH28" s="357" t="n"/>
      <c r="AI28" s="357" t="n"/>
      <c r="AJ28" s="358" t="n"/>
      <c r="AK28" s="357" t="n"/>
      <c r="AL28" s="357" t="n"/>
      <c r="AM28" s="358" t="n"/>
      <c r="AN28" s="357" t="n"/>
      <c r="AO28" s="357" t="n"/>
      <c r="AP28" s="358" t="n"/>
      <c r="AQ28" s="357" t="n"/>
      <c r="AR28" s="357" t="n"/>
      <c r="AS28" s="358" t="n"/>
      <c r="AT28" s="357" t="n"/>
      <c r="AU28" s="357" t="n"/>
      <c r="AV28" s="358" t="n"/>
      <c r="AW28" s="357" t="n"/>
      <c r="AX28" s="357" t="n"/>
      <c r="AY28" s="358" t="n"/>
      <c r="AZ28" s="357" t="n"/>
      <c r="BA28" s="357" t="n"/>
      <c r="BB28" s="358" t="n"/>
      <c r="BC28" s="357" t="n"/>
      <c r="BD28" s="357" t="n"/>
      <c r="BE28" s="358" t="n"/>
      <c r="BF28" s="357" t="n"/>
      <c r="BG28" s="357" t="n"/>
      <c r="BH28" s="358" t="n"/>
      <c r="BI28" s="357" t="n"/>
      <c r="BJ28" s="357" t="n"/>
      <c r="BK28" s="358" t="n"/>
      <c r="BL28" s="357" t="n"/>
      <c r="BM28" s="357" t="n"/>
      <c r="BN28" s="358" t="n"/>
      <c r="BO28" s="357" t="n"/>
      <c r="BP28" s="357" t="n"/>
      <c r="BQ28" s="358" t="n"/>
      <c r="BR28" s="357" t="n"/>
      <c r="BS28" s="357" t="n"/>
      <c r="BT28" s="358" t="n"/>
      <c r="BU28" s="357" t="n"/>
      <c r="BV28" s="357" t="n"/>
      <c r="BW28" s="358" t="n"/>
      <c r="BX28" s="357" t="n"/>
      <c r="BY28" s="357" t="n"/>
      <c r="BZ28" s="358" t="n"/>
      <c r="CA28" s="357" t="n"/>
      <c r="CB28" s="357" t="n"/>
      <c r="CC28" s="358" t="n"/>
      <c r="CD28" s="357" t="n"/>
      <c r="CE28" s="357" t="n"/>
      <c r="CF28" s="358" t="n"/>
      <c r="CG28" s="357" t="n"/>
      <c r="CH28" s="357" t="n"/>
      <c r="CI28" s="358" t="n"/>
      <c r="CJ28" s="357" t="n"/>
      <c r="CK28" s="357" t="n"/>
      <c r="CL28" s="358" t="n"/>
      <c r="CM28" s="357" t="n"/>
      <c r="CN28" s="357" t="n"/>
      <c r="CO28" s="358" t="n"/>
      <c r="CP28" s="357" t="n"/>
      <c r="CQ28" s="357" t="n"/>
      <c r="CR28" s="358" t="n"/>
      <c r="CS28" s="357" t="n"/>
      <c r="CT28" s="357" t="n"/>
      <c r="CU28" s="358" t="n"/>
      <c r="CV28" s="357" t="inlineStr">
        <is>
          <t>19-Aug</t>
        </is>
      </c>
      <c r="CW28" s="357" t="n"/>
      <c r="CX28" s="358" t="n"/>
      <c r="CY28" s="357" t="n"/>
      <c r="CZ28" s="357" t="n"/>
      <c r="DA28" s="358" t="n"/>
      <c r="DB28" s="357" t="n"/>
      <c r="DC28" s="357" t="n"/>
      <c r="DD28" s="358" t="n"/>
      <c r="DE28" s="357" t="n"/>
      <c r="DF28" s="357" t="n"/>
      <c r="DG28" s="358" t="n"/>
      <c r="DH28" s="357" t="n"/>
      <c r="DI28" s="357" t="n"/>
      <c r="DJ28" s="358" t="n"/>
      <c r="DK28" s="357" t="n"/>
      <c r="DL28" s="357" t="n"/>
      <c r="DM28" s="358" t="n"/>
      <c r="DN28" s="357" t="n"/>
      <c r="DO28" s="357" t="n"/>
      <c r="DP28" s="358" t="n"/>
      <c r="DQ28" s="357" t="n"/>
      <c r="DR28" s="357" t="n"/>
      <c r="DS28" s="358" t="n"/>
      <c r="DT28" s="357" t="n"/>
      <c r="DU28" s="357" t="n"/>
      <c r="DV28" s="358" t="n"/>
      <c r="DW28" s="357" t="n"/>
      <c r="DX28" s="357" t="n"/>
      <c r="DY28" s="358" t="n"/>
      <c r="DZ28" s="357" t="n"/>
      <c r="EA28" s="357" t="n"/>
      <c r="EB28" s="358" t="n"/>
      <c r="EC28" s="357" t="n"/>
      <c r="ED28" s="357" t="n"/>
      <c r="EE28" s="358" t="n"/>
      <c r="EF28" s="357" t="n"/>
      <c r="EG28" s="357" t="n"/>
      <c r="EH28" s="358" t="n"/>
      <c r="EI28" s="357" t="n"/>
      <c r="EJ28" s="357" t="n"/>
      <c r="EK28" s="358" t="n"/>
      <c r="EL28" s="357" t="n"/>
      <c r="EM28" s="357" t="n"/>
      <c r="EN28" s="358" t="n"/>
      <c r="EO28" s="357" t="n"/>
      <c r="EP28" s="357" t="n"/>
      <c r="EQ28" s="358" t="n"/>
      <c r="ER28" s="357" t="n"/>
      <c r="ES28" s="357" t="n"/>
      <c r="ET28" s="358" t="n"/>
      <c r="EU28" s="357" t="n"/>
      <c r="EV28" s="357" t="n"/>
      <c r="EW28" s="358" t="n"/>
    </row>
    <row r="29" hidden="1" ht="15.4" customHeight="1">
      <c r="A29" s="10" t="inlineStr">
        <is>
          <t>Cabin, Cargos &amp; Cockpit</t>
        </is>
      </c>
      <c r="B29" s="269" t="n"/>
      <c r="C29" s="269" t="n"/>
      <c r="D29" s="357" t="n"/>
      <c r="E29" s="357" t="n"/>
      <c r="F29" s="358" t="n"/>
      <c r="G29" s="357" t="n"/>
      <c r="H29" s="357" t="n"/>
      <c r="I29" s="358" t="n"/>
      <c r="J29" s="357" t="n"/>
      <c r="K29" s="357" t="n"/>
      <c r="L29" s="358" t="n"/>
      <c r="M29" s="357" t="n"/>
      <c r="N29" s="357" t="n"/>
      <c r="O29" s="358" t="n"/>
      <c r="P29" s="357" t="n"/>
      <c r="Q29" s="357" t="n"/>
      <c r="R29" s="358" t="n"/>
      <c r="S29" s="357" t="n"/>
      <c r="T29" s="357" t="n"/>
      <c r="U29" s="358" t="n"/>
      <c r="V29" s="357" t="n"/>
      <c r="W29" s="357" t="n"/>
      <c r="X29" s="358" t="n"/>
      <c r="Y29" s="357" t="n"/>
      <c r="Z29" s="357" t="n"/>
      <c r="AA29" s="358" t="n"/>
      <c r="AB29" s="357" t="n"/>
      <c r="AC29" s="357" t="n"/>
      <c r="AD29" s="358" t="n"/>
      <c r="AE29" s="357" t="n"/>
      <c r="AF29" s="357" t="n"/>
      <c r="AG29" s="358" t="n"/>
      <c r="AH29" s="357" t="n"/>
      <c r="AI29" s="357" t="n"/>
      <c r="AJ29" s="358" t="n"/>
      <c r="AK29" s="357" t="n"/>
      <c r="AL29" s="357" t="n"/>
      <c r="AM29" s="358" t="n"/>
      <c r="AN29" s="357" t="n"/>
      <c r="AO29" s="357" t="n"/>
      <c r="AP29" s="358" t="n"/>
      <c r="AQ29" s="357" t="n"/>
      <c r="AR29" s="357" t="n"/>
      <c r="AS29" s="358" t="n"/>
      <c r="AT29" s="357" t="n"/>
      <c r="AU29" s="357" t="n"/>
      <c r="AV29" s="358" t="n"/>
      <c r="AW29" s="357" t="n"/>
      <c r="AX29" s="357" t="n"/>
      <c r="AY29" s="358" t="n"/>
      <c r="AZ29" s="357" t="n"/>
      <c r="BA29" s="357" t="n"/>
      <c r="BB29" s="358" t="n"/>
      <c r="BC29" s="357" t="n"/>
      <c r="BD29" s="357" t="n"/>
      <c r="BE29" s="358" t="n"/>
      <c r="BF29" s="357" t="n"/>
      <c r="BG29" s="357" t="n"/>
      <c r="BH29" s="358" t="n"/>
      <c r="BI29" s="357" t="n"/>
      <c r="BJ29" s="357" t="n"/>
      <c r="BK29" s="358" t="n"/>
      <c r="BL29" s="357" t="n"/>
      <c r="BM29" s="357" t="n"/>
      <c r="BN29" s="358" t="n"/>
      <c r="BO29" s="357" t="n"/>
      <c r="BP29" s="357" t="n"/>
      <c r="BQ29" s="358" t="n"/>
      <c r="BR29" s="357" t="n"/>
      <c r="BS29" s="357" t="n"/>
      <c r="BT29" s="358" t="n"/>
      <c r="BU29" s="357" t="n"/>
      <c r="BV29" s="357" t="n"/>
      <c r="BW29" s="358" t="n"/>
      <c r="BX29" s="357" t="n"/>
      <c r="BY29" s="357" t="n"/>
      <c r="BZ29" s="358" t="n"/>
      <c r="CA29" s="357" t="n"/>
      <c r="CB29" s="357" t="n"/>
      <c r="CC29" s="358" t="n"/>
      <c r="CD29" s="357" t="n"/>
      <c r="CE29" s="357" t="n"/>
      <c r="CF29" s="358" t="n"/>
      <c r="CG29" s="357" t="n"/>
      <c r="CH29" s="357" t="n"/>
      <c r="CI29" s="358" t="n"/>
      <c r="CJ29" s="357" t="n"/>
      <c r="CK29" s="357" t="n"/>
      <c r="CL29" s="358" t="n"/>
      <c r="CM29" s="357" t="n"/>
      <c r="CN29" s="357" t="n"/>
      <c r="CO29" s="358" t="n"/>
      <c r="CP29" s="357" t="n"/>
      <c r="CQ29" s="357" t="n"/>
      <c r="CR29" s="358" t="n"/>
      <c r="CS29" s="357" t="n"/>
      <c r="CT29" s="357" t="n"/>
      <c r="CU29" s="358" t="n"/>
      <c r="CV29" s="357" t="n"/>
      <c r="CW29" s="357" t="n"/>
      <c r="CX29" s="358" t="n"/>
      <c r="CY29" s="357" t="n"/>
      <c r="CZ29" s="357" t="n"/>
      <c r="DA29" s="358" t="n"/>
      <c r="DB29" s="357" t="n"/>
      <c r="DC29" s="357" t="n"/>
      <c r="DD29" s="358" t="n"/>
      <c r="DE29" s="357" t="n"/>
      <c r="DF29" s="357" t="n"/>
      <c r="DG29" s="358" t="n"/>
      <c r="DH29" s="357" t="n"/>
      <c r="DI29" s="357" t="n"/>
      <c r="DJ29" s="358" t="n"/>
      <c r="DK29" s="357" t="n"/>
      <c r="DL29" s="357" t="n"/>
      <c r="DM29" s="358" t="n"/>
      <c r="DN29" s="357" t="n"/>
      <c r="DO29" s="357" t="n"/>
      <c r="DP29" s="358" t="n"/>
      <c r="DQ29" s="357" t="n"/>
      <c r="DR29" s="357" t="n"/>
      <c r="DS29" s="358" t="n"/>
      <c r="DT29" s="357" t="n"/>
      <c r="DU29" s="357" t="n"/>
      <c r="DV29" s="358" t="n"/>
      <c r="DW29" s="357" t="n"/>
      <c r="DX29" s="357" t="n"/>
      <c r="DY29" s="358" t="n"/>
      <c r="DZ29" s="357" t="n"/>
      <c r="EA29" s="357" t="n"/>
      <c r="EB29" s="358" t="n"/>
      <c r="EC29" s="357" t="n"/>
      <c r="ED29" s="357" t="n"/>
      <c r="EE29" s="358" t="n"/>
      <c r="EF29" s="357" t="n"/>
      <c r="EG29" s="357" t="n"/>
      <c r="EH29" s="358" t="n"/>
      <c r="EI29" s="357" t="n"/>
      <c r="EJ29" s="357" t="n"/>
      <c r="EK29" s="358" t="n"/>
      <c r="EL29" s="357" t="n"/>
      <c r="EM29" s="357" t="n"/>
      <c r="EN29" s="358" t="n"/>
      <c r="EO29" s="357" t="n"/>
      <c r="EP29" s="357" t="n"/>
      <c r="EQ29" s="358" t="n"/>
      <c r="ER29" s="357" t="n"/>
      <c r="ES29" s="357" t="n"/>
      <c r="ET29" s="358" t="n"/>
      <c r="EU29" s="357" t="n"/>
      <c r="EV29" s="357" t="n"/>
      <c r="EW29" s="358" t="n"/>
    </row>
    <row r="30" hidden="1" ht="15.4" customHeight="1">
      <c r="A30" s="10" t="inlineStr">
        <is>
          <t>Fuselage, Empennage &amp; Wings</t>
        </is>
      </c>
      <c r="B30" s="269" t="n"/>
      <c r="C30" s="269" t="n"/>
      <c r="D30" s="357" t="n"/>
      <c r="E30" s="357" t="n"/>
      <c r="F30" s="358" t="n"/>
      <c r="G30" s="357" t="n"/>
      <c r="H30" s="357" t="n"/>
      <c r="I30" s="358" t="n"/>
      <c r="J30" s="357" t="n"/>
      <c r="K30" s="357" t="n"/>
      <c r="L30" s="358" t="n"/>
      <c r="M30" s="357" t="n"/>
      <c r="N30" s="357" t="n"/>
      <c r="O30" s="358" t="n"/>
      <c r="P30" s="357" t="n"/>
      <c r="Q30" s="357" t="n"/>
      <c r="R30" s="358" t="n"/>
      <c r="S30" s="357" t="n"/>
      <c r="T30" s="357" t="n"/>
      <c r="U30" s="358" t="n"/>
      <c r="V30" s="357" t="n"/>
      <c r="W30" s="357" t="n"/>
      <c r="X30" s="358" t="n"/>
      <c r="Y30" s="357" t="n"/>
      <c r="Z30" s="357" t="n"/>
      <c r="AA30" s="358" t="n"/>
      <c r="AB30" s="357" t="n"/>
      <c r="AC30" s="357" t="n"/>
      <c r="AD30" s="358" t="n"/>
      <c r="AE30" s="357" t="n"/>
      <c r="AF30" s="357" t="n"/>
      <c r="AG30" s="358" t="n"/>
      <c r="AH30" s="357" t="n"/>
      <c r="AI30" s="357" t="n"/>
      <c r="AJ30" s="358" t="n"/>
      <c r="AK30" s="357" t="n"/>
      <c r="AL30" s="357" t="n"/>
      <c r="AM30" s="358" t="n"/>
      <c r="AN30" s="357" t="n"/>
      <c r="AO30" s="357" t="n"/>
      <c r="AP30" s="358" t="n"/>
      <c r="AQ30" s="357" t="n"/>
      <c r="AR30" s="357" t="n"/>
      <c r="AS30" s="358" t="n"/>
      <c r="AT30" s="357" t="n"/>
      <c r="AU30" s="357" t="n"/>
      <c r="AV30" s="358" t="n"/>
      <c r="AW30" s="357" t="n"/>
      <c r="AX30" s="357" t="n"/>
      <c r="AY30" s="358" t="n"/>
      <c r="AZ30" s="357" t="n"/>
      <c r="BA30" s="357" t="n"/>
      <c r="BB30" s="358" t="n"/>
      <c r="BC30" s="357" t="n"/>
      <c r="BD30" s="357" t="n"/>
      <c r="BE30" s="358" t="n"/>
      <c r="BF30" s="357" t="n"/>
      <c r="BG30" s="357" t="n"/>
      <c r="BH30" s="358" t="n"/>
      <c r="BI30" s="357" t="n"/>
      <c r="BJ30" s="357" t="n"/>
      <c r="BK30" s="358" t="n"/>
      <c r="BL30" s="357" t="n"/>
      <c r="BM30" s="357" t="n"/>
      <c r="BN30" s="358" t="n"/>
      <c r="BO30" s="357" t="n"/>
      <c r="BP30" s="357" t="n"/>
      <c r="BQ30" s="358" t="n"/>
      <c r="BR30" s="357" t="n"/>
      <c r="BS30" s="357" t="n"/>
      <c r="BT30" s="358" t="n"/>
      <c r="BU30" s="357" t="n"/>
      <c r="BV30" s="357" t="n"/>
      <c r="BW30" s="358" t="n"/>
      <c r="BX30" s="357" t="n"/>
      <c r="BY30" s="357" t="n"/>
      <c r="BZ30" s="358" t="n"/>
      <c r="CA30" s="357" t="n"/>
      <c r="CB30" s="357" t="n"/>
      <c r="CC30" s="358" t="n"/>
      <c r="CD30" s="357" t="n"/>
      <c r="CE30" s="357" t="n"/>
      <c r="CF30" s="358" t="n"/>
      <c r="CG30" s="357" t="n"/>
      <c r="CH30" s="357" t="n"/>
      <c r="CI30" s="358" t="n"/>
      <c r="CJ30" s="357" t="n"/>
      <c r="CK30" s="357" t="n"/>
      <c r="CL30" s="358" t="n"/>
      <c r="CM30" s="357" t="n"/>
      <c r="CN30" s="357" t="n"/>
      <c r="CO30" s="358" t="n"/>
      <c r="CP30" s="357" t="n"/>
      <c r="CQ30" s="357" t="n"/>
      <c r="CR30" s="358" t="n"/>
      <c r="CS30" s="357" t="n"/>
      <c r="CT30" s="357" t="n"/>
      <c r="CU30" s="358" t="n"/>
      <c r="CV30" s="357" t="n"/>
      <c r="CW30" s="357" t="n"/>
      <c r="CX30" s="358" t="n"/>
      <c r="CY30" s="357" t="n"/>
      <c r="CZ30" s="357" t="n"/>
      <c r="DA30" s="358" t="n"/>
      <c r="DB30" s="357" t="n"/>
      <c r="DC30" s="357" t="n"/>
      <c r="DD30" s="358" t="n"/>
      <c r="DE30" s="357" t="n"/>
      <c r="DF30" s="357" t="n"/>
      <c r="DG30" s="358" t="n"/>
      <c r="DH30" s="357" t="n"/>
      <c r="DI30" s="357" t="n"/>
      <c r="DJ30" s="358" t="n"/>
      <c r="DK30" s="357" t="n"/>
      <c r="DL30" s="357" t="n"/>
      <c r="DM30" s="358" t="n"/>
      <c r="DN30" s="357" t="n"/>
      <c r="DO30" s="357" t="n"/>
      <c r="DP30" s="358" t="n"/>
      <c r="DQ30" s="357" t="n"/>
      <c r="DR30" s="357" t="n"/>
      <c r="DS30" s="358" t="n"/>
      <c r="DT30" s="357" t="n"/>
      <c r="DU30" s="357" t="n"/>
      <c r="DV30" s="358" t="n"/>
      <c r="DW30" s="357" t="n"/>
      <c r="DX30" s="357" t="n"/>
      <c r="DY30" s="358" t="n"/>
      <c r="DZ30" s="357" t="n"/>
      <c r="EA30" s="357" t="n"/>
      <c r="EB30" s="358" t="n"/>
      <c r="EC30" s="357" t="n"/>
      <c r="ED30" s="357" t="n"/>
      <c r="EE30" s="358" t="n"/>
      <c r="EF30" s="357" t="n"/>
      <c r="EG30" s="357" t="n"/>
      <c r="EH30" s="358" t="n"/>
      <c r="EI30" s="357" t="n"/>
      <c r="EJ30" s="357" t="n"/>
      <c r="EK30" s="358" t="n"/>
      <c r="EL30" s="357" t="n"/>
      <c r="EM30" s="357" t="n"/>
      <c r="EN30" s="358" t="n"/>
      <c r="EO30" s="357" t="n"/>
      <c r="EP30" s="357" t="n"/>
      <c r="EQ30" s="358" t="n"/>
      <c r="ER30" s="357" t="n"/>
      <c r="ES30" s="357" t="n"/>
      <c r="ET30" s="358" t="n"/>
      <c r="EU30" s="357" t="n"/>
      <c r="EV30" s="357" t="n"/>
      <c r="EW30" s="358" t="n"/>
    </row>
    <row r="31" hidden="1" ht="15.4" customHeight="1">
      <c r="A31" s="10" t="inlineStr">
        <is>
          <t>Engines</t>
        </is>
      </c>
      <c r="B31" s="269" t="n"/>
      <c r="C31" s="269" t="n"/>
      <c r="D31" s="357" t="n"/>
      <c r="E31" s="357" t="n"/>
      <c r="F31" s="358" t="n"/>
      <c r="G31" s="357" t="n"/>
      <c r="H31" s="357" t="n"/>
      <c r="I31" s="358" t="n"/>
      <c r="J31" s="357" t="n"/>
      <c r="K31" s="357" t="n"/>
      <c r="L31" s="358" t="n"/>
      <c r="M31" s="357" t="n"/>
      <c r="N31" s="357" t="n"/>
      <c r="O31" s="358" t="n"/>
      <c r="P31" s="357" t="n"/>
      <c r="Q31" s="357" t="n"/>
      <c r="R31" s="358" t="n"/>
      <c r="S31" s="357" t="n"/>
      <c r="T31" s="357" t="n"/>
      <c r="U31" s="358" t="n"/>
      <c r="V31" s="357" t="n"/>
      <c r="W31" s="357" t="n"/>
      <c r="X31" s="358" t="n"/>
      <c r="Y31" s="357" t="n"/>
      <c r="Z31" s="357" t="n"/>
      <c r="AA31" s="358" t="n"/>
      <c r="AB31" s="357" t="n"/>
      <c r="AC31" s="357" t="n"/>
      <c r="AD31" s="358" t="n"/>
      <c r="AE31" s="357" t="n"/>
      <c r="AF31" s="357" t="n"/>
      <c r="AG31" s="358" t="n"/>
      <c r="AH31" s="357" t="n"/>
      <c r="AI31" s="357" t="n"/>
      <c r="AJ31" s="358" t="n"/>
      <c r="AK31" s="357" t="n"/>
      <c r="AL31" s="357" t="n"/>
      <c r="AM31" s="358" t="n"/>
      <c r="AN31" s="357" t="n"/>
      <c r="AO31" s="357" t="n"/>
      <c r="AP31" s="358" t="n"/>
      <c r="AQ31" s="357" t="n"/>
      <c r="AR31" s="357" t="n"/>
      <c r="AS31" s="358" t="n"/>
      <c r="AT31" s="357" t="n"/>
      <c r="AU31" s="357" t="n"/>
      <c r="AV31" s="358" t="n"/>
      <c r="AW31" s="357" t="n"/>
      <c r="AX31" s="357" t="n"/>
      <c r="AY31" s="358" t="n"/>
      <c r="AZ31" s="357" t="n"/>
      <c r="BA31" s="357" t="n"/>
      <c r="BB31" s="358" t="n"/>
      <c r="BC31" s="357" t="n"/>
      <c r="BD31" s="357" t="n"/>
      <c r="BE31" s="358" t="n"/>
      <c r="BF31" s="357" t="n"/>
      <c r="BG31" s="357" t="n"/>
      <c r="BH31" s="358" t="n"/>
      <c r="BI31" s="357" t="n"/>
      <c r="BJ31" s="357" t="n"/>
      <c r="BK31" s="358" t="n"/>
      <c r="BL31" s="357" t="n"/>
      <c r="BM31" s="357" t="n"/>
      <c r="BN31" s="358" t="n"/>
      <c r="BO31" s="357" t="n"/>
      <c r="BP31" s="357" t="n"/>
      <c r="BQ31" s="358" t="n"/>
      <c r="BR31" s="357" t="n"/>
      <c r="BS31" s="357" t="n"/>
      <c r="BT31" s="358" t="n"/>
      <c r="BU31" s="357" t="n"/>
      <c r="BV31" s="357" t="n"/>
      <c r="BW31" s="358" t="n"/>
      <c r="BX31" s="357" t="n"/>
      <c r="BY31" s="357" t="n"/>
      <c r="BZ31" s="358" t="n"/>
      <c r="CA31" s="357" t="n"/>
      <c r="CB31" s="357" t="n"/>
      <c r="CC31" s="358" t="n"/>
      <c r="CD31" s="357" t="n"/>
      <c r="CE31" s="357" t="n"/>
      <c r="CF31" s="358" t="n"/>
      <c r="CG31" s="357" t="n"/>
      <c r="CH31" s="357" t="n"/>
      <c r="CI31" s="358" t="n"/>
      <c r="CJ31" s="357" t="n"/>
      <c r="CK31" s="357" t="n"/>
      <c r="CL31" s="358" t="n"/>
      <c r="CM31" s="357" t="n"/>
      <c r="CN31" s="357" t="n"/>
      <c r="CO31" s="358" t="n"/>
      <c r="CP31" s="357" t="n"/>
      <c r="CQ31" s="357" t="n"/>
      <c r="CR31" s="358" t="n"/>
      <c r="CS31" s="357" t="n"/>
      <c r="CT31" s="357" t="n"/>
      <c r="CU31" s="358" t="n"/>
      <c r="CV31" s="357" t="n"/>
      <c r="CW31" s="357" t="n"/>
      <c r="CX31" s="358" t="n"/>
      <c r="CY31" s="357" t="n"/>
      <c r="CZ31" s="357" t="n"/>
      <c r="DA31" s="358" t="n"/>
      <c r="DB31" s="357" t="n"/>
      <c r="DC31" s="357" t="n"/>
      <c r="DD31" s="358" t="n"/>
      <c r="DE31" s="357" t="n"/>
      <c r="DF31" s="357" t="n"/>
      <c r="DG31" s="358" t="n"/>
      <c r="DH31" s="357" t="n"/>
      <c r="DI31" s="357" t="n"/>
      <c r="DJ31" s="358" t="n"/>
      <c r="DK31" s="357" t="n"/>
      <c r="DL31" s="357" t="n"/>
      <c r="DM31" s="358" t="n"/>
      <c r="DN31" s="357" t="n"/>
      <c r="DO31" s="357" t="n"/>
      <c r="DP31" s="358" t="n"/>
      <c r="DQ31" s="357" t="n"/>
      <c r="DR31" s="357" t="n"/>
      <c r="DS31" s="358" t="n"/>
      <c r="DT31" s="357" t="n"/>
      <c r="DU31" s="357" t="n"/>
      <c r="DV31" s="358" t="n"/>
      <c r="DW31" s="357" t="n"/>
      <c r="DX31" s="357" t="n"/>
      <c r="DY31" s="358" t="n"/>
      <c r="DZ31" s="357" t="n"/>
      <c r="EA31" s="357" t="n"/>
      <c r="EB31" s="358" t="n"/>
      <c r="EC31" s="357" t="n"/>
      <c r="ED31" s="357" t="n"/>
      <c r="EE31" s="358" t="n"/>
      <c r="EF31" s="357" t="n"/>
      <c r="EG31" s="357" t="n"/>
      <c r="EH31" s="358" t="n"/>
      <c r="EI31" s="357" t="n"/>
      <c r="EJ31" s="357" t="n"/>
      <c r="EK31" s="358" t="n"/>
      <c r="EL31" s="357" t="n"/>
      <c r="EM31" s="357" t="n"/>
      <c r="EN31" s="358" t="n"/>
      <c r="EO31" s="357" t="n"/>
      <c r="EP31" s="357" t="n"/>
      <c r="EQ31" s="358" t="n"/>
      <c r="ER31" s="357" t="n"/>
      <c r="ES31" s="357" t="n"/>
      <c r="ET31" s="358" t="n"/>
      <c r="EU31" s="357" t="n"/>
      <c r="EV31" s="357" t="n"/>
      <c r="EW31" s="358" t="n"/>
    </row>
    <row r="32" ht="15.4" customHeight="1">
      <c r="A32" s="10" t="inlineStr">
        <is>
          <t>OPS &amp; Func Check  (Power On)</t>
        </is>
      </c>
      <c r="B32" s="269" t="n">
        <v>46251</v>
      </c>
      <c r="C32" s="269" t="n">
        <v>46253</v>
      </c>
      <c r="D32" s="357" t="n"/>
      <c r="E32" s="357" t="n"/>
      <c r="F32" s="358" t="n"/>
      <c r="G32" s="357" t="n"/>
      <c r="H32" s="357" t="n"/>
      <c r="I32" s="358" t="n"/>
      <c r="J32" s="357" t="n"/>
      <c r="K32" s="357" t="n"/>
      <c r="L32" s="358" t="n"/>
      <c r="M32" s="357" t="n"/>
      <c r="N32" s="357" t="n"/>
      <c r="O32" s="358" t="n"/>
      <c r="P32" s="357" t="n"/>
      <c r="Q32" s="357" t="n"/>
      <c r="R32" s="358" t="n"/>
      <c r="S32" s="357" t="n"/>
      <c r="T32" s="357" t="n"/>
      <c r="U32" s="358" t="n"/>
      <c r="V32" s="357" t="n"/>
      <c r="W32" s="357" t="n"/>
      <c r="X32" s="358" t="n"/>
      <c r="Y32" s="357" t="n"/>
      <c r="Z32" s="357" t="n"/>
      <c r="AA32" s="358" t="n"/>
      <c r="AB32" s="357" t="n"/>
      <c r="AC32" s="357" t="n"/>
      <c r="AD32" s="358" t="n"/>
      <c r="AE32" s="357" t="n"/>
      <c r="AF32" s="357" t="n"/>
      <c r="AG32" s="358" t="n"/>
      <c r="AH32" s="357" t="n"/>
      <c r="AI32" s="357" t="n"/>
      <c r="AJ32" s="358" t="n"/>
      <c r="AK32" s="357" t="n"/>
      <c r="AL32" s="357" t="n"/>
      <c r="AM32" s="358" t="n"/>
      <c r="AN32" s="357" t="n"/>
      <c r="AO32" s="357" t="n"/>
      <c r="AP32" s="358" t="n"/>
      <c r="AQ32" s="357" t="n"/>
      <c r="AR32" s="357" t="n"/>
      <c r="AS32" s="358" t="n"/>
      <c r="AT32" s="357" t="n"/>
      <c r="AU32" s="357" t="n"/>
      <c r="AV32" s="358" t="n"/>
      <c r="AW32" s="357" t="n"/>
      <c r="AX32" s="357" t="n"/>
      <c r="AY32" s="358" t="n"/>
      <c r="AZ32" s="357" t="n"/>
      <c r="BA32" s="357" t="n"/>
      <c r="BB32" s="358" t="n"/>
      <c r="BC32" s="357" t="n"/>
      <c r="BD32" s="357" t="n"/>
      <c r="BE32" s="358" t="n"/>
      <c r="BF32" s="357" t="n"/>
      <c r="BG32" s="357" t="n"/>
      <c r="BH32" s="358" t="n"/>
      <c r="BI32" s="357" t="n"/>
      <c r="BJ32" s="357" t="n"/>
      <c r="BK32" s="358" t="n"/>
      <c r="BL32" s="357" t="n"/>
      <c r="BM32" s="357" t="n"/>
      <c r="BN32" s="358" t="n"/>
      <c r="BO32" s="357" t="n"/>
      <c r="BP32" s="357" t="n"/>
      <c r="BQ32" s="358" t="n"/>
      <c r="BR32" s="357" t="n"/>
      <c r="BS32" s="357" t="n"/>
      <c r="BT32" s="358" t="n"/>
      <c r="BU32" s="357" t="n"/>
      <c r="BV32" s="357" t="n"/>
      <c r="BW32" s="358" t="n"/>
      <c r="BX32" s="357" t="n"/>
      <c r="BY32" s="357" t="n"/>
      <c r="BZ32" s="358" t="n"/>
      <c r="CA32" s="357" t="n"/>
      <c r="CB32" s="357" t="n"/>
      <c r="CC32" s="358" t="n"/>
      <c r="CD32" s="357" t="n"/>
      <c r="CE32" s="357" t="n"/>
      <c r="CF32" s="358" t="n"/>
      <c r="CG32" s="357" t="n"/>
      <c r="CH32" s="357" t="n"/>
      <c r="CI32" s="358" t="n"/>
      <c r="CJ32" s="357" t="n"/>
      <c r="CK32" s="357" t="n"/>
      <c r="CL32" s="358" t="n"/>
      <c r="CM32" s="357" t="n"/>
      <c r="CN32" s="357" t="n"/>
      <c r="CO32" s="358" t="n"/>
      <c r="CP32" s="357" t="n"/>
      <c r="CQ32" s="357" t="n"/>
      <c r="CR32" s="358" t="n"/>
      <c r="CS32" s="357" t="n"/>
      <c r="CT32" s="357" t="n"/>
      <c r="CU32" s="358" t="n"/>
      <c r="CV32" s="357" t="inlineStr">
        <is>
          <t>19-Aug</t>
        </is>
      </c>
      <c r="CW32" s="357" t="n"/>
      <c r="CX32" s="358" t="n"/>
      <c r="CY32" s="357" t="n"/>
      <c r="CZ32" s="357" t="n"/>
      <c r="DA32" s="358" t="n"/>
      <c r="DB32" s="357" t="n"/>
      <c r="DC32" s="357" t="n"/>
      <c r="DD32" s="358" t="n"/>
      <c r="DE32" s="357" t="n"/>
      <c r="DF32" s="357" t="n"/>
      <c r="DG32" s="358" t="n"/>
      <c r="DH32" s="357" t="n"/>
      <c r="DI32" s="357" t="n"/>
      <c r="DJ32" s="358" t="n"/>
      <c r="DK32" s="357" t="n"/>
      <c r="DL32" s="357" t="n"/>
      <c r="DM32" s="358" t="n"/>
      <c r="DN32" s="357" t="n"/>
      <c r="DO32" s="357" t="n"/>
      <c r="DP32" s="358" t="n"/>
      <c r="DQ32" s="357" t="n"/>
      <c r="DR32" s="357" t="n"/>
      <c r="DS32" s="358" t="n"/>
      <c r="DT32" s="357" t="n"/>
      <c r="DU32" s="357" t="n"/>
      <c r="DV32" s="358" t="n"/>
      <c r="DW32" s="357" t="n"/>
      <c r="DX32" s="357" t="n"/>
      <c r="DY32" s="358" t="n"/>
      <c r="DZ32" s="357" t="n"/>
      <c r="EA32" s="357" t="n"/>
      <c r="EB32" s="358" t="n"/>
      <c r="EC32" s="357" t="n"/>
      <c r="ED32" s="357" t="n"/>
      <c r="EE32" s="358" t="n"/>
      <c r="EF32" s="357" t="n"/>
      <c r="EG32" s="357" t="n"/>
      <c r="EH32" s="358" t="n"/>
      <c r="EI32" s="357" t="n"/>
      <c r="EJ32" s="357" t="n"/>
      <c r="EK32" s="358" t="n"/>
      <c r="EL32" s="357" t="n"/>
      <c r="EM32" s="357" t="n"/>
      <c r="EN32" s="358" t="n"/>
      <c r="EO32" s="357" t="n"/>
      <c r="EP32" s="357" t="n"/>
      <c r="EQ32" s="358" t="n"/>
      <c r="ER32" s="357" t="n"/>
      <c r="ES32" s="357" t="n"/>
      <c r="ET32" s="358" t="n"/>
      <c r="EU32" s="357" t="n"/>
      <c r="EV32" s="357" t="n"/>
      <c r="EW32" s="358" t="n"/>
    </row>
    <row r="33" ht="15.4" customHeight="1">
      <c r="A33" s="10" t="inlineStr">
        <is>
          <t>W&amp;B</t>
        </is>
      </c>
      <c r="B33" s="269" t="n">
        <v>46254</v>
      </c>
      <c r="C33" s="268" t="n"/>
      <c r="D33" s="357" t="n"/>
      <c r="E33" s="357" t="n"/>
      <c r="F33" s="358" t="n"/>
      <c r="G33" s="357" t="n"/>
      <c r="H33" s="357" t="n"/>
      <c r="I33" s="358" t="n"/>
      <c r="J33" s="357" t="n"/>
      <c r="K33" s="357" t="n"/>
      <c r="L33" s="358" t="n"/>
      <c r="M33" s="357" t="n"/>
      <c r="N33" s="357" t="n"/>
      <c r="O33" s="358" t="n"/>
      <c r="P33" s="357" t="n"/>
      <c r="Q33" s="357" t="n"/>
      <c r="R33" s="358" t="n"/>
      <c r="S33" s="357" t="n"/>
      <c r="T33" s="357" t="n"/>
      <c r="U33" s="358" t="n"/>
      <c r="V33" s="357" t="n"/>
      <c r="W33" s="357" t="n"/>
      <c r="X33" s="358" t="n"/>
      <c r="Y33" s="357" t="n"/>
      <c r="Z33" s="357" t="n"/>
      <c r="AA33" s="358" t="n"/>
      <c r="AB33" s="357" t="n"/>
      <c r="AC33" s="357" t="n"/>
      <c r="AD33" s="358" t="n"/>
      <c r="AE33" s="357" t="n"/>
      <c r="AF33" s="357" t="n"/>
      <c r="AG33" s="358" t="n"/>
      <c r="AH33" s="357" t="n"/>
      <c r="AI33" s="357" t="n"/>
      <c r="AJ33" s="358" t="n"/>
      <c r="AK33" s="357" t="n"/>
      <c r="AL33" s="357" t="n"/>
      <c r="AM33" s="358" t="n"/>
      <c r="AN33" s="357" t="n"/>
      <c r="AO33" s="357" t="n"/>
      <c r="AP33" s="358" t="n"/>
      <c r="AQ33" s="357" t="n"/>
      <c r="AR33" s="357" t="n"/>
      <c r="AS33" s="358" t="n"/>
      <c r="AT33" s="357" t="n"/>
      <c r="AU33" s="357" t="n"/>
      <c r="AV33" s="358" t="n"/>
      <c r="AW33" s="357" t="n"/>
      <c r="AX33" s="357" t="n"/>
      <c r="AY33" s="358" t="n"/>
      <c r="AZ33" s="357" t="n"/>
      <c r="BA33" s="357" t="n"/>
      <c r="BB33" s="358" t="n"/>
      <c r="BC33" s="357" t="n"/>
      <c r="BD33" s="357" t="n"/>
      <c r="BE33" s="358" t="n"/>
      <c r="BF33" s="357" t="n"/>
      <c r="BG33" s="357" t="n"/>
      <c r="BH33" s="358" t="n"/>
      <c r="BI33" s="357" t="n"/>
      <c r="BJ33" s="357" t="n"/>
      <c r="BK33" s="358" t="n"/>
      <c r="BL33" s="357" t="n"/>
      <c r="BM33" s="357" t="n"/>
      <c r="BN33" s="358" t="n"/>
      <c r="BO33" s="357" t="n"/>
      <c r="BP33" s="357" t="n"/>
      <c r="BQ33" s="358" t="n"/>
      <c r="BR33" s="357" t="n"/>
      <c r="BS33" s="357" t="n"/>
      <c r="BT33" s="358" t="n"/>
      <c r="BU33" s="357" t="n"/>
      <c r="BV33" s="357" t="n"/>
      <c r="BW33" s="358" t="n"/>
      <c r="BX33" s="357" t="n"/>
      <c r="BY33" s="357" t="n"/>
      <c r="BZ33" s="358" t="n"/>
      <c r="CA33" s="357" t="n"/>
      <c r="CB33" s="357" t="n"/>
      <c r="CC33" s="358" t="n"/>
      <c r="CD33" s="357" t="n"/>
      <c r="CE33" s="357" t="n"/>
      <c r="CF33" s="358" t="n"/>
      <c r="CG33" s="357" t="n"/>
      <c r="CH33" s="357" t="n"/>
      <c r="CI33" s="358" t="n"/>
      <c r="CJ33" s="357" t="n"/>
      <c r="CK33" s="357" t="n"/>
      <c r="CL33" s="358" t="n"/>
      <c r="CM33" s="357" t="n"/>
      <c r="CN33" s="357" t="n"/>
      <c r="CO33" s="358" t="n"/>
      <c r="CP33" s="357" t="n"/>
      <c r="CQ33" s="357" t="n"/>
      <c r="CR33" s="358" t="n"/>
      <c r="CS33" s="357" t="n"/>
      <c r="CT33" s="357" t="n"/>
      <c r="CU33" s="358" t="n"/>
      <c r="CV33" s="357" t="n"/>
      <c r="CW33" s="357" t="n"/>
      <c r="CX33" s="358" t="n"/>
      <c r="CY33" s="357" t="inlineStr">
        <is>
          <t>20-Aug</t>
        </is>
      </c>
      <c r="CZ33" s="357" t="n"/>
      <c r="DA33" s="358" t="n"/>
      <c r="DB33" s="357" t="n"/>
      <c r="DC33" s="357" t="n"/>
      <c r="DD33" s="358" t="n"/>
      <c r="DE33" s="357" t="n"/>
      <c r="DF33" s="357" t="n"/>
      <c r="DG33" s="358" t="n"/>
      <c r="DH33" s="357" t="n"/>
      <c r="DI33" s="357" t="n"/>
      <c r="DJ33" s="358" t="n"/>
      <c r="DK33" s="357" t="n"/>
      <c r="DL33" s="357" t="n"/>
      <c r="DM33" s="358" t="n"/>
      <c r="DN33" s="357" t="n"/>
      <c r="DO33" s="357" t="n"/>
      <c r="DP33" s="358" t="n"/>
      <c r="DQ33" s="357" t="n"/>
      <c r="DR33" s="357" t="n"/>
      <c r="DS33" s="358" t="n"/>
      <c r="DT33" s="357" t="n"/>
      <c r="DU33" s="357" t="n"/>
      <c r="DV33" s="358" t="n"/>
      <c r="DW33" s="357" t="n"/>
      <c r="DX33" s="357" t="n"/>
      <c r="DY33" s="358" t="n"/>
      <c r="DZ33" s="357" t="n"/>
      <c r="EA33" s="357" t="n"/>
      <c r="EB33" s="358" t="n"/>
      <c r="EC33" s="357" t="n"/>
      <c r="ED33" s="357" t="n"/>
      <c r="EE33" s="358" t="n"/>
      <c r="EF33" s="357" t="n"/>
      <c r="EG33" s="357" t="n"/>
      <c r="EH33" s="358" t="n"/>
      <c r="EI33" s="357" t="n"/>
      <c r="EJ33" s="357" t="n"/>
      <c r="EK33" s="358" t="n"/>
      <c r="EL33" s="357" t="n"/>
      <c r="EM33" s="357" t="n"/>
      <c r="EN33" s="358" t="n"/>
      <c r="EO33" s="357" t="n"/>
      <c r="EP33" s="357" t="n"/>
      <c r="EQ33" s="358" t="n"/>
      <c r="ER33" s="357" t="n"/>
      <c r="ES33" s="357" t="n"/>
      <c r="ET33" s="358" t="n"/>
      <c r="EU33" s="357" t="n"/>
      <c r="EV33" s="357" t="n"/>
      <c r="EW33" s="358" t="n"/>
    </row>
    <row r="34" ht="15.4" customHeight="1">
      <c r="A34" s="10" t="inlineStr">
        <is>
          <t>Refuel &amp; Leak Checks</t>
        </is>
      </c>
      <c r="B34" s="269" t="n">
        <v>46255</v>
      </c>
      <c r="C34" s="268" t="n"/>
      <c r="D34" s="357" t="n"/>
      <c r="E34" s="357" t="n"/>
      <c r="F34" s="358" t="n"/>
      <c r="G34" s="357" t="n"/>
      <c r="H34" s="357" t="n"/>
      <c r="I34" s="358" t="n"/>
      <c r="J34" s="357" t="n"/>
      <c r="K34" s="357" t="n"/>
      <c r="L34" s="358" t="n"/>
      <c r="M34" s="357" t="n"/>
      <c r="N34" s="357" t="n"/>
      <c r="O34" s="358" t="n"/>
      <c r="P34" s="357" t="n"/>
      <c r="Q34" s="357" t="n"/>
      <c r="R34" s="358" t="n"/>
      <c r="S34" s="357" t="n"/>
      <c r="T34" s="357" t="n"/>
      <c r="U34" s="358" t="n"/>
      <c r="V34" s="357" t="n"/>
      <c r="W34" s="357" t="n"/>
      <c r="X34" s="358" t="n"/>
      <c r="Y34" s="357" t="n"/>
      <c r="Z34" s="357" t="n"/>
      <c r="AA34" s="358" t="n"/>
      <c r="AB34" s="357" t="n"/>
      <c r="AC34" s="357" t="n"/>
      <c r="AD34" s="358" t="n"/>
      <c r="AE34" s="357" t="n"/>
      <c r="AF34" s="357" t="n"/>
      <c r="AG34" s="358" t="n"/>
      <c r="AH34" s="357" t="n"/>
      <c r="AI34" s="357" t="n"/>
      <c r="AJ34" s="358" t="n"/>
      <c r="AK34" s="357" t="n"/>
      <c r="AL34" s="357" t="n"/>
      <c r="AM34" s="358" t="n"/>
      <c r="AN34" s="357" t="n"/>
      <c r="AO34" s="357" t="n"/>
      <c r="AP34" s="358" t="n"/>
      <c r="AQ34" s="357" t="n"/>
      <c r="AR34" s="357" t="n"/>
      <c r="AS34" s="358" t="n"/>
      <c r="AT34" s="357" t="n"/>
      <c r="AU34" s="357" t="n"/>
      <c r="AV34" s="358" t="n"/>
      <c r="AW34" s="357" t="n"/>
      <c r="AX34" s="357" t="n"/>
      <c r="AY34" s="358" t="n"/>
      <c r="AZ34" s="357" t="n"/>
      <c r="BA34" s="357" t="n"/>
      <c r="BB34" s="358" t="n"/>
      <c r="BC34" s="357" t="n"/>
      <c r="BD34" s="357" t="n"/>
      <c r="BE34" s="358" t="n"/>
      <c r="BF34" s="357" t="n"/>
      <c r="BG34" s="357" t="n"/>
      <c r="BH34" s="358" t="n"/>
      <c r="BI34" s="357" t="n"/>
      <c r="BJ34" s="357" t="n"/>
      <c r="BK34" s="358" t="n"/>
      <c r="BL34" s="357" t="n"/>
      <c r="BM34" s="357" t="n"/>
      <c r="BN34" s="358" t="n"/>
      <c r="BO34" s="357" t="n"/>
      <c r="BP34" s="357" t="n"/>
      <c r="BQ34" s="358" t="n"/>
      <c r="BR34" s="357" t="n"/>
      <c r="BS34" s="357" t="n"/>
      <c r="BT34" s="358" t="n"/>
      <c r="BU34" s="357" t="n"/>
      <c r="BV34" s="357" t="n"/>
      <c r="BW34" s="358" t="n"/>
      <c r="BX34" s="357" t="n"/>
      <c r="BY34" s="357" t="n"/>
      <c r="BZ34" s="358" t="n"/>
      <c r="CA34" s="357" t="n"/>
      <c r="CB34" s="357" t="n"/>
      <c r="CC34" s="358" t="n"/>
      <c r="CD34" s="357" t="n"/>
      <c r="CE34" s="357" t="n"/>
      <c r="CF34" s="358" t="n"/>
      <c r="CG34" s="357" t="n"/>
      <c r="CH34" s="357" t="n"/>
      <c r="CI34" s="358" t="n"/>
      <c r="CJ34" s="357" t="n"/>
      <c r="CK34" s="357" t="n"/>
      <c r="CL34" s="358" t="n"/>
      <c r="CM34" s="357" t="n"/>
      <c r="CN34" s="357" t="n"/>
      <c r="CO34" s="358" t="n"/>
      <c r="CP34" s="357" t="n"/>
      <c r="CQ34" s="357" t="n"/>
      <c r="CR34" s="358" t="n"/>
      <c r="CS34" s="357" t="n"/>
      <c r="CT34" s="357" t="n"/>
      <c r="CU34" s="358" t="n"/>
      <c r="CV34" s="357" t="n"/>
      <c r="CW34" s="357" t="n"/>
      <c r="CX34" s="358" t="n"/>
      <c r="CY34" s="357" t="n"/>
      <c r="CZ34" s="357" t="n"/>
      <c r="DA34" s="358" t="n"/>
      <c r="DB34" s="357" t="inlineStr">
        <is>
          <t>21-Aug</t>
        </is>
      </c>
      <c r="DC34" s="357" t="n"/>
      <c r="DD34" s="358" t="n"/>
      <c r="DE34" s="357" t="n"/>
      <c r="DF34" s="357" t="n"/>
      <c r="DG34" s="358" t="n"/>
      <c r="DH34" s="357" t="n"/>
      <c r="DI34" s="357" t="n"/>
      <c r="DJ34" s="358" t="n"/>
      <c r="DK34" s="357" t="n"/>
      <c r="DL34" s="357" t="n"/>
      <c r="DM34" s="358" t="n"/>
      <c r="DN34" s="357" t="n"/>
      <c r="DO34" s="357" t="n"/>
      <c r="DP34" s="358" t="n"/>
      <c r="DQ34" s="357" t="n"/>
      <c r="DR34" s="357" t="n"/>
      <c r="DS34" s="358" t="n"/>
      <c r="DT34" s="357" t="n"/>
      <c r="DU34" s="357" t="n"/>
      <c r="DV34" s="358" t="n"/>
      <c r="DW34" s="357" t="n"/>
      <c r="DX34" s="357" t="n"/>
      <c r="DY34" s="358" t="n"/>
      <c r="DZ34" s="357" t="n"/>
      <c r="EA34" s="357" t="n"/>
      <c r="EB34" s="358" t="n"/>
      <c r="EC34" s="357" t="n"/>
      <c r="ED34" s="357" t="n"/>
      <c r="EE34" s="358" t="n"/>
      <c r="EF34" s="357" t="n"/>
      <c r="EG34" s="357" t="n"/>
      <c r="EH34" s="358" t="n"/>
      <c r="EI34" s="357" t="n"/>
      <c r="EJ34" s="357" t="n"/>
      <c r="EK34" s="358" t="n"/>
      <c r="EL34" s="357" t="n"/>
      <c r="EM34" s="357" t="n"/>
      <c r="EN34" s="358" t="n"/>
      <c r="EO34" s="357" t="n"/>
      <c r="EP34" s="357" t="n"/>
      <c r="EQ34" s="358" t="n"/>
      <c r="ER34" s="357" t="n"/>
      <c r="ES34" s="357" t="n"/>
      <c r="ET34" s="358" t="n"/>
      <c r="EU34" s="357" t="n"/>
      <c r="EV34" s="357" t="n"/>
      <c r="EW34" s="358" t="n"/>
    </row>
    <row r="35" ht="15.4" customHeight="1">
      <c r="A35" s="10" t="inlineStr">
        <is>
          <t>Engine Run</t>
        </is>
      </c>
      <c r="B35" s="269" t="n">
        <v>46256</v>
      </c>
      <c r="C35" s="268" t="n"/>
      <c r="D35" s="357" t="n"/>
      <c r="E35" s="357" t="n"/>
      <c r="F35" s="358" t="n"/>
      <c r="G35" s="357" t="n"/>
      <c r="H35" s="357" t="n"/>
      <c r="I35" s="358" t="n"/>
      <c r="J35" s="357" t="n"/>
      <c r="K35" s="357" t="n"/>
      <c r="L35" s="358" t="n"/>
      <c r="M35" s="357" t="n"/>
      <c r="N35" s="357" t="n"/>
      <c r="O35" s="358" t="n"/>
      <c r="P35" s="357" t="n"/>
      <c r="Q35" s="357" t="n"/>
      <c r="R35" s="358" t="n"/>
      <c r="S35" s="357" t="n"/>
      <c r="T35" s="357" t="n"/>
      <c r="U35" s="358" t="n"/>
      <c r="V35" s="357" t="n"/>
      <c r="W35" s="357" t="n"/>
      <c r="X35" s="358" t="n"/>
      <c r="Y35" s="357" t="n"/>
      <c r="Z35" s="357" t="n"/>
      <c r="AA35" s="358" t="n"/>
      <c r="AB35" s="357" t="n"/>
      <c r="AC35" s="357" t="n"/>
      <c r="AD35" s="358" t="n"/>
      <c r="AE35" s="357" t="n"/>
      <c r="AF35" s="357" t="n"/>
      <c r="AG35" s="358" t="n"/>
      <c r="AH35" s="357" t="n"/>
      <c r="AI35" s="357" t="n"/>
      <c r="AJ35" s="358" t="n"/>
      <c r="AK35" s="357" t="n"/>
      <c r="AL35" s="357" t="n"/>
      <c r="AM35" s="358" t="n"/>
      <c r="AN35" s="357" t="n"/>
      <c r="AO35" s="357" t="n"/>
      <c r="AP35" s="358" t="n"/>
      <c r="AQ35" s="357" t="n"/>
      <c r="AR35" s="357" t="n"/>
      <c r="AS35" s="358" t="n"/>
      <c r="AT35" s="357" t="n"/>
      <c r="AU35" s="357" t="n"/>
      <c r="AV35" s="358" t="n"/>
      <c r="AW35" s="357" t="n"/>
      <c r="AX35" s="357" t="n"/>
      <c r="AY35" s="358" t="n"/>
      <c r="AZ35" s="357" t="n"/>
      <c r="BA35" s="357" t="n"/>
      <c r="BB35" s="358" t="n"/>
      <c r="BC35" s="357" t="n"/>
      <c r="BD35" s="357" t="n"/>
      <c r="BE35" s="358" t="n"/>
      <c r="BF35" s="357" t="n"/>
      <c r="BG35" s="357" t="n"/>
      <c r="BH35" s="358" t="n"/>
      <c r="BI35" s="357" t="n"/>
      <c r="BJ35" s="357" t="n"/>
      <c r="BK35" s="358" t="n"/>
      <c r="BL35" s="357" t="n"/>
      <c r="BM35" s="357" t="n"/>
      <c r="BN35" s="358" t="n"/>
      <c r="BO35" s="357" t="n"/>
      <c r="BP35" s="357" t="n"/>
      <c r="BQ35" s="358" t="n"/>
      <c r="BR35" s="357" t="n"/>
      <c r="BS35" s="357" t="n"/>
      <c r="BT35" s="358" t="n"/>
      <c r="BU35" s="357" t="n"/>
      <c r="BV35" s="357" t="n"/>
      <c r="BW35" s="358" t="n"/>
      <c r="BX35" s="357" t="n"/>
      <c r="BY35" s="357" t="n"/>
      <c r="BZ35" s="358" t="n"/>
      <c r="CA35" s="357" t="n"/>
      <c r="CB35" s="357" t="n"/>
      <c r="CC35" s="358" t="n"/>
      <c r="CD35" s="357" t="n"/>
      <c r="CE35" s="357" t="n"/>
      <c r="CF35" s="358" t="n"/>
      <c r="CG35" s="357" t="n"/>
      <c r="CH35" s="357" t="n"/>
      <c r="CI35" s="358" t="n"/>
      <c r="CJ35" s="357" t="n"/>
      <c r="CK35" s="357" t="n"/>
      <c r="CL35" s="358" t="n"/>
      <c r="CM35" s="357" t="n"/>
      <c r="CN35" s="357" t="n"/>
      <c r="CO35" s="358" t="n"/>
      <c r="CP35" s="357" t="n"/>
      <c r="CQ35" s="357" t="n"/>
      <c r="CR35" s="358" t="n"/>
      <c r="CS35" s="357" t="n"/>
      <c r="CT35" s="357" t="n"/>
      <c r="CU35" s="358" t="n"/>
      <c r="CV35" s="357" t="n"/>
      <c r="CW35" s="357" t="n"/>
      <c r="CX35" s="358" t="n"/>
      <c r="CY35" s="357" t="n"/>
      <c r="CZ35" s="357" t="n"/>
      <c r="DA35" s="358" t="n"/>
      <c r="DB35" s="357" t="n"/>
      <c r="DC35" s="357" t="n"/>
      <c r="DD35" s="358" t="n"/>
      <c r="DE35" s="357" t="inlineStr">
        <is>
          <t>22-Aug</t>
        </is>
      </c>
      <c r="DF35" s="357" t="n"/>
      <c r="DG35" s="358" t="n"/>
      <c r="DH35" s="357" t="n"/>
      <c r="DI35" s="357" t="n"/>
      <c r="DJ35" s="358" t="n"/>
      <c r="DK35" s="357" t="n"/>
      <c r="DL35" s="357" t="n"/>
      <c r="DM35" s="358" t="n"/>
      <c r="DN35" s="357" t="n"/>
      <c r="DO35" s="357" t="n"/>
      <c r="DP35" s="358" t="n"/>
      <c r="DQ35" s="357" t="n"/>
      <c r="DR35" s="357" t="n"/>
      <c r="DS35" s="358" t="n"/>
      <c r="DT35" s="357" t="n"/>
      <c r="DU35" s="357" t="n"/>
      <c r="DV35" s="358" t="n"/>
      <c r="DW35" s="357" t="n"/>
      <c r="DX35" s="357" t="n"/>
      <c r="DY35" s="358" t="n"/>
      <c r="DZ35" s="357" t="n"/>
      <c r="EA35" s="357" t="n"/>
      <c r="EB35" s="358" t="n"/>
      <c r="EC35" s="357" t="n"/>
      <c r="ED35" s="357" t="n"/>
      <c r="EE35" s="358" t="n"/>
      <c r="EF35" s="357" t="n"/>
      <c r="EG35" s="357" t="n"/>
      <c r="EH35" s="358" t="n"/>
      <c r="EI35" s="357" t="n"/>
      <c r="EJ35" s="357" t="n"/>
      <c r="EK35" s="358" t="n"/>
      <c r="EL35" s="357" t="n"/>
      <c r="EM35" s="357" t="n"/>
      <c r="EN35" s="358" t="n"/>
      <c r="EO35" s="357" t="n"/>
      <c r="EP35" s="357" t="n"/>
      <c r="EQ35" s="358" t="n"/>
      <c r="ER35" s="357" t="n"/>
      <c r="ES35" s="357" t="n"/>
      <c r="ET35" s="358" t="n"/>
      <c r="EU35" s="357" t="n"/>
      <c r="EV35" s="357" t="n"/>
      <c r="EW35" s="358" t="n"/>
    </row>
    <row r="36" ht="15.4" customHeight="1">
      <c r="A36" s="266" t="inlineStr">
        <is>
          <t>PHASE 5  (Release)</t>
        </is>
      </c>
      <c r="B36" s="267" t="n"/>
      <c r="C36" s="268" t="n"/>
      <c r="D36" s="357" t="n"/>
      <c r="E36" s="357" t="n"/>
      <c r="F36" s="358" t="n"/>
      <c r="G36" s="357" t="n"/>
      <c r="H36" s="357" t="n"/>
      <c r="I36" s="358" t="n"/>
      <c r="J36" s="357" t="n"/>
      <c r="K36" s="357" t="n"/>
      <c r="L36" s="358" t="n"/>
      <c r="M36" s="357" t="n"/>
      <c r="N36" s="357" t="n"/>
      <c r="O36" s="358" t="n"/>
      <c r="P36" s="357" t="n"/>
      <c r="Q36" s="357" t="n"/>
      <c r="R36" s="358" t="n"/>
      <c r="S36" s="357" t="n"/>
      <c r="T36" s="357" t="n"/>
      <c r="U36" s="358" t="n"/>
      <c r="V36" s="357" t="n"/>
      <c r="W36" s="357" t="n"/>
      <c r="X36" s="358" t="n"/>
      <c r="Y36" s="357" t="n"/>
      <c r="Z36" s="357" t="n"/>
      <c r="AA36" s="358" t="n"/>
      <c r="AB36" s="357" t="n"/>
      <c r="AC36" s="357" t="n"/>
      <c r="AD36" s="358" t="n"/>
      <c r="AE36" s="357" t="n"/>
      <c r="AF36" s="357" t="n"/>
      <c r="AG36" s="358" t="n"/>
      <c r="AH36" s="357" t="n"/>
      <c r="AI36" s="357" t="n"/>
      <c r="AJ36" s="358" t="n"/>
      <c r="AK36" s="357" t="n"/>
      <c r="AL36" s="357" t="n"/>
      <c r="AM36" s="358" t="n"/>
      <c r="AN36" s="357" t="n"/>
      <c r="AO36" s="357" t="n"/>
      <c r="AP36" s="358" t="n"/>
      <c r="AQ36" s="357" t="n"/>
      <c r="AR36" s="357" t="n"/>
      <c r="AS36" s="358" t="n"/>
      <c r="AT36" s="357" t="n"/>
      <c r="AU36" s="357" t="n"/>
      <c r="AV36" s="358" t="n"/>
      <c r="AW36" s="357" t="n"/>
      <c r="AX36" s="357" t="n"/>
      <c r="AY36" s="358" t="n"/>
      <c r="AZ36" s="357" t="n"/>
      <c r="BA36" s="357" t="n"/>
      <c r="BB36" s="358" t="n"/>
      <c r="BC36" s="357" t="n"/>
      <c r="BD36" s="357" t="n"/>
      <c r="BE36" s="358" t="n"/>
      <c r="BF36" s="357" t="n"/>
      <c r="BG36" s="357" t="n"/>
      <c r="BH36" s="358" t="n"/>
      <c r="BI36" s="357" t="n"/>
      <c r="BJ36" s="357" t="n"/>
      <c r="BK36" s="358" t="n"/>
      <c r="BL36" s="357" t="n"/>
      <c r="BM36" s="357" t="n"/>
      <c r="BN36" s="358" t="n"/>
      <c r="BO36" s="357" t="n"/>
      <c r="BP36" s="357" t="n"/>
      <c r="BQ36" s="358" t="n"/>
      <c r="BR36" s="357" t="n"/>
      <c r="BS36" s="357" t="n"/>
      <c r="BT36" s="358" t="n"/>
      <c r="BU36" s="357" t="n"/>
      <c r="BV36" s="357" t="n"/>
      <c r="BW36" s="358" t="n"/>
      <c r="BX36" s="357" t="n"/>
      <c r="BY36" s="357" t="n"/>
      <c r="BZ36" s="358" t="n"/>
      <c r="CA36" s="357" t="n"/>
      <c r="CB36" s="357" t="n"/>
      <c r="CC36" s="358" t="n"/>
      <c r="CD36" s="357" t="n"/>
      <c r="CE36" s="357" t="n"/>
      <c r="CF36" s="358" t="n"/>
      <c r="CG36" s="357" t="n"/>
      <c r="CH36" s="357" t="n"/>
      <c r="CI36" s="358" t="n"/>
      <c r="CJ36" s="357" t="n"/>
      <c r="CK36" s="357" t="n"/>
      <c r="CL36" s="358" t="n"/>
      <c r="CM36" s="357" t="n"/>
      <c r="CN36" s="357" t="n"/>
      <c r="CO36" s="358" t="n"/>
      <c r="CP36" s="357" t="n"/>
      <c r="CQ36" s="357" t="n"/>
      <c r="CR36" s="358" t="n"/>
      <c r="CS36" s="357" t="n"/>
      <c r="CT36" s="357" t="n"/>
      <c r="CU36" s="358" t="n"/>
      <c r="CV36" s="357" t="n"/>
      <c r="CW36" s="357" t="n"/>
      <c r="CX36" s="358" t="n"/>
      <c r="CY36" s="357" t="n"/>
      <c r="CZ36" s="357" t="n"/>
      <c r="DA36" s="358" t="n"/>
      <c r="DB36" s="357" t="n"/>
      <c r="DC36" s="357" t="n"/>
      <c r="DD36" s="358" t="n"/>
      <c r="DE36" s="357" t="n"/>
      <c r="DF36" s="357" t="n"/>
      <c r="DG36" s="358" t="n"/>
      <c r="DH36" s="357" t="n"/>
      <c r="DI36" s="357" t="n"/>
      <c r="DJ36" s="358" t="n"/>
      <c r="DK36" s="357" t="n"/>
      <c r="DL36" s="357" t="n"/>
      <c r="DM36" s="358" t="n"/>
      <c r="DN36" s="357" t="n"/>
      <c r="DO36" s="357" t="n"/>
      <c r="DP36" s="358" t="n"/>
      <c r="DQ36" s="357" t="n"/>
      <c r="DR36" s="357" t="n"/>
      <c r="DS36" s="358" t="n"/>
      <c r="DT36" s="357" t="n"/>
      <c r="DU36" s="357" t="n"/>
      <c r="DV36" s="358" t="n"/>
      <c r="DW36" s="357" t="n"/>
      <c r="DX36" s="357" t="n"/>
      <c r="DY36" s="358" t="n"/>
      <c r="DZ36" s="357" t="n"/>
      <c r="EA36" s="357" t="n"/>
      <c r="EB36" s="358" t="n"/>
      <c r="EC36" s="357" t="n"/>
      <c r="ED36" s="357" t="n"/>
      <c r="EE36" s="358" t="n"/>
      <c r="EF36" s="357" t="n"/>
      <c r="EG36" s="357" t="n"/>
      <c r="EH36" s="358" t="n"/>
      <c r="EI36" s="357" t="n"/>
      <c r="EJ36" s="357" t="n"/>
      <c r="EK36" s="358" t="n"/>
      <c r="EL36" s="357" t="n"/>
      <c r="EM36" s="357" t="n"/>
      <c r="EN36" s="358" t="n"/>
      <c r="EO36" s="357" t="n"/>
      <c r="EP36" s="357" t="n"/>
      <c r="EQ36" s="358" t="n"/>
      <c r="ER36" s="357" t="n"/>
      <c r="ES36" s="357" t="n"/>
      <c r="ET36" s="358" t="n"/>
      <c r="EU36" s="357" t="n"/>
      <c r="EV36" s="357" t="n"/>
      <c r="EW36" s="358" t="n"/>
    </row>
    <row r="37" ht="15.4" customHeight="1">
      <c r="A37" s="10" t="inlineStr">
        <is>
          <t>Final Product Quality Inspection (FPQI)</t>
        </is>
      </c>
      <c r="B37" s="269" t="n">
        <v>46257</v>
      </c>
      <c r="C37" s="269" t="n">
        <v>46258</v>
      </c>
      <c r="D37" s="357" t="n"/>
      <c r="E37" s="357" t="n"/>
      <c r="F37" s="358" t="n"/>
      <c r="G37" s="357" t="n"/>
      <c r="H37" s="357" t="n"/>
      <c r="I37" s="358" t="n"/>
      <c r="J37" s="357" t="n"/>
      <c r="K37" s="357" t="n"/>
      <c r="L37" s="358" t="n"/>
      <c r="M37" s="357" t="n"/>
      <c r="N37" s="357" t="n"/>
      <c r="O37" s="358" t="n"/>
      <c r="P37" s="357" t="n"/>
      <c r="Q37" s="357" t="n"/>
      <c r="R37" s="358" t="n"/>
      <c r="S37" s="357" t="n"/>
      <c r="T37" s="357" t="n"/>
      <c r="U37" s="358" t="n"/>
      <c r="V37" s="357" t="n"/>
      <c r="W37" s="357" t="n"/>
      <c r="X37" s="358" t="n"/>
      <c r="Y37" s="357" t="n"/>
      <c r="Z37" s="357" t="n"/>
      <c r="AA37" s="358" t="n"/>
      <c r="AB37" s="357" t="n"/>
      <c r="AC37" s="357" t="n"/>
      <c r="AD37" s="358" t="n"/>
      <c r="AE37" s="357" t="n"/>
      <c r="AF37" s="357" t="n"/>
      <c r="AG37" s="358" t="n"/>
      <c r="AH37" s="357" t="n"/>
      <c r="AI37" s="357" t="n"/>
      <c r="AJ37" s="358" t="n"/>
      <c r="AK37" s="357" t="n"/>
      <c r="AL37" s="357" t="n"/>
      <c r="AM37" s="358" t="n"/>
      <c r="AN37" s="357" t="n"/>
      <c r="AO37" s="357" t="n"/>
      <c r="AP37" s="358" t="n"/>
      <c r="AQ37" s="357" t="n"/>
      <c r="AR37" s="357" t="n"/>
      <c r="AS37" s="358" t="n"/>
      <c r="AT37" s="357" t="n"/>
      <c r="AU37" s="357" t="n"/>
      <c r="AV37" s="358" t="n"/>
      <c r="AW37" s="357" t="n"/>
      <c r="AX37" s="357" t="n"/>
      <c r="AY37" s="358" t="n"/>
      <c r="AZ37" s="357" t="n"/>
      <c r="BA37" s="357" t="n"/>
      <c r="BB37" s="358" t="n"/>
      <c r="BC37" s="357" t="n"/>
      <c r="BD37" s="357" t="n"/>
      <c r="BE37" s="358" t="n"/>
      <c r="BF37" s="357" t="n"/>
      <c r="BG37" s="357" t="n"/>
      <c r="BH37" s="358" t="n"/>
      <c r="BI37" s="357" t="n"/>
      <c r="BJ37" s="357" t="n"/>
      <c r="BK37" s="358" t="n"/>
      <c r="BL37" s="357" t="n"/>
      <c r="BM37" s="357" t="n"/>
      <c r="BN37" s="358" t="n"/>
      <c r="BO37" s="357" t="n"/>
      <c r="BP37" s="357" t="n"/>
      <c r="BQ37" s="358" t="n"/>
      <c r="BR37" s="357" t="n"/>
      <c r="BS37" s="357" t="n"/>
      <c r="BT37" s="358" t="n"/>
      <c r="BU37" s="357" t="n"/>
      <c r="BV37" s="357" t="n"/>
      <c r="BW37" s="358" t="n"/>
      <c r="BX37" s="357" t="n"/>
      <c r="BY37" s="357" t="n"/>
      <c r="BZ37" s="358" t="n"/>
      <c r="CA37" s="357" t="n"/>
      <c r="CB37" s="357" t="n"/>
      <c r="CC37" s="358" t="n"/>
      <c r="CD37" s="357" t="n"/>
      <c r="CE37" s="357" t="n"/>
      <c r="CF37" s="358" t="n"/>
      <c r="CG37" s="357" t="n"/>
      <c r="CH37" s="357" t="n"/>
      <c r="CI37" s="358" t="n"/>
      <c r="CJ37" s="357" t="n"/>
      <c r="CK37" s="357" t="n"/>
      <c r="CL37" s="358" t="n"/>
      <c r="CM37" s="357" t="n"/>
      <c r="CN37" s="357" t="n"/>
      <c r="CO37" s="358" t="n"/>
      <c r="CP37" s="357" t="n"/>
      <c r="CQ37" s="357" t="n"/>
      <c r="CR37" s="358" t="n"/>
      <c r="CS37" s="357" t="n"/>
      <c r="CT37" s="357" t="n"/>
      <c r="CU37" s="358" t="n"/>
      <c r="CV37" s="357" t="n"/>
      <c r="CW37" s="357" t="n"/>
      <c r="CX37" s="358" t="n"/>
      <c r="CY37" s="357" t="n"/>
      <c r="CZ37" s="357" t="n"/>
      <c r="DA37" s="358" t="n"/>
      <c r="DB37" s="357" t="n"/>
      <c r="DC37" s="357" t="n"/>
      <c r="DD37" s="358" t="n"/>
      <c r="DE37" s="357" t="n"/>
      <c r="DF37" s="357" t="n"/>
      <c r="DG37" s="358" t="n"/>
      <c r="DH37" s="357" t="n"/>
      <c r="DI37" s="357" t="n"/>
      <c r="DJ37" s="358" t="n"/>
      <c r="DK37" s="357" t="inlineStr">
        <is>
          <t>24-Aug</t>
        </is>
      </c>
      <c r="DL37" s="357" t="n"/>
      <c r="DM37" s="358" t="n"/>
      <c r="DN37" s="357" t="n"/>
      <c r="DO37" s="357" t="n"/>
      <c r="DP37" s="358" t="n"/>
      <c r="DQ37" s="357" t="n"/>
      <c r="DR37" s="357" t="n"/>
      <c r="DS37" s="358" t="n"/>
      <c r="DT37" s="357" t="n"/>
      <c r="DU37" s="357" t="n"/>
      <c r="DV37" s="358" t="n"/>
      <c r="DW37" s="357" t="n"/>
      <c r="DX37" s="357" t="n"/>
      <c r="DY37" s="358" t="n"/>
      <c r="DZ37" s="357" t="n"/>
      <c r="EA37" s="357" t="n"/>
      <c r="EB37" s="358" t="n"/>
      <c r="EC37" s="357" t="n"/>
      <c r="ED37" s="357" t="n"/>
      <c r="EE37" s="358" t="n"/>
      <c r="EF37" s="357" t="n"/>
      <c r="EG37" s="357" t="n"/>
      <c r="EH37" s="358" t="n"/>
      <c r="EI37" s="357" t="n"/>
      <c r="EJ37" s="357" t="n"/>
      <c r="EK37" s="358" t="n"/>
      <c r="EL37" s="357" t="n"/>
      <c r="EM37" s="357" t="n"/>
      <c r="EN37" s="358" t="n"/>
      <c r="EO37" s="357" t="n"/>
      <c r="EP37" s="357" t="n"/>
      <c r="EQ37" s="358" t="n"/>
      <c r="ER37" s="357" t="n"/>
      <c r="ES37" s="357" t="n"/>
      <c r="ET37" s="358" t="n"/>
      <c r="EU37" s="357" t="n"/>
      <c r="EV37" s="357" t="n"/>
      <c r="EW37" s="358" t="n"/>
    </row>
    <row r="38" ht="15.4" customHeight="1">
      <c r="A38" s="360" t="inlineStr">
        <is>
          <t>Aircraft Release</t>
        </is>
      </c>
      <c r="B38" s="361" t="n">
        <v>46258</v>
      </c>
      <c r="C38" s="369" t="n"/>
      <c r="D38" s="363" t="n"/>
      <c r="E38" s="363" t="n"/>
      <c r="F38" s="364" t="n"/>
      <c r="G38" s="363" t="n"/>
      <c r="H38" s="363" t="n"/>
      <c r="I38" s="364" t="n"/>
      <c r="J38" s="363" t="n"/>
      <c r="K38" s="363" t="n"/>
      <c r="L38" s="364" t="n"/>
      <c r="M38" s="363" t="n"/>
      <c r="N38" s="363" t="n"/>
      <c r="O38" s="364" t="n"/>
      <c r="P38" s="363" t="n"/>
      <c r="Q38" s="363" t="n"/>
      <c r="R38" s="364" t="n"/>
      <c r="S38" s="363" t="n"/>
      <c r="T38" s="363" t="n"/>
      <c r="U38" s="364" t="n"/>
      <c r="V38" s="363" t="n"/>
      <c r="W38" s="363" t="n"/>
      <c r="X38" s="364" t="n"/>
      <c r="Y38" s="363" t="n"/>
      <c r="Z38" s="363" t="n"/>
      <c r="AA38" s="364" t="n"/>
      <c r="AB38" s="363" t="n"/>
      <c r="AC38" s="363" t="n"/>
      <c r="AD38" s="364" t="n"/>
      <c r="AE38" s="363" t="n"/>
      <c r="AF38" s="363" t="n"/>
      <c r="AG38" s="364" t="n"/>
      <c r="AH38" s="363" t="n"/>
      <c r="AI38" s="363" t="n"/>
      <c r="AJ38" s="364" t="n"/>
      <c r="AK38" s="363" t="n"/>
      <c r="AL38" s="363" t="n"/>
      <c r="AM38" s="364" t="n"/>
      <c r="AN38" s="363" t="n"/>
      <c r="AO38" s="363" t="n"/>
      <c r="AP38" s="364" t="n"/>
      <c r="AQ38" s="363" t="n"/>
      <c r="AR38" s="363" t="n"/>
      <c r="AS38" s="364" t="n"/>
      <c r="AT38" s="363" t="n"/>
      <c r="AU38" s="363" t="n"/>
      <c r="AV38" s="364" t="n"/>
      <c r="AW38" s="363" t="n"/>
      <c r="AX38" s="363" t="n"/>
      <c r="AY38" s="364" t="n"/>
      <c r="AZ38" s="363" t="n"/>
      <c r="BA38" s="363" t="n"/>
      <c r="BB38" s="364" t="n"/>
      <c r="BC38" s="363" t="n"/>
      <c r="BD38" s="363" t="n"/>
      <c r="BE38" s="364" t="n"/>
      <c r="BF38" s="363" t="n"/>
      <c r="BG38" s="363" t="n"/>
      <c r="BH38" s="364" t="n"/>
      <c r="BI38" s="363" t="n"/>
      <c r="BJ38" s="363" t="n"/>
      <c r="BK38" s="364" t="n"/>
      <c r="BL38" s="363" t="n"/>
      <c r="BM38" s="363" t="n"/>
      <c r="BN38" s="364" t="n"/>
      <c r="BO38" s="363" t="n"/>
      <c r="BP38" s="363" t="n"/>
      <c r="BQ38" s="364" t="n"/>
      <c r="BR38" s="363" t="n"/>
      <c r="BS38" s="363" t="n"/>
      <c r="BT38" s="364" t="n"/>
      <c r="BU38" s="363" t="n"/>
      <c r="BV38" s="363" t="n"/>
      <c r="BW38" s="364" t="n"/>
      <c r="BX38" s="363" t="n"/>
      <c r="BY38" s="363" t="n"/>
      <c r="BZ38" s="364" t="n"/>
      <c r="CA38" s="363" t="n"/>
      <c r="CB38" s="363" t="n"/>
      <c r="CC38" s="364" t="n"/>
      <c r="CD38" s="363" t="n"/>
      <c r="CE38" s="363" t="n"/>
      <c r="CF38" s="364" t="n"/>
      <c r="CG38" s="363" t="n"/>
      <c r="CH38" s="363" t="n"/>
      <c r="CI38" s="364" t="n"/>
      <c r="CJ38" s="363" t="n"/>
      <c r="CK38" s="363" t="n"/>
      <c r="CL38" s="364" t="n"/>
      <c r="CM38" s="363" t="n"/>
      <c r="CN38" s="363" t="n"/>
      <c r="CO38" s="364" t="n"/>
      <c r="CP38" s="363" t="n"/>
      <c r="CQ38" s="363" t="n"/>
      <c r="CR38" s="364" t="n"/>
      <c r="CS38" s="363" t="n"/>
      <c r="CT38" s="363" t="n"/>
      <c r="CU38" s="364" t="n"/>
      <c r="CV38" s="363" t="n"/>
      <c r="CW38" s="363" t="n"/>
      <c r="CX38" s="364" t="n"/>
      <c r="CY38" s="363" t="n"/>
      <c r="CZ38" s="363" t="n"/>
      <c r="DA38" s="364" t="n"/>
      <c r="DB38" s="363" t="n"/>
      <c r="DC38" s="363" t="n"/>
      <c r="DD38" s="364" t="n"/>
      <c r="DE38" s="363" t="n"/>
      <c r="DF38" s="363" t="n"/>
      <c r="DG38" s="364" t="n"/>
      <c r="DH38" s="363" t="n"/>
      <c r="DI38" s="363" t="n"/>
      <c r="DJ38" s="364" t="n"/>
      <c r="DK38" s="363" t="inlineStr">
        <is>
          <t>24-Aug</t>
        </is>
      </c>
      <c r="DL38" s="363" t="n"/>
      <c r="DM38" s="364" t="n"/>
      <c r="DN38" s="363" t="n"/>
      <c r="DO38" s="363" t="n"/>
      <c r="DP38" s="364" t="n"/>
      <c r="DQ38" s="363" t="n"/>
      <c r="DR38" s="363" t="n"/>
      <c r="DS38" s="364" t="n"/>
      <c r="DT38" s="363" t="n"/>
      <c r="DU38" s="363" t="n"/>
      <c r="DV38" s="364" t="n"/>
      <c r="DW38" s="363" t="n"/>
      <c r="DX38" s="363" t="n"/>
      <c r="DY38" s="364" t="n"/>
      <c r="DZ38" s="363" t="n"/>
      <c r="EA38" s="363" t="n"/>
      <c r="EB38" s="364" t="n"/>
      <c r="EC38" s="363" t="n"/>
      <c r="ED38" s="363" t="n"/>
      <c r="EE38" s="364" t="n"/>
      <c r="EF38" s="363" t="n"/>
      <c r="EG38" s="363" t="n"/>
      <c r="EH38" s="364" t="n"/>
      <c r="EI38" s="363" t="n"/>
      <c r="EJ38" s="363" t="n"/>
      <c r="EK38" s="364" t="n"/>
      <c r="EL38" s="363" t="n"/>
      <c r="EM38" s="363" t="n"/>
      <c r="EN38" s="364" t="n"/>
      <c r="EO38" s="363" t="n"/>
      <c r="EP38" s="363" t="n"/>
      <c r="EQ38" s="364" t="n"/>
      <c r="ER38" s="363" t="n"/>
      <c r="ES38" s="363" t="n"/>
      <c r="ET38" s="364" t="n"/>
      <c r="EU38" s="363" t="n"/>
      <c r="EV38" s="363" t="n"/>
      <c r="EW38" s="364" t="n"/>
    </row>
    <row r="40" ht="15.95" customHeight="1">
      <c r="A40" s="318" t="inlineStr">
        <is>
          <t xml:space="preserve">  MILESTONES  —  auto from the schedule above</t>
        </is>
      </c>
      <c r="D40" s="226" t="n"/>
      <c r="E40" s="226" t="n"/>
      <c r="F40" s="226" t="n"/>
      <c r="G40" s="226" t="n"/>
      <c r="H40" s="226" t="n"/>
      <c r="I40" s="226" t="n"/>
      <c r="J40" s="226" t="n"/>
      <c r="K40" s="226" t="n"/>
      <c r="L40" s="226" t="n"/>
      <c r="M40" s="226" t="n"/>
      <c r="N40" s="226" t="n"/>
      <c r="O40" s="226" t="n"/>
      <c r="P40" s="226" t="n"/>
      <c r="Q40" s="226" t="n"/>
      <c r="R40" s="226" t="n"/>
      <c r="S40" s="226" t="n"/>
      <c r="T40" s="226" t="n"/>
      <c r="U40" s="226" t="n"/>
      <c r="V40" s="226" t="n"/>
      <c r="W40" s="226" t="n"/>
      <c r="X40" s="226" t="n"/>
      <c r="Y40" s="226" t="n"/>
      <c r="Z40" s="226" t="n"/>
      <c r="AA40" s="226" t="n"/>
      <c r="AB40" s="226" t="n"/>
      <c r="AC40" s="226" t="n"/>
      <c r="AD40" s="226" t="n"/>
      <c r="AE40" s="226" t="n"/>
      <c r="AF40" s="226" t="n"/>
      <c r="AG40" s="226" t="n"/>
      <c r="AH40" s="226" t="n"/>
      <c r="AI40" s="226" t="n"/>
      <c r="AJ40" s="226" t="n"/>
      <c r="AK40" s="226" t="n"/>
      <c r="AL40" s="226" t="n"/>
      <c r="AM40" s="226" t="n"/>
      <c r="AN40" s="226" t="n"/>
      <c r="AO40" s="226" t="n"/>
      <c r="AP40" s="226" t="n"/>
      <c r="AQ40" s="226" t="n"/>
      <c r="AR40" s="226" t="n"/>
      <c r="AS40" s="226" t="n"/>
      <c r="AT40" s="226" t="n"/>
      <c r="AU40" s="226" t="n"/>
      <c r="AV40" s="226" t="n"/>
      <c r="AW40" s="226" t="n"/>
      <c r="AX40" s="226" t="n"/>
      <c r="AY40" s="226" t="n"/>
      <c r="AZ40" s="226" t="n"/>
      <c r="BA40" s="226" t="n"/>
      <c r="BB40" s="226" t="n"/>
      <c r="BC40" s="226" t="n"/>
      <c r="BD40" s="226" t="n"/>
      <c r="BE40" s="226" t="n"/>
      <c r="BF40" s="226" t="n"/>
      <c r="BG40" s="226" t="n"/>
      <c r="BH40" s="226" t="n"/>
      <c r="BI40" s="226" t="n"/>
      <c r="BJ40" s="226" t="n"/>
      <c r="BK40" s="226" t="n"/>
      <c r="BL40" s="226" t="n"/>
      <c r="BM40" s="226" t="n"/>
      <c r="BN40" s="226" t="n"/>
      <c r="BO40" s="226" t="n"/>
      <c r="BP40" s="226" t="n"/>
      <c r="BQ40" s="226" t="n"/>
      <c r="BR40" s="226" t="n"/>
      <c r="BS40" s="226" t="n"/>
      <c r="BT40" s="226" t="n"/>
      <c r="BU40" s="226" t="n"/>
      <c r="BV40" s="226" t="n"/>
      <c r="BW40" s="226" t="n"/>
      <c r="BX40" s="226" t="n"/>
      <c r="BY40" s="226" t="n"/>
      <c r="BZ40" s="226" t="n"/>
      <c r="CA40" s="226" t="n"/>
      <c r="CB40" s="226" t="n"/>
      <c r="CC40" s="226" t="n"/>
      <c r="CD40" s="226" t="n"/>
      <c r="CE40" s="226" t="n"/>
      <c r="CF40" s="226" t="n"/>
      <c r="CG40" s="226" t="n"/>
      <c r="CH40" s="226" t="n"/>
      <c r="CI40" s="226" t="n"/>
      <c r="CJ40" s="226" t="n"/>
      <c r="CK40" s="226" t="n"/>
      <c r="CL40" s="226" t="n"/>
      <c r="CM40" s="226" t="n"/>
      <c r="CN40" s="226" t="n"/>
      <c r="CO40" s="226" t="n"/>
      <c r="CP40" s="226" t="n"/>
      <c r="CQ40" s="226" t="n"/>
      <c r="CR40" s="226" t="n"/>
      <c r="CS40" s="226" t="n"/>
      <c r="CT40" s="226" t="n"/>
      <c r="CU40" s="226" t="n"/>
      <c r="CV40" s="226" t="n"/>
      <c r="CW40" s="226" t="n"/>
      <c r="CX40" s="226" t="n"/>
      <c r="CY40" s="226" t="n"/>
      <c r="CZ40" s="226" t="n"/>
      <c r="DA40" s="226" t="n"/>
      <c r="DB40" s="226" t="n"/>
      <c r="DC40" s="226" t="n"/>
      <c r="DD40" s="226" t="n"/>
      <c r="DE40" s="226" t="n"/>
      <c r="DF40" s="226" t="n"/>
      <c r="DG40" s="226" t="n"/>
      <c r="DH40" s="226" t="n"/>
      <c r="DI40" s="226" t="n"/>
      <c r="DJ40" s="226" t="n"/>
      <c r="DK40" s="226" t="n"/>
      <c r="DL40" s="226" t="n"/>
      <c r="DM40" s="226" t="n"/>
      <c r="DN40" s="226" t="n"/>
      <c r="DO40" s="226" t="n"/>
      <c r="DP40" s="226" t="n"/>
      <c r="DQ40" s="226" t="n"/>
      <c r="DR40" s="226" t="n"/>
      <c r="DS40" s="226" t="n"/>
      <c r="DT40" s="226" t="n"/>
      <c r="DU40" s="226" t="n"/>
      <c r="DV40" s="226" t="n"/>
      <c r="DW40" s="226" t="n"/>
      <c r="DX40" s="226" t="n"/>
      <c r="DY40" s="226" t="n"/>
      <c r="DZ40" s="226" t="n"/>
      <c r="EA40" s="226" t="n"/>
      <c r="EB40" s="226" t="n"/>
      <c r="EC40" s="226" t="n"/>
      <c r="ED40" s="226" t="n"/>
      <c r="EE40" s="226" t="n"/>
      <c r="EF40" s="226" t="n"/>
      <c r="EG40" s="226" t="n"/>
      <c r="EH40" s="226" t="n"/>
      <c r="EI40" s="226" t="n"/>
      <c r="EJ40" s="226" t="n"/>
      <c r="EK40" s="226" t="n"/>
      <c r="EL40" s="226" t="n"/>
      <c r="EM40" s="226" t="n"/>
      <c r="EN40" s="226" t="n"/>
      <c r="EO40" s="226" t="n"/>
      <c r="EP40" s="226" t="n"/>
      <c r="EQ40" s="226" t="n"/>
      <c r="ER40" s="226" t="n"/>
      <c r="ES40" s="226" t="n"/>
      <c r="ET40" s="226" t="n"/>
      <c r="EU40" s="226" t="n"/>
      <c r="EV40" s="226" t="n"/>
      <c r="EW40" s="226" t="n"/>
    </row>
    <row r="41" ht="14.45" customHeight="1">
      <c r="A41" s="8" t="inlineStr">
        <is>
          <t>FINDINGS CUTOFF</t>
        </is>
      </c>
      <c r="B41" s="274">
        <f>IF($B$19="","",$B$19)</f>
        <v/>
      </c>
      <c r="C41" s="237" t="n"/>
      <c r="D41" s="198">
        <f>IF(AND(ISNUMBER($B41),$B41&gt;=TODAY()),$B41,9^9)</f>
        <v/>
      </c>
      <c r="E41" s="226" t="n"/>
      <c r="F41" s="226" t="n"/>
      <c r="G41" s="226" t="n"/>
      <c r="H41" s="226" t="n"/>
      <c r="I41" s="226" t="n"/>
      <c r="J41" s="226" t="n"/>
      <c r="K41" s="226" t="n"/>
      <c r="L41" s="226" t="n"/>
      <c r="M41" s="226" t="n"/>
      <c r="N41" s="226" t="n"/>
      <c r="O41" s="226" t="n"/>
      <c r="P41" s="226" t="n"/>
      <c r="Q41" s="226" t="n"/>
      <c r="R41" s="226" t="n"/>
      <c r="S41" s="226" t="n"/>
      <c r="T41" s="226" t="n"/>
      <c r="U41" s="226" t="n"/>
      <c r="V41" s="226" t="n"/>
      <c r="W41" s="226" t="n"/>
      <c r="X41" s="226" t="n"/>
      <c r="Y41" s="226" t="n"/>
      <c r="Z41" s="226" t="n"/>
      <c r="AA41" s="226" t="n"/>
      <c r="AB41" s="226" t="n"/>
      <c r="AC41" s="226" t="n"/>
      <c r="AD41" s="226" t="n"/>
      <c r="AE41" s="226" t="n"/>
      <c r="AF41" s="226" t="n"/>
      <c r="AG41" s="226" t="n"/>
      <c r="AH41" s="226" t="n"/>
      <c r="AI41" s="226" t="n"/>
      <c r="AJ41" s="226" t="n"/>
      <c r="AK41" s="226" t="n"/>
      <c r="AL41" s="226" t="n"/>
      <c r="AM41" s="226" t="n"/>
      <c r="AN41" s="226" t="n"/>
      <c r="AO41" s="226" t="n"/>
      <c r="AP41" s="226" t="n"/>
      <c r="AQ41" s="226" t="n"/>
      <c r="AR41" s="226" t="n"/>
      <c r="AS41" s="226" t="n"/>
      <c r="AT41" s="226" t="n"/>
      <c r="AU41" s="226" t="n"/>
      <c r="AV41" s="226" t="n"/>
      <c r="AW41" s="226" t="n"/>
      <c r="AX41" s="226" t="n"/>
      <c r="AY41" s="226" t="n"/>
      <c r="AZ41" s="226" t="n"/>
      <c r="BA41" s="226" t="n"/>
      <c r="BB41" s="226" t="n"/>
      <c r="BC41" s="226" t="n"/>
      <c r="BD41" s="226" t="n"/>
      <c r="BE41" s="226" t="n"/>
      <c r="BF41" s="226" t="n"/>
      <c r="BG41" s="226" t="n"/>
      <c r="BH41" s="226" t="n"/>
      <c r="BI41" s="226" t="n"/>
      <c r="BJ41" s="226" t="n"/>
      <c r="BK41" s="226" t="n"/>
      <c r="BL41" s="226" t="n"/>
      <c r="BM41" s="226" t="n"/>
      <c r="BN41" s="226" t="n"/>
      <c r="BO41" s="226" t="n"/>
      <c r="BP41" s="226" t="n"/>
      <c r="BQ41" s="226" t="n"/>
      <c r="BR41" s="226" t="n"/>
      <c r="BS41" s="226" t="n"/>
      <c r="BT41" s="226" t="n"/>
      <c r="BU41" s="226" t="n"/>
      <c r="BV41" s="226" t="n"/>
      <c r="BW41" s="226" t="n"/>
      <c r="BX41" s="226" t="n"/>
      <c r="BY41" s="226" t="n"/>
      <c r="BZ41" s="226" t="n"/>
      <c r="CA41" s="226" t="n"/>
      <c r="CB41" s="226" t="n"/>
      <c r="CC41" s="226" t="n"/>
      <c r="CD41" s="226" t="n"/>
      <c r="CE41" s="226" t="n"/>
      <c r="CF41" s="226" t="n"/>
      <c r="CG41" s="226" t="n"/>
      <c r="CH41" s="226" t="n"/>
      <c r="CI41" s="226" t="n"/>
      <c r="CJ41" s="226" t="n"/>
      <c r="CK41" s="226" t="n"/>
      <c r="CL41" s="226" t="n"/>
      <c r="CM41" s="226" t="n"/>
      <c r="CN41" s="226" t="n"/>
      <c r="CO41" s="226" t="n"/>
      <c r="CP41" s="226" t="n"/>
      <c r="CQ41" s="226" t="n"/>
      <c r="CR41" s="226" t="n"/>
      <c r="CS41" s="226" t="n"/>
      <c r="CT41" s="226" t="n"/>
      <c r="CU41" s="226" t="n"/>
      <c r="CV41" s="226" t="n"/>
      <c r="CW41" s="226" t="n"/>
      <c r="CX41" s="226" t="n"/>
      <c r="CY41" s="226" t="n"/>
      <c r="CZ41" s="226" t="n"/>
      <c r="DA41" s="226" t="n"/>
      <c r="DB41" s="226" t="n"/>
      <c r="DC41" s="226" t="n"/>
      <c r="DD41" s="226" t="n"/>
      <c r="DE41" s="226" t="n"/>
      <c r="DF41" s="226" t="n"/>
      <c r="DG41" s="226" t="n"/>
      <c r="DH41" s="226" t="n"/>
      <c r="DI41" s="226" t="n"/>
      <c r="DJ41" s="226" t="n"/>
      <c r="DK41" s="226" t="n"/>
      <c r="DL41" s="226" t="n"/>
      <c r="DM41" s="226" t="n"/>
      <c r="DN41" s="226" t="n"/>
      <c r="DO41" s="226" t="n"/>
      <c r="DP41" s="226" t="n"/>
      <c r="DQ41" s="226" t="n"/>
      <c r="DR41" s="226" t="n"/>
      <c r="DS41" s="226" t="n"/>
      <c r="DT41" s="226" t="n"/>
      <c r="DU41" s="226" t="n"/>
      <c r="DV41" s="226" t="n"/>
      <c r="DW41" s="226" t="n"/>
      <c r="DX41" s="226" t="n"/>
      <c r="DY41" s="226" t="n"/>
      <c r="DZ41" s="226" t="n"/>
      <c r="EA41" s="226" t="n"/>
      <c r="EB41" s="226" t="n"/>
      <c r="EC41" s="226" t="n"/>
      <c r="ED41" s="226" t="n"/>
      <c r="EE41" s="226" t="n"/>
      <c r="EF41" s="226" t="n"/>
      <c r="EG41" s="226" t="n"/>
      <c r="EH41" s="226" t="n"/>
      <c r="EI41" s="226" t="n"/>
      <c r="EJ41" s="226" t="n"/>
      <c r="EK41" s="226" t="n"/>
      <c r="EL41" s="226" t="n"/>
      <c r="EM41" s="226" t="n"/>
      <c r="EN41" s="226" t="n"/>
      <c r="EO41" s="226" t="n"/>
      <c r="EP41" s="226" t="n"/>
      <c r="EQ41" s="226" t="n"/>
      <c r="ER41" s="226" t="n"/>
      <c r="ES41" s="226" t="n"/>
      <c r="ET41" s="226" t="n"/>
      <c r="EU41" s="226" t="n"/>
      <c r="EV41" s="226" t="n"/>
      <c r="EW41" s="226" t="n"/>
    </row>
    <row r="42" ht="14.45" customHeight="1">
      <c r="A42" s="9" t="inlineStr">
        <is>
          <t>FOMAX START</t>
        </is>
      </c>
      <c r="B42" s="277">
        <f>IF($B$23="","",$B$23)</f>
        <v/>
      </c>
      <c r="C42" s="237" t="n"/>
      <c r="D42" s="198">
        <f>IF(AND(ISNUMBER($B42),$B42&gt;=TODAY()),$B42,9^9)</f>
        <v/>
      </c>
      <c r="E42" s="226" t="n"/>
      <c r="F42" s="226" t="n"/>
      <c r="G42" s="226" t="n"/>
      <c r="H42" s="226" t="n"/>
      <c r="I42" s="226" t="n"/>
      <c r="J42" s="226" t="n"/>
      <c r="K42" s="226" t="n"/>
      <c r="L42" s="226" t="n"/>
      <c r="M42" s="226" t="n"/>
      <c r="N42" s="226" t="n"/>
      <c r="O42" s="226" t="n"/>
      <c r="P42" s="226" t="n"/>
      <c r="Q42" s="226" t="n"/>
      <c r="R42" s="226" t="n"/>
      <c r="S42" s="226" t="n"/>
      <c r="T42" s="226" t="n"/>
      <c r="U42" s="226" t="n"/>
      <c r="V42" s="226" t="n"/>
      <c r="W42" s="226" t="n"/>
      <c r="X42" s="226" t="n"/>
      <c r="Y42" s="226" t="n"/>
      <c r="Z42" s="226" t="n"/>
      <c r="AA42" s="226" t="n"/>
      <c r="AB42" s="226" t="n"/>
      <c r="AC42" s="226" t="n"/>
      <c r="AD42" s="226" t="n"/>
      <c r="AE42" s="226" t="n"/>
      <c r="AF42" s="226" t="n"/>
      <c r="AG42" s="226" t="n"/>
      <c r="AH42" s="226" t="n"/>
      <c r="AI42" s="226" t="n"/>
      <c r="AJ42" s="226" t="n"/>
      <c r="AK42" s="226" t="n"/>
      <c r="AL42" s="226" t="n"/>
      <c r="AM42" s="226" t="n"/>
      <c r="AN42" s="226" t="n"/>
      <c r="AO42" s="226" t="n"/>
      <c r="AP42" s="226" t="n"/>
      <c r="AQ42" s="226" t="n"/>
      <c r="AR42" s="226" t="n"/>
      <c r="AS42" s="226" t="n"/>
      <c r="AT42" s="226" t="n"/>
      <c r="AU42" s="226" t="n"/>
      <c r="AV42" s="226" t="n"/>
      <c r="AW42" s="226" t="n"/>
      <c r="AX42" s="226" t="n"/>
      <c r="AY42" s="226" t="n"/>
      <c r="AZ42" s="226" t="n"/>
      <c r="BA42" s="226" t="n"/>
      <c r="BB42" s="226" t="n"/>
      <c r="BC42" s="226" t="n"/>
      <c r="BD42" s="226" t="n"/>
      <c r="BE42" s="226" t="n"/>
      <c r="BF42" s="226" t="n"/>
      <c r="BG42" s="226" t="n"/>
      <c r="BH42" s="226" t="n"/>
      <c r="BI42" s="226" t="n"/>
      <c r="BJ42" s="226" t="n"/>
      <c r="BK42" s="226" t="n"/>
      <c r="BL42" s="226" t="n"/>
      <c r="BM42" s="226" t="n"/>
      <c r="BN42" s="226" t="n"/>
      <c r="BO42" s="226" t="n"/>
      <c r="BP42" s="226" t="n"/>
      <c r="BQ42" s="226" t="n"/>
      <c r="BR42" s="226" t="n"/>
      <c r="BS42" s="226" t="n"/>
      <c r="BT42" s="226" t="n"/>
      <c r="BU42" s="226" t="n"/>
      <c r="BV42" s="226" t="n"/>
      <c r="BW42" s="226" t="n"/>
      <c r="BX42" s="226" t="n"/>
      <c r="BY42" s="226" t="n"/>
      <c r="BZ42" s="226" t="n"/>
      <c r="CA42" s="226" t="n"/>
      <c r="CB42" s="226" t="n"/>
      <c r="CC42" s="226" t="n"/>
      <c r="CD42" s="226" t="n"/>
      <c r="CE42" s="226" t="n"/>
      <c r="CF42" s="226" t="n"/>
      <c r="CG42" s="226" t="n"/>
      <c r="CH42" s="226" t="n"/>
      <c r="CI42" s="226" t="n"/>
      <c r="CJ42" s="226" t="n"/>
      <c r="CK42" s="226" t="n"/>
      <c r="CL42" s="226" t="n"/>
      <c r="CM42" s="226" t="n"/>
      <c r="CN42" s="226" t="n"/>
      <c r="CO42" s="226" t="n"/>
      <c r="CP42" s="226" t="n"/>
      <c r="CQ42" s="226" t="n"/>
      <c r="CR42" s="226" t="n"/>
      <c r="CS42" s="226" t="n"/>
      <c r="CT42" s="226" t="n"/>
      <c r="CU42" s="226" t="n"/>
      <c r="CV42" s="226" t="n"/>
      <c r="CW42" s="226" t="n"/>
      <c r="CX42" s="226" t="n"/>
      <c r="CY42" s="226" t="n"/>
      <c r="CZ42" s="226" t="n"/>
      <c r="DA42" s="226" t="n"/>
      <c r="DB42" s="226" t="n"/>
      <c r="DC42" s="226" t="n"/>
      <c r="DD42" s="226" t="n"/>
      <c r="DE42" s="226" t="n"/>
      <c r="DF42" s="226" t="n"/>
      <c r="DG42" s="226" t="n"/>
      <c r="DH42" s="226" t="n"/>
      <c r="DI42" s="226" t="n"/>
      <c r="DJ42" s="226" t="n"/>
      <c r="DK42" s="226" t="n"/>
      <c r="DL42" s="226" t="n"/>
      <c r="DM42" s="226" t="n"/>
      <c r="DN42" s="226" t="n"/>
      <c r="DO42" s="226" t="n"/>
      <c r="DP42" s="226" t="n"/>
      <c r="DQ42" s="226" t="n"/>
      <c r="DR42" s="226" t="n"/>
      <c r="DS42" s="226" t="n"/>
      <c r="DT42" s="226" t="n"/>
      <c r="DU42" s="226" t="n"/>
      <c r="DV42" s="226" t="n"/>
      <c r="DW42" s="226" t="n"/>
      <c r="DX42" s="226" t="n"/>
      <c r="DY42" s="226" t="n"/>
      <c r="DZ42" s="226" t="n"/>
      <c r="EA42" s="226" t="n"/>
      <c r="EB42" s="226" t="n"/>
      <c r="EC42" s="226" t="n"/>
      <c r="ED42" s="226" t="n"/>
      <c r="EE42" s="226" t="n"/>
      <c r="EF42" s="226" t="n"/>
      <c r="EG42" s="226" t="n"/>
      <c r="EH42" s="226" t="n"/>
      <c r="EI42" s="226" t="n"/>
      <c r="EJ42" s="226" t="n"/>
      <c r="EK42" s="226" t="n"/>
      <c r="EL42" s="226" t="n"/>
      <c r="EM42" s="226" t="n"/>
      <c r="EN42" s="226" t="n"/>
      <c r="EO42" s="226" t="n"/>
      <c r="EP42" s="226" t="n"/>
      <c r="EQ42" s="226" t="n"/>
      <c r="ER42" s="226" t="n"/>
      <c r="ES42" s="226" t="n"/>
      <c r="ET42" s="226" t="n"/>
      <c r="EU42" s="226" t="n"/>
      <c r="EV42" s="226" t="n"/>
      <c r="EW42" s="226" t="n"/>
    </row>
    <row r="43" ht="14.45" customHeight="1">
      <c r="A43" s="8" t="inlineStr">
        <is>
          <t>FOMAX END</t>
        </is>
      </c>
      <c r="B43" s="274">
        <f>IF($C$23="","",$C$23)</f>
        <v/>
      </c>
      <c r="C43" s="237" t="n"/>
      <c r="D43" s="198">
        <f>IF(AND(ISNUMBER($B43),$B43&gt;=TODAY()),$B43,9^9)</f>
        <v/>
      </c>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26" t="n"/>
      <c r="AJ43" s="226" t="n"/>
      <c r="AK43" s="226" t="n"/>
      <c r="AL43" s="226" t="n"/>
      <c r="AM43" s="226" t="n"/>
      <c r="AN43" s="226" t="n"/>
      <c r="AO43" s="226" t="n"/>
      <c r="AP43" s="226" t="n"/>
      <c r="AQ43" s="226" t="n"/>
      <c r="AR43" s="226" t="n"/>
      <c r="AS43" s="226" t="n"/>
      <c r="AT43" s="226" t="n"/>
      <c r="AU43" s="226" t="n"/>
      <c r="AV43" s="226" t="n"/>
      <c r="AW43" s="226" t="n"/>
      <c r="AX43" s="226" t="n"/>
      <c r="AY43" s="226" t="n"/>
      <c r="AZ43" s="226" t="n"/>
      <c r="BA43" s="226" t="n"/>
      <c r="BB43" s="226" t="n"/>
      <c r="BC43" s="226" t="n"/>
      <c r="BD43" s="226" t="n"/>
      <c r="BE43" s="226" t="n"/>
      <c r="BF43" s="226" t="n"/>
      <c r="BG43" s="226" t="n"/>
      <c r="BH43" s="226" t="n"/>
      <c r="BI43" s="226" t="n"/>
      <c r="BJ43" s="226" t="n"/>
      <c r="BK43" s="226" t="n"/>
      <c r="BL43" s="226" t="n"/>
      <c r="BM43" s="226" t="n"/>
      <c r="BN43" s="226" t="n"/>
      <c r="BO43" s="226" t="n"/>
      <c r="BP43" s="226" t="n"/>
      <c r="BQ43" s="226" t="n"/>
      <c r="BR43" s="226" t="n"/>
      <c r="BS43" s="226" t="n"/>
      <c r="BT43" s="226" t="n"/>
      <c r="BU43" s="226" t="n"/>
      <c r="BV43" s="226" t="n"/>
      <c r="BW43" s="226" t="n"/>
      <c r="BX43" s="226" t="n"/>
      <c r="BY43" s="226" t="n"/>
      <c r="BZ43" s="226" t="n"/>
      <c r="CA43" s="226" t="n"/>
      <c r="CB43" s="226" t="n"/>
      <c r="CC43" s="226" t="n"/>
      <c r="CD43" s="226" t="n"/>
      <c r="CE43" s="226" t="n"/>
      <c r="CF43" s="226" t="n"/>
      <c r="CG43" s="226" t="n"/>
      <c r="CH43" s="226" t="n"/>
      <c r="CI43" s="226" t="n"/>
      <c r="CJ43" s="226" t="n"/>
      <c r="CK43" s="226" t="n"/>
      <c r="CL43" s="226" t="n"/>
      <c r="CM43" s="226" t="n"/>
      <c r="CN43" s="226" t="n"/>
      <c r="CO43" s="226" t="n"/>
      <c r="CP43" s="226" t="n"/>
      <c r="CQ43" s="226" t="n"/>
      <c r="CR43" s="226" t="n"/>
      <c r="CS43" s="226" t="n"/>
      <c r="CT43" s="226" t="n"/>
      <c r="CU43" s="226" t="n"/>
      <c r="CV43" s="226" t="n"/>
      <c r="CW43" s="226" t="n"/>
      <c r="CX43" s="226" t="n"/>
      <c r="CY43" s="226" t="n"/>
      <c r="CZ43" s="226" t="n"/>
      <c r="DA43" s="226" t="n"/>
      <c r="DB43" s="226" t="n"/>
      <c r="DC43" s="226" t="n"/>
      <c r="DD43" s="226" t="n"/>
      <c r="DE43" s="226" t="n"/>
      <c r="DF43" s="226" t="n"/>
      <c r="DG43" s="226" t="n"/>
      <c r="DH43" s="226" t="n"/>
      <c r="DI43" s="226" t="n"/>
      <c r="DJ43" s="226" t="n"/>
      <c r="DK43" s="226" t="n"/>
      <c r="DL43" s="226" t="n"/>
      <c r="DM43" s="226" t="n"/>
      <c r="DN43" s="226" t="n"/>
      <c r="DO43" s="226" t="n"/>
      <c r="DP43" s="226" t="n"/>
      <c r="DQ43" s="226" t="n"/>
      <c r="DR43" s="226" t="n"/>
      <c r="DS43" s="226" t="n"/>
      <c r="DT43" s="226" t="n"/>
      <c r="DU43" s="226" t="n"/>
      <c r="DV43" s="226" t="n"/>
      <c r="DW43" s="226" t="n"/>
      <c r="DX43" s="226" t="n"/>
      <c r="DY43" s="226" t="n"/>
      <c r="DZ43" s="226" t="n"/>
      <c r="EA43" s="226" t="n"/>
      <c r="EB43" s="226" t="n"/>
      <c r="EC43" s="226" t="n"/>
      <c r="ED43" s="226" t="n"/>
      <c r="EE43" s="226" t="n"/>
      <c r="EF43" s="226" t="n"/>
      <c r="EG43" s="226" t="n"/>
      <c r="EH43" s="226" t="n"/>
      <c r="EI43" s="226" t="n"/>
      <c r="EJ43" s="226" t="n"/>
      <c r="EK43" s="226" t="n"/>
      <c r="EL43" s="226" t="n"/>
      <c r="EM43" s="226" t="n"/>
      <c r="EN43" s="226" t="n"/>
      <c r="EO43" s="226" t="n"/>
      <c r="EP43" s="226" t="n"/>
      <c r="EQ43" s="226" t="n"/>
      <c r="ER43" s="226" t="n"/>
      <c r="ES43" s="226" t="n"/>
      <c r="ET43" s="226" t="n"/>
      <c r="EU43" s="226" t="n"/>
      <c r="EV43" s="226" t="n"/>
      <c r="EW43" s="226" t="n"/>
    </row>
    <row r="44" ht="14.45" customHeight="1">
      <c r="A44" s="9" t="inlineStr">
        <is>
          <t>POWER OFF</t>
        </is>
      </c>
      <c r="B44" s="277">
        <f>IF($B$18="","",$B$18)</f>
        <v/>
      </c>
      <c r="C44" s="237" t="n"/>
      <c r="D44" s="198">
        <f>IF(AND(ISNUMBER($B44),$B44&gt;=TODAY()),$B44,9^9)</f>
        <v/>
      </c>
      <c r="E44" s="226" t="n"/>
      <c r="F44" s="226" t="n"/>
      <c r="G44" s="226" t="n"/>
      <c r="H44" s="226" t="n"/>
      <c r="I44" s="226" t="n"/>
      <c r="J44" s="226" t="n"/>
      <c r="K44" s="226" t="n"/>
      <c r="L44" s="226" t="n"/>
      <c r="M44" s="226" t="n"/>
      <c r="N44" s="226" t="n"/>
      <c r="O44" s="226" t="n"/>
      <c r="P44" s="226" t="n"/>
      <c r="Q44" s="226" t="n"/>
      <c r="R44" s="226" t="n"/>
      <c r="S44" s="226" t="n"/>
      <c r="T44" s="226" t="n"/>
      <c r="U44" s="226" t="n"/>
      <c r="V44" s="226" t="n"/>
      <c r="W44" s="226" t="n"/>
      <c r="X44" s="226" t="n"/>
      <c r="Y44" s="226" t="n"/>
      <c r="Z44" s="226" t="n"/>
      <c r="AA44" s="226" t="n"/>
      <c r="AB44" s="226" t="n"/>
      <c r="AC44" s="226" t="n"/>
      <c r="AD44" s="226" t="n"/>
      <c r="AE44" s="226" t="n"/>
      <c r="AF44" s="226" t="n"/>
      <c r="AG44" s="226" t="n"/>
      <c r="AH44" s="226" t="n"/>
      <c r="AI44" s="226" t="n"/>
      <c r="AJ44" s="226" t="n"/>
      <c r="AK44" s="226" t="n"/>
      <c r="AL44" s="226" t="n"/>
      <c r="AM44" s="226" t="n"/>
      <c r="AN44" s="226" t="n"/>
      <c r="AO44" s="226" t="n"/>
      <c r="AP44" s="226" t="n"/>
      <c r="AQ44" s="226" t="n"/>
      <c r="AR44" s="226" t="n"/>
      <c r="AS44" s="226" t="n"/>
      <c r="AT44" s="226" t="n"/>
      <c r="AU44" s="226" t="n"/>
      <c r="AV44" s="226" t="n"/>
      <c r="AW44" s="226" t="n"/>
      <c r="AX44" s="226" t="n"/>
      <c r="AY44" s="226" t="n"/>
      <c r="AZ44" s="226" t="n"/>
      <c r="BA44" s="226" t="n"/>
      <c r="BB44" s="226" t="n"/>
      <c r="BC44" s="226" t="n"/>
      <c r="BD44" s="226" t="n"/>
      <c r="BE44" s="226" t="n"/>
      <c r="BF44" s="226" t="n"/>
      <c r="BG44" s="226" t="n"/>
      <c r="BH44" s="226" t="n"/>
      <c r="BI44" s="226" t="n"/>
      <c r="BJ44" s="226" t="n"/>
      <c r="BK44" s="226" t="n"/>
      <c r="BL44" s="226" t="n"/>
      <c r="BM44" s="226" t="n"/>
      <c r="BN44" s="226" t="n"/>
      <c r="BO44" s="226" t="n"/>
      <c r="BP44" s="226" t="n"/>
      <c r="BQ44" s="226" t="n"/>
      <c r="BR44" s="226" t="n"/>
      <c r="BS44" s="226" t="n"/>
      <c r="BT44" s="226" t="n"/>
      <c r="BU44" s="226" t="n"/>
      <c r="BV44" s="226" t="n"/>
      <c r="BW44" s="226" t="n"/>
      <c r="BX44" s="226" t="n"/>
      <c r="BY44" s="226" t="n"/>
      <c r="BZ44" s="226" t="n"/>
      <c r="CA44" s="226" t="n"/>
      <c r="CB44" s="226" t="n"/>
      <c r="CC44" s="226" t="n"/>
      <c r="CD44" s="226" t="n"/>
      <c r="CE44" s="226" t="n"/>
      <c r="CF44" s="226" t="n"/>
      <c r="CG44" s="226" t="n"/>
      <c r="CH44" s="226" t="n"/>
      <c r="CI44" s="226" t="n"/>
      <c r="CJ44" s="226" t="n"/>
      <c r="CK44" s="226" t="n"/>
      <c r="CL44" s="226" t="n"/>
      <c r="CM44" s="226" t="n"/>
      <c r="CN44" s="226" t="n"/>
      <c r="CO44" s="226" t="n"/>
      <c r="CP44" s="226" t="n"/>
      <c r="CQ44" s="226" t="n"/>
      <c r="CR44" s="226" t="n"/>
      <c r="CS44" s="226" t="n"/>
      <c r="CT44" s="226" t="n"/>
      <c r="CU44" s="226" t="n"/>
      <c r="CV44" s="226" t="n"/>
      <c r="CW44" s="226" t="n"/>
      <c r="CX44" s="226" t="n"/>
      <c r="CY44" s="226" t="n"/>
      <c r="CZ44" s="226" t="n"/>
      <c r="DA44" s="226" t="n"/>
      <c r="DB44" s="226" t="n"/>
      <c r="DC44" s="226" t="n"/>
      <c r="DD44" s="226" t="n"/>
      <c r="DE44" s="226" t="n"/>
      <c r="DF44" s="226" t="n"/>
      <c r="DG44" s="226" t="n"/>
      <c r="DH44" s="226" t="n"/>
      <c r="DI44" s="226" t="n"/>
      <c r="DJ44" s="226" t="n"/>
      <c r="DK44" s="226" t="n"/>
      <c r="DL44" s="226" t="n"/>
      <c r="DM44" s="226" t="n"/>
      <c r="DN44" s="226" t="n"/>
      <c r="DO44" s="226" t="n"/>
      <c r="DP44" s="226" t="n"/>
      <c r="DQ44" s="226" t="n"/>
      <c r="DR44" s="226" t="n"/>
      <c r="DS44" s="226" t="n"/>
      <c r="DT44" s="226" t="n"/>
      <c r="DU44" s="226" t="n"/>
      <c r="DV44" s="226" t="n"/>
      <c r="DW44" s="226" t="n"/>
      <c r="DX44" s="226" t="n"/>
      <c r="DY44" s="226" t="n"/>
      <c r="DZ44" s="226" t="n"/>
      <c r="EA44" s="226" t="n"/>
      <c r="EB44" s="226" t="n"/>
      <c r="EC44" s="226" t="n"/>
      <c r="ED44" s="226" t="n"/>
      <c r="EE44" s="226" t="n"/>
      <c r="EF44" s="226" t="n"/>
      <c r="EG44" s="226" t="n"/>
      <c r="EH44" s="226" t="n"/>
      <c r="EI44" s="226" t="n"/>
      <c r="EJ44" s="226" t="n"/>
      <c r="EK44" s="226" t="n"/>
      <c r="EL44" s="226" t="n"/>
      <c r="EM44" s="226" t="n"/>
      <c r="EN44" s="226" t="n"/>
      <c r="EO44" s="226" t="n"/>
      <c r="EP44" s="226" t="n"/>
      <c r="EQ44" s="226" t="n"/>
      <c r="ER44" s="226" t="n"/>
      <c r="ES44" s="226" t="n"/>
      <c r="ET44" s="226" t="n"/>
      <c r="EU44" s="226" t="n"/>
      <c r="EV44" s="226" t="n"/>
      <c r="EW44" s="226" t="n"/>
    </row>
    <row r="45" ht="14.45" customHeight="1">
      <c r="A45" s="8" t="inlineStr">
        <is>
          <t>POWER ON</t>
        </is>
      </c>
      <c r="B45" s="274">
        <f>IF($C$18="","",$C$18)</f>
        <v/>
      </c>
      <c r="C45" s="237" t="n"/>
      <c r="D45" s="198">
        <f>IF(AND(ISNUMBER($B45),$B45&gt;=TODAY()),$B45,9^9)</f>
        <v/>
      </c>
      <c r="E45" s="226" t="n"/>
      <c r="F45" s="226" t="n"/>
      <c r="G45" s="226" t="n"/>
      <c r="H45" s="226" t="n"/>
      <c r="I45" s="226" t="n"/>
      <c r="J45" s="226" t="n"/>
      <c r="K45" s="226" t="n"/>
      <c r="L45" s="226" t="n"/>
      <c r="M45" s="226" t="n"/>
      <c r="N45" s="226" t="n"/>
      <c r="O45" s="226" t="n"/>
      <c r="P45" s="226" t="n"/>
      <c r="Q45" s="226" t="n"/>
      <c r="R45" s="226" t="n"/>
      <c r="S45" s="226" t="n"/>
      <c r="T45" s="226" t="n"/>
      <c r="U45" s="226" t="n"/>
      <c r="V45" s="226" t="n"/>
      <c r="W45" s="226" t="n"/>
      <c r="X45" s="226" t="n"/>
      <c r="Y45" s="226" t="n"/>
      <c r="Z45" s="226" t="n"/>
      <c r="AA45" s="226" t="n"/>
      <c r="AB45" s="226" t="n"/>
      <c r="AC45" s="226" t="n"/>
      <c r="AD45" s="226" t="n"/>
      <c r="AE45" s="226" t="n"/>
      <c r="AF45" s="226" t="n"/>
      <c r="AG45" s="226" t="n"/>
      <c r="AH45" s="226" t="n"/>
      <c r="AI45" s="226" t="n"/>
      <c r="AJ45" s="226" t="n"/>
      <c r="AK45" s="226" t="n"/>
      <c r="AL45" s="226" t="n"/>
      <c r="AM45" s="226" t="n"/>
      <c r="AN45" s="226" t="n"/>
      <c r="AO45" s="226" t="n"/>
      <c r="AP45" s="226" t="n"/>
      <c r="AQ45" s="226" t="n"/>
      <c r="AR45" s="226" t="n"/>
      <c r="AS45" s="226" t="n"/>
      <c r="AT45" s="226" t="n"/>
      <c r="AU45" s="226" t="n"/>
      <c r="AV45" s="226" t="n"/>
      <c r="AW45" s="226" t="n"/>
      <c r="AX45" s="226" t="n"/>
      <c r="AY45" s="226" t="n"/>
      <c r="AZ45" s="226" t="n"/>
      <c r="BA45" s="226" t="n"/>
      <c r="BB45" s="226" t="n"/>
      <c r="BC45" s="226" t="n"/>
      <c r="BD45" s="226" t="n"/>
      <c r="BE45" s="226" t="n"/>
      <c r="BF45" s="226" t="n"/>
      <c r="BG45" s="226" t="n"/>
      <c r="BH45" s="226" t="n"/>
      <c r="BI45" s="226" t="n"/>
      <c r="BJ45" s="226" t="n"/>
      <c r="BK45" s="226" t="n"/>
      <c r="BL45" s="226" t="n"/>
      <c r="BM45" s="226" t="n"/>
      <c r="BN45" s="226" t="n"/>
      <c r="BO45" s="226" t="n"/>
      <c r="BP45" s="226" t="n"/>
      <c r="BQ45" s="226" t="n"/>
      <c r="BR45" s="226" t="n"/>
      <c r="BS45" s="226" t="n"/>
      <c r="BT45" s="226" t="n"/>
      <c r="BU45" s="226" t="n"/>
      <c r="BV45" s="226" t="n"/>
      <c r="BW45" s="226" t="n"/>
      <c r="BX45" s="226" t="n"/>
      <c r="BY45" s="226" t="n"/>
      <c r="BZ45" s="226" t="n"/>
      <c r="CA45" s="226" t="n"/>
      <c r="CB45" s="226" t="n"/>
      <c r="CC45" s="226" t="n"/>
      <c r="CD45" s="226" t="n"/>
      <c r="CE45" s="226" t="n"/>
      <c r="CF45" s="226" t="n"/>
      <c r="CG45" s="226" t="n"/>
      <c r="CH45" s="226" t="n"/>
      <c r="CI45" s="226" t="n"/>
      <c r="CJ45" s="226" t="n"/>
      <c r="CK45" s="226" t="n"/>
      <c r="CL45" s="226" t="n"/>
      <c r="CM45" s="226" t="n"/>
      <c r="CN45" s="226" t="n"/>
      <c r="CO45" s="226" t="n"/>
      <c r="CP45" s="226" t="n"/>
      <c r="CQ45" s="226" t="n"/>
      <c r="CR45" s="226" t="n"/>
      <c r="CS45" s="226" t="n"/>
      <c r="CT45" s="226" t="n"/>
      <c r="CU45" s="226" t="n"/>
      <c r="CV45" s="226" t="n"/>
      <c r="CW45" s="226" t="n"/>
      <c r="CX45" s="226" t="n"/>
      <c r="CY45" s="226" t="n"/>
      <c r="CZ45" s="226" t="n"/>
      <c r="DA45" s="226" t="n"/>
      <c r="DB45" s="226" t="n"/>
      <c r="DC45" s="226" t="n"/>
      <c r="DD45" s="226" t="n"/>
      <c r="DE45" s="226" t="n"/>
      <c r="DF45" s="226" t="n"/>
      <c r="DG45" s="226" t="n"/>
      <c r="DH45" s="226" t="n"/>
      <c r="DI45" s="226" t="n"/>
      <c r="DJ45" s="226" t="n"/>
      <c r="DK45" s="226" t="n"/>
      <c r="DL45" s="226" t="n"/>
      <c r="DM45" s="226" t="n"/>
      <c r="DN45" s="226" t="n"/>
      <c r="DO45" s="226" t="n"/>
      <c r="DP45" s="226" t="n"/>
      <c r="DQ45" s="226" t="n"/>
      <c r="DR45" s="226" t="n"/>
      <c r="DS45" s="226" t="n"/>
      <c r="DT45" s="226" t="n"/>
      <c r="DU45" s="226" t="n"/>
      <c r="DV45" s="226" t="n"/>
      <c r="DW45" s="226" t="n"/>
      <c r="DX45" s="226" t="n"/>
      <c r="DY45" s="226" t="n"/>
      <c r="DZ45" s="226" t="n"/>
      <c r="EA45" s="226" t="n"/>
      <c r="EB45" s="226" t="n"/>
      <c r="EC45" s="226" t="n"/>
      <c r="ED45" s="226" t="n"/>
      <c r="EE45" s="226" t="n"/>
      <c r="EF45" s="226" t="n"/>
      <c r="EG45" s="226" t="n"/>
      <c r="EH45" s="226" t="n"/>
      <c r="EI45" s="226" t="n"/>
      <c r="EJ45" s="226" t="n"/>
      <c r="EK45" s="226" t="n"/>
      <c r="EL45" s="226" t="n"/>
      <c r="EM45" s="226" t="n"/>
      <c r="EN45" s="226" t="n"/>
      <c r="EO45" s="226" t="n"/>
      <c r="EP45" s="226" t="n"/>
      <c r="EQ45" s="226" t="n"/>
      <c r="ER45" s="226" t="n"/>
      <c r="ES45" s="226" t="n"/>
      <c r="ET45" s="226" t="n"/>
      <c r="EU45" s="226" t="n"/>
      <c r="EV45" s="226" t="n"/>
      <c r="EW45" s="226" t="n"/>
    </row>
    <row r="46" ht="14.45" customHeight="1">
      <c r="A46" s="9" t="inlineStr">
        <is>
          <t>CABIN CLOSE-UP</t>
        </is>
      </c>
      <c r="B46" s="277">
        <f>IF($C$28="","",$C$28)</f>
        <v/>
      </c>
      <c r="C46" s="237" t="n"/>
      <c r="D46" s="198">
        <f>IF(AND(ISNUMBER($B46),$B46&gt;=TODAY()),$B46,9^9)</f>
        <v/>
      </c>
      <c r="E46" s="226" t="n"/>
      <c r="F46" s="226" t="n"/>
      <c r="G46" s="226" t="n"/>
      <c r="H46" s="226" t="n"/>
      <c r="I46" s="226" t="n"/>
      <c r="J46" s="226" t="n"/>
      <c r="K46" s="226" t="n"/>
      <c r="L46" s="226" t="n"/>
      <c r="M46" s="226" t="n"/>
      <c r="N46" s="226" t="n"/>
      <c r="O46" s="226" t="n"/>
      <c r="P46" s="226" t="n"/>
      <c r="Q46" s="226" t="n"/>
      <c r="R46" s="226" t="n"/>
      <c r="S46" s="226" t="n"/>
      <c r="T46" s="226" t="n"/>
      <c r="U46" s="226" t="n"/>
      <c r="V46" s="226" t="n"/>
      <c r="W46" s="226" t="n"/>
      <c r="X46" s="226" t="n"/>
      <c r="Y46" s="226" t="n"/>
      <c r="Z46" s="226" t="n"/>
      <c r="AA46" s="226" t="n"/>
      <c r="AB46" s="226" t="n"/>
      <c r="AC46" s="226" t="n"/>
      <c r="AD46" s="226" t="n"/>
      <c r="AE46" s="226" t="n"/>
      <c r="AF46" s="226" t="n"/>
      <c r="AG46" s="226" t="n"/>
      <c r="AH46" s="226" t="n"/>
      <c r="AI46" s="226" t="n"/>
      <c r="AJ46" s="226" t="n"/>
      <c r="AK46" s="226" t="n"/>
      <c r="AL46" s="226" t="n"/>
      <c r="AM46" s="226" t="n"/>
      <c r="AN46" s="226" t="n"/>
      <c r="AO46" s="226" t="n"/>
      <c r="AP46" s="226" t="n"/>
      <c r="AQ46" s="226" t="n"/>
      <c r="AR46" s="226" t="n"/>
      <c r="AS46" s="226" t="n"/>
      <c r="AT46" s="226" t="n"/>
      <c r="AU46" s="226" t="n"/>
      <c r="AV46" s="226" t="n"/>
      <c r="AW46" s="226" t="n"/>
      <c r="AX46" s="226" t="n"/>
      <c r="AY46" s="226" t="n"/>
      <c r="AZ46" s="226" t="n"/>
      <c r="BA46" s="226" t="n"/>
      <c r="BB46" s="226" t="n"/>
      <c r="BC46" s="226" t="n"/>
      <c r="BD46" s="226" t="n"/>
      <c r="BE46" s="226" t="n"/>
      <c r="BF46" s="226" t="n"/>
      <c r="BG46" s="226" t="n"/>
      <c r="BH46" s="226" t="n"/>
      <c r="BI46" s="226" t="n"/>
      <c r="BJ46" s="226" t="n"/>
      <c r="BK46" s="226" t="n"/>
      <c r="BL46" s="226" t="n"/>
      <c r="BM46" s="226" t="n"/>
      <c r="BN46" s="226" t="n"/>
      <c r="BO46" s="226" t="n"/>
      <c r="BP46" s="226" t="n"/>
      <c r="BQ46" s="226" t="n"/>
      <c r="BR46" s="226" t="n"/>
      <c r="BS46" s="226" t="n"/>
      <c r="BT46" s="226" t="n"/>
      <c r="BU46" s="226" t="n"/>
      <c r="BV46" s="226" t="n"/>
      <c r="BW46" s="226" t="n"/>
      <c r="BX46" s="226" t="n"/>
      <c r="BY46" s="226" t="n"/>
      <c r="BZ46" s="226" t="n"/>
      <c r="CA46" s="226" t="n"/>
      <c r="CB46" s="226" t="n"/>
      <c r="CC46" s="226" t="n"/>
      <c r="CD46" s="226" t="n"/>
      <c r="CE46" s="226" t="n"/>
      <c r="CF46" s="226" t="n"/>
      <c r="CG46" s="226" t="n"/>
      <c r="CH46" s="226" t="n"/>
      <c r="CI46" s="226" t="n"/>
      <c r="CJ46" s="226" t="n"/>
      <c r="CK46" s="226" t="n"/>
      <c r="CL46" s="226" t="n"/>
      <c r="CM46" s="226" t="n"/>
      <c r="CN46" s="226" t="n"/>
      <c r="CO46" s="226" t="n"/>
      <c r="CP46" s="226" t="n"/>
      <c r="CQ46" s="226" t="n"/>
      <c r="CR46" s="226" t="n"/>
      <c r="CS46" s="226" t="n"/>
      <c r="CT46" s="226" t="n"/>
      <c r="CU46" s="226" t="n"/>
      <c r="CV46" s="226" t="n"/>
      <c r="CW46" s="226" t="n"/>
      <c r="CX46" s="226" t="n"/>
      <c r="CY46" s="226" t="n"/>
      <c r="CZ46" s="226" t="n"/>
      <c r="DA46" s="226" t="n"/>
      <c r="DB46" s="226" t="n"/>
      <c r="DC46" s="226" t="n"/>
      <c r="DD46" s="226" t="n"/>
      <c r="DE46" s="226" t="n"/>
      <c r="DF46" s="226" t="n"/>
      <c r="DG46" s="226" t="n"/>
      <c r="DH46" s="226" t="n"/>
      <c r="DI46" s="226" t="n"/>
      <c r="DJ46" s="226" t="n"/>
      <c r="DK46" s="226" t="n"/>
      <c r="DL46" s="226" t="n"/>
      <c r="DM46" s="226" t="n"/>
      <c r="DN46" s="226" t="n"/>
      <c r="DO46" s="226" t="n"/>
      <c r="DP46" s="226" t="n"/>
      <c r="DQ46" s="226" t="n"/>
      <c r="DR46" s="226" t="n"/>
      <c r="DS46" s="226" t="n"/>
      <c r="DT46" s="226" t="n"/>
      <c r="DU46" s="226" t="n"/>
      <c r="DV46" s="226" t="n"/>
      <c r="DW46" s="226" t="n"/>
      <c r="DX46" s="226" t="n"/>
      <c r="DY46" s="226" t="n"/>
      <c r="DZ46" s="226" t="n"/>
      <c r="EA46" s="226" t="n"/>
      <c r="EB46" s="226" t="n"/>
      <c r="EC46" s="226" t="n"/>
      <c r="ED46" s="226" t="n"/>
      <c r="EE46" s="226" t="n"/>
      <c r="EF46" s="226" t="n"/>
      <c r="EG46" s="226" t="n"/>
      <c r="EH46" s="226" t="n"/>
      <c r="EI46" s="226" t="n"/>
      <c r="EJ46" s="226" t="n"/>
      <c r="EK46" s="226" t="n"/>
      <c r="EL46" s="226" t="n"/>
      <c r="EM46" s="226" t="n"/>
      <c r="EN46" s="226" t="n"/>
      <c r="EO46" s="226" t="n"/>
      <c r="EP46" s="226" t="n"/>
      <c r="EQ46" s="226" t="n"/>
      <c r="ER46" s="226" t="n"/>
      <c r="ES46" s="226" t="n"/>
      <c r="ET46" s="226" t="n"/>
      <c r="EU46" s="226" t="n"/>
      <c r="EV46" s="226" t="n"/>
      <c r="EW46" s="226" t="n"/>
    </row>
    <row r="47" ht="14.45" customHeight="1">
      <c r="A47" s="8" t="inlineStr">
        <is>
          <t>FINAL INSPECTION</t>
        </is>
      </c>
      <c r="B47" s="274">
        <f>IF($B$37="","",$B$37)</f>
        <v/>
      </c>
      <c r="C47" s="237" t="n"/>
      <c r="D47" s="198">
        <f>IF(AND(ISNUMBER($B47),$B47&gt;=TODAY()),$B47,9^9)</f>
        <v/>
      </c>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6" t="n"/>
      <c r="AJ47" s="226" t="n"/>
      <c r="AK47" s="226" t="n"/>
      <c r="AL47" s="226" t="n"/>
      <c r="AM47" s="226" t="n"/>
      <c r="AN47" s="226" t="n"/>
      <c r="AO47" s="226" t="n"/>
      <c r="AP47" s="226" t="n"/>
      <c r="AQ47" s="226" t="n"/>
      <c r="AR47" s="226" t="n"/>
      <c r="AS47" s="226" t="n"/>
      <c r="AT47" s="226" t="n"/>
      <c r="AU47" s="226" t="n"/>
      <c r="AV47" s="226" t="n"/>
      <c r="AW47" s="226" t="n"/>
      <c r="AX47" s="226" t="n"/>
      <c r="AY47" s="226" t="n"/>
      <c r="AZ47" s="226" t="n"/>
      <c r="BA47" s="226" t="n"/>
      <c r="BB47" s="226" t="n"/>
      <c r="BC47" s="226" t="n"/>
      <c r="BD47" s="226" t="n"/>
      <c r="BE47" s="226" t="n"/>
      <c r="BF47" s="226" t="n"/>
      <c r="BG47" s="226" t="n"/>
      <c r="BH47" s="226" t="n"/>
      <c r="BI47" s="226" t="n"/>
      <c r="BJ47" s="226" t="n"/>
      <c r="BK47" s="226" t="n"/>
      <c r="BL47" s="226" t="n"/>
      <c r="BM47" s="226" t="n"/>
      <c r="BN47" s="226" t="n"/>
      <c r="BO47" s="226" t="n"/>
      <c r="BP47" s="226" t="n"/>
      <c r="BQ47" s="226" t="n"/>
      <c r="BR47" s="226" t="n"/>
      <c r="BS47" s="226" t="n"/>
      <c r="BT47" s="226" t="n"/>
      <c r="BU47" s="226" t="n"/>
      <c r="BV47" s="226" t="n"/>
      <c r="BW47" s="226" t="n"/>
      <c r="BX47" s="226" t="n"/>
      <c r="BY47" s="226" t="n"/>
      <c r="BZ47" s="226" t="n"/>
      <c r="CA47" s="226" t="n"/>
      <c r="CB47" s="226" t="n"/>
      <c r="CC47" s="226" t="n"/>
      <c r="CD47" s="226" t="n"/>
      <c r="CE47" s="226" t="n"/>
      <c r="CF47" s="226" t="n"/>
      <c r="CG47" s="226" t="n"/>
      <c r="CH47" s="226" t="n"/>
      <c r="CI47" s="226" t="n"/>
      <c r="CJ47" s="226" t="n"/>
      <c r="CK47" s="226" t="n"/>
      <c r="CL47" s="226" t="n"/>
      <c r="CM47" s="226" t="n"/>
      <c r="CN47" s="226" t="n"/>
      <c r="CO47" s="226" t="n"/>
      <c r="CP47" s="226" t="n"/>
      <c r="CQ47" s="226" t="n"/>
      <c r="CR47" s="226" t="n"/>
      <c r="CS47" s="226" t="n"/>
      <c r="CT47" s="226" t="n"/>
      <c r="CU47" s="226" t="n"/>
      <c r="CV47" s="226" t="n"/>
      <c r="CW47" s="226" t="n"/>
      <c r="CX47" s="226" t="n"/>
      <c r="CY47" s="226" t="n"/>
      <c r="CZ47" s="226" t="n"/>
      <c r="DA47" s="226" t="n"/>
      <c r="DB47" s="226" t="n"/>
      <c r="DC47" s="226" t="n"/>
      <c r="DD47" s="226" t="n"/>
      <c r="DE47" s="226" t="n"/>
      <c r="DF47" s="226" t="n"/>
      <c r="DG47" s="226" t="n"/>
      <c r="DH47" s="226" t="n"/>
      <c r="DI47" s="226" t="n"/>
      <c r="DJ47" s="226" t="n"/>
      <c r="DK47" s="226" t="n"/>
      <c r="DL47" s="226" t="n"/>
      <c r="DM47" s="226" t="n"/>
      <c r="DN47" s="226" t="n"/>
      <c r="DO47" s="226" t="n"/>
      <c r="DP47" s="226" t="n"/>
      <c r="DQ47" s="226" t="n"/>
      <c r="DR47" s="226" t="n"/>
      <c r="DS47" s="226" t="n"/>
      <c r="DT47" s="226" t="n"/>
      <c r="DU47" s="226" t="n"/>
      <c r="DV47" s="226" t="n"/>
      <c r="DW47" s="226" t="n"/>
      <c r="DX47" s="226" t="n"/>
      <c r="DY47" s="226" t="n"/>
      <c r="DZ47" s="226" t="n"/>
      <c r="EA47" s="226" t="n"/>
      <c r="EB47" s="226" t="n"/>
      <c r="EC47" s="226" t="n"/>
      <c r="ED47" s="226" t="n"/>
      <c r="EE47" s="226" t="n"/>
      <c r="EF47" s="226" t="n"/>
      <c r="EG47" s="226" t="n"/>
      <c r="EH47" s="226" t="n"/>
      <c r="EI47" s="226" t="n"/>
      <c r="EJ47" s="226" t="n"/>
      <c r="EK47" s="226" t="n"/>
      <c r="EL47" s="226" t="n"/>
      <c r="EM47" s="226" t="n"/>
      <c r="EN47" s="226" t="n"/>
      <c r="EO47" s="226" t="n"/>
      <c r="EP47" s="226" t="n"/>
      <c r="EQ47" s="226" t="n"/>
      <c r="ER47" s="226" t="n"/>
      <c r="ES47" s="226" t="n"/>
      <c r="ET47" s="226" t="n"/>
      <c r="EU47" s="226" t="n"/>
      <c r="EV47" s="226" t="n"/>
      <c r="EW47" s="226" t="n"/>
    </row>
    <row r="48" ht="14.45" customHeight="1">
      <c r="A48" s="9" t="inlineStr">
        <is>
          <t>DE-HANGAR</t>
        </is>
      </c>
      <c r="B48" s="277">
        <f>IF($B$38="","",$B$38)</f>
        <v/>
      </c>
      <c r="C48" s="237" t="n"/>
      <c r="D48" s="198">
        <f>IF(AND(ISNUMBER($B48),$B48&gt;=TODAY()),$B48,9^9)</f>
        <v/>
      </c>
      <c r="E48" s="226" t="n"/>
      <c r="F48" s="226" t="n"/>
      <c r="G48" s="226" t="n"/>
      <c r="H48" s="226" t="n"/>
      <c r="I48" s="226" t="n"/>
      <c r="J48" s="226" t="n"/>
      <c r="K48" s="226" t="n"/>
      <c r="L48" s="226" t="n"/>
      <c r="M48" s="226" t="n"/>
      <c r="N48" s="226" t="n"/>
      <c r="O48" s="226" t="n"/>
      <c r="P48" s="226" t="n"/>
      <c r="Q48" s="226" t="n"/>
      <c r="R48" s="226" t="n"/>
      <c r="S48" s="226" t="n"/>
      <c r="T48" s="226" t="n"/>
      <c r="U48" s="226" t="n"/>
      <c r="V48" s="226" t="n"/>
      <c r="W48" s="226" t="n"/>
      <c r="X48" s="226" t="n"/>
      <c r="Y48" s="226" t="n"/>
      <c r="Z48" s="226" t="n"/>
      <c r="AA48" s="226" t="n"/>
      <c r="AB48" s="226" t="n"/>
      <c r="AC48" s="226" t="n"/>
      <c r="AD48" s="226" t="n"/>
      <c r="AE48" s="226" t="n"/>
      <c r="AF48" s="226" t="n"/>
      <c r="AG48" s="226" t="n"/>
      <c r="AH48" s="226" t="n"/>
      <c r="AI48" s="226" t="n"/>
      <c r="AJ48" s="226" t="n"/>
      <c r="AK48" s="226" t="n"/>
      <c r="AL48" s="226" t="n"/>
      <c r="AM48" s="226" t="n"/>
      <c r="AN48" s="226" t="n"/>
      <c r="AO48" s="226" t="n"/>
      <c r="AP48" s="226" t="n"/>
      <c r="AQ48" s="226" t="n"/>
      <c r="AR48" s="226" t="n"/>
      <c r="AS48" s="226" t="n"/>
      <c r="AT48" s="226" t="n"/>
      <c r="AU48" s="226" t="n"/>
      <c r="AV48" s="226" t="n"/>
      <c r="AW48" s="226" t="n"/>
      <c r="AX48" s="226" t="n"/>
      <c r="AY48" s="226" t="n"/>
      <c r="AZ48" s="226" t="n"/>
      <c r="BA48" s="226" t="n"/>
      <c r="BB48" s="226" t="n"/>
      <c r="BC48" s="226" t="n"/>
      <c r="BD48" s="226" t="n"/>
      <c r="BE48" s="226" t="n"/>
      <c r="BF48" s="226" t="n"/>
      <c r="BG48" s="226" t="n"/>
      <c r="BH48" s="226" t="n"/>
      <c r="BI48" s="226" t="n"/>
      <c r="BJ48" s="226" t="n"/>
      <c r="BK48" s="226" t="n"/>
      <c r="BL48" s="226" t="n"/>
      <c r="BM48" s="226" t="n"/>
      <c r="BN48" s="226" t="n"/>
      <c r="BO48" s="226" t="n"/>
      <c r="BP48" s="226" t="n"/>
      <c r="BQ48" s="226" t="n"/>
      <c r="BR48" s="226" t="n"/>
      <c r="BS48" s="226" t="n"/>
      <c r="BT48" s="226" t="n"/>
      <c r="BU48" s="226" t="n"/>
      <c r="BV48" s="226" t="n"/>
      <c r="BW48" s="226" t="n"/>
      <c r="BX48" s="226" t="n"/>
      <c r="BY48" s="226" t="n"/>
      <c r="BZ48" s="226" t="n"/>
      <c r="CA48" s="226" t="n"/>
      <c r="CB48" s="226" t="n"/>
      <c r="CC48" s="226" t="n"/>
      <c r="CD48" s="226" t="n"/>
      <c r="CE48" s="226" t="n"/>
      <c r="CF48" s="226" t="n"/>
      <c r="CG48" s="226" t="n"/>
      <c r="CH48" s="226" t="n"/>
      <c r="CI48" s="226" t="n"/>
      <c r="CJ48" s="226" t="n"/>
      <c r="CK48" s="226" t="n"/>
      <c r="CL48" s="226" t="n"/>
      <c r="CM48" s="226" t="n"/>
      <c r="CN48" s="226" t="n"/>
      <c r="CO48" s="226" t="n"/>
      <c r="CP48" s="226" t="n"/>
      <c r="CQ48" s="226" t="n"/>
      <c r="CR48" s="226" t="n"/>
      <c r="CS48" s="226" t="n"/>
      <c r="CT48" s="226" t="n"/>
      <c r="CU48" s="226" t="n"/>
      <c r="CV48" s="226" t="n"/>
      <c r="CW48" s="226" t="n"/>
      <c r="CX48" s="226" t="n"/>
      <c r="CY48" s="226" t="n"/>
      <c r="CZ48" s="226" t="n"/>
      <c r="DA48" s="226" t="n"/>
      <c r="DB48" s="226" t="n"/>
      <c r="DC48" s="226" t="n"/>
      <c r="DD48" s="226" t="n"/>
      <c r="DE48" s="226" t="n"/>
      <c r="DF48" s="226" t="n"/>
      <c r="DG48" s="226" t="n"/>
      <c r="DH48" s="226" t="n"/>
      <c r="DI48" s="226" t="n"/>
      <c r="DJ48" s="226" t="n"/>
      <c r="DK48" s="226" t="n"/>
      <c r="DL48" s="226" t="n"/>
      <c r="DM48" s="226" t="n"/>
      <c r="DN48" s="226" t="n"/>
      <c r="DO48" s="226" t="n"/>
      <c r="DP48" s="226" t="n"/>
      <c r="DQ48" s="226" t="n"/>
      <c r="DR48" s="226" t="n"/>
      <c r="DS48" s="226" t="n"/>
      <c r="DT48" s="226" t="n"/>
      <c r="DU48" s="226" t="n"/>
      <c r="DV48" s="226" t="n"/>
      <c r="DW48" s="226" t="n"/>
      <c r="DX48" s="226" t="n"/>
      <c r="DY48" s="226" t="n"/>
      <c r="DZ48" s="226" t="n"/>
      <c r="EA48" s="226" t="n"/>
      <c r="EB48" s="226" t="n"/>
      <c r="EC48" s="226" t="n"/>
      <c r="ED48" s="226" t="n"/>
      <c r="EE48" s="226" t="n"/>
      <c r="EF48" s="226" t="n"/>
      <c r="EG48" s="226" t="n"/>
      <c r="EH48" s="226" t="n"/>
      <c r="EI48" s="226" t="n"/>
      <c r="EJ48" s="226" t="n"/>
      <c r="EK48" s="226" t="n"/>
      <c r="EL48" s="226" t="n"/>
      <c r="EM48" s="226" t="n"/>
      <c r="EN48" s="226" t="n"/>
      <c r="EO48" s="226" t="n"/>
      <c r="EP48" s="226" t="n"/>
      <c r="EQ48" s="226" t="n"/>
      <c r="ER48" s="226" t="n"/>
      <c r="ES48" s="226" t="n"/>
      <c r="ET48" s="226" t="n"/>
      <c r="EU48" s="226" t="n"/>
      <c r="EV48" s="226" t="n"/>
      <c r="EW48" s="226"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1" stopIfTrue="1">
      <formula>(DASHBOARD!$M$1+INT((COLUMN()-4)/3))=INT($B$19)</formula>
    </cfRule>
  </conditionalFormatting>
  <conditionalFormatting sqref="D25:EW25">
    <cfRule type="expression" priority="12" dxfId="121" stopIfTrue="1">
      <formula>(DASHBOARD!$M$1+INT((COLUMN()-4)/3))=INT($B$25)</formula>
    </cfRule>
  </conditionalFormatting>
  <conditionalFormatting sqref="D6:EW38">
    <cfRule type="expression" priority="13" dxfId="130"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3">
      <formula>AND(MOD(COLUMN()-4,3)=0,(DASHBOARD!$M$1+INT((COLUMN()-4)/3))=INT($B$19))</formula>
    </cfRule>
    <cfRule type="expression" priority="15" dxfId="124">
      <formula>AND(MOD(COLUMN()-4,3)=2,(DASHBOARD!$M$1+INT((COLUMN()-4)/3))=INT($B$25))</formula>
    </cfRule>
    <cfRule type="expression" priority="16" dxfId="125" stopIfTrue="1">
      <formula>(DASHBOARD!$M$1+INT((COLUMN()-4)/3))&gt;DASHBOARD!$M$2</formula>
    </cfRule>
    <cfRule type="expression" priority="17" dxfId="126">
      <formula>(DASHBOARD!$M$1+INT((COLUMN()-4)/3))=TODAY()</formula>
    </cfRule>
    <cfRule type="expression" priority="18" dxfId="127">
      <formula>(DASHBOARD!$M$1+INT((COLUMN()-4)/3))=DASHBOARD!$M$2</formula>
    </cfRule>
    <cfRule type="expression" priority="19" dxfId="128">
      <formula>AND((DASHBOARD!$M$1+INT((COLUMN()-4)/3))&gt;=DASHBOARD!$M$1,(DASHBOARD!$M$1+INT((COLUMN()-4)/3))&lt;TODAY())</formula>
    </cfRule>
  </conditionalFormatting>
  <conditionalFormatting sqref="D3:EW5">
    <cfRule type="expression" priority="2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39" t="inlineStr">
        <is>
          <t xml:space="preserve">📋  FINDINGS DRAFT — Pre-AMOS </t>
        </is>
      </c>
    </row>
    <row r="2" ht="16.15" customHeight="1" thickBot="1">
      <c r="A2" s="34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99"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99"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99"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99"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99"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99"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99"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99"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99"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99"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99"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99"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99"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99"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99"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99" t="inlineStr">
        <is>
          <t>https://i.ibb.co/QvjZWqKG/59d01c63a2f6.jpg</t>
        </is>
      </c>
      <c r="H19" s="128" t="inlineStr">
        <is>
          <t>Not Raised</t>
        </is>
      </c>
      <c r="I19" s="45" t="n"/>
      <c r="J19" s="45" t="n"/>
      <c r="K19" s="45" t="n"/>
    </row>
    <row r="20">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99" t="inlineStr">
        <is>
          <t>https://i.ibb.co/m19rqHf/b2e4ad62c53d.jpg</t>
        </is>
      </c>
      <c r="H20" s="128" t="inlineStr">
        <is>
          <t>Not Raised</t>
        </is>
      </c>
      <c r="I20" s="45" t="n"/>
      <c r="J20" s="45" t="n"/>
      <c r="K20" s="45" t="n"/>
    </row>
    <row r="2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99" t="inlineStr">
        <is>
          <t>https://i.ibb.co/yn0yQ4x1/279f1f147658.jpg</t>
        </is>
      </c>
      <c r="H21" s="128" t="inlineStr">
        <is>
          <t>Not Raised</t>
        </is>
      </c>
      <c r="I21" s="45" t="n"/>
      <c r="J21" s="45" t="n"/>
      <c r="K21" s="45" t="n"/>
    </row>
    <row r="22">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99"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99" t="inlineStr">
        <is>
          <t>https://i.ibb.co/cS5D6Psm/243ecd294b1f.jpg</t>
        </is>
      </c>
      <c r="H23" s="128" t="inlineStr">
        <is>
          <t>Not Raised</t>
        </is>
      </c>
      <c r="I23" s="45" t="n"/>
      <c r="J23" s="45" t="n"/>
      <c r="K23" s="45" t="n"/>
    </row>
    <row r="24">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99"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99"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99"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99"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99"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99"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99"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99"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99"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99"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99"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99" t="inlineStr">
        <is>
          <t>https://i.ibb.co/QvBqsVrB/62c63eda3c80.jpg | https://i.ibb.co/JRYGm3CY/d71b42254f96.jpg</t>
        </is>
      </c>
      <c r="H35" s="128" t="inlineStr">
        <is>
          <t>Not Raised</t>
        </is>
      </c>
      <c r="I35" s="45" t="n"/>
      <c r="J35" s="45" t="n"/>
      <c r="K35" s="45" t="n"/>
    </row>
    <row r="36">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99" t="inlineStr">
        <is>
          <t>https://i.ibb.co/MkzHWMCN/b7b646fa0e2f.jpg</t>
        </is>
      </c>
      <c r="H36" s="128" t="inlineStr">
        <is>
          <t>Not Raised</t>
        </is>
      </c>
      <c r="I36" s="45" t="n"/>
      <c r="J36" s="45" t="n"/>
      <c r="K36" s="45" t="n"/>
    </row>
    <row r="37">
      <c r="A37" s="123">
        <f>IF(COUNTA(B37:G37)&gt;0,ROW()-3,"")</f>
        <v/>
      </c>
      <c r="B37" s="129" t="n">
        <v>30001575</v>
      </c>
      <c r="C37" s="130" t="inlineStr">
        <is>
          <t>FLIGHT DECK</t>
        </is>
      </c>
      <c r="D37" s="131" t="inlineStr">
        <is>
          <t>CAP</t>
        </is>
      </c>
      <c r="E37" s="132" t="inlineStr">
        <is>
          <t>CAP SEAT VELCRO DAMAGED</t>
        </is>
      </c>
      <c r="F37" s="130" t="inlineStr">
        <is>
          <t xml:space="preserve"> </t>
        </is>
      </c>
      <c r="G37" s="199" t="inlineStr">
        <is>
          <t>https://i.ibb.co/ch6mpQxv/cfc4cb910db7.jpg</t>
        </is>
      </c>
      <c r="H37" s="128" t="inlineStr">
        <is>
          <t>Not Raised</t>
        </is>
      </c>
      <c r="I37" s="45" t="n"/>
      <c r="J37" s="45" t="n"/>
      <c r="K37" s="45" t="n"/>
    </row>
    <row r="38">
      <c r="A38" s="123">
        <f>IF(COUNTA(B38:G38)&gt;0,ROW()-3,"")</f>
        <v/>
      </c>
      <c r="B38" s="129" t="n">
        <v>30001575</v>
      </c>
      <c r="C38" s="130" t="inlineStr">
        <is>
          <t>FLIGHT DECK</t>
        </is>
      </c>
      <c r="D38" s="131" t="inlineStr">
        <is>
          <t>FO</t>
        </is>
      </c>
      <c r="E38" s="132" t="inlineStr">
        <is>
          <t>FO SEAT VELCRO DAMAGED</t>
        </is>
      </c>
      <c r="F38" s="130" t="inlineStr">
        <is>
          <t xml:space="preserve"> </t>
        </is>
      </c>
      <c r="G38" s="199" t="inlineStr">
        <is>
          <t>https://i.ibb.co/99k4Dq5L/d46c0d84098c.jpg</t>
        </is>
      </c>
      <c r="H38" s="128" t="inlineStr">
        <is>
          <t>Not Raised</t>
        </is>
      </c>
      <c r="I38" s="45" t="n"/>
      <c r="J38" s="45" t="n"/>
      <c r="K38" s="45" t="n"/>
    </row>
    <row r="39">
      <c r="A39" s="123">
        <f>IF(COUNTA(B39:G39)&gt;0,ROW()-3,"")</f>
        <v/>
      </c>
      <c r="B39" s="129" t="n">
        <v>30001575</v>
      </c>
      <c r="C39" s="130" t="inlineStr">
        <is>
          <t>FLIGHT DECK</t>
        </is>
      </c>
      <c r="D39" s="131" t="inlineStr">
        <is>
          <t>FO</t>
        </is>
      </c>
      <c r="E39" s="132" t="inlineStr">
        <is>
          <t>FO BACK REST WOOL DAMAGED</t>
        </is>
      </c>
      <c r="F39" s="130" t="inlineStr">
        <is>
          <t xml:space="preserve"> </t>
        </is>
      </c>
      <c r="G39" s="199" t="inlineStr">
        <is>
          <t>https://i.ibb.co/bgfH9kgk/77a72493a2a9.jpg</t>
        </is>
      </c>
      <c r="H39" s="128" t="inlineStr">
        <is>
          <t>Not Raised</t>
        </is>
      </c>
      <c r="I39" s="45" t="n"/>
      <c r="J39" s="45" t="n"/>
      <c r="K39" s="45" t="n"/>
    </row>
    <row r="40">
      <c r="A40" s="123">
        <f>IF(COUNTA(B40:G40)&gt;0,ROW()-3,"")</f>
        <v/>
      </c>
      <c r="B40" s="129" t="n">
        <v>30001575</v>
      </c>
      <c r="C40" s="130" t="inlineStr">
        <is>
          <t>FLIGHT DECK</t>
        </is>
      </c>
      <c r="D40" s="131" t="inlineStr">
        <is>
          <t>FO</t>
        </is>
      </c>
      <c r="E40" s="132" t="inlineStr">
        <is>
          <t>FO HEAD REST WOOL DAMAGED</t>
        </is>
      </c>
      <c r="F40" s="130" t="inlineStr">
        <is>
          <t xml:space="preserve"> </t>
        </is>
      </c>
      <c r="G40" s="199" t="inlineStr">
        <is>
          <t>https://i.ibb.co/yBxP5Z23/e2a71d7eb3ba.jpg</t>
        </is>
      </c>
      <c r="H40" s="128" t="inlineStr">
        <is>
          <t>Not Raised</t>
        </is>
      </c>
      <c r="I40" s="45" t="n"/>
      <c r="J40" s="45" t="n"/>
      <c r="K40" s="45" t="n"/>
    </row>
    <row r="41">
      <c r="A41" s="123">
        <f>IF(COUNTA(B41:G41)&gt;0,ROW()-3,"")</f>
        <v/>
      </c>
      <c r="B41" s="129" t="n">
        <v>30001575</v>
      </c>
      <c r="C41" s="130" t="inlineStr">
        <is>
          <t>FLIGHT DECK</t>
        </is>
      </c>
      <c r="D41" s="131" t="inlineStr">
        <is>
          <t>FO</t>
        </is>
      </c>
      <c r="E41" s="132" t="inlineStr">
        <is>
          <t>FO HEAD REST COVER DIRTY</t>
        </is>
      </c>
      <c r="F41" s="130" t="inlineStr">
        <is>
          <t xml:space="preserve"> </t>
        </is>
      </c>
      <c r="G41" s="199"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99" t="inlineStr">
        <is>
          <t>https://i.ibb.co/DHn8F1T6/b6651423efea.jpg | https://i.ibb.co/QFJfJ2KN/c02f7ffad194.jpg</t>
        </is>
      </c>
      <c r="H42" s="128" t="inlineStr">
        <is>
          <t>Not Raised</t>
        </is>
      </c>
      <c r="I42" s="45" t="n"/>
      <c r="J42" s="45" t="n"/>
      <c r="K42" s="45" t="n"/>
    </row>
    <row r="43">
      <c r="A43" s="123">
        <f>IF(COUNTA(B43:G43)&gt;0,ROW()-3,"")</f>
        <v/>
      </c>
      <c r="B43" s="129" t="n">
        <v>30001575</v>
      </c>
      <c r="C43" s="130" t="inlineStr">
        <is>
          <t>FLIGHT DECK</t>
        </is>
      </c>
      <c r="D43" s="131" t="inlineStr">
        <is>
          <t>FO</t>
        </is>
      </c>
      <c r="E43" s="132" t="inlineStr">
        <is>
          <t>CO-PILOT BACK REST COVER DIRTY</t>
        </is>
      </c>
      <c r="F43" s="130" t="inlineStr">
        <is>
          <t xml:space="preserve"> </t>
        </is>
      </c>
      <c r="G43" s="199" t="inlineStr">
        <is>
          <t>https://i.ibb.co/2727DJB1/3ae7e496ad10.jpg</t>
        </is>
      </c>
      <c r="H43" s="128" t="inlineStr">
        <is>
          <t>Not Raised</t>
        </is>
      </c>
      <c r="I43" s="45" t="n"/>
      <c r="J43" s="45" t="n"/>
      <c r="K43" s="45" t="n"/>
    </row>
    <row r="44">
      <c r="A44" s="123">
        <f>IF(COUNTA(B44:G44)&gt;0,ROW()-3,"")</f>
        <v/>
      </c>
      <c r="B44" s="129" t="n">
        <v>30001575</v>
      </c>
      <c r="C44" s="130" t="inlineStr">
        <is>
          <t>FLIGHT DECK</t>
        </is>
      </c>
      <c r="D44" s="131" t="inlineStr">
        <is>
          <t>CAP SEAT</t>
        </is>
      </c>
      <c r="E44" s="132" t="inlineStr">
        <is>
          <t>CAP SEAT WOOL DAMAGED</t>
        </is>
      </c>
      <c r="F44" s="130" t="inlineStr">
        <is>
          <t xml:space="preserve"> </t>
        </is>
      </c>
      <c r="G44" s="199" t="inlineStr">
        <is>
          <t>https://i.ibb.co/FL85fX9x/31b1b21ce9e1.jpg</t>
        </is>
      </c>
      <c r="H44" s="128" t="inlineStr">
        <is>
          <t>Not Raised</t>
        </is>
      </c>
      <c r="I44" s="45" t="n"/>
      <c r="J44" s="45" t="n"/>
      <c r="K44" s="45" t="n"/>
    </row>
    <row r="45">
      <c r="A45" s="123">
        <f>IF(COUNTA(B45:G45)&gt;0,ROW()-3,"")</f>
        <v/>
      </c>
      <c r="B45" s="129" t="n">
        <v>30001575</v>
      </c>
      <c r="C45" s="130" t="inlineStr">
        <is>
          <t>FLIGHT DECK</t>
        </is>
      </c>
      <c r="D45" s="131" t="inlineStr">
        <is>
          <t>CAP SEAT</t>
        </is>
      </c>
      <c r="E45" s="132" t="inlineStr">
        <is>
          <t>CAP SEAT METAL CHIPPED PAINT</t>
        </is>
      </c>
      <c r="F45" s="130" t="inlineStr">
        <is>
          <t xml:space="preserve"> </t>
        </is>
      </c>
      <c r="G45" s="199" t="inlineStr">
        <is>
          <t>https://i.ibb.co/j97YnJMw/b05e6fe61233.jpg</t>
        </is>
      </c>
      <c r="H45" s="128" t="inlineStr">
        <is>
          <t>Not Raised</t>
        </is>
      </c>
      <c r="I45" s="45" t="n"/>
      <c r="J45" s="45" t="n"/>
      <c r="K45" s="45" t="n"/>
    </row>
    <row r="46">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99" t="inlineStr">
        <is>
          <t>https://i.ibb.co/NgbxRL2N/27e5367d796d.jpg</t>
        </is>
      </c>
      <c r="H46" s="128" t="inlineStr">
        <is>
          <t>Not Raised</t>
        </is>
      </c>
      <c r="I46" s="45" t="n"/>
      <c r="J46" s="45" t="n"/>
      <c r="K46" s="45" t="n"/>
    </row>
    <row r="47">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99" t="inlineStr">
        <is>
          <t>https://i.ibb.co/fGZNDCPk/92ca183952a3.jpg</t>
        </is>
      </c>
      <c r="H47" s="128" t="inlineStr">
        <is>
          <t>Not Raised</t>
        </is>
      </c>
      <c r="I47" s="45" t="n"/>
      <c r="J47" s="45" t="n"/>
      <c r="K47" s="45" t="n"/>
    </row>
    <row r="48">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99"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99" t="inlineStr">
        <is>
          <t>https://i.ibb.co/0pv4pkLZ/76b22a74ae65.jpg | https://i.ibb.co/21CbSPSV/d84741ae1ef3.jpg</t>
        </is>
      </c>
      <c r="H49" s="128" t="inlineStr">
        <is>
          <t>Not Raised</t>
        </is>
      </c>
      <c r="I49" s="45" t="n"/>
      <c r="J49" s="45" t="n"/>
      <c r="K49" s="45" t="n"/>
    </row>
    <row r="50">
      <c r="A50" s="123">
        <f>IF(COUNTA(B50:G50)&gt;0,ROW()-3,"")</f>
        <v/>
      </c>
      <c r="B50" s="129" t="n">
        <v>30004221</v>
      </c>
      <c r="C50" s="130" t="inlineStr">
        <is>
          <t>PAINT</t>
        </is>
      </c>
      <c r="D50" s="131" t="inlineStr">
        <is>
          <t>5CA</t>
        </is>
      </c>
      <c r="E50" s="132" t="inlineStr">
        <is>
          <t>WINDOW</t>
        </is>
      </c>
      <c r="F50" s="130" t="inlineStr">
        <is>
          <t xml:space="preserve"> </t>
        </is>
      </c>
      <c r="G50" s="199" t="inlineStr">
        <is>
          <t>https://i.ibb.co/84bDjHc0/d316030718c1.jpg</t>
        </is>
      </c>
      <c r="H50" s="128" t="inlineStr">
        <is>
          <t>Not Raised</t>
        </is>
      </c>
      <c r="I50" s="45" t="n"/>
      <c r="J50" s="45" t="n"/>
      <c r="K50" s="45" t="n"/>
    </row>
    <row r="51">
      <c r="A51" s="123">
        <f>IF(COUNTA(B51:G51)&gt;0,ROW()-3,"")</f>
        <v/>
      </c>
      <c r="B51" s="129" t="n">
        <v>3004221</v>
      </c>
      <c r="C51" s="130" t="inlineStr">
        <is>
          <t>PAINT</t>
        </is>
      </c>
      <c r="D51" s="131" t="inlineStr">
        <is>
          <t>41 CBA</t>
        </is>
      </c>
      <c r="E51" s="132" t="inlineStr">
        <is>
          <t>WINDOW</t>
        </is>
      </c>
      <c r="F51" s="130" t="inlineStr">
        <is>
          <t xml:space="preserve"> </t>
        </is>
      </c>
      <c r="G51" s="199"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99"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99"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99"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99"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99"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99"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99"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99"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99"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99"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99"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99"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99"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99"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99"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99"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99"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99" t="inlineStr">
        <is>
          <t>https://i.ibb.co/XxrgzxPy/1a8cdc94caf7.jpg</t>
        </is>
      </c>
      <c r="H69" s="128" t="inlineStr">
        <is>
          <t>Not Raised</t>
        </is>
      </c>
      <c r="I69" s="45" t="n"/>
      <c r="J69" s="45" t="n"/>
      <c r="K69" s="45" t="n"/>
    </row>
    <row r="70">
      <c r="A70" s="123">
        <f>IF(COUNTA(B70:G70)&gt;0,ROW()-3,"")</f>
        <v/>
      </c>
      <c r="B70" s="129" t="n">
        <v>30004221</v>
      </c>
      <c r="C70" s="130" t="inlineStr">
        <is>
          <t>PAINT</t>
        </is>
      </c>
      <c r="D70" s="131" t="inlineStr">
        <is>
          <t>OSB 33LKJ</t>
        </is>
      </c>
      <c r="E70" s="132" t="inlineStr">
        <is>
          <t>PAINT</t>
        </is>
      </c>
      <c r="F70" s="130" t="inlineStr">
        <is>
          <t xml:space="preserve"> </t>
        </is>
      </c>
      <c r="G70" s="199"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99"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99" t="inlineStr">
        <is>
          <t>https://i.ibb.co/LXHbBNCX/ffb1ff765db9.jpg | https://i.ibb.co/tpsftxFz/1d02acd3f358.jpg</t>
        </is>
      </c>
      <c r="H72" s="128" t="inlineStr">
        <is>
          <t>Not Raised</t>
        </is>
      </c>
      <c r="I72" s="45" t="n"/>
      <c r="J72" s="45" t="n"/>
      <c r="K72" s="45" t="n"/>
    </row>
    <row r="73">
      <c r="A73" s="123">
        <f>IF(COUNTA(B73:G73)&gt;0,ROW()-3,"")</f>
        <v/>
      </c>
      <c r="B73" s="129" t="n">
        <v>30004221</v>
      </c>
      <c r="C73" s="130" t="inlineStr">
        <is>
          <t>PAINT</t>
        </is>
      </c>
      <c r="D73" s="131" t="inlineStr">
        <is>
          <t>OSB 31LKJ</t>
        </is>
      </c>
      <c r="E73" s="132" t="inlineStr">
        <is>
          <t>PAINT</t>
        </is>
      </c>
      <c r="F73" s="130" t="inlineStr">
        <is>
          <t xml:space="preserve"> </t>
        </is>
      </c>
      <c r="G73" s="199"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99"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99"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99"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99"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99"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99"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99"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99"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99"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99"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99"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99"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99" t="inlineStr">
        <is>
          <t>https://i.ibb.co/Z6n5bDy4/4f4da9bc0de9.jpg</t>
        </is>
      </c>
      <c r="H86" s="128" t="inlineStr">
        <is>
          <t>Not Raised</t>
        </is>
      </c>
      <c r="I86" s="45" t="n"/>
      <c r="J86" s="45" t="n"/>
      <c r="K86" s="45" t="n"/>
    </row>
    <row r="87">
      <c r="A87" s="123">
        <f>IF(COUNTA(B87:G87)&gt;0,ROW()-3,"")</f>
        <v/>
      </c>
      <c r="B87" s="129" t="n">
        <v>30001351</v>
      </c>
      <c r="C87" s="130" t="inlineStr">
        <is>
          <t>GALLEY</t>
        </is>
      </c>
      <c r="D87" s="131" t="inlineStr">
        <is>
          <t>GALLY G1</t>
        </is>
      </c>
      <c r="E87" s="132" t="inlineStr">
        <is>
          <t>REQUIRES PAINT</t>
        </is>
      </c>
      <c r="F87" s="130" t="inlineStr">
        <is>
          <t xml:space="preserve"> </t>
        </is>
      </c>
      <c r="G87" s="199"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99"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99"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99"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200"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99"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99"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99"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99"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99"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99"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99"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99"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99"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200"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99"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99"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99"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99"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99"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99"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99"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99"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99"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99"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99"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200"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99"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99"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99"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99"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99"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99"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99"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99"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99"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99"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99"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99"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99"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99"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99"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200" t="inlineStr">
        <is>
          <t xml:space="preserve"> </t>
        </is>
      </c>
      <c r="H129" s="128" t="inlineStr">
        <is>
          <t>Not Raised</t>
        </is>
      </c>
      <c r="I129" s="45" t="n"/>
      <c r="J129" s="45" t="n"/>
      <c r="K129" s="45" t="n"/>
    </row>
    <row r="130">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99" t="inlineStr">
        <is>
          <t>https://i.ibb.co/4Lm1wtv/867c68c34f18.jpg</t>
        </is>
      </c>
      <c r="H130" s="128" t="inlineStr">
        <is>
          <t>Not Raised</t>
        </is>
      </c>
      <c r="I130" s="45" t="n"/>
      <c r="J130" s="45" t="n"/>
      <c r="K130" s="45" t="n"/>
    </row>
    <row r="13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99"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99"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99"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99"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99"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99"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99"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200"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99" t="inlineStr">
        <is>
          <t>https://i.ibb.co/sxBDvN6/f0394f506858.jpg</t>
        </is>
      </c>
      <c r="H139" s="128" t="inlineStr">
        <is>
          <t>Not Raised</t>
        </is>
      </c>
      <c r="I139" s="45" t="n"/>
      <c r="J139" s="45" t="n"/>
      <c r="K139" s="45" t="n"/>
    </row>
    <row r="140">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99" t="inlineStr">
        <is>
          <t>https://i.ibb.co/hJH4xjGC/61795342a129.jpg</t>
        </is>
      </c>
      <c r="H140" s="128" t="inlineStr">
        <is>
          <t>Not Raised</t>
        </is>
      </c>
      <c r="I140" s="45" t="n"/>
      <c r="J140" s="45" t="n"/>
      <c r="K140" s="45" t="n"/>
    </row>
    <row r="14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99"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99" t="inlineStr">
        <is>
          <t>https://i.ibb.co/DDrzbrxn/e9383d640838.jpg | https://i.ibb.co/yF6wHgts/30dffb1e290b.jpg | https://i.ibb.co/xqMc0PLj/66f858a056c9.jpg</t>
        </is>
      </c>
      <c r="H142" s="128" t="inlineStr">
        <is>
          <t>Not Raised</t>
        </is>
      </c>
      <c r="I142" s="45" t="n"/>
      <c r="J142" s="45" t="n"/>
      <c r="K142" s="45" t="n"/>
    </row>
    <row r="143">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99" t="inlineStr">
        <is>
          <t>https://i.ibb.co/9kWd0Ygd/414280c92f37.jpg</t>
        </is>
      </c>
      <c r="H143" s="128" t="inlineStr">
        <is>
          <t>Not Raised</t>
        </is>
      </c>
      <c r="I143" s="45" t="n"/>
      <c r="J143" s="45" t="n"/>
      <c r="K143" s="45" t="n"/>
    </row>
    <row r="144">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99"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99"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99"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99"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99"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99"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99"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99" t="inlineStr">
        <is>
          <t>https://i.ibb.co/Lzm3TnJR/92658f6e75d4.jpg | https://i.ibb.co/mCNXf5rp/a52a43397956.jpg | https://i.ibb.co/gFB6M7h5/82a835276612.jpg | https://i.ibb.co/XxVBz9Ld/48e7b76e0ef3.jpg</t>
        </is>
      </c>
      <c r="H151" s="128" t="inlineStr">
        <is>
          <t>Not Raised</t>
        </is>
      </c>
      <c r="I151" s="45" t="n"/>
      <c r="J151" s="45" t="n"/>
      <c r="K151" s="45" t="n"/>
    </row>
    <row r="152">
      <c r="A152" s="123">
        <f>IF(COUNTA(B152:G152)&gt;0,ROW()-3,"")</f>
        <v/>
      </c>
      <c r="B152" s="129" t="n">
        <v>30001351</v>
      </c>
      <c r="C152" s="130" t="inlineStr">
        <is>
          <t>GALLEY</t>
        </is>
      </c>
      <c r="D152" s="131" t="inlineStr">
        <is>
          <t>GALLY G2</t>
        </is>
      </c>
      <c r="E152" s="132" t="inlineStr">
        <is>
          <t>SEALENT MISSING</t>
        </is>
      </c>
      <c r="F152" s="130" t="inlineStr">
        <is>
          <t xml:space="preserve"> </t>
        </is>
      </c>
      <c r="G152" s="199"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99" t="inlineStr">
        <is>
          <t>https://i.ibb.co/1f9hxr1D/6ca7a14531f6.jpg | https://i.ibb.co/zV6ZZw5x/13d9824beea4.jpg</t>
        </is>
      </c>
      <c r="H153" s="128" t="inlineStr">
        <is>
          <t>Not Raised</t>
        </is>
      </c>
      <c r="I153" s="45" t="n"/>
      <c r="J153" s="45" t="n"/>
      <c r="K153" s="45" t="n"/>
    </row>
    <row r="154">
      <c r="A154" s="123">
        <f>IF(COUNTA(B154:G154)&gt;0,ROW()-3,"")</f>
        <v/>
      </c>
      <c r="B154" s="129" t="n">
        <v>30001351</v>
      </c>
      <c r="C154" s="130" t="inlineStr">
        <is>
          <t>GALLEY</t>
        </is>
      </c>
      <c r="D154" s="131" t="inlineStr">
        <is>
          <t>GALLY G1</t>
        </is>
      </c>
      <c r="E154" s="132" t="inlineStr">
        <is>
          <t>AIR CHILLER GRILL BENT</t>
        </is>
      </c>
      <c r="F154" s="130" t="inlineStr">
        <is>
          <t xml:space="preserve"> </t>
        </is>
      </c>
      <c r="G154" s="199"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99"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99"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99"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99" t="inlineStr">
        <is>
          <t>https://i.ibb.co/JRtKQfZd/9f91d5bfd497.jpg | https://i.ibb.co/rqrBKg3/98ef4f1da09d.jpg | https://i.ibb.co/zhBy211v/b9d94ee34eae.jpg | https://i.ibb.co/4ZxTkFdC/31215b3b3112.jpg</t>
        </is>
      </c>
      <c r="H158" s="128" t="inlineStr">
        <is>
          <t>Not Raised</t>
        </is>
      </c>
      <c r="I158" s="45" t="n"/>
      <c r="J158" s="45" t="n"/>
      <c r="K158" s="45" t="n"/>
    </row>
    <row r="159">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99"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99" t="inlineStr">
        <is>
          <t>https://i.ibb.co/679pj7JW/032df7288717.jpg</t>
        </is>
      </c>
      <c r="H160" s="128" t="inlineStr">
        <is>
          <t>Not Raised</t>
        </is>
      </c>
      <c r="I160" s="45" t="n"/>
      <c r="J160" s="45" t="n"/>
      <c r="K160" s="45" t="n"/>
    </row>
    <row r="161">
      <c r="A161" s="123">
        <f>IF(COUNTA(B161:G161)&gt;0,ROW()-3,"")</f>
        <v/>
      </c>
      <c r="B161" s="129" t="n">
        <v>30001575</v>
      </c>
      <c r="C161" s="130" t="inlineStr">
        <is>
          <t>LAVATORY</t>
        </is>
      </c>
      <c r="D161" s="131" t="inlineStr">
        <is>
          <t>LAV E</t>
        </is>
      </c>
      <c r="E161" s="132" t="inlineStr">
        <is>
          <t>DAMAGED NO SMOKE DECAL</t>
        </is>
      </c>
      <c r="F161" s="130" t="inlineStr">
        <is>
          <t xml:space="preserve"> </t>
        </is>
      </c>
      <c r="G161" s="199"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99"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99" t="inlineStr">
        <is>
          <t>https://i.ibb.co/cXtMZ3RX/bf13822f1c96.jpg</t>
        </is>
      </c>
      <c r="H163" s="128" t="inlineStr">
        <is>
          <t>Not Raised</t>
        </is>
      </c>
      <c r="I163" s="45" t="n"/>
      <c r="J163" s="45" t="n"/>
      <c r="K163" s="45" t="n"/>
    </row>
    <row r="164">
      <c r="A164" s="123">
        <f>IF(COUNTA(B164:G164)&gt;0,ROW()-3,"")</f>
        <v/>
      </c>
      <c r="B164" s="129" t="n">
        <v>30001575</v>
      </c>
      <c r="C164" s="130" t="inlineStr">
        <is>
          <t>LAVATORY</t>
        </is>
      </c>
      <c r="D164" s="131" t="inlineStr">
        <is>
          <t>LAV E</t>
        </is>
      </c>
      <c r="E164" s="132" t="inlineStr">
        <is>
          <t>CHIPPED WRITINGS (VACANT/)</t>
        </is>
      </c>
      <c r="F164" s="130" t="inlineStr">
        <is>
          <t xml:space="preserve"> </t>
        </is>
      </c>
      <c r="G164" s="199" t="inlineStr">
        <is>
          <t>https://i.ibb.co/sdXx9HRK/d46f55f62cdf.jpg</t>
        </is>
      </c>
      <c r="H164" s="128" t="inlineStr">
        <is>
          <t>Not Raised</t>
        </is>
      </c>
      <c r="I164" s="45" t="n"/>
      <c r="J164" s="45" t="n"/>
      <c r="K164" s="45" t="n"/>
    </row>
    <row r="165">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99" t="inlineStr">
        <is>
          <t>https://i.ibb.co/QFtCs22P/85fa1d71ba6c.jpg</t>
        </is>
      </c>
      <c r="H165" s="128" t="inlineStr">
        <is>
          <t>Not Raised</t>
        </is>
      </c>
      <c r="I165" s="45" t="n"/>
      <c r="J165" s="45" t="n"/>
      <c r="K165" s="45" t="n"/>
    </row>
    <row r="166">
      <c r="A166" s="123">
        <f>IF(COUNTA(B166:G166)&gt;0,ROW()-3,"")</f>
        <v/>
      </c>
      <c r="B166" s="129" t="n">
        <v>30001575</v>
      </c>
      <c r="C166" s="130" t="inlineStr">
        <is>
          <t>LAVATORY</t>
        </is>
      </c>
      <c r="D166" s="131" t="inlineStr">
        <is>
          <t>LAV E</t>
        </is>
      </c>
      <c r="E166" s="132" t="inlineStr">
        <is>
          <t>DOWNWARD DIRT.LAV. DOOR</t>
        </is>
      </c>
      <c r="F166" s="130" t="inlineStr">
        <is>
          <t xml:space="preserve"> </t>
        </is>
      </c>
      <c r="G166" s="199"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99" t="inlineStr">
        <is>
          <t>https://i.ibb.co/DPvbPskJ/a5eec72114b7.jpg</t>
        </is>
      </c>
      <c r="H167" s="128" t="inlineStr">
        <is>
          <t>Not Raised</t>
        </is>
      </c>
      <c r="I167" s="45" t="n"/>
      <c r="J167" s="45" t="n"/>
      <c r="K167" s="45" t="n"/>
    </row>
    <row r="168">
      <c r="A168" s="123">
        <f>IF(COUNTA(B168:G168)&gt;0,ROW()-3,"")</f>
        <v/>
      </c>
      <c r="B168" s="129" t="n">
        <v>30001575</v>
      </c>
      <c r="C168" s="130" t="inlineStr">
        <is>
          <t>LAVATORY</t>
        </is>
      </c>
      <c r="D168" s="131" t="inlineStr">
        <is>
          <t>LAV E</t>
        </is>
      </c>
      <c r="E168" s="132" t="inlineStr">
        <is>
          <t>STOWAGE DOOR DENT</t>
        </is>
      </c>
      <c r="F168" s="130" t="inlineStr">
        <is>
          <t xml:space="preserve"> </t>
        </is>
      </c>
      <c r="G168" s="199"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99" t="inlineStr">
        <is>
          <t>https://i.ibb.co/LzbTn4hV/ed28575c2735.jpg</t>
        </is>
      </c>
      <c r="H169" s="128" t="inlineStr">
        <is>
          <t>Not Raised</t>
        </is>
      </c>
      <c r="I169" s="45" t="n"/>
      <c r="J169" s="45" t="n"/>
      <c r="K169" s="45" t="n"/>
    </row>
    <row r="170">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99"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99" t="inlineStr">
        <is>
          <t>https://i.ibb.co/7BNyFqw/36d1b037fee1.jpg</t>
        </is>
      </c>
      <c r="H171" s="128" t="inlineStr">
        <is>
          <t>Not Raised</t>
        </is>
      </c>
      <c r="I171" s="45" t="n"/>
      <c r="J171" s="45" t="n"/>
      <c r="K171" s="45" t="n"/>
    </row>
    <row r="172">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99"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99" t="inlineStr">
        <is>
          <t>https://i.ibb.co/JW2R228C/eba7ce9f76a5.jpg</t>
        </is>
      </c>
      <c r="H173" s="128" t="inlineStr">
        <is>
          <t>Not Raised</t>
        </is>
      </c>
      <c r="I173" s="45" t="n"/>
      <c r="J173" s="45" t="n"/>
      <c r="K173" s="45" t="n"/>
    </row>
    <row r="174">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99"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99" t="inlineStr">
        <is>
          <t>https://i.ibb.co/C3MLn3P8/cff405cd4423.jpg</t>
        </is>
      </c>
      <c r="H175" s="128" t="inlineStr">
        <is>
          <t>Not Raised</t>
        </is>
      </c>
      <c r="I175" s="45" t="n"/>
      <c r="J175" s="45" t="n"/>
      <c r="K175" s="45" t="n"/>
    </row>
    <row r="176">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99"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99"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99"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99" t="inlineStr">
        <is>
          <t>https://i.ibb.co/dsws3TMg/38f1714bbc08.jpg</t>
        </is>
      </c>
      <c r="H179" s="128" t="inlineStr">
        <is>
          <t>Not Raised</t>
        </is>
      </c>
      <c r="I179" s="45" t="n"/>
      <c r="J179" s="45" t="n"/>
      <c r="K179" s="45" t="n"/>
    </row>
    <row r="180">
      <c r="A180" s="123">
        <f>IF(COUNTA(B180:G180)&gt;0,ROW()-3,"")</f>
        <v/>
      </c>
      <c r="B180" s="129" t="n">
        <v>30001575</v>
      </c>
      <c r="C180" s="130" t="inlineStr">
        <is>
          <t>LAVATORY</t>
        </is>
      </c>
      <c r="D180" s="131" t="inlineStr">
        <is>
          <t>LAV E</t>
        </is>
      </c>
      <c r="E180" s="132" t="inlineStr">
        <is>
          <t>DIRTY FILTER</t>
        </is>
      </c>
      <c r="F180" s="130" t="inlineStr">
        <is>
          <t xml:space="preserve"> </t>
        </is>
      </c>
      <c r="G180" s="199" t="inlineStr">
        <is>
          <t>https://i.ibb.co/ksmJKrn8/20c46daad85f.jpg</t>
        </is>
      </c>
      <c r="H180" s="128" t="inlineStr">
        <is>
          <t>Not Raised</t>
        </is>
      </c>
      <c r="I180" s="45" t="n"/>
      <c r="J180" s="45" t="n"/>
      <c r="K180" s="45" t="n"/>
    </row>
    <row r="18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99" t="inlineStr">
        <is>
          <t>https://i.ibb.co/YHq4VzG/3293f90e6d4d.jpg</t>
        </is>
      </c>
      <c r="H181" s="128" t="inlineStr">
        <is>
          <t>Not Raised</t>
        </is>
      </c>
      <c r="I181" s="45" t="n"/>
      <c r="J181" s="45" t="n"/>
      <c r="K181" s="45" t="n"/>
    </row>
    <row r="182">
      <c r="A182" s="123">
        <f>IF(COUNTA(B182:G182)&gt;0,ROW()-3,"")</f>
        <v/>
      </c>
      <c r="B182" s="129" t="n">
        <v>30004221</v>
      </c>
      <c r="C182" s="130" t="inlineStr">
        <is>
          <t>GALLEY</t>
        </is>
      </c>
      <c r="D182" s="131" t="inlineStr">
        <is>
          <t>AFT GALLEY</t>
        </is>
      </c>
      <c r="E182" s="132" t="inlineStr">
        <is>
          <t>OVEN NEEDS PINT</t>
        </is>
      </c>
      <c r="F182" s="130" t="inlineStr">
        <is>
          <t xml:space="preserve"> </t>
        </is>
      </c>
      <c r="G182" s="199"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99" t="inlineStr">
        <is>
          <t>https://i.ibb.co/QvDBjJcn/175cf909d418.jpg</t>
        </is>
      </c>
      <c r="H183" s="128" t="inlineStr">
        <is>
          <t>Not Raised</t>
        </is>
      </c>
      <c r="I183" s="45" t="n"/>
      <c r="J183" s="45" t="n"/>
      <c r="K183" s="45" t="n"/>
    </row>
    <row r="184">
      <c r="A184" s="123">
        <f>IF(COUNTA(B184:G184)&gt;0,ROW()-3,"")</f>
        <v/>
      </c>
      <c r="B184" s="129" t="n">
        <v>30004221</v>
      </c>
      <c r="C184" s="130" t="inlineStr">
        <is>
          <t>GALLEY</t>
        </is>
      </c>
      <c r="D184" s="131" t="inlineStr">
        <is>
          <t>AFT GALLEY</t>
        </is>
      </c>
      <c r="E184" s="132" t="inlineStr">
        <is>
          <t>DOOR R2</t>
        </is>
      </c>
      <c r="F184" s="130" t="inlineStr">
        <is>
          <t xml:space="preserve"> </t>
        </is>
      </c>
      <c r="G184" s="199"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99" t="inlineStr">
        <is>
          <t>https://i.ibb.co/fVwK5hpV/e62262d1273d.jpg</t>
        </is>
      </c>
      <c r="H185" s="128" t="inlineStr">
        <is>
          <t>Not Raised</t>
        </is>
      </c>
      <c r="I185" s="45" t="n"/>
      <c r="J185" s="45" t="n"/>
      <c r="K185" s="45" t="n"/>
    </row>
    <row r="186">
      <c r="A186" s="123">
        <f>IF(COUNTA(B186:G186)&gt;0,ROW()-3,"")</f>
        <v/>
      </c>
      <c r="B186" s="129" t="n">
        <v>30004221</v>
      </c>
      <c r="C186" s="130" t="inlineStr">
        <is>
          <t>GALLEY</t>
        </is>
      </c>
      <c r="D186" s="131" t="inlineStr">
        <is>
          <t>AFT GALLEY</t>
        </is>
      </c>
      <c r="E186" s="132" t="inlineStr">
        <is>
          <t>A/C</t>
        </is>
      </c>
      <c r="F186" s="130" t="inlineStr">
        <is>
          <t xml:space="preserve"> </t>
        </is>
      </c>
      <c r="G186" s="199" t="inlineStr">
        <is>
          <t>https://i.ibb.co/wZmDGvfR/24aebb6aa2a1.jpg</t>
        </is>
      </c>
      <c r="H186" s="128" t="inlineStr">
        <is>
          <t>Not Raised</t>
        </is>
      </c>
      <c r="I186" s="45" t="n"/>
      <c r="J186" s="45" t="n"/>
      <c r="K186" s="45" t="n"/>
    </row>
    <row r="187">
      <c r="A187" s="123">
        <f>IF(COUNTA(B187:G187)&gt;0,ROW()-3,"")</f>
        <v/>
      </c>
      <c r="B187" s="129" t="n">
        <v>30004221</v>
      </c>
      <c r="C187" s="130" t="inlineStr">
        <is>
          <t>GALLEY</t>
        </is>
      </c>
      <c r="D187" s="131" t="inlineStr">
        <is>
          <t>AFT GALLEY</t>
        </is>
      </c>
      <c r="E187" s="132" t="inlineStr">
        <is>
          <t>A/C</t>
        </is>
      </c>
      <c r="F187" s="130" t="inlineStr">
        <is>
          <t xml:space="preserve"> </t>
        </is>
      </c>
      <c r="G187" s="199"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99" t="inlineStr">
        <is>
          <t>https://i.ibb.co/twP6KBCh/e364faa0a05f.jpg</t>
        </is>
      </c>
      <c r="H188" s="128" t="inlineStr">
        <is>
          <t>Not Raised</t>
        </is>
      </c>
      <c r="I188" s="45" t="n"/>
      <c r="J188" s="45" t="n"/>
      <c r="K188" s="45" t="n"/>
    </row>
    <row r="189">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99" t="inlineStr">
        <is>
          <t>https://i.ibb.co/TDnbYnNX/55f63537cf11.jpg</t>
        </is>
      </c>
      <c r="H189" s="128" t="inlineStr">
        <is>
          <t>Not Raised</t>
        </is>
      </c>
      <c r="I189" s="45" t="n"/>
      <c r="J189" s="45" t="n"/>
      <c r="K189" s="45" t="n"/>
    </row>
    <row r="190">
      <c r="A190" s="123">
        <f>IF(COUNTA(B190:G190)&gt;0,ROW()-3,"")</f>
        <v/>
      </c>
      <c r="B190" s="129" t="n">
        <v>30004221</v>
      </c>
      <c r="C190" s="130" t="inlineStr">
        <is>
          <t>GALLEY</t>
        </is>
      </c>
      <c r="D190" s="131" t="inlineStr">
        <is>
          <t>AFT GALLEY</t>
        </is>
      </c>
      <c r="E190" s="132" t="inlineStr">
        <is>
          <t>MISSING SCREW 3EA</t>
        </is>
      </c>
      <c r="F190" s="130" t="inlineStr">
        <is>
          <t xml:space="preserve"> </t>
        </is>
      </c>
      <c r="G190" s="199" t="inlineStr">
        <is>
          <t>https://i.ibb.co/c7Nny7d/db493548a3d4.jpg</t>
        </is>
      </c>
      <c r="H190" s="128" t="inlineStr">
        <is>
          <t>Not Raised</t>
        </is>
      </c>
      <c r="I190" s="45" t="n"/>
      <c r="J190" s="45" t="n"/>
      <c r="K190" s="45" t="n"/>
    </row>
    <row r="191">
      <c r="A191" s="123">
        <f>IF(COUNTA(B191:G191)&gt;0,ROW()-3,"")</f>
        <v/>
      </c>
      <c r="B191" s="129" t="n">
        <v>30004221</v>
      </c>
      <c r="C191" s="130" t="inlineStr">
        <is>
          <t>GALLEY</t>
        </is>
      </c>
      <c r="D191" s="131" t="inlineStr">
        <is>
          <t>AFT GALLEY</t>
        </is>
      </c>
      <c r="E191" s="132" t="inlineStr">
        <is>
          <t>RED LATCH INOP</t>
        </is>
      </c>
      <c r="F191" s="130" t="inlineStr">
        <is>
          <t xml:space="preserve"> </t>
        </is>
      </c>
      <c r="G191" s="199" t="inlineStr">
        <is>
          <t>https://i.ibb.co/d4L4K5zx/e8f6ff132221.jpg</t>
        </is>
      </c>
      <c r="H191" s="128" t="inlineStr">
        <is>
          <t>Not Raised</t>
        </is>
      </c>
      <c r="I191" s="45" t="n"/>
      <c r="J191" s="45" t="n"/>
      <c r="K191" s="45" t="n"/>
    </row>
    <row r="192">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99"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99" t="inlineStr">
        <is>
          <t>https://i.ibb.co/HDDtdwV9/68a3f9245b5e.jpg</t>
        </is>
      </c>
      <c r="H193" s="128" t="inlineStr">
        <is>
          <t>Not Raised</t>
        </is>
      </c>
      <c r="I193" s="45" t="n"/>
      <c r="J193" s="45" t="n"/>
      <c r="K193" s="45" t="n"/>
    </row>
    <row r="194">
      <c r="A194" s="123">
        <f>IF(COUNTA(B194:G194)&gt;0,ROW()-3,"")</f>
        <v/>
      </c>
      <c r="B194" s="129" t="n">
        <v>30004221</v>
      </c>
      <c r="C194" s="130" t="inlineStr">
        <is>
          <t>GALLEY</t>
        </is>
      </c>
      <c r="D194" s="131" t="inlineStr">
        <is>
          <t>AFT GALLEY</t>
        </is>
      </c>
      <c r="E194" s="132" t="inlineStr">
        <is>
          <t>COVER MISSING</t>
        </is>
      </c>
      <c r="F194" s="130" t="inlineStr">
        <is>
          <t xml:space="preserve"> </t>
        </is>
      </c>
      <c r="G194" s="199"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99" t="inlineStr">
        <is>
          <t>https://i.ibb.co/0V6GVQm8/066e0d014357.jpg</t>
        </is>
      </c>
      <c r="H195" s="128" t="inlineStr">
        <is>
          <t>Not Raised</t>
        </is>
      </c>
      <c r="I195" s="45" t="n"/>
      <c r="J195" s="45" t="n"/>
      <c r="K195" s="45" t="n"/>
    </row>
    <row r="196">
      <c r="A196" s="123">
        <f>IF(COUNTA(B196:G196)&gt;0,ROW()-3,"")</f>
        <v/>
      </c>
      <c r="B196" s="129" t="n">
        <v>30004221</v>
      </c>
      <c r="C196" s="130" t="inlineStr">
        <is>
          <t>GALLEY</t>
        </is>
      </c>
      <c r="D196" s="131" t="inlineStr">
        <is>
          <t>AFT GALLEY</t>
        </is>
      </c>
      <c r="E196" s="132" t="inlineStr">
        <is>
          <t>MISSING SEALANT</t>
        </is>
      </c>
      <c r="F196" s="130" t="inlineStr">
        <is>
          <t xml:space="preserve"> </t>
        </is>
      </c>
      <c r="G196" s="199" t="inlineStr">
        <is>
          <t>https://i.ibb.co/Kc9Fd35s/356548df3adc.jpg</t>
        </is>
      </c>
      <c r="H196" s="128" t="inlineStr">
        <is>
          <t>Not Raised</t>
        </is>
      </c>
      <c r="I196" s="45" t="n"/>
      <c r="J196" s="45" t="n"/>
      <c r="K196" s="45" t="n"/>
    </row>
    <row r="197">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99" t="inlineStr">
        <is>
          <t>https://i.ibb.co/DDqBgTvg/7b6ecc2d3bbf.jpg</t>
        </is>
      </c>
      <c r="H197" s="128" t="inlineStr">
        <is>
          <t>Not Raised</t>
        </is>
      </c>
      <c r="I197" s="45" t="n"/>
      <c r="J197" s="45" t="n"/>
      <c r="K197" s="45" t="n"/>
    </row>
    <row r="198">
      <c r="A198" s="123">
        <f>IF(COUNTA(B198:G198)&gt;0,ROW()-3,"")</f>
        <v/>
      </c>
      <c r="B198" s="129" t="n">
        <v>30004221</v>
      </c>
      <c r="C198" s="130" t="inlineStr">
        <is>
          <t>GALLEY</t>
        </is>
      </c>
      <c r="D198" s="131" t="inlineStr">
        <is>
          <t>AFT GALLEY</t>
        </is>
      </c>
      <c r="E198" s="132" t="inlineStr">
        <is>
          <t>MISSING SEALANT</t>
        </is>
      </c>
      <c r="F198" s="130" t="inlineStr">
        <is>
          <t xml:space="preserve"> </t>
        </is>
      </c>
      <c r="G198" s="199"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99" t="inlineStr">
        <is>
          <t>https://i.ibb.co/dsVD2ZZq/88efe0eccd42.jpg</t>
        </is>
      </c>
      <c r="H199" s="128" t="inlineStr">
        <is>
          <t>Not Raised</t>
        </is>
      </c>
      <c r="I199" s="45" t="n"/>
      <c r="J199" s="45" t="n"/>
      <c r="K199" s="45" t="n"/>
    </row>
    <row r="200">
      <c r="A200" s="123">
        <f>IF(COUNTA(B200:G200)&gt;0,ROW()-3,"")</f>
        <v/>
      </c>
      <c r="B200" s="129" t="n">
        <v>30004221</v>
      </c>
      <c r="C200" s="130" t="inlineStr">
        <is>
          <t>GALLEY</t>
        </is>
      </c>
      <c r="D200" s="131" t="inlineStr">
        <is>
          <t>AFT GALLEY</t>
        </is>
      </c>
      <c r="E200" s="132" t="inlineStr">
        <is>
          <t>HINGE BROKEN</t>
        </is>
      </c>
      <c r="F200" s="130" t="inlineStr">
        <is>
          <t xml:space="preserve"> </t>
        </is>
      </c>
      <c r="G200" s="199" t="inlineStr">
        <is>
          <t>https://i.ibb.co/k7G8DTb/c9d665999c4c.jpg</t>
        </is>
      </c>
      <c r="H200" s="128" t="inlineStr">
        <is>
          <t>Not Raised</t>
        </is>
      </c>
      <c r="I200" s="45" t="n"/>
      <c r="J200" s="45" t="n"/>
      <c r="K200" s="45" t="n"/>
    </row>
    <row r="201">
      <c r="A201" s="123">
        <f>IF(COUNTA(B201:G201)&gt;0,ROW()-3,"")</f>
        <v/>
      </c>
      <c r="B201" s="129" t="n">
        <v>30004221</v>
      </c>
      <c r="C201" s="130" t="inlineStr">
        <is>
          <t>GALLEY</t>
        </is>
      </c>
      <c r="D201" s="131" t="inlineStr">
        <is>
          <t>AFT GALLEY</t>
        </is>
      </c>
      <c r="E201" s="132" t="inlineStr">
        <is>
          <t>DOOR NOT SECURED</t>
        </is>
      </c>
      <c r="F201" s="130" t="inlineStr">
        <is>
          <t xml:space="preserve"> </t>
        </is>
      </c>
      <c r="G201" s="199"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99" t="inlineStr">
        <is>
          <t>https://i.ibb.co/XfWwM0Mv/e2ba680f0a0e.jpg</t>
        </is>
      </c>
      <c r="H202" s="128" t="inlineStr">
        <is>
          <t>Not Raised</t>
        </is>
      </c>
      <c r="I202" s="45" t="n"/>
      <c r="J202" s="45" t="n"/>
      <c r="K202" s="45" t="n"/>
    </row>
    <row r="203">
      <c r="A203" s="123">
        <f>IF(COUNTA(B203:G203)&gt;0,ROW()-3,"")</f>
        <v/>
      </c>
      <c r="B203" s="129" t="n">
        <v>30004221</v>
      </c>
      <c r="C203" s="130" t="inlineStr">
        <is>
          <t>GALLEY</t>
        </is>
      </c>
      <c r="D203" s="131" t="inlineStr">
        <is>
          <t>AFT GALLEY</t>
        </is>
      </c>
      <c r="E203" s="132" t="inlineStr">
        <is>
          <t>DOOR NOT SECURED</t>
        </is>
      </c>
      <c r="F203" s="130" t="inlineStr">
        <is>
          <t xml:space="preserve"> </t>
        </is>
      </c>
      <c r="G203" s="199"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99" t="inlineStr">
        <is>
          <t>https://i.ibb.co/Fk5cH7L1/4b758f3867dc.jpg</t>
        </is>
      </c>
      <c r="H204" s="128" t="inlineStr">
        <is>
          <t>Not Raised</t>
        </is>
      </c>
      <c r="I204" s="45" t="n"/>
      <c r="J204" s="45" t="n"/>
      <c r="K204" s="45" t="n"/>
    </row>
    <row r="205">
      <c r="A205" s="123">
        <f>IF(COUNTA(B205:G205)&gt;0,ROW()-3,"")</f>
        <v/>
      </c>
      <c r="B205" s="129" t="inlineStr">
        <is>
          <t>SHAREEF</t>
        </is>
      </c>
      <c r="C205" s="130" t="inlineStr">
        <is>
          <t>LAVATORY</t>
        </is>
      </c>
      <c r="D205" s="131" t="inlineStr">
        <is>
          <t>LAV A</t>
        </is>
      </c>
      <c r="E205" s="132" t="inlineStr">
        <is>
          <t>PNT</t>
        </is>
      </c>
      <c r="F205" s="130" t="inlineStr">
        <is>
          <t xml:space="preserve"> </t>
        </is>
      </c>
      <c r="G205" s="199" t="inlineStr">
        <is>
          <t>https://i.ibb.co/N6F8DCXC/d799e52cc3e6.jpg</t>
        </is>
      </c>
      <c r="H205" s="128" t="inlineStr">
        <is>
          <t>Not Raised</t>
        </is>
      </c>
      <c r="I205" s="45" t="n"/>
      <c r="J205" s="45" t="n"/>
      <c r="K205" s="45" t="n"/>
    </row>
    <row r="206">
      <c r="A206" s="123">
        <f>IF(COUNTA(B206:G206)&gt;0,ROW()-3,"")</f>
        <v/>
      </c>
      <c r="B206" s="129" t="inlineStr">
        <is>
          <t>SHAREEF</t>
        </is>
      </c>
      <c r="C206" s="130" t="inlineStr">
        <is>
          <t>LAVATORY</t>
        </is>
      </c>
      <c r="D206" s="131" t="inlineStr">
        <is>
          <t>LAV A</t>
        </is>
      </c>
      <c r="E206" s="132" t="inlineStr">
        <is>
          <t>PNT</t>
        </is>
      </c>
      <c r="F206" s="130" t="inlineStr">
        <is>
          <t xml:space="preserve"> </t>
        </is>
      </c>
      <c r="G206" s="199" t="inlineStr">
        <is>
          <t>https://i.ibb.co/PvKn3Ttp/de8fc32528dd.jpg</t>
        </is>
      </c>
      <c r="H206" s="128" t="inlineStr">
        <is>
          <t>Not Raised</t>
        </is>
      </c>
      <c r="I206" s="45" t="n"/>
      <c r="J206" s="45" t="n"/>
      <c r="K206" s="45" t="n"/>
    </row>
    <row r="207">
      <c r="A207" s="123">
        <f>IF(COUNTA(B207:G207)&gt;0,ROW()-3,"")</f>
        <v/>
      </c>
      <c r="B207" s="129" t="n">
        <v>30004221</v>
      </c>
      <c r="C207" s="130" t="inlineStr">
        <is>
          <t>GALLEY</t>
        </is>
      </c>
      <c r="D207" s="131" t="inlineStr">
        <is>
          <t>AFT GALLEY</t>
        </is>
      </c>
      <c r="E207" s="132" t="inlineStr">
        <is>
          <t>HINGE DAMAGE</t>
        </is>
      </c>
      <c r="F207" s="130" t="inlineStr">
        <is>
          <t xml:space="preserve"> </t>
        </is>
      </c>
      <c r="G207" s="199" t="inlineStr">
        <is>
          <t>https://i.ibb.co/0psLW56P/107710d6bcb3.jpg</t>
        </is>
      </c>
      <c r="H207" s="128" t="inlineStr">
        <is>
          <t>Not Raised</t>
        </is>
      </c>
      <c r="I207" s="45" t="n"/>
      <c r="J207" s="45" t="n"/>
      <c r="K207" s="45" t="n"/>
    </row>
    <row r="208">
      <c r="A208" s="123">
        <f>IF(COUNTA(B208:G208)&gt;0,ROW()-3,"")</f>
        <v/>
      </c>
      <c r="B208" s="51" t="n"/>
      <c r="C208" s="35" t="n"/>
      <c r="D208" s="47" t="n"/>
      <c r="E208" s="52" t="n"/>
      <c r="F208" s="35" t="n"/>
      <c r="G208" s="47" t="n"/>
      <c r="H208" s="128" t="inlineStr">
        <is>
          <t>Not Raised</t>
        </is>
      </c>
      <c r="I208" s="45" t="n"/>
      <c r="J208" s="45" t="n"/>
      <c r="K208" s="45" t="n"/>
    </row>
    <row r="209">
      <c r="A209" s="123">
        <f>IF(COUNTA(B209:G209)&gt;0,ROW()-3,"")</f>
        <v/>
      </c>
      <c r="B209" s="51" t="n"/>
      <c r="C209" s="35" t="n"/>
      <c r="D209" s="47" t="n"/>
      <c r="E209" s="52" t="n"/>
      <c r="F209" s="35" t="n"/>
      <c r="G209" s="47" t="n"/>
      <c r="H209" s="128" t="inlineStr">
        <is>
          <t>Not Raised</t>
        </is>
      </c>
      <c r="I209" s="45" t="n"/>
      <c r="J209" s="45" t="n"/>
      <c r="K209" s="45" t="n"/>
    </row>
    <row r="210">
      <c r="A210" s="123">
        <f>IF(COUNTA(B210:G210)&gt;0,ROW()-3,"")</f>
        <v/>
      </c>
      <c r="B210" s="51" t="n"/>
      <c r="C210" s="35" t="n"/>
      <c r="D210" s="47" t="n"/>
      <c r="E210" s="52" t="n"/>
      <c r="F210" s="35" t="n"/>
      <c r="G210" s="47" t="n"/>
      <c r="H210" s="128" t="inlineStr">
        <is>
          <t>Not Raised</t>
        </is>
      </c>
      <c r="I210" s="45" t="n"/>
      <c r="J210" s="45" t="n"/>
      <c r="K210" s="45" t="n"/>
    </row>
    <row r="211">
      <c r="A211" s="123">
        <f>IF(COUNTA(B211:G211)&gt;0,ROW()-3,"")</f>
        <v/>
      </c>
      <c r="B211" s="51" t="n"/>
      <c r="C211" s="35" t="n"/>
      <c r="D211" s="47" t="n"/>
      <c r="E211" s="52" t="n"/>
      <c r="F211" s="35" t="n"/>
      <c r="G211" s="47" t="n"/>
      <c r="H211" s="128" t="inlineStr">
        <is>
          <t>Not Raised</t>
        </is>
      </c>
      <c r="I211" s="45" t="n"/>
      <c r="J211" s="45" t="n"/>
      <c r="K211" s="45" t="n"/>
    </row>
    <row r="212">
      <c r="A212" s="123">
        <f>IF(COUNTA(B212:G212)&gt;0,ROW()-3,"")</f>
        <v/>
      </c>
      <c r="B212" s="51" t="n"/>
      <c r="C212" s="35" t="n"/>
      <c r="D212" s="47" t="n"/>
      <c r="E212" s="52" t="n"/>
      <c r="F212" s="35" t="n"/>
      <c r="G212" s="47" t="n"/>
      <c r="H212" s="128" t="inlineStr">
        <is>
          <t>Not Raised</t>
        </is>
      </c>
      <c r="I212" s="45" t="n"/>
      <c r="J212" s="45" t="n"/>
      <c r="K212" s="45" t="n"/>
    </row>
    <row r="213">
      <c r="A213" s="123">
        <f>IF(COUNTA(B213:G213)&gt;0,ROW()-3,"")</f>
        <v/>
      </c>
      <c r="B213" s="51" t="n"/>
      <c r="C213" s="35" t="n"/>
      <c r="D213" s="47" t="n"/>
      <c r="E213" s="52" t="n"/>
      <c r="F213" s="35" t="n"/>
      <c r="G213" s="47" t="n"/>
      <c r="H213" s="128" t="inlineStr">
        <is>
          <t>Not Raised</t>
        </is>
      </c>
      <c r="I213" s="45" t="n"/>
      <c r="J213" s="45" t="n"/>
      <c r="K213" s="45" t="n"/>
    </row>
    <row r="214">
      <c r="A214" s="123">
        <f>IF(COUNTA(B214:G214)&gt;0,ROW()-3,"")</f>
        <v/>
      </c>
      <c r="B214" s="51" t="n"/>
      <c r="C214" s="35" t="n"/>
      <c r="D214" s="47" t="n"/>
      <c r="E214" s="52" t="n"/>
      <c r="F214" s="35" t="n"/>
      <c r="G214" s="47" t="n"/>
      <c r="H214" s="128" t="inlineStr">
        <is>
          <t>Not Raised</t>
        </is>
      </c>
      <c r="I214" s="45" t="n"/>
      <c r="J214" s="45" t="n"/>
      <c r="K214" s="45" t="n"/>
    </row>
    <row r="215">
      <c r="A215" s="123">
        <f>IF(COUNTA(B215:G215)&gt;0,ROW()-3,"")</f>
        <v/>
      </c>
      <c r="B215" s="51" t="n"/>
      <c r="C215" s="35" t="n"/>
      <c r="D215" s="47" t="n"/>
      <c r="E215" s="52" t="n"/>
      <c r="F215" s="35" t="n"/>
      <c r="G215" s="47" t="n"/>
      <c r="H215" s="128" t="inlineStr">
        <is>
          <t>Not Raised</t>
        </is>
      </c>
      <c r="I215" s="45" t="n"/>
      <c r="J215" s="45" t="n"/>
      <c r="K215" s="45" t="n"/>
    </row>
    <row r="216">
      <c r="A216" s="123">
        <f>IF(COUNTA(B216:G216)&gt;0,ROW()-3,"")</f>
        <v/>
      </c>
      <c r="B216" s="51" t="n"/>
      <c r="C216" s="35" t="n"/>
      <c r="D216" s="47" t="n"/>
      <c r="E216" s="52" t="n"/>
      <c r="F216" s="35" t="n"/>
      <c r="G216" s="47" t="n"/>
      <c r="H216" s="128" t="inlineStr">
        <is>
          <t>Not Raised</t>
        </is>
      </c>
      <c r="I216" s="45" t="n"/>
      <c r="J216" s="45" t="n"/>
      <c r="K216" s="45" t="n"/>
    </row>
    <row r="217">
      <c r="A217" s="123">
        <f>IF(COUNTA(B217:G217)&gt;0,ROW()-3,"")</f>
        <v/>
      </c>
      <c r="B217" s="51" t="n"/>
      <c r="C217" s="35" t="n"/>
      <c r="D217" s="47" t="n"/>
      <c r="E217" s="52" t="n"/>
      <c r="F217" s="35" t="n"/>
      <c r="G217" s="47" t="n"/>
      <c r="H217" s="128" t="inlineStr">
        <is>
          <t>Not Raised</t>
        </is>
      </c>
      <c r="I217" s="45" t="n"/>
      <c r="J217" s="45" t="n"/>
      <c r="K217" s="45" t="n"/>
    </row>
    <row r="218">
      <c r="A218" s="123">
        <f>IF(COUNTA(B218:G218)&gt;0,ROW()-3,"")</f>
        <v/>
      </c>
      <c r="B218" s="51" t="n"/>
      <c r="C218" s="35" t="n"/>
      <c r="D218" s="47" t="n"/>
      <c r="E218" s="52" t="n"/>
      <c r="F218" s="35" t="n"/>
      <c r="G218" s="47" t="n"/>
      <c r="H218" s="128" t="inlineStr">
        <is>
          <t>Not Raised</t>
        </is>
      </c>
      <c r="I218" s="45" t="n"/>
      <c r="J218" s="45" t="n"/>
      <c r="K218" s="45" t="n"/>
    </row>
    <row r="219">
      <c r="A219" s="123">
        <f>IF(COUNTA(B219:G219)&gt;0,ROW()-3,"")</f>
        <v/>
      </c>
      <c r="B219" s="51" t="n"/>
      <c r="C219" s="35" t="n"/>
      <c r="D219" s="47" t="n"/>
      <c r="E219" s="52" t="n"/>
      <c r="F219" s="35" t="n"/>
      <c r="G219" s="47" t="n"/>
      <c r="H219" s="128" t="inlineStr">
        <is>
          <t>Not Raised</t>
        </is>
      </c>
      <c r="I219" s="45" t="n"/>
      <c r="J219" s="45" t="n"/>
      <c r="K219" s="45" t="n"/>
    </row>
    <row r="220">
      <c r="A220" s="123">
        <f>IF(COUNTA(B220:G220)&gt;0,ROW()-3,"")</f>
        <v/>
      </c>
      <c r="B220" s="51" t="n"/>
      <c r="C220" s="35" t="n"/>
      <c r="D220" s="47" t="n"/>
      <c r="E220" s="52" t="n"/>
      <c r="F220" s="35" t="n"/>
      <c r="G220" s="47" t="n"/>
      <c r="H220" s="128" t="inlineStr">
        <is>
          <t>Not Raised</t>
        </is>
      </c>
      <c r="I220" s="45" t="n"/>
      <c r="J220" s="45" t="n"/>
      <c r="K220" s="45" t="n"/>
    </row>
    <row r="221">
      <c r="A221" s="123">
        <f>IF(COUNTA(B221:G221)&gt;0,ROW()-3,"")</f>
        <v/>
      </c>
      <c r="B221" s="51" t="n"/>
      <c r="C221" s="35" t="n"/>
      <c r="D221" s="47" t="n"/>
      <c r="E221" s="52" t="n"/>
      <c r="F221" s="35" t="n"/>
      <c r="G221" s="47" t="n"/>
      <c r="H221" s="128" t="inlineStr">
        <is>
          <t>Not Raised</t>
        </is>
      </c>
      <c r="I221" s="45" t="n"/>
      <c r="J221" s="45" t="n"/>
      <c r="K221" s="45" t="n"/>
    </row>
    <row r="222">
      <c r="A222" s="123">
        <f>IF(COUNTA(B222:G222)&gt;0,ROW()-3,"")</f>
        <v/>
      </c>
      <c r="B222" s="51" t="n"/>
      <c r="C222" s="35" t="n"/>
      <c r="D222" s="47" t="n"/>
      <c r="E222" s="52" t="n"/>
      <c r="F222" s="35" t="n"/>
      <c r="G222" s="47" t="n"/>
      <c r="H222" s="128" t="inlineStr">
        <is>
          <t>Not Raised</t>
        </is>
      </c>
      <c r="I222" s="45" t="n"/>
      <c r="J222" s="45" t="n"/>
      <c r="K222" s="45" t="n"/>
    </row>
    <row r="223">
      <c r="A223" s="123">
        <f>IF(COUNTA(B223:G223)&gt;0,ROW()-3,"")</f>
        <v/>
      </c>
      <c r="B223" s="51" t="n"/>
      <c r="C223" s="35" t="n"/>
      <c r="D223" s="47" t="n"/>
      <c r="E223" s="52" t="n"/>
      <c r="F223" s="35" t="n"/>
      <c r="G223" s="47" t="n"/>
      <c r="H223" s="128" t="inlineStr">
        <is>
          <t>Not Raised</t>
        </is>
      </c>
      <c r="I223" s="45" t="n"/>
      <c r="J223" s="45" t="n"/>
      <c r="K223" s="45" t="n"/>
    </row>
    <row r="224">
      <c r="A224" s="123">
        <f>IF(COUNTA(B224:G224)&gt;0,ROW()-3,"")</f>
        <v/>
      </c>
      <c r="B224" s="51" t="n"/>
      <c r="C224" s="35" t="n"/>
      <c r="D224" s="47" t="n"/>
      <c r="E224" s="52" t="n"/>
      <c r="F224" s="35" t="n"/>
      <c r="G224" s="47" t="n"/>
      <c r="H224" s="128" t="inlineStr">
        <is>
          <t>Not Raised</t>
        </is>
      </c>
      <c r="I224" s="45" t="n"/>
      <c r="J224" s="45" t="n"/>
      <c r="K224" s="45" t="n"/>
    </row>
    <row r="225">
      <c r="A225" s="123">
        <f>IF(COUNTA(B225:G225)&gt;0,ROW()-3,"")</f>
        <v/>
      </c>
      <c r="B225" s="51" t="n"/>
      <c r="C225" s="35" t="n"/>
      <c r="D225" s="47" t="n"/>
      <c r="E225" s="52" t="n"/>
      <c r="F225" s="35" t="n"/>
      <c r="G225" s="47" t="n"/>
      <c r="H225" s="128" t="inlineStr">
        <is>
          <t>Not Raised</t>
        </is>
      </c>
      <c r="I225" s="45" t="n"/>
      <c r="J225" s="45" t="n"/>
      <c r="K225" s="45" t="n"/>
    </row>
    <row r="226">
      <c r="A226" s="123">
        <f>IF(COUNTA(B226:G226)&gt;0,ROW()-3,"")</f>
        <v/>
      </c>
      <c r="B226" s="51" t="n"/>
      <c r="C226" s="35" t="n"/>
      <c r="D226" s="47" t="n"/>
      <c r="E226" s="52" t="n"/>
      <c r="F226" s="35" t="n"/>
      <c r="G226" s="47" t="n"/>
      <c r="H226" s="128" t="inlineStr">
        <is>
          <t>Not Raised</t>
        </is>
      </c>
      <c r="I226" s="45" t="n"/>
      <c r="J226" s="45" t="n"/>
      <c r="K226" s="45" t="n"/>
    </row>
    <row r="227">
      <c r="A227" s="123">
        <f>IF(COUNTA(B227:G227)&gt;0,ROW()-3,"")</f>
        <v/>
      </c>
      <c r="B227" s="51" t="n"/>
      <c r="C227" s="35" t="n"/>
      <c r="D227" s="47" t="n"/>
      <c r="E227" s="52" t="n"/>
      <c r="F227" s="35" t="n"/>
      <c r="G227" s="47" t="n"/>
      <c r="H227" s="128" t="inlineStr">
        <is>
          <t>Not Raised</t>
        </is>
      </c>
      <c r="I227" s="45" t="n"/>
      <c r="J227" s="45" t="n"/>
      <c r="K227" s="45" t="n"/>
    </row>
    <row r="228">
      <c r="A228" s="123">
        <f>IF(COUNTA(B228:G228)&gt;0,ROW()-3,"")</f>
        <v/>
      </c>
      <c r="B228" s="51" t="n"/>
      <c r="C228" s="35" t="n"/>
      <c r="D228" s="47" t="n"/>
      <c r="E228" s="52" t="n"/>
      <c r="F228" s="35" t="n"/>
      <c r="G228" s="47" t="n"/>
      <c r="H228" s="128" t="inlineStr">
        <is>
          <t>Not Raised</t>
        </is>
      </c>
      <c r="I228" s="45" t="n"/>
      <c r="J228" s="45" t="n"/>
      <c r="K228" s="45" t="n"/>
    </row>
    <row r="229">
      <c r="A229" s="123">
        <f>IF(COUNTA(B229:G229)&gt;0,ROW()-3,"")</f>
        <v/>
      </c>
      <c r="B229" s="51" t="n"/>
      <c r="C229" s="35" t="n"/>
      <c r="D229" s="47" t="n"/>
      <c r="E229" s="52" t="n"/>
      <c r="F229" s="35" t="n"/>
      <c r="G229" s="47" t="n"/>
      <c r="H229" s="128" t="inlineStr">
        <is>
          <t>Not Raised</t>
        </is>
      </c>
      <c r="I229" s="45" t="n"/>
      <c r="J229" s="45" t="n"/>
      <c r="K229" s="45" t="n"/>
    </row>
    <row r="230">
      <c r="A230" s="123">
        <f>IF(COUNTA(B230:G230)&gt;0,ROW()-3,"")</f>
        <v/>
      </c>
      <c r="B230" s="51" t="n"/>
      <c r="C230" s="35" t="n"/>
      <c r="D230" s="47" t="n"/>
      <c r="E230" s="52" t="n"/>
      <c r="F230" s="35" t="n"/>
      <c r="G230" s="47" t="n"/>
      <c r="H230" s="128" t="inlineStr">
        <is>
          <t>Not Raised</t>
        </is>
      </c>
      <c r="I230" s="45" t="n"/>
      <c r="J230" s="45" t="n"/>
      <c r="K230" s="45" t="n"/>
    </row>
    <row r="231">
      <c r="A231" s="123">
        <f>IF(COUNTA(B231:G231)&gt;0,ROW()-3,"")</f>
        <v/>
      </c>
      <c r="B231" s="51" t="n"/>
      <c r="C231" s="35" t="n"/>
      <c r="D231" s="47" t="n"/>
      <c r="E231" s="52" t="n"/>
      <c r="F231" s="35" t="n"/>
      <c r="G231" s="47" t="n"/>
      <c r="H231" s="128" t="inlineStr">
        <is>
          <t>Not Raised</t>
        </is>
      </c>
      <c r="I231" s="45" t="n"/>
      <c r="J231" s="45" t="n"/>
      <c r="K231" s="45" t="n"/>
    </row>
    <row r="232">
      <c r="A232" s="123">
        <f>IF(COUNTA(B232:G232)&gt;0,ROW()-3,"")</f>
        <v/>
      </c>
      <c r="B232" s="51" t="n"/>
      <c r="C232" s="35" t="n"/>
      <c r="D232" s="47" t="n"/>
      <c r="E232" s="52" t="n"/>
      <c r="F232" s="35" t="n"/>
      <c r="G232" s="47" t="n"/>
      <c r="H232" s="128" t="inlineStr">
        <is>
          <t>Not Raised</t>
        </is>
      </c>
      <c r="I232" s="45" t="n"/>
      <c r="J232" s="45" t="n"/>
      <c r="K232" s="45" t="n"/>
    </row>
    <row r="233">
      <c r="A233" s="123">
        <f>IF(COUNTA(B233:G233)&gt;0,ROW()-3,"")</f>
        <v/>
      </c>
      <c r="B233" s="51" t="n"/>
      <c r="C233" s="35" t="n"/>
      <c r="D233" s="47" t="n"/>
      <c r="E233" s="52" t="n"/>
      <c r="F233" s="35" t="n"/>
      <c r="G233" s="47" t="n"/>
      <c r="H233" s="128" t="inlineStr">
        <is>
          <t>Not Raised</t>
        </is>
      </c>
      <c r="I233" s="45" t="n"/>
      <c r="J233" s="45" t="n"/>
      <c r="K233" s="45" t="n"/>
    </row>
    <row r="234">
      <c r="A234" s="123">
        <f>IF(COUNTA(B234:G234)&gt;0,ROW()-3,"")</f>
        <v/>
      </c>
      <c r="B234" s="51" t="n"/>
      <c r="C234" s="35" t="n"/>
      <c r="D234" s="47" t="n"/>
      <c r="E234" s="52" t="n"/>
      <c r="F234" s="35" t="n"/>
      <c r="G234" s="47" t="n"/>
      <c r="H234" s="128" t="inlineStr">
        <is>
          <t>Not Raised</t>
        </is>
      </c>
      <c r="I234" s="45" t="n"/>
      <c r="J234" s="45" t="n"/>
      <c r="K234" s="45" t="n"/>
    </row>
    <row r="235">
      <c r="A235" s="123">
        <f>IF(COUNTA(B235:G235)&gt;0,ROW()-3,"")</f>
        <v/>
      </c>
      <c r="B235" s="51" t="n"/>
      <c r="C235" s="35" t="n"/>
      <c r="D235" s="47" t="n"/>
      <c r="E235" s="52" t="n"/>
      <c r="F235" s="35" t="n"/>
      <c r="G235" s="47" t="n"/>
      <c r="H235" s="128" t="inlineStr">
        <is>
          <t>Not Raised</t>
        </is>
      </c>
      <c r="I235" s="45" t="n"/>
      <c r="J235" s="45" t="n"/>
      <c r="K235" s="45" t="n"/>
    </row>
    <row r="236">
      <c r="A236" s="123">
        <f>IF(COUNTA(B236:G236)&gt;0,ROW()-3,"")</f>
        <v/>
      </c>
      <c r="B236" s="51" t="n"/>
      <c r="C236" s="35" t="n"/>
      <c r="D236" s="47" t="n"/>
      <c r="E236" s="52" t="n"/>
      <c r="F236" s="35" t="n"/>
      <c r="G236" s="47" t="n"/>
      <c r="H236" s="128" t="inlineStr">
        <is>
          <t>Not Raised</t>
        </is>
      </c>
      <c r="I236" s="45" t="n"/>
      <c r="J236" s="45" t="n"/>
      <c r="K236" s="45" t="n"/>
    </row>
    <row r="237">
      <c r="A237" s="123">
        <f>IF(COUNTA(B237:G237)&gt;0,ROW()-3,"")</f>
        <v/>
      </c>
      <c r="B237" s="51" t="n"/>
      <c r="C237" s="35" t="n"/>
      <c r="D237" s="47" t="n"/>
      <c r="E237" s="52" t="n"/>
      <c r="F237" s="35" t="n"/>
      <c r="G237" s="47" t="n"/>
      <c r="H237" s="128" t="inlineStr">
        <is>
          <t>Not Raised</t>
        </is>
      </c>
      <c r="I237" s="45" t="n"/>
      <c r="J237" s="45" t="n"/>
      <c r="K237" s="45" t="n"/>
    </row>
    <row r="238">
      <c r="A238" s="123">
        <f>IF(COUNTA(B238:G238)&gt;0,ROW()-3,"")</f>
        <v/>
      </c>
      <c r="B238" s="51" t="n"/>
      <c r="C238" s="35" t="n"/>
      <c r="D238" s="47" t="n"/>
      <c r="E238" s="52" t="n"/>
      <c r="F238" s="35" t="n"/>
      <c r="G238" s="47" t="n"/>
      <c r="H238" s="128" t="inlineStr">
        <is>
          <t>Not Raised</t>
        </is>
      </c>
      <c r="I238" s="45" t="n"/>
      <c r="J238" s="45" t="n"/>
      <c r="K238" s="45" t="n"/>
    </row>
    <row r="239">
      <c r="A239" s="123">
        <f>IF(COUNTA(B239:G239)&gt;0,ROW()-3,"")</f>
        <v/>
      </c>
      <c r="B239" s="51" t="n"/>
      <c r="C239" s="35" t="n"/>
      <c r="D239" s="47" t="n"/>
      <c r="E239" s="52" t="n"/>
      <c r="F239" s="35" t="n"/>
      <c r="G239" s="47" t="n"/>
      <c r="H239" s="128" t="inlineStr">
        <is>
          <t>Not Raised</t>
        </is>
      </c>
      <c r="I239" s="45" t="n"/>
      <c r="J239" s="45" t="n"/>
      <c r="K239" s="45" t="n"/>
    </row>
    <row r="240">
      <c r="A240" s="123">
        <f>IF(COUNTA(B240:G240)&gt;0,ROW()-3,"")</f>
        <v/>
      </c>
      <c r="B240" s="51" t="n"/>
      <c r="C240" s="35" t="n"/>
      <c r="D240" s="47" t="n"/>
      <c r="E240" s="52" t="n"/>
      <c r="F240" s="35" t="n"/>
      <c r="G240" s="47" t="n"/>
      <c r="H240" s="128" t="inlineStr">
        <is>
          <t>Not Raised</t>
        </is>
      </c>
      <c r="I240" s="45" t="n"/>
      <c r="J240" s="45" t="n"/>
      <c r="K240" s="45" t="n"/>
    </row>
    <row r="241">
      <c r="A241" s="123">
        <f>IF(COUNTA(B241:G241)&gt;0,ROW()-3,"")</f>
        <v/>
      </c>
      <c r="B241" s="51" t="n"/>
      <c r="C241" s="35" t="n"/>
      <c r="D241" s="47" t="n"/>
      <c r="E241" s="52" t="n"/>
      <c r="F241" s="35" t="n"/>
      <c r="G241" s="47" t="n"/>
      <c r="H241" s="128" t="inlineStr">
        <is>
          <t>Not Raised</t>
        </is>
      </c>
      <c r="I241" s="45" t="n"/>
      <c r="J241" s="45" t="n"/>
      <c r="K241" s="45" t="n"/>
    </row>
    <row r="242">
      <c r="A242" s="123">
        <f>IF(COUNTA(B242:G242)&gt;0,ROW()-3,"")</f>
        <v/>
      </c>
      <c r="B242" s="51" t="n"/>
      <c r="C242" s="35" t="n"/>
      <c r="D242" s="47" t="n"/>
      <c r="E242" s="52" t="n"/>
      <c r="F242" s="35" t="n"/>
      <c r="G242" s="47" t="n"/>
      <c r="H242" s="128" t="inlineStr">
        <is>
          <t>Not Raised</t>
        </is>
      </c>
      <c r="I242" s="45" t="n"/>
      <c r="J242" s="45" t="n"/>
      <c r="K242" s="45" t="n"/>
    </row>
    <row r="243">
      <c r="A243" s="123">
        <f>IF(COUNTA(B243:G243)&gt;0,ROW()-3,"")</f>
        <v/>
      </c>
      <c r="B243" s="51" t="n"/>
      <c r="C243" s="35" t="n"/>
      <c r="D243" s="47" t="n"/>
      <c r="E243" s="52" t="n"/>
      <c r="F243" s="35" t="n"/>
      <c r="G243" s="47" t="n"/>
      <c r="H243" s="128" t="inlineStr">
        <is>
          <t>Not Raised</t>
        </is>
      </c>
      <c r="I243" s="45" t="n"/>
      <c r="J243" s="45" t="n"/>
      <c r="K243" s="45" t="n"/>
    </row>
    <row r="244">
      <c r="A244" s="123">
        <f>IF(COUNTA(B244:G244)&gt;0,ROW()-3,"")</f>
        <v/>
      </c>
      <c r="B244" s="51" t="n"/>
      <c r="C244" s="35" t="n"/>
      <c r="D244" s="47" t="n"/>
      <c r="E244" s="52" t="n"/>
      <c r="F244" s="35" t="n"/>
      <c r="G244" s="47" t="n"/>
      <c r="H244" s="128" t="inlineStr">
        <is>
          <t>Not Raised</t>
        </is>
      </c>
      <c r="I244" s="45" t="n"/>
      <c r="J244" s="45" t="n"/>
      <c r="K244" s="45" t="n"/>
    </row>
    <row r="245">
      <c r="A245" s="123">
        <f>IF(COUNTA(B245:G245)&gt;0,ROW()-3,"")</f>
        <v/>
      </c>
      <c r="B245" s="51" t="n"/>
      <c r="C245" s="35" t="n"/>
      <c r="D245" s="47" t="n"/>
      <c r="E245" s="52" t="n"/>
      <c r="F245" s="35" t="n"/>
      <c r="G245" s="47" t="n"/>
      <c r="H245" s="128" t="inlineStr">
        <is>
          <t>Not Raised</t>
        </is>
      </c>
      <c r="I245" s="45" t="n"/>
      <c r="J245" s="45" t="n"/>
      <c r="K245" s="45" t="n"/>
    </row>
    <row r="246">
      <c r="A246" s="123">
        <f>IF(COUNTA(B246:G246)&gt;0,ROW()-3,"")</f>
        <v/>
      </c>
      <c r="B246" s="51" t="n"/>
      <c r="C246" s="35" t="n"/>
      <c r="D246" s="47" t="n"/>
      <c r="E246" s="52" t="n"/>
      <c r="F246" s="35" t="n"/>
      <c r="G246" s="47" t="n"/>
      <c r="H246" s="128" t="inlineStr">
        <is>
          <t>Not Raised</t>
        </is>
      </c>
      <c r="I246" s="45" t="n"/>
      <c r="J246" s="45" t="n"/>
      <c r="K246" s="45" t="n"/>
    </row>
    <row r="247">
      <c r="A247" s="123">
        <f>IF(COUNTA(B247:G247)&gt;0,ROW()-3,"")</f>
        <v/>
      </c>
      <c r="B247" s="51" t="n"/>
      <c r="C247" s="35" t="n"/>
      <c r="D247" s="47" t="n"/>
      <c r="E247" s="52" t="n"/>
      <c r="F247" s="35" t="n"/>
      <c r="G247" s="47" t="n"/>
      <c r="H247" s="128" t="inlineStr">
        <is>
          <t>Not Raised</t>
        </is>
      </c>
      <c r="I247" s="45" t="n"/>
      <c r="J247" s="45" t="n"/>
      <c r="K247" s="45" t="n"/>
    </row>
    <row r="248">
      <c r="A248" s="123">
        <f>IF(COUNTA(B248:G248)&gt;0,ROW()-3,"")</f>
        <v/>
      </c>
      <c r="B248" s="51" t="n"/>
      <c r="C248" s="35" t="n"/>
      <c r="D248" s="47" t="n"/>
      <c r="E248" s="52" t="n"/>
      <c r="F248" s="35" t="n"/>
      <c r="G248" s="47" t="n"/>
      <c r="H248" s="128" t="inlineStr">
        <is>
          <t>Not Raised</t>
        </is>
      </c>
      <c r="I248" s="45" t="n"/>
      <c r="J248" s="45" t="n"/>
      <c r="K248" s="45" t="n"/>
    </row>
    <row r="249">
      <c r="A249" s="123">
        <f>IF(COUNTA(B249:G249)&gt;0,ROW()-3,"")</f>
        <v/>
      </c>
      <c r="B249" s="51" t="n"/>
      <c r="C249" s="35" t="n"/>
      <c r="D249" s="47" t="n"/>
      <c r="E249" s="52" t="n"/>
      <c r="F249" s="35" t="n"/>
      <c r="G249" s="47" t="n"/>
      <c r="H249" s="128" t="inlineStr">
        <is>
          <t>Not Raised</t>
        </is>
      </c>
      <c r="I249" s="45" t="n"/>
      <c r="J249" s="45" t="n"/>
      <c r="K249" s="45" t="n"/>
    </row>
    <row r="250">
      <c r="A250" s="123">
        <f>IF(COUNTA(B250:G250)&gt;0,ROW()-3,"")</f>
        <v/>
      </c>
      <c r="B250" s="51" t="n"/>
      <c r="C250" s="35" t="n"/>
      <c r="D250" s="47" t="n"/>
      <c r="E250" s="52" t="n"/>
      <c r="F250" s="35" t="n"/>
      <c r="G250" s="47" t="n"/>
      <c r="H250" s="128" t="inlineStr">
        <is>
          <t>Not Raised</t>
        </is>
      </c>
      <c r="I250" s="45" t="n"/>
      <c r="J250" s="45" t="n"/>
      <c r="K250" s="45" t="n"/>
    </row>
    <row r="251">
      <c r="A251" s="123">
        <f>IF(COUNTA(B251:G251)&gt;0,ROW()-3,"")</f>
        <v/>
      </c>
      <c r="B251" s="51" t="n"/>
      <c r="C251" s="35" t="n"/>
      <c r="D251" s="47" t="n"/>
      <c r="E251" s="52" t="n"/>
      <c r="F251" s="35" t="n"/>
      <c r="G251" s="47" t="n"/>
      <c r="H251" s="128" t="inlineStr">
        <is>
          <t>Not Raised</t>
        </is>
      </c>
      <c r="I251" s="45" t="n"/>
      <c r="J251" s="45" t="n"/>
      <c r="K251" s="45" t="n"/>
    </row>
    <row r="252">
      <c r="A252" s="123">
        <f>IF(COUNTA(B252:G252)&gt;0,ROW()-3,"")</f>
        <v/>
      </c>
      <c r="B252" s="51" t="n"/>
      <c r="C252" s="35" t="n"/>
      <c r="D252" s="47" t="n"/>
      <c r="E252" s="52" t="n"/>
      <c r="F252" s="35" t="n"/>
      <c r="G252" s="47" t="n"/>
      <c r="H252" s="128" t="inlineStr">
        <is>
          <t>Not Raised</t>
        </is>
      </c>
      <c r="I252" s="45" t="n"/>
      <c r="J252" s="45" t="n"/>
      <c r="K252" s="45" t="n"/>
    </row>
    <row r="253">
      <c r="A253" s="123">
        <f>IF(COUNTA(B253:G253)&gt;0,ROW()-3,"")</f>
        <v/>
      </c>
      <c r="B253" s="51" t="n"/>
      <c r="C253" s="35" t="n"/>
      <c r="D253" s="47" t="n"/>
      <c r="E253" s="52" t="n"/>
      <c r="F253" s="35" t="n"/>
      <c r="G253" s="47" t="n"/>
      <c r="H253" s="128" t="inlineStr">
        <is>
          <t>Not Raised</t>
        </is>
      </c>
      <c r="I253" s="45" t="n"/>
      <c r="J253" s="45" t="n"/>
      <c r="K253" s="45" t="n"/>
    </row>
    <row r="254">
      <c r="A254" s="123">
        <f>IF(COUNTA(B254:G254)&gt;0,ROW()-3,"")</f>
        <v/>
      </c>
      <c r="B254" s="51" t="n"/>
      <c r="C254" s="35" t="n"/>
      <c r="D254" s="47" t="n"/>
      <c r="E254" s="52" t="n"/>
      <c r="F254" s="35" t="n"/>
      <c r="G254" s="47" t="n"/>
      <c r="H254" s="128" t="inlineStr">
        <is>
          <t>Not Raised</t>
        </is>
      </c>
      <c r="I254" s="45" t="n"/>
      <c r="J254" s="45" t="n"/>
      <c r="K254" s="45" t="n"/>
    </row>
    <row r="255">
      <c r="A255" s="123">
        <f>IF(COUNTA(B255:G255)&gt;0,ROW()-3,"")</f>
        <v/>
      </c>
      <c r="B255" s="51" t="n"/>
      <c r="C255" s="35" t="n"/>
      <c r="D255" s="47" t="n"/>
      <c r="E255" s="52" t="n"/>
      <c r="F255" s="35" t="n"/>
      <c r="G255" s="47" t="n"/>
      <c r="H255" s="128" t="inlineStr">
        <is>
          <t>Not Raised</t>
        </is>
      </c>
      <c r="I255" s="45" t="n"/>
      <c r="J255" s="45" t="n"/>
      <c r="K255" s="45" t="n"/>
    </row>
    <row r="256">
      <c r="A256" s="123">
        <f>IF(COUNTA(B256:G256)&gt;0,ROW()-3,"")</f>
        <v/>
      </c>
      <c r="B256" s="51" t="n"/>
      <c r="C256" s="35" t="n"/>
      <c r="D256" s="47" t="n"/>
      <c r="E256" s="52" t="n"/>
      <c r="F256" s="35" t="n"/>
      <c r="G256" s="47" t="n"/>
      <c r="H256" s="128" t="inlineStr">
        <is>
          <t>Not Raised</t>
        </is>
      </c>
      <c r="I256" s="45" t="n"/>
      <c r="J256" s="45" t="n"/>
      <c r="K256" s="45" t="n"/>
    </row>
    <row r="257">
      <c r="A257" s="123">
        <f>IF(COUNTA(B257:G257)&gt;0,ROW()-3,"")</f>
        <v/>
      </c>
      <c r="B257" s="51" t="n"/>
      <c r="C257" s="35" t="n"/>
      <c r="D257" s="47" t="n"/>
      <c r="E257" s="52" t="n"/>
      <c r="F257" s="35" t="n"/>
      <c r="G257" s="47" t="n"/>
      <c r="H257" s="128" t="inlineStr">
        <is>
          <t>Not Raised</t>
        </is>
      </c>
      <c r="I257" s="45" t="n"/>
      <c r="J257" s="45" t="n"/>
      <c r="K257" s="45" t="n"/>
    </row>
    <row r="258">
      <c r="A258" s="123">
        <f>IF(COUNTA(B258:G258)&gt;0,ROW()-3,"")</f>
        <v/>
      </c>
      <c r="B258" s="51" t="n"/>
      <c r="C258" s="35" t="n"/>
      <c r="D258" s="47" t="n"/>
      <c r="E258" s="52" t="n"/>
      <c r="F258" s="35" t="n"/>
      <c r="G258" s="47" t="n"/>
      <c r="H258" s="128" t="inlineStr">
        <is>
          <t>Not Raised</t>
        </is>
      </c>
      <c r="I258" s="45" t="n"/>
      <c r="J258" s="45" t="n"/>
      <c r="K258" s="45" t="n"/>
    </row>
    <row r="259">
      <c r="A259" s="123">
        <f>IF(COUNTA(B259:G259)&gt;0,ROW()-3,"")</f>
        <v/>
      </c>
      <c r="B259" s="51" t="n"/>
      <c r="C259" s="35" t="n"/>
      <c r="D259" s="47" t="n"/>
      <c r="E259" s="52" t="n"/>
      <c r="F259" s="35" t="n"/>
      <c r="G259" s="47" t="n"/>
      <c r="H259" s="128" t="inlineStr">
        <is>
          <t>Not Raised</t>
        </is>
      </c>
      <c r="I259" s="45" t="n"/>
      <c r="J259" s="45" t="n"/>
      <c r="K259" s="45" t="n"/>
    </row>
    <row r="260">
      <c r="A260" s="123">
        <f>IF(COUNTA(B260:G260)&gt;0,ROW()-3,"")</f>
        <v/>
      </c>
      <c r="B260" s="51" t="n"/>
      <c r="C260" s="35" t="n"/>
      <c r="D260" s="47" t="n"/>
      <c r="E260" s="52" t="n"/>
      <c r="F260" s="35" t="n"/>
      <c r="G260" s="47" t="n"/>
      <c r="H260" s="128" t="inlineStr">
        <is>
          <t>Not Raised</t>
        </is>
      </c>
      <c r="I260" s="45" t="n"/>
      <c r="J260" s="45" t="n"/>
      <c r="K260" s="45" t="n"/>
    </row>
    <row r="261">
      <c r="A261" s="123">
        <f>IF(COUNTA(B261:G261)&gt;0,ROW()-3,"")</f>
        <v/>
      </c>
      <c r="B261" s="51" t="n"/>
      <c r="C261" s="35" t="n"/>
      <c r="D261" s="47" t="n"/>
      <c r="E261" s="52" t="n"/>
      <c r="F261" s="35" t="n"/>
      <c r="G261" s="47" t="n"/>
      <c r="H261" s="128" t="inlineStr">
        <is>
          <t>Not Raised</t>
        </is>
      </c>
      <c r="I261" s="45" t="n"/>
      <c r="J261" s="45" t="n"/>
      <c r="K261" s="45" t="n"/>
    </row>
    <row r="262">
      <c r="A262" s="123">
        <f>IF(COUNTA(B262:G262)&gt;0,ROW()-3,"")</f>
        <v/>
      </c>
      <c r="B262" s="51" t="n"/>
      <c r="C262" s="35" t="n"/>
      <c r="D262" s="47" t="n"/>
      <c r="E262" s="52" t="n"/>
      <c r="F262" s="35" t="n"/>
      <c r="G262" s="47" t="n"/>
      <c r="H262" s="128" t="inlineStr">
        <is>
          <t>Not Raised</t>
        </is>
      </c>
      <c r="I262" s="45" t="n"/>
      <c r="J262" s="45" t="n"/>
      <c r="K262" s="45" t="n"/>
    </row>
    <row r="263">
      <c r="A263" s="123">
        <f>IF(COUNTA(B263:G263)&gt;0,ROW()-3,"")</f>
        <v/>
      </c>
      <c r="B263" s="51" t="n"/>
      <c r="C263" s="35" t="n"/>
      <c r="D263" s="47" t="n"/>
      <c r="E263" s="52" t="n"/>
      <c r="F263" s="35" t="n"/>
      <c r="G263" s="47" t="n"/>
      <c r="H263" s="128" t="inlineStr">
        <is>
          <t>Not Raised</t>
        </is>
      </c>
      <c r="I263" s="45" t="n"/>
      <c r="J263" s="45" t="n"/>
      <c r="K263" s="45" t="n"/>
    </row>
    <row r="264">
      <c r="A264" s="123">
        <f>IF(COUNTA(B264:G264)&gt;0,ROW()-3,"")</f>
        <v/>
      </c>
      <c r="B264" s="51" t="n"/>
      <c r="C264" s="35" t="n"/>
      <c r="D264" s="47" t="n"/>
      <c r="E264" s="52" t="n"/>
      <c r="F264" s="35" t="n"/>
      <c r="G264" s="47" t="n"/>
      <c r="H264" s="128" t="inlineStr">
        <is>
          <t>Not Raised</t>
        </is>
      </c>
      <c r="I264" s="45" t="n"/>
      <c r="J264" s="45" t="n"/>
      <c r="K264" s="45" t="n"/>
    </row>
    <row r="265">
      <c r="A265" s="123">
        <f>IF(COUNTA(B265:G265)&gt;0,ROW()-3,"")</f>
        <v/>
      </c>
      <c r="B265" s="51" t="n"/>
      <c r="C265" s="35" t="n"/>
      <c r="D265" s="47" t="n"/>
      <c r="E265" s="52" t="n"/>
      <c r="F265" s="35" t="n"/>
      <c r="G265" s="47" t="n"/>
      <c r="H265" s="128" t="inlineStr">
        <is>
          <t>Not Raised</t>
        </is>
      </c>
      <c r="I265" s="45" t="n"/>
      <c r="J265" s="45" t="n"/>
      <c r="K265" s="45" t="n"/>
    </row>
    <row r="266">
      <c r="A266" s="123">
        <f>IF(COUNTA(B266:G266)&gt;0,ROW()-3,"")</f>
        <v/>
      </c>
      <c r="B266" s="51" t="n"/>
      <c r="C266" s="35" t="n"/>
      <c r="D266" s="47" t="n"/>
      <c r="E266" s="52" t="n"/>
      <c r="F266" s="35" t="n"/>
      <c r="G266" s="47" t="n"/>
      <c r="H266" s="128" t="inlineStr">
        <is>
          <t>Not Raised</t>
        </is>
      </c>
      <c r="I266" s="45" t="n"/>
      <c r="J266" s="45" t="n"/>
      <c r="K266" s="45" t="n"/>
    </row>
    <row r="267">
      <c r="A267" s="123">
        <f>IF(COUNTA(B267:G267)&gt;0,ROW()-3,"")</f>
        <v/>
      </c>
      <c r="B267" s="51" t="n"/>
      <c r="C267" s="35" t="n"/>
      <c r="D267" s="47" t="n"/>
      <c r="E267" s="52" t="n"/>
      <c r="F267" s="35" t="n"/>
      <c r="G267" s="47" t="n"/>
      <c r="H267" s="128" t="inlineStr">
        <is>
          <t>Not Raised</t>
        </is>
      </c>
      <c r="I267" s="45" t="n"/>
      <c r="J267" s="45" t="n"/>
      <c r="K267" s="45" t="n"/>
    </row>
    <row r="268">
      <c r="A268" s="123">
        <f>IF(COUNTA(B268:G268)&gt;0,ROW()-3,"")</f>
        <v/>
      </c>
      <c r="B268" s="51" t="n"/>
      <c r="C268" s="35" t="n"/>
      <c r="D268" s="47" t="n"/>
      <c r="E268" s="52" t="n"/>
      <c r="F268" s="35" t="n"/>
      <c r="G268" s="47" t="n"/>
      <c r="H268" s="128" t="inlineStr">
        <is>
          <t>Not Raised</t>
        </is>
      </c>
      <c r="I268" s="45" t="n"/>
      <c r="J268" s="45" t="n"/>
      <c r="K268" s="45" t="n"/>
    </row>
    <row r="269">
      <c r="A269" s="123">
        <f>IF(COUNTA(B269:G269)&gt;0,ROW()-3,"")</f>
        <v/>
      </c>
      <c r="B269" s="51" t="n"/>
      <c r="C269" s="35" t="n"/>
      <c r="D269" s="47" t="n"/>
      <c r="E269" s="52" t="n"/>
      <c r="F269" s="35" t="n"/>
      <c r="G269" s="47" t="n"/>
      <c r="H269" s="128" t="inlineStr">
        <is>
          <t>Not Raised</t>
        </is>
      </c>
      <c r="I269" s="45" t="n"/>
      <c r="J269" s="45" t="n"/>
      <c r="K269" s="45" t="n"/>
    </row>
    <row r="270">
      <c r="A270" s="123">
        <f>IF(COUNTA(B270:G270)&gt;0,ROW()-3,"")</f>
        <v/>
      </c>
      <c r="B270" s="51" t="n"/>
      <c r="C270" s="35" t="n"/>
      <c r="D270" s="47" t="n"/>
      <c r="E270" s="52" t="n"/>
      <c r="F270" s="35" t="n"/>
      <c r="G270" s="47" t="n"/>
      <c r="H270" s="128" t="inlineStr">
        <is>
          <t>Not Raised</t>
        </is>
      </c>
      <c r="I270" s="45" t="n"/>
      <c r="J270" s="45" t="n"/>
      <c r="K270" s="45" t="n"/>
    </row>
    <row r="271">
      <c r="A271" s="123">
        <f>IF(COUNTA(B271:G271)&gt;0,ROW()-3,"")</f>
        <v/>
      </c>
      <c r="B271" s="51" t="n"/>
      <c r="C271" s="35" t="n"/>
      <c r="D271" s="47" t="n"/>
      <c r="E271" s="52" t="n"/>
      <c r="F271" s="35" t="n"/>
      <c r="G271" s="47" t="n"/>
      <c r="H271" s="128" t="inlineStr">
        <is>
          <t>Not Raised</t>
        </is>
      </c>
      <c r="I271" s="45" t="n"/>
      <c r="J271" s="45" t="n"/>
      <c r="K271" s="45" t="n"/>
    </row>
    <row r="272">
      <c r="A272" s="123">
        <f>IF(COUNTA(B272:G272)&gt;0,ROW()-3,"")</f>
        <v/>
      </c>
      <c r="B272" s="51" t="n"/>
      <c r="C272" s="35" t="n"/>
      <c r="D272" s="47" t="n"/>
      <c r="E272" s="52" t="n"/>
      <c r="F272" s="35" t="n"/>
      <c r="G272" s="47" t="n"/>
      <c r="H272" s="128" t="inlineStr">
        <is>
          <t>Not Raised</t>
        </is>
      </c>
      <c r="I272" s="45" t="n"/>
      <c r="J272" s="45" t="n"/>
      <c r="K272" s="45" t="n"/>
    </row>
    <row r="273">
      <c r="A273" s="123">
        <f>IF(COUNTA(B273:G273)&gt;0,ROW()-3,"")</f>
        <v/>
      </c>
      <c r="B273" s="51" t="n"/>
      <c r="C273" s="35" t="n"/>
      <c r="D273" s="47" t="n"/>
      <c r="E273" s="52" t="n"/>
      <c r="F273" s="35" t="n"/>
      <c r="G273" s="47" t="n"/>
      <c r="H273" s="128" t="inlineStr">
        <is>
          <t>Not Raised</t>
        </is>
      </c>
      <c r="I273" s="45" t="n"/>
      <c r="J273" s="45" t="n"/>
      <c r="K273" s="45" t="n"/>
    </row>
    <row r="274">
      <c r="A274" s="123">
        <f>IF(COUNTA(B274:G274)&gt;0,ROW()-3,"")</f>
        <v/>
      </c>
      <c r="B274" s="51" t="n"/>
      <c r="C274" s="35" t="n"/>
      <c r="D274" s="47" t="n"/>
      <c r="E274" s="52" t="n"/>
      <c r="F274" s="35" t="n"/>
      <c r="G274" s="47" t="n"/>
      <c r="H274" s="128" t="inlineStr">
        <is>
          <t>Not Raised</t>
        </is>
      </c>
      <c r="I274" s="45" t="n"/>
      <c r="J274" s="45" t="n"/>
      <c r="K274" s="45" t="n"/>
    </row>
    <row r="275">
      <c r="A275" s="123">
        <f>IF(COUNTA(B275:G275)&gt;0,ROW()-3,"")</f>
        <v/>
      </c>
      <c r="B275" s="51" t="n"/>
      <c r="C275" s="35" t="n"/>
      <c r="D275" s="47" t="n"/>
      <c r="E275" s="52" t="n"/>
      <c r="F275" s="35" t="n"/>
      <c r="G275" s="47" t="n"/>
      <c r="H275" s="128" t="inlineStr">
        <is>
          <t>Not Raised</t>
        </is>
      </c>
      <c r="I275" s="45" t="n"/>
      <c r="J275" s="45" t="n"/>
      <c r="K275" s="45" t="n"/>
    </row>
    <row r="276">
      <c r="A276" s="123">
        <f>IF(COUNTA(B276:G276)&gt;0,ROW()-3,"")</f>
        <v/>
      </c>
      <c r="B276" s="51" t="n"/>
      <c r="C276" s="35" t="n"/>
      <c r="D276" s="47" t="n"/>
      <c r="E276" s="52" t="n"/>
      <c r="F276" s="35" t="n"/>
      <c r="G276" s="47" t="n"/>
      <c r="H276" s="128" t="inlineStr">
        <is>
          <t>Not Raised</t>
        </is>
      </c>
      <c r="I276" s="45" t="n"/>
      <c r="J276" s="45" t="n"/>
      <c r="K276" s="45" t="n"/>
    </row>
    <row r="277">
      <c r="A277" s="123">
        <f>IF(COUNTA(B277:G277)&gt;0,ROW()-3,"")</f>
        <v/>
      </c>
      <c r="B277" s="51" t="n"/>
      <c r="C277" s="35" t="n"/>
      <c r="D277" s="47" t="n"/>
      <c r="E277" s="52" t="n"/>
      <c r="F277" s="35" t="n"/>
      <c r="G277" s="47" t="n"/>
      <c r="H277" s="128" t="inlineStr">
        <is>
          <t>Not Raised</t>
        </is>
      </c>
      <c r="I277" s="45" t="n"/>
      <c r="J277" s="45" t="n"/>
      <c r="K277" s="45" t="n"/>
    </row>
    <row r="278">
      <c r="A278" s="123">
        <f>IF(COUNTA(B278:G278)&gt;0,ROW()-3,"")</f>
        <v/>
      </c>
      <c r="B278" s="51" t="n"/>
      <c r="C278" s="35" t="n"/>
      <c r="D278" s="47" t="n"/>
      <c r="E278" s="52" t="n"/>
      <c r="F278" s="35" t="n"/>
      <c r="G278" s="47" t="n"/>
      <c r="H278" s="128" t="inlineStr">
        <is>
          <t>Not Raised</t>
        </is>
      </c>
      <c r="I278" s="45" t="n"/>
      <c r="J278" s="45" t="n"/>
      <c r="K278" s="45" t="n"/>
    </row>
    <row r="279">
      <c r="A279" s="123">
        <f>IF(COUNTA(B279:G279)&gt;0,ROW()-3,"")</f>
        <v/>
      </c>
      <c r="B279" s="51" t="n"/>
      <c r="C279" s="35" t="n"/>
      <c r="D279" s="47" t="n"/>
      <c r="E279" s="52" t="n"/>
      <c r="F279" s="35" t="n"/>
      <c r="G279" s="47" t="n"/>
      <c r="H279" s="128" t="inlineStr">
        <is>
          <t>Not Raised</t>
        </is>
      </c>
      <c r="I279" s="45" t="n"/>
      <c r="J279" s="45" t="n"/>
      <c r="K279" s="45" t="n"/>
    </row>
    <row r="280">
      <c r="A280" s="123">
        <f>IF(COUNTA(B280:G280)&gt;0,ROW()-3,"")</f>
        <v/>
      </c>
      <c r="B280" s="51" t="n"/>
      <c r="C280" s="35" t="n"/>
      <c r="D280" s="47" t="n"/>
      <c r="E280" s="52" t="n"/>
      <c r="F280" s="35" t="n"/>
      <c r="G280" s="47" t="n"/>
      <c r="H280" s="128" t="inlineStr">
        <is>
          <t>Not Raised</t>
        </is>
      </c>
      <c r="I280" s="45" t="n"/>
      <c r="J280" s="45" t="n"/>
      <c r="K280" s="45" t="n"/>
    </row>
    <row r="281">
      <c r="A281" s="123">
        <f>IF(COUNTA(B281:G281)&gt;0,ROW()-3,"")</f>
        <v/>
      </c>
      <c r="B281" s="51" t="n"/>
      <c r="C281" s="35" t="n"/>
      <c r="D281" s="47" t="n"/>
      <c r="E281" s="52" t="n"/>
      <c r="F281" s="35" t="n"/>
      <c r="G281" s="47" t="n"/>
      <c r="H281" s="128" t="inlineStr">
        <is>
          <t>Not Raised</t>
        </is>
      </c>
      <c r="I281" s="45" t="n"/>
      <c r="J281" s="45" t="n"/>
      <c r="K281" s="45" t="n"/>
    </row>
    <row r="282">
      <c r="A282" s="123">
        <f>IF(COUNTA(B282:G282)&gt;0,ROW()-3,"")</f>
        <v/>
      </c>
      <c r="B282" s="51" t="n"/>
      <c r="C282" s="35" t="n"/>
      <c r="D282" s="47" t="n"/>
      <c r="E282" s="52" t="n"/>
      <c r="F282" s="35" t="n"/>
      <c r="G282" s="47" t="n"/>
      <c r="H282" s="128" t="inlineStr">
        <is>
          <t>Not Raised</t>
        </is>
      </c>
      <c r="I282" s="45" t="n"/>
      <c r="J282" s="45" t="n"/>
      <c r="K282" s="45" t="n"/>
    </row>
    <row r="283">
      <c r="A283" s="123">
        <f>IF(COUNTA(B283:G283)&gt;0,ROW()-3,"")</f>
        <v/>
      </c>
      <c r="B283" s="51" t="n"/>
      <c r="C283" s="35" t="n"/>
      <c r="D283" s="47" t="n"/>
      <c r="E283" s="52" t="n"/>
      <c r="F283" s="35" t="n"/>
      <c r="G283" s="47" t="n"/>
      <c r="H283" s="128" t="inlineStr">
        <is>
          <t>Not Raised</t>
        </is>
      </c>
      <c r="I283" s="45" t="n"/>
      <c r="J283" s="45" t="n"/>
      <c r="K283" s="45" t="n"/>
    </row>
    <row r="284">
      <c r="A284" s="123">
        <f>IF(COUNTA(B284:G284)&gt;0,ROW()-3,"")</f>
        <v/>
      </c>
      <c r="B284" s="51" t="n"/>
      <c r="C284" s="35" t="n"/>
      <c r="D284" s="47" t="n"/>
      <c r="E284" s="52" t="n"/>
      <c r="F284" s="35" t="n"/>
      <c r="G284" s="47" t="n"/>
      <c r="H284" s="128" t="inlineStr">
        <is>
          <t>Not Raised</t>
        </is>
      </c>
      <c r="I284" s="45" t="n"/>
      <c r="J284" s="45" t="n"/>
      <c r="K284" s="45" t="n"/>
    </row>
    <row r="285">
      <c r="A285" s="123">
        <f>IF(COUNTA(B285:G285)&gt;0,ROW()-3,"")</f>
        <v/>
      </c>
      <c r="B285" s="51" t="n"/>
      <c r="C285" s="35" t="n"/>
      <c r="D285" s="47" t="n"/>
      <c r="E285" s="52" t="n"/>
      <c r="F285" s="35" t="n"/>
      <c r="G285" s="47" t="n"/>
      <c r="H285" s="128" t="inlineStr">
        <is>
          <t>Not Raised</t>
        </is>
      </c>
      <c r="I285" s="45" t="n"/>
      <c r="J285" s="45" t="n"/>
      <c r="K285" s="45" t="n"/>
    </row>
    <row r="286">
      <c r="A286" s="123">
        <f>IF(COUNTA(B286:G286)&gt;0,ROW()-3,"")</f>
        <v/>
      </c>
      <c r="B286" s="51" t="n"/>
      <c r="C286" s="35" t="n"/>
      <c r="D286" s="47" t="n"/>
      <c r="E286" s="52" t="n"/>
      <c r="F286" s="35" t="n"/>
      <c r="G286" s="47" t="n"/>
      <c r="H286" s="128" t="inlineStr">
        <is>
          <t>Not Raised</t>
        </is>
      </c>
      <c r="I286" s="45" t="n"/>
      <c r="J286" s="45" t="n"/>
      <c r="K286" s="45" t="n"/>
    </row>
    <row r="287">
      <c r="A287" s="123">
        <f>IF(COUNTA(B287:G287)&gt;0,ROW()-3,"")</f>
        <v/>
      </c>
      <c r="B287" s="51" t="n"/>
      <c r="C287" s="35" t="n"/>
      <c r="D287" s="47" t="n"/>
      <c r="E287" s="52" t="n"/>
      <c r="F287" s="35" t="n"/>
      <c r="G287" s="47" t="n"/>
      <c r="H287" s="128" t="inlineStr">
        <is>
          <t>Not Raised</t>
        </is>
      </c>
      <c r="I287" s="45" t="n"/>
      <c r="J287" s="45" t="n"/>
      <c r="K287" s="45" t="n"/>
    </row>
    <row r="288">
      <c r="A288" s="123">
        <f>IF(COUNTA(B288:G288)&gt;0,ROW()-3,"")</f>
        <v/>
      </c>
      <c r="B288" s="51" t="n"/>
      <c r="C288" s="35" t="n"/>
      <c r="D288" s="47" t="n"/>
      <c r="E288" s="52" t="n"/>
      <c r="F288" s="35" t="n"/>
      <c r="G288" s="47" t="n"/>
      <c r="H288" s="128" t="inlineStr">
        <is>
          <t>Not Raised</t>
        </is>
      </c>
      <c r="I288" s="45" t="n"/>
      <c r="J288" s="45" t="n"/>
      <c r="K288" s="45" t="n"/>
    </row>
    <row r="289">
      <c r="A289" s="123">
        <f>IF(COUNTA(B289:G289)&gt;0,ROW()-3,"")</f>
        <v/>
      </c>
      <c r="B289" s="51" t="n"/>
      <c r="C289" s="35" t="n"/>
      <c r="D289" s="47" t="n"/>
      <c r="E289" s="52" t="n"/>
      <c r="F289" s="35" t="n"/>
      <c r="G289" s="47" t="n"/>
      <c r="H289" s="128" t="inlineStr">
        <is>
          <t>Not Raised</t>
        </is>
      </c>
      <c r="I289" s="45" t="n"/>
      <c r="J289" s="45" t="n"/>
      <c r="K289" s="45" t="n"/>
    </row>
    <row r="290">
      <c r="A290" s="123">
        <f>IF(COUNTA(B290:G290)&gt;0,ROW()-3,"")</f>
        <v/>
      </c>
      <c r="B290" s="51" t="n"/>
      <c r="C290" s="35" t="n"/>
      <c r="D290" s="47" t="n"/>
      <c r="E290" s="52" t="n"/>
      <c r="F290" s="35" t="n"/>
      <c r="G290" s="47" t="n"/>
      <c r="H290" s="128" t="inlineStr">
        <is>
          <t>Not Raised</t>
        </is>
      </c>
      <c r="I290" s="45" t="n"/>
      <c r="J290" s="45" t="n"/>
      <c r="K290" s="45" t="n"/>
    </row>
    <row r="291">
      <c r="A291" s="123">
        <f>IF(COUNTA(B291:G291)&gt;0,ROW()-3,"")</f>
        <v/>
      </c>
      <c r="B291" s="51" t="n"/>
      <c r="C291" s="35" t="n"/>
      <c r="D291" s="47" t="n"/>
      <c r="E291" s="52" t="n"/>
      <c r="F291" s="35" t="n"/>
      <c r="G291" s="47" t="n"/>
      <c r="H291" s="128" t="inlineStr">
        <is>
          <t>Not Raised</t>
        </is>
      </c>
      <c r="I291" s="45" t="n"/>
      <c r="J291" s="45" t="n"/>
      <c r="K291" s="45" t="n"/>
    </row>
    <row r="292">
      <c r="A292" s="123">
        <f>IF(COUNTA(B292:G292)&gt;0,ROW()-3,"")</f>
        <v/>
      </c>
      <c r="B292" s="51" t="n"/>
      <c r="C292" s="35" t="n"/>
      <c r="D292" s="47" t="n"/>
      <c r="E292" s="52" t="n"/>
      <c r="F292" s="35" t="n"/>
      <c r="G292" s="47" t="n"/>
      <c r="H292" s="128" t="inlineStr">
        <is>
          <t>Not Raised</t>
        </is>
      </c>
      <c r="I292" s="45" t="n"/>
      <c r="J292" s="45" t="n"/>
      <c r="K292" s="45" t="n"/>
    </row>
    <row r="293">
      <c r="A293" s="123">
        <f>IF(COUNTA(B293:G293)&gt;0,ROW()-3,"")</f>
        <v/>
      </c>
      <c r="B293" s="51" t="n"/>
      <c r="C293" s="35" t="n"/>
      <c r="D293" s="47" t="n"/>
      <c r="E293" s="52" t="n"/>
      <c r="F293" s="35" t="n"/>
      <c r="G293" s="47" t="n"/>
      <c r="H293" s="128" t="inlineStr">
        <is>
          <t>Not Raised</t>
        </is>
      </c>
      <c r="I293" s="45" t="n"/>
      <c r="J293" s="45" t="n"/>
      <c r="K293" s="45" t="n"/>
    </row>
    <row r="294">
      <c r="A294" s="123">
        <f>IF(COUNTA(B294:G294)&gt;0,ROW()-3,"")</f>
        <v/>
      </c>
      <c r="B294" s="51" t="n"/>
      <c r="C294" s="35" t="n"/>
      <c r="D294" s="47" t="n"/>
      <c r="E294" s="52" t="n"/>
      <c r="F294" s="35" t="n"/>
      <c r="G294" s="47" t="n"/>
      <c r="H294" s="128" t="inlineStr">
        <is>
          <t>Not Raised</t>
        </is>
      </c>
      <c r="I294" s="45" t="n"/>
      <c r="J294" s="45" t="n"/>
      <c r="K294" s="45" t="n"/>
    </row>
    <row r="295">
      <c r="A295" s="123">
        <f>IF(COUNTA(B295:G295)&gt;0,ROW()-3,"")</f>
        <v/>
      </c>
      <c r="B295" s="51" t="n"/>
      <c r="C295" s="35" t="n"/>
      <c r="D295" s="47" t="n"/>
      <c r="E295" s="52" t="n"/>
      <c r="F295" s="35" t="n"/>
      <c r="G295" s="47" t="n"/>
      <c r="H295" s="128" t="inlineStr">
        <is>
          <t>Not Raised</t>
        </is>
      </c>
      <c r="I295" s="45" t="n"/>
      <c r="J295" s="45" t="n"/>
      <c r="K295" s="45" t="n"/>
    </row>
    <row r="296">
      <c r="A296" s="123">
        <f>IF(COUNTA(B296:G296)&gt;0,ROW()-3,"")</f>
        <v/>
      </c>
      <c r="B296" s="51" t="n"/>
      <c r="C296" s="35" t="n"/>
      <c r="D296" s="47" t="n"/>
      <c r="E296" s="52" t="n"/>
      <c r="F296" s="35" t="n"/>
      <c r="G296" s="47" t="n"/>
      <c r="H296" s="128" t="inlineStr">
        <is>
          <t>Not Raised</t>
        </is>
      </c>
      <c r="I296" s="45" t="n"/>
      <c r="J296" s="45" t="n"/>
      <c r="K296" s="45" t="n"/>
    </row>
    <row r="297">
      <c r="A297" s="123">
        <f>IF(COUNTA(B297:G297)&gt;0,ROW()-3,"")</f>
        <v/>
      </c>
      <c r="B297" s="51" t="n"/>
      <c r="C297" s="35" t="n"/>
      <c r="D297" s="47" t="n"/>
      <c r="E297" s="52" t="n"/>
      <c r="F297" s="35" t="n"/>
      <c r="G297" s="47" t="n"/>
      <c r="H297" s="128" t="inlineStr">
        <is>
          <t>Not Raised</t>
        </is>
      </c>
      <c r="I297" s="45" t="n"/>
      <c r="J297" s="45" t="n"/>
      <c r="K297" s="45" t="n"/>
    </row>
    <row r="298">
      <c r="A298" s="123">
        <f>IF(COUNTA(B298:G298)&gt;0,ROW()-3,"")</f>
        <v/>
      </c>
      <c r="B298" s="51" t="n"/>
      <c r="C298" s="35" t="n"/>
      <c r="D298" s="47" t="n"/>
      <c r="E298" s="52" t="n"/>
      <c r="F298" s="35" t="n"/>
      <c r="G298" s="47" t="n"/>
      <c r="H298" s="128" t="inlineStr">
        <is>
          <t>Not Raised</t>
        </is>
      </c>
      <c r="I298" s="45" t="n"/>
      <c r="J298" s="45" t="n"/>
      <c r="K298" s="45" t="n"/>
    </row>
    <row r="299">
      <c r="A299" s="123">
        <f>IF(COUNTA(B299:G299)&gt;0,ROW()-3,"")</f>
        <v/>
      </c>
      <c r="B299" s="51" t="n"/>
      <c r="C299" s="35" t="n"/>
      <c r="D299" s="47" t="n"/>
      <c r="E299" s="52" t="n"/>
      <c r="F299" s="35" t="n"/>
      <c r="G299" s="47" t="n"/>
      <c r="H299" s="128" t="inlineStr">
        <is>
          <t>Not Raised</t>
        </is>
      </c>
      <c r="I299" s="45" t="n"/>
      <c r="J299" s="45" t="n"/>
      <c r="K299" s="45" t="n"/>
    </row>
    <row r="300">
      <c r="A300" s="123">
        <f>IF(COUNTA(B300:G300)&gt;0,ROW()-3,"")</f>
        <v/>
      </c>
      <c r="B300" s="51" t="n"/>
      <c r="C300" s="35" t="n"/>
      <c r="D300" s="47" t="n"/>
      <c r="E300" s="52" t="n"/>
      <c r="F300" s="35" t="n"/>
      <c r="G300" s="47" t="n"/>
      <c r="H300" s="128" t="inlineStr">
        <is>
          <t>Not Raised</t>
        </is>
      </c>
      <c r="I300" s="45" t="n"/>
      <c r="J300" s="45" t="n"/>
      <c r="K300" s="45" t="n"/>
    </row>
    <row r="301">
      <c r="A301" s="123">
        <f>IF(COUNTA(B301:G301)&gt;0,ROW()-3,"")</f>
        <v/>
      </c>
      <c r="B301" s="51" t="n"/>
      <c r="C301" s="35" t="n"/>
      <c r="D301" s="47" t="n"/>
      <c r="E301" s="52" t="n"/>
      <c r="F301" s="35" t="n"/>
      <c r="G301" s="47" t="n"/>
      <c r="H301" s="128" t="inlineStr">
        <is>
          <t>Not Raised</t>
        </is>
      </c>
      <c r="I301" s="45" t="n"/>
      <c r="J301" s="45" t="n"/>
      <c r="K301" s="45" t="n"/>
    </row>
    <row r="302">
      <c r="A302" s="123">
        <f>IF(COUNTA(B302:G302)&gt;0,ROW()-3,"")</f>
        <v/>
      </c>
      <c r="B302" s="51" t="n"/>
      <c r="C302" s="35" t="n"/>
      <c r="D302" s="47" t="n"/>
      <c r="E302" s="52" t="n"/>
      <c r="F302" s="35" t="n"/>
      <c r="G302" s="47" t="n"/>
      <c r="H302" s="128" t="inlineStr">
        <is>
          <t>Not Raised</t>
        </is>
      </c>
      <c r="I302" s="45" t="n"/>
      <c r="J302" s="45" t="n"/>
      <c r="K302" s="45" t="n"/>
    </row>
    <row r="303">
      <c r="A303" s="123">
        <f>IF(COUNTA(B303:G303)&gt;0,ROW()-3,"")</f>
        <v/>
      </c>
      <c r="B303" s="51" t="n"/>
      <c r="C303" s="35" t="n"/>
      <c r="D303" s="47" t="n"/>
      <c r="E303" s="52" t="n"/>
      <c r="F303" s="35" t="n"/>
      <c r="G303" s="47" t="n"/>
      <c r="H303" s="128" t="inlineStr">
        <is>
          <t>Not Raised</t>
        </is>
      </c>
      <c r="I303" s="45" t="n"/>
      <c r="J303" s="45" t="n"/>
      <c r="K303" s="45" t="n"/>
    </row>
    <row r="304">
      <c r="A304" s="123">
        <f>IF(COUNTA(B304:G304)&gt;0,ROW()-3,"")</f>
        <v/>
      </c>
      <c r="B304" s="51" t="n"/>
      <c r="C304" s="35" t="n"/>
      <c r="D304" s="47" t="n"/>
      <c r="E304" s="52" t="n"/>
      <c r="F304" s="35" t="n"/>
      <c r="G304" s="47" t="n"/>
      <c r="H304" s="128" t="inlineStr">
        <is>
          <t>Not Raised</t>
        </is>
      </c>
      <c r="I304" s="45" t="n"/>
      <c r="J304" s="45" t="n"/>
      <c r="K304" s="45" t="n"/>
    </row>
    <row r="305">
      <c r="A305" s="123">
        <f>IF(COUNTA(B305:G305)&gt;0,ROW()-3,"")</f>
        <v/>
      </c>
      <c r="B305" s="51" t="n"/>
      <c r="C305" s="35" t="n"/>
      <c r="D305" s="47" t="n"/>
      <c r="E305" s="52" t="n"/>
      <c r="F305" s="35" t="n"/>
      <c r="G305" s="47" t="n"/>
      <c r="H305" s="128" t="inlineStr">
        <is>
          <t>Not Raised</t>
        </is>
      </c>
      <c r="I305" s="45" t="n"/>
      <c r="J305" s="45" t="n"/>
      <c r="K305" s="45" t="n"/>
    </row>
    <row r="306">
      <c r="A306" s="123">
        <f>IF(COUNTA(B306:G306)&gt;0,ROW()-3,"")</f>
        <v/>
      </c>
      <c r="B306" s="51" t="n"/>
      <c r="C306" s="35" t="n"/>
      <c r="D306" s="47" t="n"/>
      <c r="E306" s="52" t="n"/>
      <c r="F306" s="35" t="n"/>
      <c r="G306" s="47" t="n"/>
      <c r="H306" s="128" t="inlineStr">
        <is>
          <t>Not Raised</t>
        </is>
      </c>
      <c r="I306" s="45" t="n"/>
      <c r="J306" s="45" t="n"/>
      <c r="K306" s="45" t="n"/>
    </row>
    <row r="307">
      <c r="A307" s="123">
        <f>IF(COUNTA(B307:G307)&gt;0,ROW()-3,"")</f>
        <v/>
      </c>
      <c r="B307" s="51" t="n"/>
      <c r="C307" s="35" t="n"/>
      <c r="D307" s="47" t="n"/>
      <c r="E307" s="52" t="n"/>
      <c r="F307" s="35" t="n"/>
      <c r="G307" s="47" t="n"/>
      <c r="H307" s="128" t="inlineStr">
        <is>
          <t>Not Raised</t>
        </is>
      </c>
      <c r="I307" s="45" t="n"/>
      <c r="J307" s="45" t="n"/>
      <c r="K307" s="45" t="n"/>
    </row>
    <row r="308">
      <c r="A308" s="123">
        <f>IF(COUNTA(B308:G308)&gt;0,ROW()-3,"")</f>
        <v/>
      </c>
      <c r="B308" s="51" t="n"/>
      <c r="C308" s="35" t="n"/>
      <c r="D308" s="47" t="n"/>
      <c r="E308" s="52" t="n"/>
      <c r="F308" s="35" t="n"/>
      <c r="G308" s="47" t="n"/>
      <c r="H308" s="128" t="inlineStr">
        <is>
          <t>Not Raised</t>
        </is>
      </c>
      <c r="I308" s="45" t="n"/>
      <c r="J308" s="45" t="n"/>
      <c r="K308" s="45" t="n"/>
    </row>
    <row r="309">
      <c r="A309" s="123">
        <f>IF(COUNTA(B309:G309)&gt;0,ROW()-3,"")</f>
        <v/>
      </c>
      <c r="B309" s="51" t="n"/>
      <c r="C309" s="35" t="n"/>
      <c r="D309" s="47" t="n"/>
      <c r="E309" s="52" t="n"/>
      <c r="F309" s="35" t="n"/>
      <c r="G309" s="47" t="n"/>
      <c r="H309" s="128" t="inlineStr">
        <is>
          <t>Not Raised</t>
        </is>
      </c>
      <c r="I309" s="45" t="n"/>
      <c r="J309" s="45" t="n"/>
      <c r="K309" s="45" t="n"/>
    </row>
    <row r="310">
      <c r="A310" s="123">
        <f>IF(COUNTA(B310:G310)&gt;0,ROW()-3,"")</f>
        <v/>
      </c>
      <c r="B310" s="51" t="n"/>
      <c r="C310" s="35" t="n"/>
      <c r="D310" s="47" t="n"/>
      <c r="E310" s="52" t="n"/>
      <c r="F310" s="35" t="n"/>
      <c r="G310" s="47" t="n"/>
      <c r="H310" s="128" t="inlineStr">
        <is>
          <t>Not Raised</t>
        </is>
      </c>
      <c r="I310" s="45" t="n"/>
      <c r="J310" s="45" t="n"/>
      <c r="K310" s="45" t="n"/>
    </row>
    <row r="311">
      <c r="A311" s="123">
        <f>IF(COUNTA(B311:G311)&gt;0,ROW()-3,"")</f>
        <v/>
      </c>
      <c r="B311" s="51" t="n"/>
      <c r="C311" s="35" t="n"/>
      <c r="D311" s="47" t="n"/>
      <c r="E311" s="52" t="n"/>
      <c r="F311" s="35" t="n"/>
      <c r="G311" s="47" t="n"/>
      <c r="H311" s="128" t="inlineStr">
        <is>
          <t>Not Raised</t>
        </is>
      </c>
      <c r="I311" s="45" t="n"/>
      <c r="J311" s="45" t="n"/>
      <c r="K311" s="45" t="n"/>
    </row>
    <row r="312">
      <c r="A312" s="123">
        <f>IF(COUNTA(B312:G312)&gt;0,ROW()-3,"")</f>
        <v/>
      </c>
      <c r="B312" s="51" t="n"/>
      <c r="C312" s="35" t="n"/>
      <c r="D312" s="47" t="n"/>
      <c r="E312" s="52" t="n"/>
      <c r="F312" s="35" t="n"/>
      <c r="G312" s="47" t="n"/>
      <c r="H312" s="128" t="inlineStr">
        <is>
          <t>Not Raised</t>
        </is>
      </c>
      <c r="I312" s="45" t="n"/>
      <c r="J312" s="45" t="n"/>
      <c r="K312" s="45" t="n"/>
    </row>
    <row r="313">
      <c r="A313" s="123">
        <f>IF(COUNTA(B313:G313)&gt;0,ROW()-3,"")</f>
        <v/>
      </c>
      <c r="B313" s="51" t="n"/>
      <c r="C313" s="35" t="n"/>
      <c r="D313" s="47" t="n"/>
      <c r="E313" s="52" t="n"/>
      <c r="F313" s="35" t="n"/>
      <c r="G313" s="47" t="n"/>
      <c r="H313" s="128" t="inlineStr">
        <is>
          <t>Not Raised</t>
        </is>
      </c>
      <c r="I313" s="45" t="n"/>
      <c r="J313" s="45" t="n"/>
      <c r="K313" s="45" t="n"/>
    </row>
    <row r="314">
      <c r="A314" s="123">
        <f>IF(COUNTA(B314:G314)&gt;0,ROW()-3,"")</f>
        <v/>
      </c>
      <c r="B314" s="51" t="n"/>
      <c r="C314" s="35" t="n"/>
      <c r="D314" s="47" t="n"/>
      <c r="E314" s="52" t="n"/>
      <c r="F314" s="35" t="n"/>
      <c r="G314" s="47" t="n"/>
      <c r="H314" s="128" t="inlineStr">
        <is>
          <t>Not Raised</t>
        </is>
      </c>
      <c r="I314" s="45" t="n"/>
      <c r="J314" s="45" t="n"/>
      <c r="K314" s="45" t="n"/>
    </row>
    <row r="315">
      <c r="A315" s="123">
        <f>IF(COUNTA(B315:G315)&gt;0,ROW()-3,"")</f>
        <v/>
      </c>
      <c r="B315" s="51" t="n"/>
      <c r="C315" s="35" t="n"/>
      <c r="D315" s="47" t="n"/>
      <c r="E315" s="52" t="n"/>
      <c r="F315" s="35" t="n"/>
      <c r="G315" s="47" t="n"/>
      <c r="H315" s="128" t="inlineStr">
        <is>
          <t>Not Raised</t>
        </is>
      </c>
      <c r="I315" s="45" t="n"/>
      <c r="J315" s="45" t="n"/>
      <c r="K315" s="45" t="n"/>
    </row>
    <row r="316">
      <c r="A316" s="123">
        <f>IF(COUNTA(B316:G316)&gt;0,ROW()-3,"")</f>
        <v/>
      </c>
      <c r="B316" s="51" t="n"/>
      <c r="C316" s="35" t="n"/>
      <c r="D316" s="47" t="n"/>
      <c r="E316" s="52" t="n"/>
      <c r="F316" s="35" t="n"/>
      <c r="G316" s="47" t="n"/>
      <c r="H316" s="128" t="inlineStr">
        <is>
          <t>Not Raised</t>
        </is>
      </c>
      <c r="I316" s="45" t="n"/>
      <c r="J316" s="45" t="n"/>
      <c r="K316" s="45" t="n"/>
    </row>
    <row r="317">
      <c r="A317" s="123">
        <f>IF(COUNTA(B317:G317)&gt;0,ROW()-3,"")</f>
        <v/>
      </c>
      <c r="B317" s="51" t="n"/>
      <c r="C317" s="35" t="n"/>
      <c r="D317" s="47" t="n"/>
      <c r="E317" s="52" t="n"/>
      <c r="F317" s="35" t="n"/>
      <c r="G317" s="47" t="n"/>
      <c r="H317" s="128" t="inlineStr">
        <is>
          <t>Not Raised</t>
        </is>
      </c>
      <c r="I317" s="45" t="n"/>
      <c r="J317" s="45" t="n"/>
      <c r="K317" s="45" t="n"/>
    </row>
    <row r="318">
      <c r="A318" s="123">
        <f>IF(COUNTA(B318:G318)&gt;0,ROW()-3,"")</f>
        <v/>
      </c>
      <c r="B318" s="51" t="n"/>
      <c r="C318" s="35" t="n"/>
      <c r="D318" s="47" t="n"/>
      <c r="E318" s="52" t="n"/>
      <c r="F318" s="35" t="n"/>
      <c r="G318" s="47" t="n"/>
      <c r="H318" s="128" t="inlineStr">
        <is>
          <t>Not Raised</t>
        </is>
      </c>
      <c r="I318" s="45" t="n"/>
      <c r="J318" s="45" t="n"/>
      <c r="K318" s="45" t="n"/>
    </row>
    <row r="319">
      <c r="A319" s="123">
        <f>IF(COUNTA(B319:G319)&gt;0,ROW()-3,"")</f>
        <v/>
      </c>
      <c r="B319" s="51" t="n"/>
      <c r="C319" s="35" t="n"/>
      <c r="D319" s="47" t="n"/>
      <c r="E319" s="52" t="n"/>
      <c r="F319" s="35" t="n"/>
      <c r="G319" s="47" t="n"/>
      <c r="H319" s="128" t="inlineStr">
        <is>
          <t>Not Raised</t>
        </is>
      </c>
      <c r="I319" s="45" t="n"/>
      <c r="J319" s="45" t="n"/>
      <c r="K319" s="45" t="n"/>
    </row>
    <row r="320">
      <c r="A320" s="123">
        <f>IF(COUNTA(B320:G320)&gt;0,ROW()-3,"")</f>
        <v/>
      </c>
      <c r="B320" s="51" t="n"/>
      <c r="C320" s="35" t="n"/>
      <c r="D320" s="47" t="n"/>
      <c r="E320" s="52" t="n"/>
      <c r="F320" s="35" t="n"/>
      <c r="G320" s="47" t="n"/>
      <c r="H320" s="128" t="inlineStr">
        <is>
          <t>Not Raised</t>
        </is>
      </c>
      <c r="I320" s="45" t="n"/>
      <c r="J320" s="45" t="n"/>
      <c r="K320" s="45" t="n"/>
    </row>
    <row r="321">
      <c r="A321" s="123">
        <f>IF(COUNTA(B321:G321)&gt;0,ROW()-3,"")</f>
        <v/>
      </c>
      <c r="B321" s="51" t="n"/>
      <c r="C321" s="35" t="n"/>
      <c r="D321" s="47" t="n"/>
      <c r="E321" s="52" t="n"/>
      <c r="F321" s="35" t="n"/>
      <c r="G321" s="47" t="n"/>
      <c r="H321" s="128" t="inlineStr">
        <is>
          <t>Not Raised</t>
        </is>
      </c>
      <c r="I321" s="45" t="n"/>
      <c r="J321" s="45" t="n"/>
      <c r="K321" s="45" t="n"/>
    </row>
    <row r="322">
      <c r="A322" s="123">
        <f>IF(COUNTA(B322:G322)&gt;0,ROW()-3,"")</f>
        <v/>
      </c>
      <c r="B322" s="51" t="n"/>
      <c r="C322" s="35" t="n"/>
      <c r="D322" s="47" t="n"/>
      <c r="E322" s="52" t="n"/>
      <c r="F322" s="35" t="n"/>
      <c r="G322" s="47" t="n"/>
      <c r="H322" s="128" t="inlineStr">
        <is>
          <t>Not Raised</t>
        </is>
      </c>
      <c r="I322" s="45" t="n"/>
      <c r="J322" s="45" t="n"/>
      <c r="K322" s="45" t="n"/>
    </row>
    <row r="323">
      <c r="A323" s="123">
        <f>IF(COUNTA(B323:G323)&gt;0,ROW()-3,"")</f>
        <v/>
      </c>
      <c r="B323" s="51" t="n"/>
      <c r="C323" s="35" t="n"/>
      <c r="D323" s="47" t="n"/>
      <c r="E323" s="52" t="n"/>
      <c r="F323" s="35" t="n"/>
      <c r="G323" s="47" t="n"/>
      <c r="H323" s="128" t="inlineStr">
        <is>
          <t>Not Raised</t>
        </is>
      </c>
      <c r="I323" s="45" t="n"/>
      <c r="J323" s="45" t="n"/>
      <c r="K323" s="45" t="n"/>
    </row>
    <row r="324">
      <c r="A324" s="123">
        <f>IF(COUNTA(B324:G324)&gt;0,ROW()-3,"")</f>
        <v/>
      </c>
      <c r="B324" s="51" t="n"/>
      <c r="C324" s="35" t="n"/>
      <c r="D324" s="47" t="n"/>
      <c r="E324" s="52" t="n"/>
      <c r="F324" s="35" t="n"/>
      <c r="G324" s="47" t="n"/>
      <c r="H324" s="128" t="inlineStr">
        <is>
          <t>Not Raised</t>
        </is>
      </c>
      <c r="I324" s="45" t="n"/>
      <c r="J324" s="45" t="n"/>
      <c r="K324" s="45" t="n"/>
    </row>
    <row r="325">
      <c r="A325" s="123">
        <f>IF(COUNTA(B325:G325)&gt;0,ROW()-3,"")</f>
        <v/>
      </c>
      <c r="B325" s="51" t="n"/>
      <c r="C325" s="35" t="n"/>
      <c r="D325" s="47" t="n"/>
      <c r="E325" s="52" t="n"/>
      <c r="F325" s="35" t="n"/>
      <c r="G325" s="47" t="n"/>
      <c r="H325" s="128" t="inlineStr">
        <is>
          <t>Not Raised</t>
        </is>
      </c>
      <c r="I325" s="45" t="n"/>
      <c r="J325" s="45" t="n"/>
      <c r="K325" s="45" t="n"/>
    </row>
    <row r="326">
      <c r="A326" s="123">
        <f>IF(COUNTA(B326:G326)&gt;0,ROW()-3,"")</f>
        <v/>
      </c>
      <c r="B326" s="51" t="n"/>
      <c r="C326" s="35" t="n"/>
      <c r="D326" s="47" t="n"/>
      <c r="E326" s="52" t="n"/>
      <c r="F326" s="35" t="n"/>
      <c r="G326" s="47" t="n"/>
      <c r="H326" s="128" t="inlineStr">
        <is>
          <t>Not Raised</t>
        </is>
      </c>
      <c r="I326" s="45" t="n"/>
      <c r="J326" s="45" t="n"/>
      <c r="K326" s="45" t="n"/>
    </row>
    <row r="327">
      <c r="A327" s="123">
        <f>IF(COUNTA(B327:G327)&gt;0,ROW()-3,"")</f>
        <v/>
      </c>
      <c r="B327" s="51" t="n"/>
      <c r="C327" s="35" t="n"/>
      <c r="D327" s="47" t="n"/>
      <c r="E327" s="52" t="n"/>
      <c r="F327" s="35" t="n"/>
      <c r="G327" s="47" t="n"/>
      <c r="H327" s="128" t="inlineStr">
        <is>
          <t>Not Raised</t>
        </is>
      </c>
      <c r="I327" s="45" t="n"/>
      <c r="J327" s="45" t="n"/>
      <c r="K327" s="45" t="n"/>
    </row>
    <row r="328">
      <c r="A328" s="123">
        <f>IF(COUNTA(B328:G328)&gt;0,ROW()-3,"")</f>
        <v/>
      </c>
      <c r="B328" s="51" t="n"/>
      <c r="C328" s="35" t="n"/>
      <c r="D328" s="47" t="n"/>
      <c r="E328" s="52" t="n"/>
      <c r="F328" s="35" t="n"/>
      <c r="G328" s="47" t="n"/>
      <c r="H328" s="128" t="inlineStr">
        <is>
          <t>Not Raised</t>
        </is>
      </c>
      <c r="I328" s="45" t="n"/>
      <c r="J328" s="45" t="n"/>
      <c r="K328" s="45" t="n"/>
    </row>
    <row r="329">
      <c r="A329" s="123">
        <f>IF(COUNTA(B329:G329)&gt;0,ROW()-3,"")</f>
        <v/>
      </c>
      <c r="B329" s="51" t="n"/>
      <c r="C329" s="35" t="n"/>
      <c r="D329" s="47" t="n"/>
      <c r="E329" s="52" t="n"/>
      <c r="F329" s="35" t="n"/>
      <c r="G329" s="47" t="n"/>
      <c r="H329" s="128" t="inlineStr">
        <is>
          <t>Not Raised</t>
        </is>
      </c>
      <c r="I329" s="45" t="n"/>
      <c r="J329" s="45" t="n"/>
      <c r="K329" s="45" t="n"/>
    </row>
    <row r="330">
      <c r="A330" s="123">
        <f>IF(COUNTA(B330:G330)&gt;0,ROW()-3,"")</f>
        <v/>
      </c>
      <c r="B330" s="51" t="n"/>
      <c r="C330" s="35" t="n"/>
      <c r="D330" s="47" t="n"/>
      <c r="E330" s="52" t="n"/>
      <c r="F330" s="35" t="n"/>
      <c r="G330" s="47" t="n"/>
      <c r="H330" s="128" t="inlineStr">
        <is>
          <t>Not Raised</t>
        </is>
      </c>
      <c r="I330" s="45" t="n"/>
      <c r="J330" s="45" t="n"/>
      <c r="K330" s="45" t="n"/>
    </row>
    <row r="331">
      <c r="A331" s="123">
        <f>IF(COUNTA(B331:G331)&gt;0,ROW()-3,"")</f>
        <v/>
      </c>
      <c r="B331" s="51" t="n"/>
      <c r="C331" s="35" t="n"/>
      <c r="D331" s="47" t="n"/>
      <c r="E331" s="52" t="n"/>
      <c r="F331" s="35" t="n"/>
      <c r="G331" s="47" t="n"/>
      <c r="H331" s="128" t="inlineStr">
        <is>
          <t>Not Raised</t>
        </is>
      </c>
      <c r="I331" s="45" t="n"/>
      <c r="J331" s="45" t="n"/>
      <c r="K331" s="45" t="n"/>
    </row>
    <row r="332">
      <c r="A332" s="123">
        <f>IF(COUNTA(B332:G332)&gt;0,ROW()-3,"")</f>
        <v/>
      </c>
      <c r="B332" s="51" t="n"/>
      <c r="C332" s="35" t="n"/>
      <c r="D332" s="47" t="n"/>
      <c r="E332" s="52" t="n"/>
      <c r="F332" s="35" t="n"/>
      <c r="G332" s="47" t="n"/>
      <c r="H332" s="128" t="inlineStr">
        <is>
          <t>Not Raised</t>
        </is>
      </c>
      <c r="I332" s="45" t="n"/>
      <c r="J332" s="45" t="n"/>
      <c r="K332" s="45" t="n"/>
    </row>
    <row r="333">
      <c r="A333" s="123">
        <f>IF(COUNTA(B333:G333)&gt;0,ROW()-3,"")</f>
        <v/>
      </c>
      <c r="B333" s="51" t="n"/>
      <c r="C333" s="35" t="n"/>
      <c r="D333" s="47" t="n"/>
      <c r="E333" s="52" t="n"/>
      <c r="F333" s="35" t="n"/>
      <c r="G333" s="47" t="n"/>
      <c r="H333" s="128" t="inlineStr">
        <is>
          <t>Not Raised</t>
        </is>
      </c>
      <c r="I333" s="45" t="n"/>
      <c r="J333" s="45" t="n"/>
      <c r="K333" s="45" t="n"/>
    </row>
    <row r="334">
      <c r="A334" s="123">
        <f>IF(COUNTA(B334:G334)&gt;0,ROW()-3,"")</f>
        <v/>
      </c>
      <c r="B334" s="51" t="n"/>
      <c r="C334" s="35" t="n"/>
      <c r="D334" s="47" t="n"/>
      <c r="E334" s="52" t="n"/>
      <c r="F334" s="35" t="n"/>
      <c r="G334" s="47" t="n"/>
      <c r="H334" s="128" t="inlineStr">
        <is>
          <t>Not Raised</t>
        </is>
      </c>
      <c r="I334" s="45" t="n"/>
      <c r="J334" s="45" t="n"/>
      <c r="K334" s="45" t="n"/>
    </row>
    <row r="335">
      <c r="A335" s="123">
        <f>IF(COUNTA(B335:G335)&gt;0,ROW()-3,"")</f>
        <v/>
      </c>
      <c r="B335" s="51" t="n"/>
      <c r="C335" s="35" t="n"/>
      <c r="D335" s="47" t="n"/>
      <c r="E335" s="52" t="n"/>
      <c r="F335" s="35" t="n"/>
      <c r="G335" s="47" t="n"/>
      <c r="H335" s="128" t="inlineStr">
        <is>
          <t>Not Raised</t>
        </is>
      </c>
      <c r="I335" s="45" t="n"/>
      <c r="J335" s="45" t="n"/>
      <c r="K335" s="45" t="n"/>
    </row>
    <row r="336">
      <c r="A336" s="123">
        <f>IF(COUNTA(B336:G336)&gt;0,ROW()-3,"")</f>
        <v/>
      </c>
      <c r="B336" s="51" t="n"/>
      <c r="C336" s="35" t="n"/>
      <c r="D336" s="47" t="n"/>
      <c r="E336" s="52" t="n"/>
      <c r="F336" s="35" t="n"/>
      <c r="G336" s="47" t="n"/>
      <c r="H336" s="128" t="inlineStr">
        <is>
          <t>Not Raised</t>
        </is>
      </c>
      <c r="I336" s="45" t="n"/>
      <c r="J336" s="45" t="n"/>
      <c r="K336" s="45" t="n"/>
    </row>
    <row r="337">
      <c r="A337" s="123">
        <f>IF(COUNTA(B337:G337)&gt;0,ROW()-3,"")</f>
        <v/>
      </c>
      <c r="B337" s="51" t="n"/>
      <c r="C337" s="35" t="n"/>
      <c r="D337" s="47" t="n"/>
      <c r="E337" s="52" t="n"/>
      <c r="F337" s="35" t="n"/>
      <c r="G337" s="47" t="n"/>
      <c r="H337" s="128" t="inlineStr">
        <is>
          <t>Not Raised</t>
        </is>
      </c>
      <c r="I337" s="45" t="n"/>
      <c r="J337" s="45" t="n"/>
      <c r="K337" s="45" t="n"/>
    </row>
    <row r="338">
      <c r="A338" s="123">
        <f>IF(COUNTA(B338:G338)&gt;0,ROW()-3,"")</f>
        <v/>
      </c>
      <c r="B338" s="51" t="n"/>
      <c r="C338" s="35" t="n"/>
      <c r="D338" s="47" t="n"/>
      <c r="E338" s="52" t="n"/>
      <c r="F338" s="35" t="n"/>
      <c r="G338" s="47" t="n"/>
      <c r="H338" s="128" t="inlineStr">
        <is>
          <t>Not Raised</t>
        </is>
      </c>
      <c r="I338" s="45" t="n"/>
      <c r="J338" s="45" t="n"/>
      <c r="K338" s="45" t="n"/>
    </row>
    <row r="339">
      <c r="A339" s="123">
        <f>IF(COUNTA(B339:G339)&gt;0,ROW()-3,"")</f>
        <v/>
      </c>
      <c r="B339" s="51" t="n"/>
      <c r="C339" s="35" t="n"/>
      <c r="D339" s="47" t="n"/>
      <c r="E339" s="52" t="n"/>
      <c r="F339" s="35" t="n"/>
      <c r="G339" s="47" t="n"/>
      <c r="H339" s="128" t="inlineStr">
        <is>
          <t>Not Raised</t>
        </is>
      </c>
      <c r="I339" s="45" t="n"/>
      <c r="J339" s="45" t="n"/>
      <c r="K339" s="45" t="n"/>
    </row>
    <row r="340">
      <c r="A340" s="123">
        <f>IF(COUNTA(B340:G340)&gt;0,ROW()-3,"")</f>
        <v/>
      </c>
      <c r="B340" s="51" t="n"/>
      <c r="C340" s="35" t="n"/>
      <c r="D340" s="47" t="n"/>
      <c r="E340" s="52" t="n"/>
      <c r="F340" s="35" t="n"/>
      <c r="G340" s="47" t="n"/>
      <c r="H340" s="128" t="inlineStr">
        <is>
          <t>Not Raised</t>
        </is>
      </c>
      <c r="I340" s="45" t="n"/>
      <c r="J340" s="45" t="n"/>
      <c r="K340" s="45" t="n"/>
    </row>
    <row r="341">
      <c r="A341" s="123">
        <f>IF(COUNTA(B341:G341)&gt;0,ROW()-3,"")</f>
        <v/>
      </c>
      <c r="B341" s="51" t="n"/>
      <c r="C341" s="35" t="n"/>
      <c r="D341" s="47" t="n"/>
      <c r="E341" s="52" t="n"/>
      <c r="F341" s="35" t="n"/>
      <c r="G341" s="47" t="n"/>
      <c r="H341" s="128" t="inlineStr">
        <is>
          <t>Not Raised</t>
        </is>
      </c>
      <c r="I341" s="45" t="n"/>
      <c r="J341" s="45" t="n"/>
      <c r="K341" s="45" t="n"/>
    </row>
    <row r="342">
      <c r="A342" s="123">
        <f>IF(COUNTA(B342:G342)&gt;0,ROW()-3,"")</f>
        <v/>
      </c>
      <c r="B342" s="51" t="n"/>
      <c r="C342" s="35" t="n"/>
      <c r="D342" s="47" t="n"/>
      <c r="E342" s="52" t="n"/>
      <c r="F342" s="35" t="n"/>
      <c r="G342" s="47" t="n"/>
      <c r="H342" s="128" t="inlineStr">
        <is>
          <t>Not Raised</t>
        </is>
      </c>
      <c r="I342" s="45" t="n"/>
      <c r="J342" s="45" t="n"/>
      <c r="K342" s="45" t="n"/>
    </row>
    <row r="343">
      <c r="A343" s="123">
        <f>IF(COUNTA(B343:G343)&gt;0,ROW()-3,"")</f>
        <v/>
      </c>
      <c r="B343" s="51" t="n"/>
      <c r="C343" s="35" t="n"/>
      <c r="D343" s="47" t="n"/>
      <c r="E343" s="52" t="n"/>
      <c r="F343" s="35" t="n"/>
      <c r="G343" s="47" t="n"/>
      <c r="H343" s="128" t="inlineStr">
        <is>
          <t>Not Raised</t>
        </is>
      </c>
      <c r="I343" s="45" t="n"/>
      <c r="J343" s="45" t="n"/>
      <c r="K343" s="45" t="n"/>
    </row>
    <row r="344">
      <c r="A344" s="123">
        <f>IF(COUNTA(B344:G344)&gt;0,ROW()-3,"")</f>
        <v/>
      </c>
      <c r="B344" s="51" t="n"/>
      <c r="C344" s="35" t="n"/>
      <c r="D344" s="47" t="n"/>
      <c r="E344" s="52" t="n"/>
      <c r="F344" s="35" t="n"/>
      <c r="G344" s="47" t="n"/>
      <c r="H344" s="128" t="inlineStr">
        <is>
          <t>Not Raised</t>
        </is>
      </c>
      <c r="I344" s="45" t="n"/>
      <c r="J344" s="45" t="n"/>
      <c r="K344" s="45" t="n"/>
    </row>
    <row r="345">
      <c r="A345" s="123">
        <f>IF(COUNTA(B345:G345)&gt;0,ROW()-3,"")</f>
        <v/>
      </c>
      <c r="B345" s="51" t="n"/>
      <c r="C345" s="35" t="n"/>
      <c r="D345" s="47" t="n"/>
      <c r="E345" s="52" t="n"/>
      <c r="F345" s="35" t="n"/>
      <c r="G345" s="47" t="n"/>
      <c r="H345" s="128" t="inlineStr">
        <is>
          <t>Not Raised</t>
        </is>
      </c>
      <c r="I345" s="45" t="n"/>
      <c r="J345" s="45" t="n"/>
      <c r="K345" s="45" t="n"/>
    </row>
    <row r="346">
      <c r="A346" s="123">
        <f>IF(COUNTA(B346:G346)&gt;0,ROW()-3,"")</f>
        <v/>
      </c>
      <c r="B346" s="51" t="n"/>
      <c r="C346" s="35" t="n"/>
      <c r="D346" s="47" t="n"/>
      <c r="E346" s="52" t="n"/>
      <c r="F346" s="35" t="n"/>
      <c r="G346" s="47" t="n"/>
      <c r="H346" s="128" t="inlineStr">
        <is>
          <t>Not Raised</t>
        </is>
      </c>
      <c r="I346" s="45" t="n"/>
      <c r="J346" s="45" t="n"/>
      <c r="K346" s="45" t="n"/>
    </row>
    <row r="347">
      <c r="A347" s="123">
        <f>IF(COUNTA(B347:G347)&gt;0,ROW()-3,"")</f>
        <v/>
      </c>
      <c r="B347" s="51" t="n"/>
      <c r="C347" s="35" t="n"/>
      <c r="D347" s="47" t="n"/>
      <c r="E347" s="52" t="n"/>
      <c r="F347" s="35" t="n"/>
      <c r="G347" s="47" t="n"/>
      <c r="H347" s="128" t="inlineStr">
        <is>
          <t>Not Raised</t>
        </is>
      </c>
      <c r="I347" s="45" t="n"/>
      <c r="J347" s="45" t="n"/>
      <c r="K347" s="45" t="n"/>
    </row>
    <row r="348">
      <c r="A348" s="123">
        <f>IF(COUNTA(B348:G348)&gt;0,ROW()-3,"")</f>
        <v/>
      </c>
      <c r="B348" s="51" t="n"/>
      <c r="C348" s="35" t="n"/>
      <c r="D348" s="47" t="n"/>
      <c r="E348" s="52" t="n"/>
      <c r="F348" s="35" t="n"/>
      <c r="G348" s="47" t="n"/>
      <c r="H348" s="128" t="inlineStr">
        <is>
          <t>Not Raised</t>
        </is>
      </c>
      <c r="I348" s="45" t="n"/>
      <c r="J348" s="45" t="n"/>
      <c r="K348" s="45" t="n"/>
    </row>
    <row r="349">
      <c r="A349" s="123">
        <f>IF(COUNTA(B349:G349)&gt;0,ROW()-3,"")</f>
        <v/>
      </c>
      <c r="B349" s="51" t="n"/>
      <c r="C349" s="35" t="n"/>
      <c r="D349" s="47" t="n"/>
      <c r="E349" s="52" t="n"/>
      <c r="F349" s="35" t="n"/>
      <c r="G349" s="47" t="n"/>
      <c r="H349" s="128" t="inlineStr">
        <is>
          <t>Not Raised</t>
        </is>
      </c>
      <c r="I349" s="45" t="n"/>
      <c r="J349" s="45" t="n"/>
      <c r="K349" s="45" t="n"/>
    </row>
    <row r="350">
      <c r="A350" s="123">
        <f>IF(COUNTA(B350:G350)&gt;0,ROW()-3,"")</f>
        <v/>
      </c>
      <c r="B350" s="51" t="n"/>
      <c r="C350" s="35" t="n"/>
      <c r="D350" s="47" t="n"/>
      <c r="E350" s="52" t="n"/>
      <c r="F350" s="35" t="n"/>
      <c r="G350" s="47" t="n"/>
      <c r="H350" s="128" t="inlineStr">
        <is>
          <t>Not Raised</t>
        </is>
      </c>
      <c r="I350" s="45" t="n"/>
      <c r="J350" s="45" t="n"/>
      <c r="K350" s="45" t="n"/>
    </row>
    <row r="351">
      <c r="A351" s="123">
        <f>IF(COUNTA(B351:G351)&gt;0,ROW()-3,"")</f>
        <v/>
      </c>
      <c r="B351" s="51" t="n"/>
      <c r="C351" s="35" t="n"/>
      <c r="D351" s="47" t="n"/>
      <c r="E351" s="52" t="n"/>
      <c r="F351" s="35" t="n"/>
      <c r="G351" s="47" t="n"/>
      <c r="H351" s="128" t="inlineStr">
        <is>
          <t>Not Raised</t>
        </is>
      </c>
      <c r="I351" s="45" t="n"/>
      <c r="J351" s="45" t="n"/>
      <c r="K351" s="45" t="n"/>
    </row>
    <row r="352">
      <c r="A352" s="123">
        <f>IF(COUNTA(B352:G352)&gt;0,ROW()-3,"")</f>
        <v/>
      </c>
      <c r="B352" s="51" t="n"/>
      <c r="C352" s="35" t="n"/>
      <c r="D352" s="47" t="n"/>
      <c r="E352" s="52" t="n"/>
      <c r="F352" s="35" t="n"/>
      <c r="G352" s="47" t="n"/>
      <c r="H352" s="128" t="inlineStr">
        <is>
          <t>Not Raised</t>
        </is>
      </c>
      <c r="I352" s="45" t="n"/>
      <c r="J352" s="45" t="n"/>
      <c r="K352" s="45" t="n"/>
    </row>
    <row r="353">
      <c r="A353" s="123">
        <f>IF(COUNTA(B353:G353)&gt;0,ROW()-3,"")</f>
        <v/>
      </c>
      <c r="B353" s="51" t="n"/>
      <c r="C353" s="35" t="n"/>
      <c r="D353" s="47" t="n"/>
      <c r="E353" s="52" t="n"/>
      <c r="F353" s="35" t="n"/>
      <c r="G353" s="47" t="n"/>
      <c r="H353" s="128" t="inlineStr">
        <is>
          <t>Not Raised</t>
        </is>
      </c>
      <c r="I353" s="45" t="n"/>
      <c r="J353" s="45" t="n"/>
      <c r="K353" s="45" t="n"/>
    </row>
    <row r="354">
      <c r="A354" s="123">
        <f>IF(COUNTA(B354:G354)&gt;0,ROW()-3,"")</f>
        <v/>
      </c>
      <c r="B354" s="51" t="n"/>
      <c r="C354" s="35" t="n"/>
      <c r="D354" s="47" t="n"/>
      <c r="E354" s="52" t="n"/>
      <c r="F354" s="35" t="n"/>
      <c r="G354" s="47" t="n"/>
      <c r="H354" s="128" t="inlineStr">
        <is>
          <t>Not Raised</t>
        </is>
      </c>
      <c r="I354" s="45" t="n"/>
      <c r="J354" s="45" t="n"/>
      <c r="K354" s="45" t="n"/>
    </row>
    <row r="355">
      <c r="A355" s="123">
        <f>IF(COUNTA(B355:G355)&gt;0,ROW()-3,"")</f>
        <v/>
      </c>
      <c r="B355" s="51" t="n"/>
      <c r="C355" s="35" t="n"/>
      <c r="D355" s="47" t="n"/>
      <c r="E355" s="52" t="n"/>
      <c r="F355" s="35" t="n"/>
      <c r="G355" s="47" t="n"/>
      <c r="H355" s="128" t="inlineStr">
        <is>
          <t>Not Raised</t>
        </is>
      </c>
      <c r="I355" s="45" t="n"/>
      <c r="J355" s="45" t="n"/>
      <c r="K355" s="45" t="n"/>
    </row>
    <row r="356">
      <c r="A356" s="123">
        <f>IF(COUNTA(B356:G356)&gt;0,ROW()-3,"")</f>
        <v/>
      </c>
      <c r="B356" s="51" t="n"/>
      <c r="C356" s="35" t="n"/>
      <c r="D356" s="47" t="n"/>
      <c r="E356" s="52" t="n"/>
      <c r="F356" s="35" t="n"/>
      <c r="G356" s="47" t="n"/>
      <c r="H356" s="128" t="inlineStr">
        <is>
          <t>Not Raised</t>
        </is>
      </c>
      <c r="I356" s="45" t="n"/>
      <c r="J356" s="45" t="n"/>
      <c r="K356" s="45" t="n"/>
    </row>
    <row r="357">
      <c r="A357" s="123">
        <f>IF(COUNTA(B357:G357)&gt;0,ROW()-3,"")</f>
        <v/>
      </c>
      <c r="B357" s="51" t="n"/>
      <c r="C357" s="35" t="n"/>
      <c r="D357" s="47" t="n"/>
      <c r="E357" s="52" t="n"/>
      <c r="F357" s="35" t="n"/>
      <c r="G357" s="47" t="n"/>
      <c r="H357" s="128" t="inlineStr">
        <is>
          <t>Not Raised</t>
        </is>
      </c>
      <c r="I357" s="45" t="n"/>
      <c r="J357" s="45" t="n"/>
      <c r="K357" s="45" t="n"/>
    </row>
    <row r="358">
      <c r="A358" s="123">
        <f>IF(COUNTA(B358:G358)&gt;0,ROW()-3,"")</f>
        <v/>
      </c>
      <c r="B358" s="51" t="n"/>
      <c r="C358" s="35" t="n"/>
      <c r="D358" s="47" t="n"/>
      <c r="E358" s="52" t="n"/>
      <c r="F358" s="35" t="n"/>
      <c r="G358" s="47" t="n"/>
      <c r="H358" s="128" t="inlineStr">
        <is>
          <t>Not Raised</t>
        </is>
      </c>
      <c r="I358" s="45" t="n"/>
      <c r="J358" s="45" t="n"/>
      <c r="K358" s="45" t="n"/>
    </row>
    <row r="359">
      <c r="A359" s="123">
        <f>IF(COUNTA(B359:G359)&gt;0,ROW()-3,"")</f>
        <v/>
      </c>
      <c r="B359" s="51" t="n"/>
      <c r="C359" s="35" t="n"/>
      <c r="D359" s="47" t="n"/>
      <c r="E359" s="52" t="n"/>
      <c r="F359" s="35" t="n"/>
      <c r="G359" s="47" t="n"/>
      <c r="H359" s="128" t="inlineStr">
        <is>
          <t>Not Raised</t>
        </is>
      </c>
      <c r="I359" s="45" t="n"/>
      <c r="J359" s="45" t="n"/>
      <c r="K359" s="45" t="n"/>
    </row>
    <row r="360">
      <c r="A360" s="123">
        <f>IF(COUNTA(B360:G360)&gt;0,ROW()-3,"")</f>
        <v/>
      </c>
      <c r="B360" s="51" t="n"/>
      <c r="C360" s="35" t="n"/>
      <c r="D360" s="47" t="n"/>
      <c r="E360" s="52" t="n"/>
      <c r="F360" s="35" t="n"/>
      <c r="G360" s="47" t="n"/>
      <c r="H360" s="128" t="inlineStr">
        <is>
          <t>Not Raised</t>
        </is>
      </c>
      <c r="I360" s="45" t="n"/>
      <c r="J360" s="45" t="n"/>
      <c r="K360" s="45" t="n"/>
    </row>
    <row r="361">
      <c r="A361" s="123">
        <f>IF(COUNTA(B361:G361)&gt;0,ROW()-3,"")</f>
        <v/>
      </c>
      <c r="B361" s="51" t="n"/>
      <c r="C361" s="35" t="n"/>
      <c r="D361" s="47" t="n"/>
      <c r="E361" s="52" t="n"/>
      <c r="F361" s="35" t="n"/>
      <c r="G361" s="47" t="n"/>
      <c r="H361" s="128" t="inlineStr">
        <is>
          <t>Not Raised</t>
        </is>
      </c>
      <c r="I361" s="45" t="n"/>
      <c r="J361" s="45" t="n"/>
      <c r="K361" s="45" t="n"/>
    </row>
    <row r="362">
      <c r="A362" s="123">
        <f>IF(COUNTA(B362:G362)&gt;0,ROW()-3,"")</f>
        <v/>
      </c>
      <c r="B362" s="51" t="n"/>
      <c r="C362" s="35" t="n"/>
      <c r="D362" s="47" t="n"/>
      <c r="E362" s="52" t="n"/>
      <c r="F362" s="35" t="n"/>
      <c r="G362" s="47" t="n"/>
      <c r="H362" s="128" t="inlineStr">
        <is>
          <t>Not Raised</t>
        </is>
      </c>
      <c r="I362" s="45" t="n"/>
      <c r="J362" s="45" t="n"/>
      <c r="K362" s="45" t="n"/>
    </row>
    <row r="363">
      <c r="A363" s="123">
        <f>IF(COUNTA(B363:G363)&gt;0,ROW()-3,"")</f>
        <v/>
      </c>
      <c r="B363" s="51" t="n"/>
      <c r="C363" s="35" t="n"/>
      <c r="D363" s="47" t="n"/>
      <c r="E363" s="52" t="n"/>
      <c r="F363" s="35" t="n"/>
      <c r="G363" s="47" t="n"/>
      <c r="H363" s="128" t="inlineStr">
        <is>
          <t>Not Raised</t>
        </is>
      </c>
      <c r="I363" s="45" t="n"/>
      <c r="J363" s="45" t="n"/>
      <c r="K363" s="45" t="n"/>
    </row>
    <row r="364">
      <c r="A364" s="123">
        <f>IF(COUNTA(B364:G364)&gt;0,ROW()-3,"")</f>
        <v/>
      </c>
      <c r="B364" s="51" t="n"/>
      <c r="C364" s="35" t="n"/>
      <c r="D364" s="47" t="n"/>
      <c r="E364" s="52" t="n"/>
      <c r="F364" s="35" t="n"/>
      <c r="G364" s="47" t="n"/>
      <c r="H364" s="128" t="inlineStr">
        <is>
          <t>Not Raised</t>
        </is>
      </c>
      <c r="I364" s="45" t="n"/>
      <c r="J364" s="45" t="n"/>
      <c r="K364" s="45" t="n"/>
    </row>
    <row r="365">
      <c r="A365" s="123">
        <f>IF(COUNTA(B365:G365)&gt;0,ROW()-3,"")</f>
        <v/>
      </c>
      <c r="B365" s="51" t="n"/>
      <c r="C365" s="35" t="n"/>
      <c r="D365" s="47" t="n"/>
      <c r="E365" s="52" t="n"/>
      <c r="F365" s="35" t="n"/>
      <c r="G365" s="47" t="n"/>
      <c r="H365" s="128" t="inlineStr">
        <is>
          <t>Not Raised</t>
        </is>
      </c>
      <c r="I365" s="45" t="n"/>
      <c r="J365" s="45" t="n"/>
      <c r="K365" s="45" t="n"/>
    </row>
    <row r="366">
      <c r="A366" s="123">
        <f>IF(COUNTA(B366:G366)&gt;0,ROW()-3,"")</f>
        <v/>
      </c>
      <c r="B366" s="51" t="n"/>
      <c r="C366" s="35" t="n"/>
      <c r="D366" s="47" t="n"/>
      <c r="E366" s="52" t="n"/>
      <c r="F366" s="35" t="n"/>
      <c r="G366" s="47" t="n"/>
      <c r="H366" s="128" t="inlineStr">
        <is>
          <t>Not Raised</t>
        </is>
      </c>
      <c r="I366" s="45" t="n"/>
      <c r="J366" s="45" t="n"/>
      <c r="K366" s="45" t="n"/>
    </row>
    <row r="367">
      <c r="A367" s="123">
        <f>IF(COUNTA(B367:G367)&gt;0,ROW()-3,"")</f>
        <v/>
      </c>
      <c r="B367" s="51" t="n"/>
      <c r="C367" s="35" t="n"/>
      <c r="D367" s="47" t="n"/>
      <c r="E367" s="52" t="n"/>
      <c r="F367" s="35" t="n"/>
      <c r="G367" s="47" t="n"/>
      <c r="H367" s="128" t="inlineStr">
        <is>
          <t>Not Raised</t>
        </is>
      </c>
      <c r="I367" s="45" t="n"/>
      <c r="J367" s="45" t="n"/>
      <c r="K367" s="45" t="n"/>
    </row>
    <row r="368">
      <c r="A368" s="123">
        <f>IF(COUNTA(B368:G368)&gt;0,ROW()-3,"")</f>
        <v/>
      </c>
      <c r="B368" s="51" t="n"/>
      <c r="C368" s="35" t="n"/>
      <c r="D368" s="47" t="n"/>
      <c r="E368" s="52" t="n"/>
      <c r="F368" s="35" t="n"/>
      <c r="G368" s="47" t="n"/>
      <c r="H368" s="128" t="inlineStr">
        <is>
          <t>Not Raised</t>
        </is>
      </c>
      <c r="I368" s="45" t="n"/>
      <c r="J368" s="45" t="n"/>
      <c r="K368" s="45" t="n"/>
    </row>
    <row r="369">
      <c r="A369" s="123">
        <f>IF(COUNTA(B369:G369)&gt;0,ROW()-3,"")</f>
        <v/>
      </c>
      <c r="B369" s="51" t="n"/>
      <c r="C369" s="35" t="n"/>
      <c r="D369" s="47" t="n"/>
      <c r="E369" s="52" t="n"/>
      <c r="F369" s="35" t="n"/>
      <c r="G369" s="47" t="n"/>
      <c r="H369" s="128" t="inlineStr">
        <is>
          <t>Not Raised</t>
        </is>
      </c>
      <c r="I369" s="45" t="n"/>
      <c r="J369" s="45" t="n"/>
      <c r="K369" s="45" t="n"/>
    </row>
    <row r="370">
      <c r="A370" s="123">
        <f>IF(COUNTA(B370:G370)&gt;0,ROW()-3,"")</f>
        <v/>
      </c>
      <c r="B370" s="51" t="n"/>
      <c r="C370" s="35" t="n"/>
      <c r="D370" s="47" t="n"/>
      <c r="E370" s="52" t="n"/>
      <c r="F370" s="35" t="n"/>
      <c r="G370" s="47" t="n"/>
      <c r="H370" s="128" t="inlineStr">
        <is>
          <t>Not Raised</t>
        </is>
      </c>
      <c r="I370" s="45" t="n"/>
      <c r="J370" s="45" t="n"/>
      <c r="K370" s="45" t="n"/>
    </row>
    <row r="371">
      <c r="A371" s="123">
        <f>IF(COUNTA(B371:G371)&gt;0,ROW()-3,"")</f>
        <v/>
      </c>
      <c r="B371" s="51" t="n"/>
      <c r="C371" s="35" t="n"/>
      <c r="D371" s="47" t="n"/>
      <c r="E371" s="52" t="n"/>
      <c r="F371" s="35" t="n"/>
      <c r="G371" s="47" t="n"/>
      <c r="H371" s="128" t="inlineStr">
        <is>
          <t>Not Raised</t>
        </is>
      </c>
      <c r="I371" s="45" t="n"/>
      <c r="J371" s="45" t="n"/>
      <c r="K371" s="45" t="n"/>
    </row>
    <row r="372">
      <c r="A372" s="123">
        <f>IF(COUNTA(B372:G372)&gt;0,ROW()-3,"")</f>
        <v/>
      </c>
      <c r="B372" s="51" t="n"/>
      <c r="C372" s="35" t="n"/>
      <c r="D372" s="47" t="n"/>
      <c r="E372" s="52" t="n"/>
      <c r="F372" s="35" t="n"/>
      <c r="G372" s="47" t="n"/>
      <c r="H372" s="128" t="inlineStr">
        <is>
          <t>Not Raised</t>
        </is>
      </c>
      <c r="I372" s="45" t="n"/>
      <c r="J372" s="45" t="n"/>
      <c r="K372" s="45" t="n"/>
    </row>
    <row r="373">
      <c r="A373" s="123">
        <f>IF(COUNTA(B373:G373)&gt;0,ROW()-3,"")</f>
        <v/>
      </c>
      <c r="B373" s="51" t="n"/>
      <c r="C373" s="35" t="n"/>
      <c r="D373" s="47" t="n"/>
      <c r="E373" s="52" t="n"/>
      <c r="F373" s="35" t="n"/>
      <c r="G373" s="47" t="n"/>
      <c r="H373" s="128" t="inlineStr">
        <is>
          <t>Not Raised</t>
        </is>
      </c>
      <c r="I373" s="45" t="n"/>
      <c r="J373" s="45" t="n"/>
      <c r="K373" s="45" t="n"/>
    </row>
    <row r="374">
      <c r="A374" s="123">
        <f>IF(COUNTA(B374:G374)&gt;0,ROW()-3,"")</f>
        <v/>
      </c>
      <c r="B374" s="51" t="n"/>
      <c r="C374" s="35" t="n"/>
      <c r="D374" s="47" t="n"/>
      <c r="E374" s="52" t="n"/>
      <c r="F374" s="35" t="n"/>
      <c r="G374" s="47" t="n"/>
      <c r="H374" s="128" t="inlineStr">
        <is>
          <t>Not Raised</t>
        </is>
      </c>
      <c r="I374" s="45" t="n"/>
      <c r="J374" s="45" t="n"/>
      <c r="K374" s="45" t="n"/>
    </row>
    <row r="375">
      <c r="A375" s="123">
        <f>IF(COUNTA(B375:G375)&gt;0,ROW()-3,"")</f>
        <v/>
      </c>
      <c r="B375" s="51" t="n"/>
      <c r="C375" s="35" t="n"/>
      <c r="D375" s="47" t="n"/>
      <c r="E375" s="52" t="n"/>
      <c r="F375" s="35" t="n"/>
      <c r="G375" s="47" t="n"/>
      <c r="H375" s="128" t="inlineStr">
        <is>
          <t>Not Raised</t>
        </is>
      </c>
      <c r="I375" s="45" t="n"/>
      <c r="J375" s="45" t="n"/>
      <c r="K375" s="45" t="n"/>
    </row>
    <row r="376">
      <c r="A376" s="123">
        <f>IF(COUNTA(B376:G376)&gt;0,ROW()-3,"")</f>
        <v/>
      </c>
      <c r="B376" s="51" t="n"/>
      <c r="C376" s="35" t="n"/>
      <c r="D376" s="47" t="n"/>
      <c r="E376" s="52" t="n"/>
      <c r="F376" s="35" t="n"/>
      <c r="G376" s="47" t="n"/>
      <c r="H376" s="128" t="inlineStr">
        <is>
          <t>Not Raised</t>
        </is>
      </c>
      <c r="I376" s="45" t="n"/>
      <c r="J376" s="45" t="n"/>
      <c r="K376" s="45" t="n"/>
    </row>
    <row r="377">
      <c r="A377" s="123">
        <f>IF(COUNTA(B377:G377)&gt;0,ROW()-3,"")</f>
        <v/>
      </c>
      <c r="B377" s="51" t="n"/>
      <c r="C377" s="35" t="n"/>
      <c r="D377" s="47" t="n"/>
      <c r="E377" s="52" t="n"/>
      <c r="F377" s="35" t="n"/>
      <c r="G377" s="47" t="n"/>
      <c r="H377" s="128" t="inlineStr">
        <is>
          <t>Not Raised</t>
        </is>
      </c>
      <c r="I377" s="45" t="n"/>
      <c r="J377" s="45" t="n"/>
      <c r="K377" s="45" t="n"/>
    </row>
    <row r="378">
      <c r="A378" s="123">
        <f>IF(COUNTA(B378:G378)&gt;0,ROW()-3,"")</f>
        <v/>
      </c>
      <c r="B378" s="51" t="n"/>
      <c r="C378" s="35" t="n"/>
      <c r="D378" s="47" t="n"/>
      <c r="E378" s="52" t="n"/>
      <c r="F378" s="35" t="n"/>
      <c r="G378" s="47" t="n"/>
      <c r="H378" s="128" t="inlineStr">
        <is>
          <t>Not Raised</t>
        </is>
      </c>
      <c r="I378" s="45" t="n"/>
      <c r="J378" s="45" t="n"/>
      <c r="K378" s="45" t="n"/>
    </row>
    <row r="379">
      <c r="A379" s="123">
        <f>IF(COUNTA(B379:G379)&gt;0,ROW()-3,"")</f>
        <v/>
      </c>
      <c r="B379" s="51" t="n"/>
      <c r="C379" s="35" t="n"/>
      <c r="D379" s="47" t="n"/>
      <c r="E379" s="52" t="n"/>
      <c r="F379" s="35" t="n"/>
      <c r="G379" s="47" t="n"/>
      <c r="H379" s="128" t="inlineStr">
        <is>
          <t>Not Raised</t>
        </is>
      </c>
      <c r="I379" s="45" t="n"/>
      <c r="J379" s="45" t="n"/>
      <c r="K379" s="45" t="n"/>
    </row>
    <row r="380">
      <c r="A380" s="123">
        <f>IF(COUNTA(B380:G380)&gt;0,ROW()-3,"")</f>
        <v/>
      </c>
      <c r="B380" s="51" t="n"/>
      <c r="C380" s="35" t="n"/>
      <c r="D380" s="47" t="n"/>
      <c r="E380" s="52" t="n"/>
      <c r="F380" s="35" t="n"/>
      <c r="G380" s="47" t="n"/>
      <c r="H380" s="128" t="inlineStr">
        <is>
          <t>Not Raised</t>
        </is>
      </c>
      <c r="I380" s="45" t="n"/>
      <c r="J380" s="45" t="n"/>
      <c r="K380" s="45" t="n"/>
    </row>
    <row r="381">
      <c r="A381" s="123">
        <f>IF(COUNTA(B381:G381)&gt;0,ROW()-3,"")</f>
        <v/>
      </c>
      <c r="B381" s="51" t="n"/>
      <c r="C381" s="35" t="n"/>
      <c r="D381" s="47" t="n"/>
      <c r="E381" s="52" t="n"/>
      <c r="F381" s="35" t="n"/>
      <c r="G381" s="47" t="n"/>
      <c r="H381" s="128" t="inlineStr">
        <is>
          <t>Not Raised</t>
        </is>
      </c>
      <c r="I381" s="45" t="n"/>
      <c r="J381" s="45" t="n"/>
      <c r="K381" s="45" t="n"/>
    </row>
    <row r="382">
      <c r="A382" s="123">
        <f>IF(COUNTA(B382:G382)&gt;0,ROW()-3,"")</f>
        <v/>
      </c>
      <c r="B382" s="51" t="n"/>
      <c r="C382" s="35" t="n"/>
      <c r="D382" s="47" t="n"/>
      <c r="E382" s="52" t="n"/>
      <c r="F382" s="35" t="n"/>
      <c r="G382" s="47" t="n"/>
      <c r="H382" s="128" t="inlineStr">
        <is>
          <t>Not Raised</t>
        </is>
      </c>
      <c r="I382" s="45" t="n"/>
      <c r="J382" s="45" t="n"/>
      <c r="K382" s="45" t="n"/>
    </row>
    <row r="383">
      <c r="A383" s="123">
        <f>IF(COUNTA(B383:G383)&gt;0,ROW()-3,"")</f>
        <v/>
      </c>
      <c r="B383" s="51" t="n"/>
      <c r="C383" s="35" t="n"/>
      <c r="D383" s="47" t="n"/>
      <c r="E383" s="52" t="n"/>
      <c r="F383" s="35" t="n"/>
      <c r="G383" s="47" t="n"/>
      <c r="H383" s="128" t="inlineStr">
        <is>
          <t>Not Raised</t>
        </is>
      </c>
      <c r="I383" s="45" t="n"/>
      <c r="J383" s="45" t="n"/>
      <c r="K383" s="45" t="n"/>
    </row>
    <row r="384">
      <c r="A384" s="123">
        <f>IF(COUNTA(B384:G384)&gt;0,ROW()-3,"")</f>
        <v/>
      </c>
      <c r="B384" s="51" t="n"/>
      <c r="C384" s="35" t="n"/>
      <c r="D384" s="47" t="n"/>
      <c r="E384" s="52" t="n"/>
      <c r="F384" s="35" t="n"/>
      <c r="G384" s="47" t="n"/>
      <c r="H384" s="128" t="inlineStr">
        <is>
          <t>Not Raised</t>
        </is>
      </c>
      <c r="I384" s="45" t="n"/>
      <c r="J384" s="45" t="n"/>
      <c r="K384" s="45" t="n"/>
    </row>
    <row r="385">
      <c r="A385" s="123">
        <f>IF(COUNTA(B385:G385)&gt;0,ROW()-3,"")</f>
        <v/>
      </c>
      <c r="B385" s="51" t="n"/>
      <c r="C385" s="35" t="n"/>
      <c r="D385" s="47" t="n"/>
      <c r="E385" s="52" t="n"/>
      <c r="F385" s="35" t="n"/>
      <c r="G385" s="47" t="n"/>
      <c r="H385" s="128" t="inlineStr">
        <is>
          <t>Not Raised</t>
        </is>
      </c>
      <c r="I385" s="45" t="n"/>
      <c r="J385" s="45" t="n"/>
      <c r="K385" s="45" t="n"/>
    </row>
    <row r="386">
      <c r="A386" s="123">
        <f>IF(COUNTA(B386:G386)&gt;0,ROW()-3,"")</f>
        <v/>
      </c>
      <c r="B386" s="51" t="n"/>
      <c r="C386" s="35" t="n"/>
      <c r="D386" s="47" t="n"/>
      <c r="E386" s="52" t="n"/>
      <c r="F386" s="35" t="n"/>
      <c r="G386" s="47" t="n"/>
      <c r="H386" s="128" t="inlineStr">
        <is>
          <t>Not Raised</t>
        </is>
      </c>
      <c r="I386" s="45" t="n"/>
      <c r="J386" s="45" t="n"/>
      <c r="K386" s="45" t="n"/>
    </row>
    <row r="387">
      <c r="A387" s="123">
        <f>IF(COUNTA(B387:G387)&gt;0,ROW()-3,"")</f>
        <v/>
      </c>
      <c r="B387" s="51" t="n"/>
      <c r="C387" s="35" t="n"/>
      <c r="D387" s="47" t="n"/>
      <c r="E387" s="52" t="n"/>
      <c r="F387" s="35" t="n"/>
      <c r="G387" s="47" t="n"/>
      <c r="H387" s="128" t="inlineStr">
        <is>
          <t>Not Raised</t>
        </is>
      </c>
      <c r="I387" s="45" t="n"/>
      <c r="J387" s="45" t="n"/>
      <c r="K387" s="45" t="n"/>
    </row>
    <row r="388">
      <c r="A388" s="123">
        <f>IF(COUNTA(B388:G388)&gt;0,ROW()-3,"")</f>
        <v/>
      </c>
      <c r="B388" s="51" t="n"/>
      <c r="C388" s="35" t="n"/>
      <c r="D388" s="47" t="n"/>
      <c r="E388" s="52" t="n"/>
      <c r="F388" s="35" t="n"/>
      <c r="G388" s="47" t="n"/>
      <c r="H388" s="128" t="inlineStr">
        <is>
          <t>Not Raised</t>
        </is>
      </c>
      <c r="I388" s="45" t="n"/>
      <c r="J388" s="45" t="n"/>
      <c r="K388" s="45" t="n"/>
    </row>
    <row r="389">
      <c r="A389" s="123">
        <f>IF(COUNTA(B389:G389)&gt;0,ROW()-3,"")</f>
        <v/>
      </c>
      <c r="B389" s="51" t="n"/>
      <c r="C389" s="35" t="n"/>
      <c r="D389" s="47" t="n"/>
      <c r="E389" s="52" t="n"/>
      <c r="F389" s="35" t="n"/>
      <c r="G389" s="47" t="n"/>
      <c r="H389" s="128" t="inlineStr">
        <is>
          <t>Not Raised</t>
        </is>
      </c>
      <c r="I389" s="45" t="n"/>
      <c r="J389" s="45" t="n"/>
      <c r="K389" s="45" t="n"/>
    </row>
    <row r="390">
      <c r="A390" s="123">
        <f>IF(COUNTA(B390:G390)&gt;0,ROW()-3,"")</f>
        <v/>
      </c>
      <c r="B390" s="51" t="n"/>
      <c r="C390" s="35" t="n"/>
      <c r="D390" s="47" t="n"/>
      <c r="E390" s="52" t="n"/>
      <c r="F390" s="35" t="n"/>
      <c r="G390" s="47" t="n"/>
      <c r="H390" s="128" t="inlineStr">
        <is>
          <t>Not Raised</t>
        </is>
      </c>
      <c r="I390" s="45" t="n"/>
      <c r="J390" s="45" t="n"/>
      <c r="K390" s="45" t="n"/>
    </row>
    <row r="391">
      <c r="A391" s="123">
        <f>IF(COUNTA(B391:G391)&gt;0,ROW()-3,"")</f>
        <v/>
      </c>
      <c r="B391" s="51" t="n"/>
      <c r="C391" s="35" t="n"/>
      <c r="D391" s="47" t="n"/>
      <c r="E391" s="52" t="n"/>
      <c r="F391" s="35" t="n"/>
      <c r="G391" s="47" t="n"/>
      <c r="H391" s="128" t="inlineStr">
        <is>
          <t>Not Raised</t>
        </is>
      </c>
      <c r="I391" s="45" t="n"/>
      <c r="J391" s="45" t="n"/>
      <c r="K391" s="45" t="n"/>
    </row>
    <row r="392">
      <c r="A392" s="123">
        <f>IF(COUNTA(B392:G392)&gt;0,ROW()-3,"")</f>
        <v/>
      </c>
      <c r="B392" s="51" t="n"/>
      <c r="C392" s="35" t="n"/>
      <c r="D392" s="47" t="n"/>
      <c r="E392" s="52" t="n"/>
      <c r="F392" s="35" t="n"/>
      <c r="G392" s="47" t="n"/>
      <c r="H392" s="128" t="inlineStr">
        <is>
          <t>Not Raised</t>
        </is>
      </c>
      <c r="I392" s="45" t="n"/>
      <c r="J392" s="45" t="n"/>
      <c r="K392" s="45" t="n"/>
    </row>
    <row r="393">
      <c r="A393" s="123">
        <f>IF(COUNTA(B393:G393)&gt;0,ROW()-3,"")</f>
        <v/>
      </c>
      <c r="B393" s="51" t="n"/>
      <c r="C393" s="35" t="n"/>
      <c r="D393" s="47" t="n"/>
      <c r="E393" s="52" t="n"/>
      <c r="F393" s="35" t="n"/>
      <c r="G393" s="47" t="n"/>
      <c r="H393" s="128" t="inlineStr">
        <is>
          <t>Not Raised</t>
        </is>
      </c>
      <c r="I393" s="45" t="n"/>
      <c r="J393" s="45" t="n"/>
      <c r="K393" s="45" t="n"/>
    </row>
    <row r="394">
      <c r="A394" s="123">
        <f>IF(COUNTA(B394:G394)&gt;0,ROW()-3,"")</f>
        <v/>
      </c>
      <c r="B394" s="51" t="n"/>
      <c r="C394" s="35" t="n"/>
      <c r="D394" s="47" t="n"/>
      <c r="E394" s="52" t="n"/>
      <c r="F394" s="35" t="n"/>
      <c r="G394" s="47" t="n"/>
      <c r="H394" s="128" t="inlineStr">
        <is>
          <t>Not Raised</t>
        </is>
      </c>
      <c r="I394" s="45" t="n"/>
      <c r="J394" s="45" t="n"/>
      <c r="K394" s="45" t="n"/>
    </row>
    <row r="395">
      <c r="A395" s="123">
        <f>IF(COUNTA(B395:G395)&gt;0,ROW()-3,"")</f>
        <v/>
      </c>
      <c r="B395" s="51" t="n"/>
      <c r="C395" s="35" t="n"/>
      <c r="D395" s="47" t="n"/>
      <c r="E395" s="52" t="n"/>
      <c r="F395" s="35" t="n"/>
      <c r="G395" s="47" t="n"/>
      <c r="H395" s="128" t="inlineStr">
        <is>
          <t>Not Raised</t>
        </is>
      </c>
      <c r="I395" s="45" t="n"/>
      <c r="J395" s="45" t="n"/>
      <c r="K395" s="45" t="n"/>
    </row>
    <row r="396">
      <c r="A396" s="123">
        <f>IF(COUNTA(B396:G396)&gt;0,ROW()-3,"")</f>
        <v/>
      </c>
      <c r="B396" s="51" t="n"/>
      <c r="C396" s="35" t="n"/>
      <c r="D396" s="47" t="n"/>
      <c r="E396" s="52" t="n"/>
      <c r="F396" s="35" t="n"/>
      <c r="G396" s="47" t="n"/>
      <c r="H396" s="128" t="inlineStr">
        <is>
          <t>Not Raised</t>
        </is>
      </c>
      <c r="I396" s="45" t="n"/>
      <c r="J396" s="45" t="n"/>
      <c r="K396" s="45" t="n"/>
    </row>
    <row r="397">
      <c r="A397" s="123">
        <f>IF(COUNTA(B397:G397)&gt;0,ROW()-3,"")</f>
        <v/>
      </c>
      <c r="B397" s="51" t="n"/>
      <c r="C397" s="35" t="n"/>
      <c r="D397" s="47" t="n"/>
      <c r="E397" s="52" t="n"/>
      <c r="F397" s="35" t="n"/>
      <c r="G397" s="47" t="n"/>
      <c r="H397" s="128" t="inlineStr">
        <is>
          <t>Not Raised</t>
        </is>
      </c>
      <c r="I397" s="45" t="n"/>
      <c r="J397" s="45" t="n"/>
      <c r="K397" s="45" t="n"/>
    </row>
    <row r="398">
      <c r="A398" s="123">
        <f>IF(COUNTA(B398:G398)&gt;0,ROW()-3,"")</f>
        <v/>
      </c>
      <c r="B398" s="51" t="n"/>
      <c r="C398" s="35" t="n"/>
      <c r="D398" s="47" t="n"/>
      <c r="E398" s="52" t="n"/>
      <c r="F398" s="35" t="n"/>
      <c r="G398" s="47" t="n"/>
      <c r="H398" s="128" t="inlineStr">
        <is>
          <t>Not Raised</t>
        </is>
      </c>
      <c r="I398" s="45" t="n"/>
      <c r="J398" s="45" t="n"/>
      <c r="K398" s="45" t="n"/>
    </row>
    <row r="399">
      <c r="A399" s="123">
        <f>IF(COUNTA(B399:G399)&gt;0,ROW()-3,"")</f>
        <v/>
      </c>
      <c r="B399" s="51" t="n"/>
      <c r="C399" s="35" t="n"/>
      <c r="D399" s="47" t="n"/>
      <c r="E399" s="52" t="n"/>
      <c r="F399" s="35" t="n"/>
      <c r="G399" s="47" t="n"/>
      <c r="H399" s="128" t="inlineStr">
        <is>
          <t>Not Raised</t>
        </is>
      </c>
      <c r="I399" s="45" t="n"/>
      <c r="J399" s="45" t="n"/>
      <c r="K399" s="45" t="n"/>
    </row>
    <row r="400">
      <c r="A400" s="123">
        <f>IF(COUNTA(B400:G400)&gt;0,ROW()-3,"")</f>
        <v/>
      </c>
      <c r="B400" s="51" t="n"/>
      <c r="C400" s="35" t="n"/>
      <c r="D400" s="47" t="n"/>
      <c r="E400" s="52" t="n"/>
      <c r="F400" s="35" t="n"/>
      <c r="G400" s="47" t="n"/>
      <c r="H400" s="128" t="inlineStr">
        <is>
          <t>Not Raised</t>
        </is>
      </c>
      <c r="I400" s="45" t="n"/>
      <c r="J400" s="45" t="n"/>
      <c r="K400" s="45" t="n"/>
    </row>
    <row r="401">
      <c r="A401" s="123">
        <f>IF(COUNTA(B401:G401)&gt;0,ROW()-3,"")</f>
        <v/>
      </c>
      <c r="B401" s="51" t="n"/>
      <c r="C401" s="35" t="n"/>
      <c r="D401" s="47" t="n"/>
      <c r="E401" s="52" t="n"/>
      <c r="F401" s="35" t="n"/>
      <c r="G401" s="47" t="n"/>
      <c r="H401" s="128" t="inlineStr">
        <is>
          <t>Not Raised</t>
        </is>
      </c>
      <c r="I401" s="45" t="n"/>
      <c r="J401" s="45" t="n"/>
      <c r="K401" s="45" t="n"/>
    </row>
    <row r="402">
      <c r="A402" s="123">
        <f>IF(COUNTA(B402:G402)&gt;0,ROW()-3,"")</f>
        <v/>
      </c>
      <c r="B402" s="51" t="n"/>
      <c r="C402" s="35" t="n"/>
      <c r="D402" s="47" t="n"/>
      <c r="E402" s="52" t="n"/>
      <c r="F402" s="35" t="n"/>
      <c r="G402" s="47" t="n"/>
      <c r="H402" s="128" t="inlineStr">
        <is>
          <t>Not Raised</t>
        </is>
      </c>
      <c r="I402" s="45" t="n"/>
      <c r="J402" s="45" t="n"/>
      <c r="K402" s="45" t="n"/>
    </row>
    <row r="403">
      <c r="A403" s="123">
        <f>IF(COUNTA(B403:G403)&gt;0,ROW()-3,"")</f>
        <v/>
      </c>
      <c r="B403" s="51" t="n"/>
      <c r="C403" s="35" t="n"/>
      <c r="D403" s="47" t="n"/>
      <c r="E403" s="52" t="n"/>
      <c r="F403" s="35" t="n"/>
      <c r="G403" s="47" t="n"/>
      <c r="H403" s="128" t="inlineStr">
        <is>
          <t>Not Raised</t>
        </is>
      </c>
      <c r="I403" s="45" t="n"/>
      <c r="J403" s="45" t="n"/>
      <c r="K403" s="45" t="n"/>
    </row>
    <row r="404">
      <c r="A404" s="123">
        <f>IF(COUNTA(B404:G404)&gt;0,ROW()-3,"")</f>
        <v/>
      </c>
      <c r="B404" s="51" t="n"/>
      <c r="C404" s="35" t="n"/>
      <c r="D404" s="47" t="n"/>
      <c r="E404" s="52" t="n"/>
      <c r="F404" s="35" t="n"/>
      <c r="G404" s="47" t="n"/>
      <c r="H404" s="128" t="inlineStr">
        <is>
          <t>Not Raised</t>
        </is>
      </c>
      <c r="I404" s="45" t="n"/>
      <c r="J404" s="45" t="n"/>
      <c r="K404" s="45" t="n"/>
    </row>
    <row r="405">
      <c r="A405" s="123">
        <f>IF(COUNTA(B405:G405)&gt;0,ROW()-3,"")</f>
        <v/>
      </c>
      <c r="B405" s="51" t="n"/>
      <c r="C405" s="35" t="n"/>
      <c r="D405" s="47" t="n"/>
      <c r="E405" s="52" t="n"/>
      <c r="F405" s="35" t="n"/>
      <c r="G405" s="47" t="n"/>
      <c r="H405" s="128" t="inlineStr">
        <is>
          <t>Not Raised</t>
        </is>
      </c>
      <c r="I405" s="45" t="n"/>
      <c r="J405" s="45" t="n"/>
      <c r="K405" s="45" t="n"/>
    </row>
    <row r="406">
      <c r="A406" s="123">
        <f>IF(COUNTA(B406:G406)&gt;0,ROW()-3,"")</f>
        <v/>
      </c>
      <c r="B406" s="51" t="n"/>
      <c r="C406" s="35" t="n"/>
      <c r="D406" s="47" t="n"/>
      <c r="E406" s="52" t="n"/>
      <c r="F406" s="35" t="n"/>
      <c r="G406" s="47" t="n"/>
      <c r="H406" s="128" t="inlineStr">
        <is>
          <t>Not Raised</t>
        </is>
      </c>
      <c r="I406" s="45" t="n"/>
      <c r="J406" s="45" t="n"/>
      <c r="K406" s="45" t="n"/>
    </row>
    <row r="407">
      <c r="A407" s="123">
        <f>IF(COUNTA(B407:G407)&gt;0,ROW()-3,"")</f>
        <v/>
      </c>
      <c r="B407" s="51" t="n"/>
      <c r="C407" s="35" t="n"/>
      <c r="D407" s="47" t="n"/>
      <c r="E407" s="52" t="n"/>
      <c r="F407" s="35" t="n"/>
      <c r="G407" s="47" t="n"/>
      <c r="H407" s="128" t="inlineStr">
        <is>
          <t>Not Raised</t>
        </is>
      </c>
      <c r="I407" s="45" t="n"/>
      <c r="J407" s="45" t="n"/>
      <c r="K407" s="45" t="n"/>
    </row>
    <row r="408">
      <c r="A408" s="123">
        <f>IF(COUNTA(B408:G408)&gt;0,ROW()-3,"")</f>
        <v/>
      </c>
      <c r="B408" s="51" t="n"/>
      <c r="C408" s="35" t="n"/>
      <c r="D408" s="47" t="n"/>
      <c r="E408" s="52" t="n"/>
      <c r="F408" s="35" t="n"/>
      <c r="G408" s="47" t="n"/>
      <c r="H408" s="128" t="inlineStr">
        <is>
          <t>Not Raised</t>
        </is>
      </c>
      <c r="I408" s="45" t="n"/>
      <c r="J408" s="45" t="n"/>
      <c r="K408" s="45" t="n"/>
    </row>
    <row r="409">
      <c r="A409" s="123">
        <f>IF(COUNTA(B409:G409)&gt;0,ROW()-3,"")</f>
        <v/>
      </c>
      <c r="B409" s="51" t="n"/>
      <c r="C409" s="35" t="n"/>
      <c r="D409" s="47" t="n"/>
      <c r="E409" s="52" t="n"/>
      <c r="F409" s="35" t="n"/>
      <c r="G409" s="47" t="n"/>
      <c r="H409" s="128" t="inlineStr">
        <is>
          <t>Not Raised</t>
        </is>
      </c>
      <c r="I409" s="45" t="n"/>
      <c r="J409" s="45" t="n"/>
      <c r="K409" s="45" t="n"/>
    </row>
    <row r="410">
      <c r="A410" s="123">
        <f>IF(COUNTA(B410:G410)&gt;0,ROW()-3,"")</f>
        <v/>
      </c>
      <c r="B410" s="51" t="n"/>
      <c r="C410" s="35" t="n"/>
      <c r="D410" s="47" t="n"/>
      <c r="E410" s="52" t="n"/>
      <c r="F410" s="35" t="n"/>
      <c r="G410" s="47" t="n"/>
      <c r="H410" s="128" t="inlineStr">
        <is>
          <t>Not Raised</t>
        </is>
      </c>
      <c r="I410" s="45" t="n"/>
      <c r="J410" s="45" t="n"/>
      <c r="K410" s="45" t="n"/>
    </row>
    <row r="411">
      <c r="A411" s="123">
        <f>IF(COUNTA(B411:G411)&gt;0,ROW()-3,"")</f>
        <v/>
      </c>
      <c r="B411" s="51" t="n"/>
      <c r="C411" s="35" t="n"/>
      <c r="D411" s="47" t="n"/>
      <c r="E411" s="52" t="n"/>
      <c r="F411" s="35" t="n"/>
      <c r="G411" s="47" t="n"/>
      <c r="H411" s="128" t="inlineStr">
        <is>
          <t>Not Raised</t>
        </is>
      </c>
      <c r="I411" s="45" t="n"/>
      <c r="J411" s="45" t="n"/>
      <c r="K411" s="45" t="n"/>
    </row>
    <row r="412">
      <c r="A412" s="123">
        <f>IF(COUNTA(B412:G412)&gt;0,ROW()-3,"")</f>
        <v/>
      </c>
      <c r="B412" s="51" t="n"/>
      <c r="C412" s="35" t="n"/>
      <c r="D412" s="47" t="n"/>
      <c r="E412" s="52" t="n"/>
      <c r="F412" s="35" t="n"/>
      <c r="G412" s="47" t="n"/>
      <c r="H412" s="128" t="inlineStr">
        <is>
          <t>Not Raised</t>
        </is>
      </c>
      <c r="I412" s="45" t="n"/>
      <c r="J412" s="45" t="n"/>
      <c r="K412" s="45" t="n"/>
    </row>
    <row r="413">
      <c r="A413" s="123">
        <f>IF(COUNTA(B413:G413)&gt;0,ROW()-3,"")</f>
        <v/>
      </c>
      <c r="B413" s="51" t="n"/>
      <c r="C413" s="35" t="n"/>
      <c r="D413" s="47" t="n"/>
      <c r="E413" s="52" t="n"/>
      <c r="F413" s="35" t="n"/>
      <c r="G413" s="47" t="n"/>
      <c r="H413" s="128" t="inlineStr">
        <is>
          <t>Not Raised</t>
        </is>
      </c>
      <c r="I413" s="45" t="n"/>
      <c r="J413" s="45" t="n"/>
      <c r="K413" s="45" t="n"/>
    </row>
    <row r="414">
      <c r="A414" s="123">
        <f>IF(COUNTA(B414:G414)&gt;0,ROW()-3,"")</f>
        <v/>
      </c>
      <c r="B414" s="51" t="n"/>
      <c r="C414" s="35" t="n"/>
      <c r="D414" s="47" t="n"/>
      <c r="E414" s="52" t="n"/>
      <c r="F414" s="35" t="n"/>
      <c r="G414" s="47" t="n"/>
      <c r="H414" s="128" t="inlineStr">
        <is>
          <t>Not Raised</t>
        </is>
      </c>
      <c r="I414" s="45" t="n"/>
      <c r="J414" s="45" t="n"/>
      <c r="K414" s="45" t="n"/>
    </row>
    <row r="415">
      <c r="A415" s="123">
        <f>IF(COUNTA(B415:G415)&gt;0,ROW()-3,"")</f>
        <v/>
      </c>
      <c r="B415" s="51" t="n"/>
      <c r="C415" s="35" t="n"/>
      <c r="D415" s="47" t="n"/>
      <c r="E415" s="52" t="n"/>
      <c r="F415" s="35" t="n"/>
      <c r="G415" s="47" t="n"/>
      <c r="H415" s="128" t="inlineStr">
        <is>
          <t>Not Raised</t>
        </is>
      </c>
      <c r="I415" s="45" t="n"/>
      <c r="J415" s="45" t="n"/>
      <c r="K415" s="45" t="n"/>
    </row>
    <row r="416">
      <c r="A416" s="123">
        <f>IF(COUNTA(B416:G416)&gt;0,ROW()-3,"")</f>
        <v/>
      </c>
      <c r="B416" s="51" t="n"/>
      <c r="C416" s="35" t="n"/>
      <c r="D416" s="47" t="n"/>
      <c r="E416" s="52" t="n"/>
      <c r="F416" s="35" t="n"/>
      <c r="G416" s="47" t="n"/>
      <c r="H416" s="128" t="inlineStr">
        <is>
          <t>Not Raised</t>
        </is>
      </c>
      <c r="I416" s="45" t="n"/>
      <c r="J416" s="45" t="n"/>
      <c r="K416" s="45" t="n"/>
    </row>
    <row r="417">
      <c r="A417" s="123">
        <f>IF(COUNTA(B417:G417)&gt;0,ROW()-3,"")</f>
        <v/>
      </c>
      <c r="B417" s="51" t="n"/>
      <c r="C417" s="35" t="n"/>
      <c r="D417" s="47" t="n"/>
      <c r="E417" s="52" t="n"/>
      <c r="F417" s="35" t="n"/>
      <c r="G417" s="47" t="n"/>
      <c r="H417" s="128" t="inlineStr">
        <is>
          <t>Not Raised</t>
        </is>
      </c>
      <c r="I417" s="45" t="n"/>
      <c r="J417" s="45" t="n"/>
      <c r="K417" s="45" t="n"/>
    </row>
    <row r="418">
      <c r="A418" s="123">
        <f>IF(COUNTA(B418:G418)&gt;0,ROW()-3,"")</f>
        <v/>
      </c>
      <c r="B418" s="51" t="n"/>
      <c r="C418" s="35" t="n"/>
      <c r="D418" s="47" t="n"/>
      <c r="E418" s="52" t="n"/>
      <c r="F418" s="35" t="n"/>
      <c r="G418" s="47" t="n"/>
      <c r="H418" s="128" t="inlineStr">
        <is>
          <t>Not Raised</t>
        </is>
      </c>
      <c r="I418" s="45" t="n"/>
      <c r="J418" s="45" t="n"/>
      <c r="K418" s="45" t="n"/>
    </row>
    <row r="419">
      <c r="A419" s="123">
        <f>IF(COUNTA(B419:G419)&gt;0,ROW()-3,"")</f>
        <v/>
      </c>
      <c r="B419" s="51" t="n"/>
      <c r="C419" s="35" t="n"/>
      <c r="D419" s="47" t="n"/>
      <c r="E419" s="52" t="n"/>
      <c r="F419" s="35" t="n"/>
      <c r="G419" s="47" t="n"/>
      <c r="H419" s="128" t="inlineStr">
        <is>
          <t>Not Raised</t>
        </is>
      </c>
      <c r="I419" s="45" t="n"/>
      <c r="J419" s="45" t="n"/>
      <c r="K419" s="45" t="n"/>
    </row>
    <row r="420">
      <c r="A420" s="123">
        <f>IF(COUNTA(B420:G420)&gt;0,ROW()-3,"")</f>
        <v/>
      </c>
      <c r="B420" s="51" t="n"/>
      <c r="C420" s="35" t="n"/>
      <c r="D420" s="47" t="n"/>
      <c r="E420" s="52" t="n"/>
      <c r="F420" s="35" t="n"/>
      <c r="G420" s="47" t="n"/>
      <c r="H420" s="128" t="inlineStr">
        <is>
          <t>Not Raised</t>
        </is>
      </c>
      <c r="I420" s="45" t="n"/>
      <c r="J420" s="45" t="n"/>
      <c r="K420" s="45" t="n"/>
    </row>
    <row r="421">
      <c r="A421" s="123">
        <f>IF(COUNTA(B421:G421)&gt;0,ROW()-3,"")</f>
        <v/>
      </c>
      <c r="B421" s="51" t="n"/>
      <c r="C421" s="35" t="n"/>
      <c r="D421" s="47" t="n"/>
      <c r="E421" s="52" t="n"/>
      <c r="F421" s="35" t="n"/>
      <c r="G421" s="47" t="n"/>
      <c r="H421" s="128" t="inlineStr">
        <is>
          <t>Not Raised</t>
        </is>
      </c>
      <c r="I421" s="45" t="n"/>
      <c r="J421" s="45" t="n"/>
      <c r="K421" s="45" t="n"/>
    </row>
    <row r="422">
      <c r="A422" s="123">
        <f>IF(COUNTA(B422:G422)&gt;0,ROW()-3,"")</f>
        <v/>
      </c>
      <c r="B422" s="51" t="n"/>
      <c r="C422" s="35" t="n"/>
      <c r="D422" s="47" t="n"/>
      <c r="E422" s="52" t="n"/>
      <c r="F422" s="35" t="n"/>
      <c r="G422" s="47" t="n"/>
      <c r="H422" s="128" t="inlineStr">
        <is>
          <t>Not Raised</t>
        </is>
      </c>
      <c r="I422" s="45" t="n"/>
      <c r="J422" s="45" t="n"/>
      <c r="K422" s="45" t="n"/>
    </row>
    <row r="423">
      <c r="A423" s="123">
        <f>IF(COUNTA(B423:G423)&gt;0,ROW()-3,"")</f>
        <v/>
      </c>
      <c r="B423" s="51" t="n"/>
      <c r="C423" s="35" t="n"/>
      <c r="D423" s="47" t="n"/>
      <c r="E423" s="52" t="n"/>
      <c r="F423" s="35" t="n"/>
      <c r="G423" s="47" t="n"/>
      <c r="H423" s="128" t="inlineStr">
        <is>
          <t>Not Raised</t>
        </is>
      </c>
      <c r="I423" s="45" t="n"/>
      <c r="J423" s="45" t="n"/>
      <c r="K423" s="45" t="n"/>
    </row>
    <row r="424">
      <c r="A424" s="123">
        <f>IF(COUNTA(B424:G424)&gt;0,ROW()-3,"")</f>
        <v/>
      </c>
      <c r="B424" s="51" t="n"/>
      <c r="C424" s="35" t="n"/>
      <c r="D424" s="47" t="n"/>
      <c r="E424" s="52" t="n"/>
      <c r="F424" s="35" t="n"/>
      <c r="G424" s="47" t="n"/>
      <c r="H424" s="128" t="inlineStr">
        <is>
          <t>Not Raised</t>
        </is>
      </c>
      <c r="I424" s="45" t="n"/>
      <c r="J424" s="45" t="n"/>
      <c r="K424" s="45" t="n"/>
    </row>
    <row r="425">
      <c r="A425" s="123">
        <f>IF(COUNTA(B425:G425)&gt;0,ROW()-3,"")</f>
        <v/>
      </c>
      <c r="B425" s="51" t="n"/>
      <c r="C425" s="35" t="n"/>
      <c r="D425" s="47" t="n"/>
      <c r="E425" s="52" t="n"/>
      <c r="F425" s="35" t="n"/>
      <c r="G425" s="47" t="n"/>
      <c r="H425" s="128" t="inlineStr">
        <is>
          <t>Not Raised</t>
        </is>
      </c>
      <c r="I425" s="45" t="n"/>
      <c r="J425" s="45" t="n"/>
      <c r="K425" s="45" t="n"/>
    </row>
    <row r="426">
      <c r="A426" s="123">
        <f>IF(COUNTA(B426:G426)&gt;0,ROW()-3,"")</f>
        <v/>
      </c>
      <c r="B426" s="51" t="n"/>
      <c r="C426" s="35" t="n"/>
      <c r="D426" s="47" t="n"/>
      <c r="E426" s="52" t="n"/>
      <c r="F426" s="35" t="n"/>
      <c r="G426" s="47" t="n"/>
      <c r="H426" s="128" t="inlineStr">
        <is>
          <t>Not Raised</t>
        </is>
      </c>
      <c r="I426" s="45" t="n"/>
      <c r="J426" s="45" t="n"/>
      <c r="K426" s="45" t="n"/>
    </row>
    <row r="427">
      <c r="A427" s="123">
        <f>IF(COUNTA(B427:G427)&gt;0,ROW()-3,"")</f>
        <v/>
      </c>
      <c r="B427" s="51" t="n"/>
      <c r="C427" s="35" t="n"/>
      <c r="D427" s="47" t="n"/>
      <c r="E427" s="52" t="n"/>
      <c r="F427" s="35" t="n"/>
      <c r="G427" s="47" t="n"/>
      <c r="H427" s="128" t="inlineStr">
        <is>
          <t>Not Raised</t>
        </is>
      </c>
      <c r="I427" s="45" t="n"/>
      <c r="J427" s="45" t="n"/>
      <c r="K427" s="45" t="n"/>
    </row>
    <row r="428">
      <c r="A428" s="123">
        <f>IF(COUNTA(B428:G428)&gt;0,ROW()-3,"")</f>
        <v/>
      </c>
      <c r="B428" s="51" t="n"/>
      <c r="C428" s="35" t="n"/>
      <c r="D428" s="47" t="n"/>
      <c r="E428" s="52" t="n"/>
      <c r="F428" s="35" t="n"/>
      <c r="G428" s="47" t="n"/>
      <c r="H428" s="128" t="inlineStr">
        <is>
          <t>Not Raised</t>
        </is>
      </c>
      <c r="I428" s="45" t="n"/>
      <c r="J428" s="45" t="n"/>
      <c r="K428" s="45" t="n"/>
    </row>
    <row r="429">
      <c r="A429" s="123">
        <f>IF(COUNTA(B429:G429)&gt;0,ROW()-3,"")</f>
        <v/>
      </c>
      <c r="B429" s="51" t="n"/>
      <c r="C429" s="35" t="n"/>
      <c r="D429" s="47" t="n"/>
      <c r="E429" s="52" t="n"/>
      <c r="F429" s="35" t="n"/>
      <c r="G429" s="47" t="n"/>
      <c r="H429" s="128" t="inlineStr">
        <is>
          <t>Not Raised</t>
        </is>
      </c>
      <c r="I429" s="45" t="n"/>
      <c r="J429" s="45" t="n"/>
      <c r="K429" s="45" t="n"/>
    </row>
    <row r="430">
      <c r="A430" s="123">
        <f>IF(COUNTA(B430:G430)&gt;0,ROW()-3,"")</f>
        <v/>
      </c>
      <c r="B430" s="51" t="n"/>
      <c r="C430" s="35" t="n"/>
      <c r="D430" s="47" t="n"/>
      <c r="E430" s="52" t="n"/>
      <c r="F430" s="35" t="n"/>
      <c r="G430" s="47" t="n"/>
      <c r="H430" s="128" t="inlineStr">
        <is>
          <t>Not Raised</t>
        </is>
      </c>
      <c r="I430" s="45" t="n"/>
      <c r="J430" s="45" t="n"/>
      <c r="K430" s="45" t="n"/>
    </row>
    <row r="431">
      <c r="A431" s="123">
        <f>IF(COUNTA(B431:G431)&gt;0,ROW()-3,"")</f>
        <v/>
      </c>
      <c r="B431" s="51" t="n"/>
      <c r="C431" s="35" t="n"/>
      <c r="D431" s="47" t="n"/>
      <c r="E431" s="52" t="n"/>
      <c r="F431" s="35" t="n"/>
      <c r="G431" s="47" t="n"/>
      <c r="H431" s="128" t="inlineStr">
        <is>
          <t>Not Raised</t>
        </is>
      </c>
      <c r="I431" s="45" t="n"/>
      <c r="J431" s="45" t="n"/>
      <c r="K431" s="45" t="n"/>
    </row>
    <row r="432">
      <c r="A432" s="123">
        <f>IF(COUNTA(B432:G432)&gt;0,ROW()-3,"")</f>
        <v/>
      </c>
      <c r="B432" s="51" t="n"/>
      <c r="C432" s="35" t="n"/>
      <c r="D432" s="47" t="n"/>
      <c r="E432" s="52" t="n"/>
      <c r="F432" s="35" t="n"/>
      <c r="G432" s="47" t="n"/>
      <c r="H432" s="128" t="inlineStr">
        <is>
          <t>Not Raised</t>
        </is>
      </c>
      <c r="I432" s="45" t="n"/>
      <c r="J432" s="45" t="n"/>
      <c r="K432" s="45" t="n"/>
    </row>
    <row r="433">
      <c r="A433" s="123">
        <f>IF(COUNTA(B433:G433)&gt;0,ROW()-3,"")</f>
        <v/>
      </c>
      <c r="B433" s="51" t="n"/>
      <c r="C433" s="35" t="n"/>
      <c r="D433" s="47" t="n"/>
      <c r="E433" s="52" t="n"/>
      <c r="F433" s="35" t="n"/>
      <c r="G433" s="47" t="n"/>
      <c r="H433" s="128" t="inlineStr">
        <is>
          <t>Not Raised</t>
        </is>
      </c>
      <c r="I433" s="45" t="n"/>
      <c r="J433" s="45" t="n"/>
      <c r="K433" s="45" t="n"/>
    </row>
    <row r="434">
      <c r="A434" s="123">
        <f>IF(COUNTA(B434:G434)&gt;0,ROW()-3,"")</f>
        <v/>
      </c>
      <c r="B434" s="51" t="n"/>
      <c r="C434" s="35" t="n"/>
      <c r="D434" s="47" t="n"/>
      <c r="E434" s="52" t="n"/>
      <c r="F434" s="35" t="n"/>
      <c r="G434" s="47" t="n"/>
      <c r="H434" s="128" t="inlineStr">
        <is>
          <t>Not Raised</t>
        </is>
      </c>
      <c r="I434" s="45" t="n"/>
      <c r="J434" s="45" t="n"/>
      <c r="K434" s="45" t="n"/>
    </row>
    <row r="435">
      <c r="A435" s="123">
        <f>IF(COUNTA(B435:G435)&gt;0,ROW()-3,"")</f>
        <v/>
      </c>
      <c r="B435" s="51" t="n"/>
      <c r="C435" s="35" t="n"/>
      <c r="D435" s="47" t="n"/>
      <c r="E435" s="52" t="n"/>
      <c r="F435" s="35" t="n"/>
      <c r="G435" s="47" t="n"/>
      <c r="H435" s="128" t="inlineStr">
        <is>
          <t>Not Raised</t>
        </is>
      </c>
      <c r="I435" s="45" t="n"/>
      <c r="J435" s="45" t="n"/>
      <c r="K435" s="45" t="n"/>
    </row>
    <row r="436">
      <c r="A436" s="123">
        <f>IF(COUNTA(B436:G436)&gt;0,ROW()-3,"")</f>
        <v/>
      </c>
      <c r="B436" s="51" t="n"/>
      <c r="C436" s="35" t="n"/>
      <c r="D436" s="47" t="n"/>
      <c r="E436" s="52" t="n"/>
      <c r="F436" s="35" t="n"/>
      <c r="G436" s="47" t="n"/>
      <c r="H436" s="128" t="inlineStr">
        <is>
          <t>Not Raised</t>
        </is>
      </c>
      <c r="I436" s="45" t="n"/>
      <c r="J436" s="45" t="n"/>
      <c r="K436" s="45" t="n"/>
    </row>
    <row r="437">
      <c r="A437" s="123">
        <f>IF(COUNTA(B437:G437)&gt;0,ROW()-3,"")</f>
        <v/>
      </c>
      <c r="B437" s="51" t="n"/>
      <c r="C437" s="35" t="n"/>
      <c r="D437" s="47" t="n"/>
      <c r="E437" s="52" t="n"/>
      <c r="F437" s="35" t="n"/>
      <c r="G437" s="47" t="n"/>
      <c r="H437" s="128" t="inlineStr">
        <is>
          <t>Not Raised</t>
        </is>
      </c>
      <c r="I437" s="45" t="n"/>
      <c r="J437" s="45" t="n"/>
      <c r="K437" s="45" t="n"/>
    </row>
    <row r="438">
      <c r="A438" s="123">
        <f>IF(COUNTA(B438:G438)&gt;0,ROW()-3,"")</f>
        <v/>
      </c>
      <c r="B438" s="51" t="n"/>
      <c r="C438" s="35" t="n"/>
      <c r="D438" s="47" t="n"/>
      <c r="E438" s="52" t="n"/>
      <c r="F438" s="35" t="n"/>
      <c r="G438" s="47" t="n"/>
      <c r="H438" s="128" t="inlineStr">
        <is>
          <t>Not Raised</t>
        </is>
      </c>
      <c r="I438" s="45" t="n"/>
      <c r="J438" s="45" t="n"/>
      <c r="K438" s="45" t="n"/>
    </row>
    <row r="439">
      <c r="A439" s="123">
        <f>IF(COUNTA(B439:G439)&gt;0,ROW()-3,"")</f>
        <v/>
      </c>
      <c r="B439" s="51" t="n"/>
      <c r="C439" s="35" t="n"/>
      <c r="D439" s="47" t="n"/>
      <c r="E439" s="52" t="n"/>
      <c r="F439" s="35" t="n"/>
      <c r="G439" s="47" t="n"/>
      <c r="H439" s="128" t="inlineStr">
        <is>
          <t>Not Raised</t>
        </is>
      </c>
      <c r="I439" s="45" t="n"/>
      <c r="J439" s="45" t="n"/>
      <c r="K439" s="45" t="n"/>
    </row>
    <row r="440">
      <c r="A440" s="123">
        <f>IF(COUNTA(B440:G440)&gt;0,ROW()-3,"")</f>
        <v/>
      </c>
      <c r="B440" s="51" t="n"/>
      <c r="C440" s="35" t="n"/>
      <c r="D440" s="47" t="n"/>
      <c r="E440" s="52" t="n"/>
      <c r="F440" s="35" t="n"/>
      <c r="G440" s="47" t="n"/>
      <c r="H440" s="128" t="inlineStr">
        <is>
          <t>Not Raised</t>
        </is>
      </c>
      <c r="I440" s="45" t="n"/>
      <c r="J440" s="45" t="n"/>
      <c r="K440" s="45" t="n"/>
    </row>
    <row r="441">
      <c r="A441" s="123">
        <f>IF(COUNTA(B441:G441)&gt;0,ROW()-3,"")</f>
        <v/>
      </c>
      <c r="B441" s="51" t="n"/>
      <c r="C441" s="35" t="n"/>
      <c r="D441" s="47" t="n"/>
      <c r="E441" s="52" t="n"/>
      <c r="F441" s="35" t="n"/>
      <c r="G441" s="47" t="n"/>
      <c r="H441" s="128" t="inlineStr">
        <is>
          <t>Not Raised</t>
        </is>
      </c>
      <c r="I441" s="45" t="n"/>
      <c r="J441" s="45" t="n"/>
      <c r="K441" s="45" t="n"/>
    </row>
    <row r="442">
      <c r="A442" s="123">
        <f>IF(COUNTA(B442:G442)&gt;0,ROW()-3,"")</f>
        <v/>
      </c>
      <c r="B442" s="51" t="n"/>
      <c r="C442" s="35" t="n"/>
      <c r="D442" s="47" t="n"/>
      <c r="E442" s="52" t="n"/>
      <c r="F442" s="35" t="n"/>
      <c r="G442" s="47" t="n"/>
      <c r="H442" s="128" t="inlineStr">
        <is>
          <t>Not Raised</t>
        </is>
      </c>
      <c r="I442" s="45" t="n"/>
      <c r="J442" s="45" t="n"/>
      <c r="K442" s="45" t="n"/>
    </row>
    <row r="443">
      <c r="A443" s="123">
        <f>IF(COUNTA(B443:G443)&gt;0,ROW()-3,"")</f>
        <v/>
      </c>
      <c r="B443" s="51" t="n"/>
      <c r="C443" s="35" t="n"/>
      <c r="D443" s="47" t="n"/>
      <c r="E443" s="52" t="n"/>
      <c r="F443" s="35" t="n"/>
      <c r="G443" s="47" t="n"/>
      <c r="H443" s="128" t="inlineStr">
        <is>
          <t>Not Raised</t>
        </is>
      </c>
      <c r="I443" s="45" t="n"/>
      <c r="J443" s="45" t="n"/>
      <c r="K443" s="45" t="n"/>
    </row>
    <row r="444">
      <c r="A444" s="123">
        <f>IF(COUNTA(B444:G444)&gt;0,ROW()-3,"")</f>
        <v/>
      </c>
      <c r="B444" s="51" t="n"/>
      <c r="C444" s="35" t="n"/>
      <c r="D444" s="47" t="n"/>
      <c r="E444" s="52" t="n"/>
      <c r="F444" s="35" t="n"/>
      <c r="G444" s="47" t="n"/>
      <c r="H444" s="128" t="inlineStr">
        <is>
          <t>Not Raised</t>
        </is>
      </c>
      <c r="I444" s="45" t="n"/>
      <c r="J444" s="45" t="n"/>
      <c r="K444" s="45" t="n"/>
    </row>
    <row r="445">
      <c r="A445" s="123">
        <f>IF(COUNTA(B445:G445)&gt;0,ROW()-3,"")</f>
        <v/>
      </c>
      <c r="B445" s="51" t="n"/>
      <c r="C445" s="35" t="n"/>
      <c r="D445" s="47" t="n"/>
      <c r="E445" s="52" t="n"/>
      <c r="F445" s="35" t="n"/>
      <c r="G445" s="47" t="n"/>
      <c r="H445" s="128" t="inlineStr">
        <is>
          <t>Not Raised</t>
        </is>
      </c>
      <c r="I445" s="45" t="n"/>
      <c r="J445" s="45" t="n"/>
      <c r="K445" s="45" t="n"/>
    </row>
    <row r="446">
      <c r="A446" s="123">
        <f>IF(COUNTA(B446:G446)&gt;0,ROW()-3,"")</f>
        <v/>
      </c>
      <c r="B446" s="51" t="n"/>
      <c r="C446" s="35" t="n"/>
      <c r="D446" s="47" t="n"/>
      <c r="E446" s="52" t="n"/>
      <c r="F446" s="35" t="n"/>
      <c r="G446" s="47" t="n"/>
      <c r="H446" s="128" t="inlineStr">
        <is>
          <t>Not Raised</t>
        </is>
      </c>
      <c r="I446" s="45" t="n"/>
      <c r="J446" s="45" t="n"/>
      <c r="K446" s="45" t="n"/>
    </row>
    <row r="447">
      <c r="A447" s="123">
        <f>IF(COUNTA(B447:G447)&gt;0,ROW()-3,"")</f>
        <v/>
      </c>
      <c r="B447" s="51" t="n"/>
      <c r="C447" s="35" t="n"/>
      <c r="D447" s="47" t="n"/>
      <c r="E447" s="52" t="n"/>
      <c r="F447" s="35" t="n"/>
      <c r="G447" s="47" t="n"/>
      <c r="H447" s="128" t="inlineStr">
        <is>
          <t>Not Raised</t>
        </is>
      </c>
      <c r="I447" s="45" t="n"/>
      <c r="J447" s="45" t="n"/>
      <c r="K447" s="45" t="n"/>
    </row>
    <row r="448">
      <c r="A448" s="123">
        <f>IF(COUNTA(B448:G448)&gt;0,ROW()-3,"")</f>
        <v/>
      </c>
      <c r="B448" s="51" t="n"/>
      <c r="C448" s="35" t="n"/>
      <c r="D448" s="47" t="n"/>
      <c r="E448" s="52" t="n"/>
      <c r="F448" s="35" t="n"/>
      <c r="G448" s="47" t="n"/>
      <c r="H448" s="128" t="inlineStr">
        <is>
          <t>Not Raised</t>
        </is>
      </c>
      <c r="I448" s="45" t="n"/>
      <c r="J448" s="45" t="n"/>
      <c r="K448" s="45" t="n"/>
    </row>
    <row r="449">
      <c r="A449" s="123">
        <f>IF(COUNTA(B449:G449)&gt;0,ROW()-3,"")</f>
        <v/>
      </c>
      <c r="B449" s="51" t="n"/>
      <c r="C449" s="35" t="n"/>
      <c r="D449" s="47" t="n"/>
      <c r="E449" s="52" t="n"/>
      <c r="F449" s="35" t="n"/>
      <c r="G449" s="47" t="n"/>
      <c r="H449" s="128" t="inlineStr">
        <is>
          <t>Not Raised</t>
        </is>
      </c>
      <c r="I449" s="45" t="n"/>
      <c r="J449" s="45" t="n"/>
      <c r="K449" s="45" t="n"/>
    </row>
    <row r="450">
      <c r="A450" s="123">
        <f>IF(COUNTA(B450:G450)&gt;0,ROW()-3,"")</f>
        <v/>
      </c>
      <c r="B450" s="51" t="n"/>
      <c r="C450" s="35" t="n"/>
      <c r="D450" s="47" t="n"/>
      <c r="E450" s="52" t="n"/>
      <c r="F450" s="35" t="n"/>
      <c r="G450" s="47" t="n"/>
      <c r="H450" s="128" t="inlineStr">
        <is>
          <t>Not Raised</t>
        </is>
      </c>
      <c r="I450" s="45" t="n"/>
      <c r="J450" s="45" t="n"/>
      <c r="K450" s="45" t="n"/>
    </row>
    <row r="451">
      <c r="A451" s="123">
        <f>IF(COUNTA(B451:G451)&gt;0,ROW()-3,"")</f>
        <v/>
      </c>
      <c r="B451" s="51" t="n"/>
      <c r="C451" s="35" t="n"/>
      <c r="D451" s="47" t="n"/>
      <c r="E451" s="52" t="n"/>
      <c r="F451" s="35" t="n"/>
      <c r="G451" s="47" t="n"/>
      <c r="H451" s="128" t="inlineStr">
        <is>
          <t>Not Raised</t>
        </is>
      </c>
      <c r="I451" s="45" t="n"/>
      <c r="J451" s="45" t="n"/>
      <c r="K451" s="45" t="n"/>
    </row>
    <row r="452">
      <c r="A452" s="123">
        <f>IF(COUNTA(B452:G452)&gt;0,ROW()-3,"")</f>
        <v/>
      </c>
      <c r="B452" s="51" t="n"/>
      <c r="C452" s="35" t="n"/>
      <c r="D452" s="47" t="n"/>
      <c r="E452" s="52" t="n"/>
      <c r="F452" s="35" t="n"/>
      <c r="G452" s="47" t="n"/>
      <c r="H452" s="128" t="inlineStr">
        <is>
          <t>Not Raised</t>
        </is>
      </c>
      <c r="I452" s="45" t="n"/>
      <c r="J452" s="45" t="n"/>
      <c r="K452" s="45" t="n"/>
    </row>
    <row r="453">
      <c r="A453" s="123">
        <f>IF(COUNTA(B453:G453)&gt;0,ROW()-3,"")</f>
        <v/>
      </c>
      <c r="B453" s="51" t="n"/>
      <c r="C453" s="35" t="n"/>
      <c r="D453" s="47" t="n"/>
      <c r="E453" s="52" t="n"/>
      <c r="F453" s="35" t="n"/>
      <c r="G453" s="47" t="n"/>
      <c r="H453" s="128" t="inlineStr">
        <is>
          <t>Not Raised</t>
        </is>
      </c>
      <c r="I453" s="45" t="n"/>
      <c r="J453" s="45" t="n"/>
      <c r="K453" s="45" t="n"/>
    </row>
    <row r="454">
      <c r="A454" s="123">
        <f>IF(COUNTA(B454:G454)&gt;0,ROW()-3,"")</f>
        <v/>
      </c>
      <c r="B454" s="51" t="n"/>
      <c r="C454" s="35" t="n"/>
      <c r="D454" s="47" t="n"/>
      <c r="E454" s="52" t="n"/>
      <c r="F454" s="35" t="n"/>
      <c r="G454" s="47" t="n"/>
      <c r="H454" s="128" t="inlineStr">
        <is>
          <t>Not Raised</t>
        </is>
      </c>
      <c r="I454" s="45" t="n"/>
      <c r="J454" s="45" t="n"/>
      <c r="K454" s="45" t="n"/>
    </row>
    <row r="455">
      <c r="A455" s="123">
        <f>IF(COUNTA(B455:G455)&gt;0,ROW()-3,"")</f>
        <v/>
      </c>
      <c r="B455" s="51" t="n"/>
      <c r="C455" s="35" t="n"/>
      <c r="D455" s="47" t="n"/>
      <c r="E455" s="52" t="n"/>
      <c r="F455" s="35" t="n"/>
      <c r="G455" s="47" t="n"/>
      <c r="H455" s="128" t="inlineStr">
        <is>
          <t>Not Raised</t>
        </is>
      </c>
      <c r="I455" s="45" t="n"/>
      <c r="J455" s="45" t="n"/>
      <c r="K455" s="45" t="n"/>
    </row>
    <row r="456">
      <c r="A456" s="123">
        <f>IF(COUNTA(B456:G456)&gt;0,ROW()-3,"")</f>
        <v/>
      </c>
      <c r="B456" s="51" t="n"/>
      <c r="C456" s="35" t="n"/>
      <c r="D456" s="47" t="n"/>
      <c r="E456" s="52" t="n"/>
      <c r="F456" s="35" t="n"/>
      <c r="G456" s="47" t="n"/>
      <c r="H456" s="128" t="inlineStr">
        <is>
          <t>Not Raised</t>
        </is>
      </c>
      <c r="I456" s="45" t="n"/>
      <c r="J456" s="45" t="n"/>
      <c r="K456" s="45" t="n"/>
    </row>
    <row r="457">
      <c r="A457" s="123">
        <f>IF(COUNTA(B457:G457)&gt;0,ROW()-3,"")</f>
        <v/>
      </c>
      <c r="B457" s="51" t="n"/>
      <c r="C457" s="35" t="n"/>
      <c r="D457" s="47" t="n"/>
      <c r="E457" s="52" t="n"/>
      <c r="F457" s="35" t="n"/>
      <c r="G457" s="47" t="n"/>
      <c r="H457" s="128" t="inlineStr">
        <is>
          <t>Not Raised</t>
        </is>
      </c>
      <c r="I457" s="45" t="n"/>
      <c r="J457" s="45" t="n"/>
      <c r="K457" s="45" t="n"/>
    </row>
    <row r="458">
      <c r="A458" s="123">
        <f>IF(COUNTA(B458:G458)&gt;0,ROW()-3,"")</f>
        <v/>
      </c>
      <c r="B458" s="51" t="n"/>
      <c r="C458" s="35" t="n"/>
      <c r="D458" s="47" t="n"/>
      <c r="E458" s="52" t="n"/>
      <c r="F458" s="35" t="n"/>
      <c r="G458" s="47" t="n"/>
      <c r="H458" s="128" t="inlineStr">
        <is>
          <t>Not Raised</t>
        </is>
      </c>
      <c r="I458" s="45" t="n"/>
      <c r="J458" s="45" t="n"/>
      <c r="K458" s="45" t="n"/>
    </row>
    <row r="459">
      <c r="A459" s="123">
        <f>IF(COUNTA(B459:G459)&gt;0,ROW()-3,"")</f>
        <v/>
      </c>
      <c r="B459" s="51" t="n"/>
      <c r="C459" s="35" t="n"/>
      <c r="D459" s="47" t="n"/>
      <c r="E459" s="52" t="n"/>
      <c r="F459" s="35" t="n"/>
      <c r="G459" s="47" t="n"/>
      <c r="H459" s="128" t="inlineStr">
        <is>
          <t>Not Raised</t>
        </is>
      </c>
      <c r="I459" s="45" t="n"/>
      <c r="J459" s="45" t="n"/>
      <c r="K459" s="45" t="n"/>
    </row>
    <row r="460">
      <c r="A460" s="123">
        <f>IF(COUNTA(B460:G460)&gt;0,ROW()-3,"")</f>
        <v/>
      </c>
      <c r="B460" s="51" t="n"/>
      <c r="C460" s="35" t="n"/>
      <c r="D460" s="47" t="n"/>
      <c r="E460" s="52" t="n"/>
      <c r="F460" s="35" t="n"/>
      <c r="G460" s="47" t="n"/>
      <c r="H460" s="128" t="inlineStr">
        <is>
          <t>Not Raised</t>
        </is>
      </c>
      <c r="I460" s="45" t="n"/>
      <c r="J460" s="45" t="n"/>
      <c r="K460" s="45" t="n"/>
    </row>
    <row r="461">
      <c r="A461" s="123">
        <f>IF(COUNTA(B461:G461)&gt;0,ROW()-3,"")</f>
        <v/>
      </c>
      <c r="B461" s="51" t="n"/>
      <c r="C461" s="35" t="n"/>
      <c r="D461" s="47" t="n"/>
      <c r="E461" s="52" t="n"/>
      <c r="F461" s="35" t="n"/>
      <c r="G461" s="47" t="n"/>
      <c r="H461" s="128" t="inlineStr">
        <is>
          <t>Not Raised</t>
        </is>
      </c>
      <c r="I461" s="45" t="n"/>
      <c r="J461" s="45" t="n"/>
      <c r="K461" s="45" t="n"/>
    </row>
    <row r="462">
      <c r="A462" s="123">
        <f>IF(COUNTA(B462:G462)&gt;0,ROW()-3,"")</f>
        <v/>
      </c>
      <c r="B462" s="51" t="n"/>
      <c r="C462" s="35" t="n"/>
      <c r="D462" s="47" t="n"/>
      <c r="E462" s="52" t="n"/>
      <c r="F462" s="35" t="n"/>
      <c r="G462" s="47" t="n"/>
      <c r="H462" s="128" t="inlineStr">
        <is>
          <t>Not Raised</t>
        </is>
      </c>
      <c r="I462" s="45" t="n"/>
      <c r="J462" s="45" t="n"/>
      <c r="K462" s="45" t="n"/>
    </row>
    <row r="463">
      <c r="A463" s="123">
        <f>IF(COUNTA(B463:G463)&gt;0,ROW()-3,"")</f>
        <v/>
      </c>
      <c r="B463" s="51" t="n"/>
      <c r="C463" s="35" t="n"/>
      <c r="D463" s="47" t="n"/>
      <c r="E463" s="52" t="n"/>
      <c r="F463" s="35" t="n"/>
      <c r="G463" s="47" t="n"/>
      <c r="H463" s="128" t="inlineStr">
        <is>
          <t>Not Raised</t>
        </is>
      </c>
      <c r="I463" s="45" t="n"/>
      <c r="J463" s="45" t="n"/>
      <c r="K463" s="45" t="n"/>
    </row>
    <row r="464">
      <c r="A464" s="123">
        <f>IF(COUNTA(B464:G464)&gt;0,ROW()-3,"")</f>
        <v/>
      </c>
      <c r="B464" s="51" t="n"/>
      <c r="C464" s="35" t="n"/>
      <c r="D464" s="47" t="n"/>
      <c r="E464" s="52" t="n"/>
      <c r="F464" s="35" t="n"/>
      <c r="G464" s="47" t="n"/>
      <c r="H464" s="128" t="inlineStr">
        <is>
          <t>Not Raised</t>
        </is>
      </c>
      <c r="I464" s="45" t="n"/>
      <c r="J464" s="45" t="n"/>
      <c r="K464" s="45" t="n"/>
    </row>
    <row r="465">
      <c r="A465" s="123">
        <f>IF(COUNTA(B465:G465)&gt;0,ROW()-3,"")</f>
        <v/>
      </c>
      <c r="B465" s="51" t="n"/>
      <c r="C465" s="35" t="n"/>
      <c r="D465" s="47" t="n"/>
      <c r="E465" s="52" t="n"/>
      <c r="F465" s="35" t="n"/>
      <c r="G465" s="47" t="n"/>
      <c r="H465" s="128" t="inlineStr">
        <is>
          <t>Not Raised</t>
        </is>
      </c>
      <c r="I465" s="45" t="n"/>
      <c r="J465" s="45" t="n"/>
      <c r="K465" s="45" t="n"/>
    </row>
    <row r="466">
      <c r="A466" s="123">
        <f>IF(COUNTA(B466:G466)&gt;0,ROW()-3,"")</f>
        <v/>
      </c>
      <c r="B466" s="51" t="n"/>
      <c r="C466" s="35" t="n"/>
      <c r="D466" s="47" t="n"/>
      <c r="E466" s="52" t="n"/>
      <c r="F466" s="35" t="n"/>
      <c r="G466" s="47" t="n"/>
      <c r="H466" s="128" t="inlineStr">
        <is>
          <t>Not Raised</t>
        </is>
      </c>
      <c r="I466" s="45" t="n"/>
      <c r="J466" s="45" t="n"/>
      <c r="K466" s="45" t="n"/>
    </row>
    <row r="467">
      <c r="A467" s="123">
        <f>IF(COUNTA(B467:G467)&gt;0,ROW()-3,"")</f>
        <v/>
      </c>
      <c r="B467" s="51" t="n"/>
      <c r="C467" s="35" t="n"/>
      <c r="D467" s="47" t="n"/>
      <c r="E467" s="52" t="n"/>
      <c r="F467" s="35" t="n"/>
      <c r="G467" s="47" t="n"/>
      <c r="H467" s="128" t="inlineStr">
        <is>
          <t>Not Raised</t>
        </is>
      </c>
      <c r="I467" s="45" t="n"/>
      <c r="J467" s="45" t="n"/>
      <c r="K467" s="45" t="n"/>
    </row>
    <row r="468">
      <c r="A468" s="123">
        <f>IF(COUNTA(B468:G468)&gt;0,ROW()-3,"")</f>
        <v/>
      </c>
      <c r="B468" s="51" t="n"/>
      <c r="C468" s="35" t="n"/>
      <c r="D468" s="47" t="n"/>
      <c r="E468" s="52" t="n"/>
      <c r="F468" s="35" t="n"/>
      <c r="G468" s="47" t="n"/>
      <c r="H468" s="128" t="inlineStr">
        <is>
          <t>Not Raised</t>
        </is>
      </c>
      <c r="I468" s="45" t="n"/>
      <c r="J468" s="45" t="n"/>
      <c r="K468" s="45" t="n"/>
    </row>
    <row r="469">
      <c r="A469" s="123">
        <f>IF(COUNTA(B469:G469)&gt;0,ROW()-3,"")</f>
        <v/>
      </c>
      <c r="B469" s="51" t="n"/>
      <c r="C469" s="35" t="n"/>
      <c r="D469" s="47" t="n"/>
      <c r="E469" s="52" t="n"/>
      <c r="F469" s="35" t="n"/>
      <c r="G469" s="47" t="n"/>
      <c r="H469" s="128" t="inlineStr">
        <is>
          <t>Not Raised</t>
        </is>
      </c>
      <c r="I469" s="45" t="n"/>
      <c r="J469" s="45" t="n"/>
      <c r="K469" s="45" t="n"/>
    </row>
    <row r="470">
      <c r="A470" s="123">
        <f>IF(COUNTA(B470:G470)&gt;0,ROW()-3,"")</f>
        <v/>
      </c>
      <c r="B470" s="51" t="n"/>
      <c r="C470" s="35" t="n"/>
      <c r="D470" s="47" t="n"/>
      <c r="E470" s="52" t="n"/>
      <c r="F470" s="35" t="n"/>
      <c r="G470" s="47" t="n"/>
      <c r="H470" s="128" t="inlineStr">
        <is>
          <t>Not Raised</t>
        </is>
      </c>
      <c r="I470" s="45" t="n"/>
      <c r="J470" s="45" t="n"/>
      <c r="K470" s="45" t="n"/>
    </row>
    <row r="471">
      <c r="A471" s="123">
        <f>IF(COUNTA(B471:G471)&gt;0,ROW()-3,"")</f>
        <v/>
      </c>
      <c r="B471" s="51" t="n"/>
      <c r="C471" s="35" t="n"/>
      <c r="D471" s="47" t="n"/>
      <c r="E471" s="52" t="n"/>
      <c r="F471" s="35" t="n"/>
      <c r="G471" s="47" t="n"/>
      <c r="H471" s="128" t="inlineStr">
        <is>
          <t>Not Raised</t>
        </is>
      </c>
      <c r="I471" s="45" t="n"/>
      <c r="J471" s="45" t="n"/>
      <c r="K471" s="45" t="n"/>
    </row>
    <row r="472">
      <c r="A472" s="123">
        <f>IF(COUNTA(B472:G472)&gt;0,ROW()-3,"")</f>
        <v/>
      </c>
      <c r="B472" s="51" t="n"/>
      <c r="C472" s="35" t="n"/>
      <c r="D472" s="47" t="n"/>
      <c r="E472" s="52" t="n"/>
      <c r="F472" s="35" t="n"/>
      <c r="G472" s="47" t="n"/>
      <c r="H472" s="128" t="inlineStr">
        <is>
          <t>Not Raised</t>
        </is>
      </c>
      <c r="I472" s="45" t="n"/>
      <c r="J472" s="45" t="n"/>
      <c r="K472" s="45" t="n"/>
    </row>
    <row r="473">
      <c r="A473" s="123">
        <f>IF(COUNTA(B473:G473)&gt;0,ROW()-3,"")</f>
        <v/>
      </c>
      <c r="B473" s="51" t="n"/>
      <c r="C473" s="35" t="n"/>
      <c r="D473" s="47" t="n"/>
      <c r="E473" s="52" t="n"/>
      <c r="F473" s="35" t="n"/>
      <c r="G473" s="47" t="n"/>
      <c r="H473" s="128" t="inlineStr">
        <is>
          <t>Not Raised</t>
        </is>
      </c>
      <c r="I473" s="45" t="n"/>
      <c r="J473" s="45" t="n"/>
      <c r="K473" s="45" t="n"/>
    </row>
    <row r="474">
      <c r="A474" s="123">
        <f>IF(COUNTA(B474:G474)&gt;0,ROW()-3,"")</f>
        <v/>
      </c>
      <c r="B474" s="51" t="n"/>
      <c r="C474" s="35" t="n"/>
      <c r="D474" s="47" t="n"/>
      <c r="E474" s="52" t="n"/>
      <c r="F474" s="35" t="n"/>
      <c r="G474" s="47" t="n"/>
      <c r="H474" s="128" t="inlineStr">
        <is>
          <t>Not Raised</t>
        </is>
      </c>
      <c r="I474" s="45" t="n"/>
      <c r="J474" s="45" t="n"/>
      <c r="K474" s="45" t="n"/>
    </row>
    <row r="475">
      <c r="A475" s="123">
        <f>IF(COUNTA(B475:G475)&gt;0,ROW()-3,"")</f>
        <v/>
      </c>
      <c r="B475" s="51" t="n"/>
      <c r="C475" s="35" t="n"/>
      <c r="D475" s="47" t="n"/>
      <c r="E475" s="52" t="n"/>
      <c r="F475" s="35" t="n"/>
      <c r="G475" s="47" t="n"/>
      <c r="H475" s="128" t="inlineStr">
        <is>
          <t>Not Raised</t>
        </is>
      </c>
      <c r="I475" s="45" t="n"/>
      <c r="J475" s="45" t="n"/>
      <c r="K475" s="45" t="n"/>
    </row>
    <row r="476">
      <c r="A476" s="123">
        <f>IF(COUNTA(B476:G476)&gt;0,ROW()-3,"")</f>
        <v/>
      </c>
      <c r="B476" s="51" t="n"/>
      <c r="C476" s="35" t="n"/>
      <c r="D476" s="47" t="n"/>
      <c r="E476" s="52" t="n"/>
      <c r="F476" s="35" t="n"/>
      <c r="G476" s="47" t="n"/>
      <c r="H476" s="128" t="inlineStr">
        <is>
          <t>Not Raised</t>
        </is>
      </c>
      <c r="I476" s="45" t="n"/>
      <c r="J476" s="45" t="n"/>
      <c r="K476" s="45" t="n"/>
    </row>
    <row r="477">
      <c r="A477" s="123">
        <f>IF(COUNTA(B477:G477)&gt;0,ROW()-3,"")</f>
        <v/>
      </c>
      <c r="B477" s="51" t="n"/>
      <c r="C477" s="35" t="n"/>
      <c r="D477" s="47" t="n"/>
      <c r="E477" s="52" t="n"/>
      <c r="F477" s="35" t="n"/>
      <c r="G477" s="47" t="n"/>
      <c r="H477" s="128" t="inlineStr">
        <is>
          <t>Not Raised</t>
        </is>
      </c>
      <c r="I477" s="45" t="n"/>
      <c r="J477" s="45" t="n"/>
      <c r="K477" s="45" t="n"/>
    </row>
    <row r="478">
      <c r="A478" s="123">
        <f>IF(COUNTA(B478:G478)&gt;0,ROW()-3,"")</f>
        <v/>
      </c>
      <c r="B478" s="51" t="n"/>
      <c r="C478" s="35" t="n"/>
      <c r="D478" s="47" t="n"/>
      <c r="E478" s="52" t="n"/>
      <c r="F478" s="35" t="n"/>
      <c r="G478" s="47" t="n"/>
      <c r="H478" s="128" t="inlineStr">
        <is>
          <t>Not Raised</t>
        </is>
      </c>
      <c r="I478" s="45" t="n"/>
      <c r="J478" s="45" t="n"/>
      <c r="K478" s="45" t="n"/>
    </row>
    <row r="479">
      <c r="A479" s="123">
        <f>IF(COUNTA(B479:G479)&gt;0,ROW()-3,"")</f>
        <v/>
      </c>
      <c r="B479" s="51" t="n"/>
      <c r="C479" s="35" t="n"/>
      <c r="D479" s="47" t="n"/>
      <c r="E479" s="52" t="n"/>
      <c r="F479" s="35" t="n"/>
      <c r="G479" s="47" t="n"/>
      <c r="H479" s="128" t="inlineStr">
        <is>
          <t>Not Raised</t>
        </is>
      </c>
      <c r="I479" s="45" t="n"/>
      <c r="J479" s="45" t="n"/>
      <c r="K479" s="45" t="n"/>
    </row>
    <row r="480">
      <c r="A480" s="123">
        <f>IF(COUNTA(B480:G480)&gt;0,ROW()-3,"")</f>
        <v/>
      </c>
      <c r="B480" s="51" t="n"/>
      <c r="C480" s="35" t="n"/>
      <c r="D480" s="47" t="n"/>
      <c r="E480" s="52" t="n"/>
      <c r="F480" s="35" t="n"/>
      <c r="G480" s="47" t="n"/>
      <c r="H480" s="128" t="inlineStr">
        <is>
          <t>Not Raised</t>
        </is>
      </c>
      <c r="I480" s="45" t="n"/>
      <c r="J480" s="45" t="n"/>
      <c r="K480" s="45" t="n"/>
    </row>
    <row r="481">
      <c r="A481" s="123">
        <f>IF(COUNTA(B481:G481)&gt;0,ROW()-3,"")</f>
        <v/>
      </c>
      <c r="B481" s="51" t="n"/>
      <c r="C481" s="35" t="n"/>
      <c r="D481" s="47" t="n"/>
      <c r="E481" s="52" t="n"/>
      <c r="F481" s="35" t="n"/>
      <c r="G481" s="47" t="n"/>
      <c r="H481" s="128" t="inlineStr">
        <is>
          <t>Not Raised</t>
        </is>
      </c>
      <c r="I481" s="45" t="n"/>
      <c r="J481" s="45" t="n"/>
      <c r="K481" s="45" t="n"/>
    </row>
    <row r="482">
      <c r="A482" s="123">
        <f>IF(COUNTA(B482:G482)&gt;0,ROW()-3,"")</f>
        <v/>
      </c>
      <c r="B482" s="51" t="n"/>
      <c r="C482" s="35" t="n"/>
      <c r="D482" s="47" t="n"/>
      <c r="E482" s="52" t="n"/>
      <c r="F482" s="35" t="n"/>
      <c r="G482" s="47" t="n"/>
      <c r="H482" s="128" t="inlineStr">
        <is>
          <t>Not Raised</t>
        </is>
      </c>
      <c r="I482" s="45" t="n"/>
      <c r="J482" s="45" t="n"/>
      <c r="K482" s="45" t="n"/>
    </row>
    <row r="483">
      <c r="A483" s="123">
        <f>IF(COUNTA(B483:G483)&gt;0,ROW()-3,"")</f>
        <v/>
      </c>
      <c r="B483" s="51" t="n"/>
      <c r="C483" s="35" t="n"/>
      <c r="D483" s="47" t="n"/>
      <c r="E483" s="52" t="n"/>
      <c r="F483" s="35" t="n"/>
      <c r="G483" s="47" t="n"/>
      <c r="H483" s="128" t="inlineStr">
        <is>
          <t>Not Raised</t>
        </is>
      </c>
      <c r="I483" s="45" t="n"/>
      <c r="J483" s="45" t="n"/>
      <c r="K483" s="45" t="n"/>
    </row>
    <row r="484">
      <c r="A484" s="123">
        <f>IF(COUNTA(B484:G484)&gt;0,ROW()-3,"")</f>
        <v/>
      </c>
      <c r="B484" s="51" t="n"/>
      <c r="C484" s="35" t="n"/>
      <c r="D484" s="47" t="n"/>
      <c r="E484" s="52" t="n"/>
      <c r="F484" s="35" t="n"/>
      <c r="G484" s="47" t="n"/>
      <c r="H484" s="128" t="inlineStr">
        <is>
          <t>Not Raised</t>
        </is>
      </c>
      <c r="I484" s="45" t="n"/>
      <c r="J484" s="45" t="n"/>
      <c r="K484" s="45" t="n"/>
    </row>
    <row r="485">
      <c r="A485" s="123">
        <f>IF(COUNTA(B485:G485)&gt;0,ROW()-3,"")</f>
        <v/>
      </c>
      <c r="B485" s="51" t="n"/>
      <c r="C485" s="35" t="n"/>
      <c r="D485" s="47" t="n"/>
      <c r="E485" s="52" t="n"/>
      <c r="F485" s="35" t="n"/>
      <c r="G485" s="47" t="n"/>
      <c r="H485" s="128" t="inlineStr">
        <is>
          <t>Not Raised</t>
        </is>
      </c>
      <c r="I485" s="45" t="n"/>
      <c r="J485" s="45" t="n"/>
      <c r="K485" s="45" t="n"/>
    </row>
    <row r="486">
      <c r="A486" s="123">
        <f>IF(COUNTA(B486:G486)&gt;0,ROW()-3,"")</f>
        <v/>
      </c>
      <c r="B486" s="51" t="n"/>
      <c r="C486" s="35" t="n"/>
      <c r="D486" s="47" t="n"/>
      <c r="E486" s="52" t="n"/>
      <c r="F486" s="35" t="n"/>
      <c r="G486" s="47" t="n"/>
      <c r="H486" s="128" t="inlineStr">
        <is>
          <t>Not Raised</t>
        </is>
      </c>
      <c r="I486" s="45" t="n"/>
      <c r="J486" s="45" t="n"/>
      <c r="K486" s="45" t="n"/>
    </row>
    <row r="487">
      <c r="A487" s="123">
        <f>IF(COUNTA(B487:G487)&gt;0,ROW()-3,"")</f>
        <v/>
      </c>
      <c r="B487" s="51" t="n"/>
      <c r="C487" s="35" t="n"/>
      <c r="D487" s="47" t="n"/>
      <c r="E487" s="52" t="n"/>
      <c r="F487" s="35" t="n"/>
      <c r="G487" s="47" t="n"/>
      <c r="H487" s="128" t="inlineStr">
        <is>
          <t>Not Raised</t>
        </is>
      </c>
      <c r="I487" s="45" t="n"/>
      <c r="J487" s="45" t="n"/>
      <c r="K487" s="45" t="n"/>
    </row>
    <row r="488">
      <c r="A488" s="123">
        <f>IF(COUNTA(B488:G488)&gt;0,ROW()-3,"")</f>
        <v/>
      </c>
      <c r="B488" s="51" t="n"/>
      <c r="C488" s="35" t="n"/>
      <c r="D488" s="47" t="n"/>
      <c r="E488" s="52" t="n"/>
      <c r="F488" s="35" t="n"/>
      <c r="G488" s="47" t="n"/>
      <c r="H488" s="128" t="inlineStr">
        <is>
          <t>Not Raised</t>
        </is>
      </c>
      <c r="I488" s="45" t="n"/>
      <c r="J488" s="45" t="n"/>
      <c r="K488" s="45" t="n"/>
    </row>
    <row r="489">
      <c r="A489" s="123">
        <f>IF(COUNTA(B489:G489)&gt;0,ROW()-3,"")</f>
        <v/>
      </c>
      <c r="B489" s="51" t="n"/>
      <c r="C489" s="35" t="n"/>
      <c r="D489" s="47" t="n"/>
      <c r="E489" s="52" t="n"/>
      <c r="F489" s="35" t="n"/>
      <c r="G489" s="47" t="n"/>
      <c r="H489" s="128" t="inlineStr">
        <is>
          <t>Not Raised</t>
        </is>
      </c>
      <c r="I489" s="45" t="n"/>
      <c r="J489" s="45" t="n"/>
      <c r="K489" s="45" t="n"/>
    </row>
    <row r="490">
      <c r="A490" s="123">
        <f>IF(COUNTA(B490:G490)&gt;0,ROW()-3,"")</f>
        <v/>
      </c>
      <c r="B490" s="51" t="n"/>
      <c r="C490" s="35" t="n"/>
      <c r="D490" s="47" t="n"/>
      <c r="E490" s="52" t="n"/>
      <c r="F490" s="35" t="n"/>
      <c r="G490" s="47" t="n"/>
      <c r="H490" s="128" t="inlineStr">
        <is>
          <t>Not Raised</t>
        </is>
      </c>
      <c r="I490" s="45" t="n"/>
      <c r="J490" s="45" t="n"/>
      <c r="K490" s="45" t="n"/>
    </row>
    <row r="491">
      <c r="A491" s="123">
        <f>IF(COUNTA(B491:G491)&gt;0,ROW()-3,"")</f>
        <v/>
      </c>
      <c r="B491" s="51" t="n"/>
      <c r="C491" s="35" t="n"/>
      <c r="D491" s="47" t="n"/>
      <c r="E491" s="52" t="n"/>
      <c r="F491" s="35" t="n"/>
      <c r="G491" s="47" t="n"/>
      <c r="H491" s="128" t="inlineStr">
        <is>
          <t>Not Raised</t>
        </is>
      </c>
      <c r="I491" s="45" t="n"/>
      <c r="J491" s="45" t="n"/>
      <c r="K491" s="45" t="n"/>
    </row>
    <row r="492">
      <c r="A492" s="123">
        <f>IF(COUNTA(B492:G492)&gt;0,ROW()-3,"")</f>
        <v/>
      </c>
      <c r="B492" s="51" t="n"/>
      <c r="C492" s="35" t="n"/>
      <c r="D492" s="47" t="n"/>
      <c r="E492" s="52" t="n"/>
      <c r="F492" s="35" t="n"/>
      <c r="G492" s="47" t="n"/>
      <c r="H492" s="128" t="inlineStr">
        <is>
          <t>Not Raised</t>
        </is>
      </c>
      <c r="I492" s="45" t="n"/>
      <c r="J492" s="45" t="n"/>
      <c r="K492" s="45" t="n"/>
    </row>
    <row r="493">
      <c r="A493" s="123">
        <f>IF(COUNTA(B493:G493)&gt;0,ROW()-3,"")</f>
        <v/>
      </c>
      <c r="B493" s="51" t="n"/>
      <c r="C493" s="35" t="n"/>
      <c r="D493" s="47" t="n"/>
      <c r="E493" s="52" t="n"/>
      <c r="F493" s="35" t="n"/>
      <c r="G493" s="47" t="n"/>
      <c r="H493" s="128" t="inlineStr">
        <is>
          <t>Not Raised</t>
        </is>
      </c>
      <c r="I493" s="45" t="n"/>
      <c r="J493" s="45" t="n"/>
      <c r="K493" s="45" t="n"/>
    </row>
    <row r="494">
      <c r="A494" s="123">
        <f>IF(COUNTA(B494:G494)&gt;0,ROW()-3,"")</f>
        <v/>
      </c>
      <c r="B494" s="51" t="n"/>
      <c r="C494" s="35" t="n"/>
      <c r="D494" s="47" t="n"/>
      <c r="E494" s="52" t="n"/>
      <c r="F494" s="35" t="n"/>
      <c r="G494" s="47" t="n"/>
      <c r="H494" s="128" t="inlineStr">
        <is>
          <t>Not Raised</t>
        </is>
      </c>
      <c r="I494" s="45" t="n"/>
      <c r="J494" s="45" t="n"/>
      <c r="K494" s="45" t="n"/>
    </row>
    <row r="495">
      <c r="A495" s="123">
        <f>IF(COUNTA(B495:G495)&gt;0,ROW()-3,"")</f>
        <v/>
      </c>
      <c r="B495" s="51" t="n"/>
      <c r="C495" s="35" t="n"/>
      <c r="D495" s="47" t="n"/>
      <c r="E495" s="52" t="n"/>
      <c r="F495" s="35" t="n"/>
      <c r="G495" s="47" t="n"/>
      <c r="H495" s="128" t="inlineStr">
        <is>
          <t>Not Raised</t>
        </is>
      </c>
      <c r="I495" s="45" t="n"/>
      <c r="J495" s="45" t="n"/>
      <c r="K495" s="45" t="n"/>
    </row>
    <row r="496">
      <c r="A496" s="123">
        <f>IF(COUNTA(B496:G496)&gt;0,ROW()-3,"")</f>
        <v/>
      </c>
      <c r="B496" s="51" t="n"/>
      <c r="C496" s="35" t="n"/>
      <c r="D496" s="47" t="n"/>
      <c r="E496" s="52" t="n"/>
      <c r="F496" s="35" t="n"/>
      <c r="G496" s="47" t="n"/>
      <c r="H496" s="128" t="inlineStr">
        <is>
          <t>Not Raised</t>
        </is>
      </c>
      <c r="I496" s="45" t="n"/>
      <c r="J496" s="45" t="n"/>
      <c r="K496" s="45" t="n"/>
    </row>
    <row r="497">
      <c r="A497" s="123">
        <f>IF(COUNTA(B497:G497)&gt;0,ROW()-3,"")</f>
        <v/>
      </c>
      <c r="B497" s="51" t="n"/>
      <c r="C497" s="35" t="n"/>
      <c r="D497" s="47" t="n"/>
      <c r="E497" s="52" t="n"/>
      <c r="F497" s="35" t="n"/>
      <c r="G497" s="47" t="n"/>
      <c r="H497" s="128" t="inlineStr">
        <is>
          <t>Not Raised</t>
        </is>
      </c>
      <c r="I497" s="45" t="n"/>
      <c r="J497" s="45" t="n"/>
      <c r="K497" s="45" t="n"/>
    </row>
    <row r="498">
      <c r="A498" s="123">
        <f>IF(COUNTA(B498:G498)&gt;0,ROW()-3,"")</f>
        <v/>
      </c>
      <c r="B498" s="51" t="n"/>
      <c r="C498" s="35" t="n"/>
      <c r="D498" s="47" t="n"/>
      <c r="E498" s="52" t="n"/>
      <c r="F498" s="35" t="n"/>
      <c r="G498" s="47" t="n"/>
      <c r="H498" s="128" t="inlineStr">
        <is>
          <t>Not Raised</t>
        </is>
      </c>
      <c r="I498" s="45" t="n"/>
      <c r="J498" s="45" t="n"/>
      <c r="K498" s="45" t="n"/>
    </row>
    <row r="499">
      <c r="A499" s="123">
        <f>IF(COUNTA(B499:G499)&gt;0,ROW()-3,"")</f>
        <v/>
      </c>
      <c r="B499" s="51" t="n"/>
      <c r="C499" s="35" t="n"/>
      <c r="D499" s="47" t="n"/>
      <c r="E499" s="52" t="n"/>
      <c r="F499" s="35" t="n"/>
      <c r="G499" s="47" t="n"/>
      <c r="H499" s="128" t="inlineStr">
        <is>
          <t>Not Raised</t>
        </is>
      </c>
      <c r="I499" s="45" t="n"/>
      <c r="J499" s="45" t="n"/>
      <c r="K499" s="45" t="n"/>
    </row>
    <row r="500">
      <c r="A500" s="123">
        <f>IF(COUNTA(B500:G500)&gt;0,ROW()-3,"")</f>
        <v/>
      </c>
      <c r="B500" s="51" t="n"/>
      <c r="C500" s="35" t="n"/>
      <c r="D500" s="47" t="n"/>
      <c r="E500" s="52" t="n"/>
      <c r="F500" s="35" t="n"/>
      <c r="G500" s="47" t="n"/>
      <c r="H500" s="128" t="inlineStr">
        <is>
          <t>Not Raised</t>
        </is>
      </c>
      <c r="I500" s="45" t="n"/>
      <c r="J500" s="45" t="n"/>
      <c r="K500" s="45" t="n"/>
    </row>
    <row r="501">
      <c r="A501" s="123">
        <f>IF(COUNTA(B501:G501)&gt;0,ROW()-3,"")</f>
        <v/>
      </c>
      <c r="B501" s="51" t="n"/>
      <c r="C501" s="35" t="n"/>
      <c r="D501" s="47" t="n"/>
      <c r="E501" s="52" t="n"/>
      <c r="F501" s="35" t="n"/>
      <c r="G501" s="47" t="n"/>
      <c r="H501" s="128" t="inlineStr">
        <is>
          <t>Not Raised</t>
        </is>
      </c>
      <c r="I501" s="45" t="n"/>
      <c r="J501" s="45" t="n"/>
      <c r="K501" s="45" t="n"/>
    </row>
    <row r="502">
      <c r="A502" s="123">
        <f>IF(COUNTA(B502:G502)&gt;0,ROW()-3,"")</f>
        <v/>
      </c>
      <c r="B502" s="51" t="n"/>
      <c r="C502" s="35" t="n"/>
      <c r="D502" s="47" t="n"/>
      <c r="E502" s="52" t="n"/>
      <c r="F502" s="35" t="n"/>
      <c r="G502" s="47" t="n"/>
      <c r="H502" s="128" t="inlineStr">
        <is>
          <t>Not Raised</t>
        </is>
      </c>
      <c r="I502" s="45" t="n"/>
      <c r="J502" s="45" t="n"/>
      <c r="K502" s="45" t="n"/>
    </row>
    <row r="503">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12">
      <formula>"Raised"</formula>
    </cfRule>
    <cfRule type="cellIs" priority="2" operator="equal" dxfId="2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41" t="inlineStr">
        <is>
          <t>OPEN UP / ACCESS LOG  ✈ HZ-ASD ✈  C2+6Y CHECK</t>
        </is>
      </c>
      <c r="F1" s="342">
        <f>"🔧 "&amp;COUNTIFS(B4:B504,"&lt;&gt;",F4:F504,"Re-Installed")&amp;" / "&amp;COUNTIF(B4:B504,"&lt;&gt;")&amp;" Re-Installed ("&amp;TEXT(IFERROR(COUNTIFS(B4:B504,"&lt;&gt;",F4:F504,"Re-Installed")/COUNTIF(B4:B504,"&lt;&gt;"),0),"0%")&amp;")"</f>
        <v/>
      </c>
    </row>
    <row r="2" ht="19.9" customHeight="1">
      <c r="A2" s="34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44">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2">
      <formula>AND($B4&lt;&gt;"",$F4="Open")</formula>
    </cfRule>
    <cfRule type="expression" priority="2" dxfId="21">
      <formula>AND($B4&lt;&gt;"",$F4="Re-Installed")</formula>
    </cfRule>
    <cfRule type="expression" priority="3" dxfId="20">
      <formula>AND($B4="",MOD(ROW(),2)=0)</formula>
    </cfRule>
  </conditionalFormatting>
  <conditionalFormatting sqref="C4:C504">
    <cfRule type="cellIs" priority="7" operator="equal" dxfId="19">
      <formula>"FWD"</formula>
    </cfRule>
    <cfRule type="cellIs" priority="8" operator="equal" dxfId="18">
      <formula>"MID"</formula>
    </cfRule>
    <cfRule type="cellIs" priority="9" operator="equal" dxfId="17">
      <formula>"AFT"</formula>
    </cfRule>
    <cfRule type="cellIs" priority="10" operator="equal" dxfId="16">
      <formula>"JOINT"</formula>
    </cfRule>
    <cfRule type="cellIs" priority="11" operator="equal" dxfId="15">
      <formula>"FLIGHT DECK"</formula>
    </cfRule>
  </conditionalFormatting>
  <conditionalFormatting sqref="D4:D504">
    <cfRule type="expression" priority="12" dxfId="14">
      <formula>AND($B4&lt;&gt;"",$D4="")</formula>
    </cfRule>
  </conditionalFormatting>
  <conditionalFormatting sqref="F4:F504">
    <cfRule type="cellIs" priority="4" operator="equal" dxfId="13">
      <formula>"Open"</formula>
    </cfRule>
    <cfRule type="cellIs" priority="5" operator="equal" dxfId="12">
      <formula>"Re-Installed"</formula>
    </cfRule>
    <cfRule type="cellIs" priority="6" operator="equal" dxfId="11">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45" t="inlineStr">
        <is>
          <t>📊  ASD C2+6Y-CHECK — WORK PACKAGE DASHBOARD</t>
        </is>
      </c>
      <c r="I1" s="346">
        <f>IF(OR(NOT(ISNUMBER($M$1)),NOT(ISNUMBER($M$2))),"PENDING","DAY "&amp;MAX(MIN(TODAY()-$M$1+1,$M$2-$M$1+1),0)&amp;"/"&amp;($M$2-$M$1+1))</f>
        <v/>
      </c>
      <c r="K1" s="226" t="n"/>
      <c r="L1" s="171" t="inlineStr">
        <is>
          <t>CHECK START →</t>
        </is>
      </c>
      <c r="M1" s="53">
        <f>DASHBOARD!$M$1</f>
        <v/>
      </c>
    </row>
    <row r="2" ht="21" customHeight="1">
      <c r="A2" s="34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Tracker'!$A$4:$A$992,"&lt;&gt;",'HZ-ASD Tracker'!$E$4:$E$992,"Closed")/COUNTIF('HZ-ASD Tracker'!$A$4:$A$992,"&lt;&gt;"))&lt;1),"❌ CHECK PERIOD ENDED — Completion "&amp;TEXT((COUNTIFS('HZ-ASD Tracker'!$A$4:$A$992,"&lt;&gt;",'HZ-ASD Tracker'!$E$4:$E$992,"Closed")/COUNTIF('HZ-ASD Tracker'!$A$4:$A$992,"&lt;&gt;")),"0%")&amp;"  ·  Overdue by "&amp;(TODAY()-$M$2)&amp;" days",IF((COUNTIFS('HZ-ASD Tracker'!$A$4:$A$992,"&lt;&gt;",'HZ-ASD Tracker'!$E$4:$E$992,"Closed")/COUNTIF('HZ-ASD Tracker'!$A$4:$A$992,"&lt;&gt;"))&gt;=((TODAY()-$M$1)/($M$2-$M$1))-0.05,"✅ ON TRACK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Tracker'!$E$4:$E$992,"Closed")/MAX(TODAY()-$M$1,1),"0.0")&amp;"/day",IF((COUNTIFS('HZ-ASD Tracker'!$A$4:$A$992,"&lt;&gt;",'HZ-ASD Tracker'!$E$4:$E$992,"Closed")/COUNTIF('HZ-ASD Tracker'!$A$4:$A$992,"&lt;&gt;"))&gt;=((TODAY()-$M$1)/($M$2-$M$1))-0.15,"⚠️ WARNING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 CRITICAL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f>
        <v/>
      </c>
      <c r="K2" s="226" t="n"/>
      <c r="L2" s="171" t="inlineStr">
        <is>
          <t>CHECK END →</t>
        </is>
      </c>
      <c r="M2" s="53">
        <f>DASHBOARD!$M$2</f>
        <v/>
      </c>
    </row>
    <row r="3" ht="18" customHeight="1">
      <c r="A3" s="348" t="inlineStr">
        <is>
          <t xml:space="preserve">  STATUS OVERVIEW</t>
        </is>
      </c>
      <c r="H3" s="349">
        <f>IF(NOT(ISNUMBER(LAYOVER!$B$19)),"⏳ set findings cutoff (LAYOVER)",IF(TODAY()&gt;LAYOVER!$B$19,"🔒 FINDINGS WINDOW CLOSED","⏳ Findings window closes in: "&amp;(LAYOVER!$B$19-TODAY())&amp;" day(s)"))</f>
        <v/>
      </c>
      <c r="K3" s="226" t="n"/>
      <c r="L3" s="201" t="n"/>
      <c r="M3" s="202" t="n"/>
    </row>
    <row r="4" ht="4.15" customHeight="1">
      <c r="A4" s="226" t="n"/>
      <c r="B4" s="226" t="n"/>
      <c r="C4" s="226" t="n"/>
      <c r="D4" s="226" t="n"/>
      <c r="E4" s="226" t="n"/>
      <c r="F4" s="226" t="n"/>
      <c r="G4" s="226" t="n"/>
      <c r="H4" s="226" t="n"/>
      <c r="I4" s="226" t="n"/>
      <c r="J4" s="226" t="n"/>
      <c r="K4" s="226" t="n"/>
      <c r="L4" s="203" t="n"/>
      <c r="M4" s="204" t="n"/>
    </row>
    <row r="5" ht="31.9" customHeight="1">
      <c r="A5" s="226" t="n"/>
      <c r="B5" s="54" t="inlineStr">
        <is>
          <t>Total Items/WOs</t>
        </is>
      </c>
      <c r="C5" s="55">
        <f>COUNTIF('HZ-ASD Tracker'!A4:A992,"&lt;&gt;")</f>
        <v/>
      </c>
      <c r="D5" s="226" t="n"/>
      <c r="E5" s="56" t="inlineStr">
        <is>
          <t>Closed</t>
        </is>
      </c>
      <c r="F5" s="57">
        <f>COUNTIFS('HZ-ASD Tracker'!A4:A992,"&lt;&gt;",'HZ-ASD Tracker'!E4:E992,"Closed")</f>
        <v/>
      </c>
      <c r="G5" s="226" t="n"/>
      <c r="H5" s="58" t="inlineStr">
        <is>
          <t>Completion</t>
        </is>
      </c>
      <c r="I5" s="59">
        <f>TEXT(IFERROR(COUNTIFS('HZ-ASD Tracker'!A4:A992,"&lt;&gt;",'HZ-ASD Tracker'!E4:E992,"Closed")/COUNTIF('HZ-ASD Tracker'!A4:A992,"&lt;&gt;"),0),"0%")</f>
        <v/>
      </c>
      <c r="J5" s="226" t="n"/>
      <c r="K5" s="226" t="n"/>
      <c r="L5" s="203" t="n"/>
      <c r="M5" s="204" t="n"/>
    </row>
    <row r="6" ht="4.15" customHeight="1">
      <c r="A6" s="226" t="n"/>
      <c r="B6" s="226" t="n"/>
      <c r="C6" s="226" t="n"/>
      <c r="D6" s="226" t="n"/>
      <c r="E6" s="226" t="n"/>
      <c r="F6" s="226" t="n"/>
      <c r="G6" s="226" t="n"/>
      <c r="H6" s="226" t="n"/>
      <c r="I6" s="226" t="n"/>
      <c r="J6" s="226" t="n"/>
      <c r="K6" s="226" t="n"/>
      <c r="L6" s="201" t="n"/>
      <c r="M6" s="205" t="n"/>
    </row>
    <row r="7" ht="31.9" customHeight="1">
      <c r="A7" s="226" t="n"/>
      <c r="B7" s="60" t="inlineStr">
        <is>
          <t>Open</t>
        </is>
      </c>
      <c r="C7" s="61">
        <f>COUNTIFS('HZ-ASD Tracker'!A4:A992,"&lt;&gt;",'HZ-ASD Tracker'!E4:E992,"Open")</f>
        <v/>
      </c>
      <c r="D7" s="226" t="n"/>
      <c r="E7" s="62" t="inlineStr">
        <is>
          <t>In Work  (I/W)</t>
        </is>
      </c>
      <c r="F7" s="63">
        <f>COUNTIFS('HZ-ASD Tracker'!A4:A992,"&lt;&gt;",'HZ-ASD Tracker'!E4:E992,"I/W")</f>
        <v/>
      </c>
      <c r="G7" s="226" t="n"/>
      <c r="H7" s="64" t="inlineStr">
        <is>
          <t>Deferred / Hold</t>
        </is>
      </c>
      <c r="I7" s="65">
        <f>COUNTIFS('HZ-ASD Tracker'!A4:A992,"&lt;&gt;",'HZ-ASD Tracker'!E4:E992,"Deferred")+COUNTIFS('HZ-ASD Tracker'!A4:A992,"&lt;&gt;",'HZ-ASD Tracker'!E4:E992,"On Hold")</f>
        <v/>
      </c>
      <c r="J7" s="226" t="n"/>
      <c r="K7" s="226" t="n"/>
      <c r="L7" s="201" t="n"/>
      <c r="M7" s="205" t="n"/>
    </row>
    <row r="8" ht="4.15" customHeight="1">
      <c r="A8" s="226" t="n"/>
      <c r="B8" s="226" t="n"/>
      <c r="C8" s="226" t="n"/>
      <c r="D8" s="226" t="n"/>
      <c r="E8" s="226" t="n"/>
      <c r="F8" s="226" t="n"/>
      <c r="G8" s="226" t="n"/>
      <c r="H8" s="226" t="n"/>
      <c r="I8" s="226" t="n"/>
      <c r="J8" s="226" t="n"/>
      <c r="K8" s="226" t="n"/>
      <c r="L8" s="201" t="n"/>
      <c r="M8" s="205" t="n"/>
    </row>
    <row r="9" ht="18" customHeight="1">
      <c r="A9" s="350" t="inlineStr">
        <is>
          <t xml:space="preserve">  PRIORITY ALERTS</t>
        </is>
      </c>
      <c r="H9" s="349">
        <f>IFERROR("📅 Next: "&amp;INDEX(LAYOVER!$A$41:$A$48,MATCH(AGGREGATE(15,6,LAYOVER!$B$41:$B$48/(LAYOVER!$B$41:$B$48&gt;=TODAY()),1),LAYOVER!$B$41:$B$48,0))&amp;IF(AGGREGATE(15,6,LAYOVER!$B$41:$B$48/(LAYOVER!$B$41:$B$48&gt;=TODAY()),1)=TODAY()," — TODAY"," in "&amp;(AGGREGATE(15,6,LAYOVER!$B$41:$B$48/(LAYOVER!$B$41:$B$48&gt;=TODAY()),1)-TODAY())&amp;" day(s)"),"📅 no upcoming milestone set")</f>
        <v/>
      </c>
      <c r="K9" s="226" t="n"/>
      <c r="L9" s="201" t="n"/>
      <c r="M9" s="205" t="n"/>
    </row>
    <row r="10" ht="4.15" customHeight="1">
      <c r="A10" s="226" t="n"/>
      <c r="B10" s="226" t="n"/>
      <c r="C10" s="226" t="n"/>
      <c r="D10" s="226" t="n"/>
      <c r="E10" s="226" t="n"/>
      <c r="F10" s="226" t="n"/>
      <c r="G10" s="226" t="n"/>
      <c r="H10" s="226" t="n"/>
      <c r="I10" s="226" t="n"/>
      <c r="J10" s="226" t="n"/>
      <c r="K10" s="226" t="n"/>
      <c r="L10" s="201" t="n"/>
      <c r="M10" s="205" t="n"/>
    </row>
    <row r="11" ht="31.9" customHeight="1">
      <c r="A11" s="226" t="n"/>
      <c r="B11" s="66" t="inlineStr">
        <is>
          <t>AOG</t>
        </is>
      </c>
      <c r="C11" s="67">
        <f>COUNTIFS('HZ-ASD Tracker'!A4:A992,"&lt;&gt;",'HZ-ASD Tracker'!F4:F992,"AOG")</f>
        <v/>
      </c>
      <c r="D11" s="226" t="n"/>
      <c r="E11" s="62" t="inlineStr">
        <is>
          <t>Critical</t>
        </is>
      </c>
      <c r="F11" s="63">
        <f>COUNTIFS('HZ-ASD Tracker'!A4:A992,"&lt;&gt;",'HZ-ASD Tracker'!F4:F992,"Critical")</f>
        <v/>
      </c>
      <c r="G11" s="226" t="n"/>
      <c r="H11" s="68" t="inlineStr">
        <is>
          <t>🚨 AOG/CRIT — STILL OPEN</t>
        </is>
      </c>
      <c r="I11" s="69">
        <f>COUNTIFS('HZ-ASD Tracker'!$A$4:$A$992,"&lt;&gt;",'HZ-ASD Tracker'!$F$4:$F$992,"AOG",'HZ-ASD Tracker'!$E$4:$E$992,"&lt;&gt;Closed")+COUNTIFS('HZ-ASD Tracker'!$A$4:$A$992,"&lt;&gt;",'HZ-ASD Tracker'!$F$4:$F$992,"Critical",'HZ-ASD Tracker'!$E$4:$E$992,"&lt;&gt;Closed")</f>
        <v/>
      </c>
      <c r="J11" s="226" t="n"/>
      <c r="K11" s="226" t="n"/>
      <c r="L11" s="201" t="n"/>
      <c r="M11" s="205" t="n"/>
    </row>
    <row r="12" ht="4.15" customHeight="1">
      <c r="A12" s="226" t="n"/>
      <c r="B12" s="226" t="n"/>
      <c r="C12" s="226" t="n"/>
      <c r="D12" s="226" t="n"/>
      <c r="E12" s="226" t="n"/>
      <c r="F12" s="226" t="n"/>
      <c r="G12" s="226" t="n"/>
      <c r="H12" s="226" t="n"/>
      <c r="I12" s="226" t="n"/>
      <c r="J12" s="226" t="n"/>
      <c r="K12" s="226" t="n"/>
      <c r="L12" s="226" t="n"/>
      <c r="M12" s="226" t="n"/>
    </row>
    <row r="13" ht="18" customHeight="1">
      <c r="A13" s="318" t="inlineStr">
        <is>
          <t xml:space="preserve">  BY SOURCE  —  ROUTINE  ·  ENG ORDERS  ·  FINDINGS</t>
        </is>
      </c>
      <c r="G13" s="34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26" t="n"/>
      <c r="L13" s="226" t="n"/>
      <c r="M13" s="226" t="n"/>
    </row>
    <row r="14" ht="4.15" customHeight="1">
      <c r="A14" s="226" t="n"/>
      <c r="B14" s="226" t="n"/>
      <c r="C14" s="226" t="n"/>
      <c r="D14" s="226" t="n"/>
      <c r="E14" s="226" t="n"/>
      <c r="F14" s="226" t="n"/>
      <c r="G14" s="226" t="n"/>
      <c r="H14" s="226" t="n"/>
      <c r="I14" s="226" t="n"/>
      <c r="J14" s="226" t="n"/>
      <c r="K14" s="226" t="n"/>
      <c r="L14" s="226" t="n"/>
      <c r="M14" s="226" t="n"/>
    </row>
    <row r="15" ht="31.9" customHeight="1">
      <c r="A15" s="226" t="n"/>
      <c r="B15" s="206" t="inlineStr">
        <is>
          <t>ROUTINE TASKS  (WP)</t>
        </is>
      </c>
      <c r="C15" s="207">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226" t="n"/>
      <c r="E15" s="208" t="inlineStr">
        <is>
          <t>ENG ORDERS  (EOD/AD/EO)</t>
        </is>
      </c>
      <c r="F15" s="209">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Tracker'!$E$4:$E$992="Closed"))&amp;" / "&amp;SUMPRODUCT(('HZ-ASD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G15" s="226" t="n"/>
      <c r="H15" s="210" t="inlineStr">
        <is>
          <t>FINDINGS  (AMOS WOs)</t>
        </is>
      </c>
      <c r="I15" s="211">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J15" s="226" t="n"/>
      <c r="K15" s="226" t="n"/>
      <c r="L15" s="226" t="n"/>
      <c r="M15" s="226" t="n"/>
    </row>
    <row r="16" ht="14.45" customHeight="1">
      <c r="A16" s="226" t="n"/>
      <c r="B16" s="351">
        <f>IFERROR("Completion: "&amp;TEXT((COUNTIFS('HZ-ASD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f>
        <v/>
      </c>
      <c r="D16" s="226" t="n"/>
      <c r="E16" s="352">
        <f>IFERROR("Completion: "&amp;TEXT(SUMPRODUCT(('HZ-ASD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Tracker'!$B$4:$B$992)))&gt;0)),"0%"),"-")&amp;IF(AND(ISNUMBER(LAYOVER!$B$22),ISNUMBER(LAYOVER!$C$22)),"  ·  Window: "&amp;TEXT(MIN(MAX((TODAY()-LAYOVER!$B$22)/(LAYOVER!$C$22-LAYOVER!$B$22),0),1),"0%")&amp;" elapsed","")</f>
        <v/>
      </c>
      <c r="G16" s="226" t="n"/>
      <c r="H16" s="353">
        <f>IFERROR("Completion: "&amp;TEXT((SUMPRODUCT(('HZ-ASD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Tracker'!$B$4:$B$992,7)="WEEKLY-"))&gt;0))),"0%"),"-")&amp;"  ·  Share: "&amp;TEXT(IFERROR((SUMPRODUCT(('HZ-ASD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Tracker'!$B$4:$B$992,7)="WEEKLY-"))&gt;0)))/COUNTIF('HZ-ASD Tracker'!$A$4:$A$992,"&lt;&gt;"),0),"0%")&amp;IF(AND(ISNUMBER(LAYOVER!$B$21),ISNUMBER(LAYOVER!$C$21)),"  ·  Window: "&amp;TEXT(MIN(MAX((TODAY()-LAYOVER!$B$21)/(LAYOVER!$C$21-LAYOVER!$B$21),0),1),"0%")&amp;" elapsed","")</f>
        <v/>
      </c>
      <c r="J16" s="226" t="n"/>
      <c r="K16" s="226" t="n"/>
      <c r="L16" s="226" t="n"/>
      <c r="M16" s="226" t="n"/>
    </row>
    <row r="18" ht="18" customHeight="1">
      <c r="A18" s="318" t="inlineStr">
        <is>
          <t xml:space="preserve">  OPEN UP / ACCESS  —  removed items</t>
        </is>
      </c>
      <c r="G18" s="34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26" t="n"/>
      <c r="L18" s="226" t="n"/>
      <c r="M18" s="226" t="n"/>
    </row>
    <row r="19" ht="4.15" customHeight="1">
      <c r="A19" s="226" t="n"/>
      <c r="B19" s="226" t="n"/>
      <c r="C19" s="226" t="n"/>
      <c r="D19" s="226" t="n"/>
      <c r="E19" s="226" t="n"/>
      <c r="F19" s="226" t="n"/>
      <c r="G19" s="226" t="n"/>
      <c r="H19" s="226" t="n"/>
      <c r="I19" s="226" t="n"/>
      <c r="J19" s="226" t="n"/>
      <c r="K19" s="226" t="n"/>
      <c r="L19" s="226" t="n"/>
      <c r="M19" s="226" t="n"/>
    </row>
    <row r="20" ht="31.9" customHeight="1">
      <c r="A20" s="226" t="n"/>
      <c r="B20" s="212" t="inlineStr">
        <is>
          <t>⚠️ STILL OPEN</t>
        </is>
      </c>
      <c r="C20" s="213">
        <f>COUNTIFS('OPEN UP-ACCESS'!$B$4:$B$504,"&lt;&gt;",'OPEN UP-ACCESS'!$F$4:$F$504,"Open")</f>
        <v/>
      </c>
      <c r="D20" s="226" t="n"/>
      <c r="E20" s="214" t="inlineStr">
        <is>
          <t>PARTIALLY</t>
        </is>
      </c>
      <c r="F20" s="215">
        <f>COUNTIFS('OPEN UP-ACCESS'!$B$4:$B$504,"&lt;&gt;",'OPEN UP-ACCESS'!$F$4:$F$504,"Partially")</f>
        <v/>
      </c>
      <c r="G20" s="226" t="n"/>
      <c r="H20" s="216" t="inlineStr">
        <is>
          <t>RE-INSTALLED</t>
        </is>
      </c>
      <c r="I20" s="217">
        <f>COUNTIFS('OPEN UP-ACCESS'!$B$4:$B$504,"&lt;&gt;",'OPEN UP-ACCESS'!$F$4:$F$504,"Re-Installed")</f>
        <v/>
      </c>
      <c r="J20" s="226" t="n"/>
      <c r="K20" s="226" t="n"/>
      <c r="L20" s="226" t="n"/>
      <c r="M20" s="226" t="n"/>
    </row>
    <row r="21" ht="14.45" customHeight="1">
      <c r="A21" s="226" t="n"/>
      <c r="B21" s="354">
        <f>"of "&amp;COUNTIF('OPEN UP-ACCESS'!$B$4:$B$504,"&lt;&gt;")&amp;" recorded items"</f>
        <v/>
      </c>
      <c r="D21" s="226" t="n"/>
      <c r="E21" s="355">
        <f>"need completion before closing"</f>
        <v/>
      </c>
      <c r="G21" s="226" t="n"/>
      <c r="H21" s="356">
        <f>IFERROR("Restoration: "&amp;TEXT(COUNTIFS('OPEN UP-ACCESS'!$B$4:$B$504,"&lt;&gt;",'OPEN UP-ACCESS'!$F$4:$F$504,"Re-Installed")/COUNTIF('OPEN UP-ACCESS'!$B$4:$B$504,"&lt;&gt;"),"0%"),"-")</f>
        <v/>
      </c>
      <c r="J21" s="226" t="n"/>
      <c r="K21" s="226" t="n"/>
      <c r="L21" s="226" t="n"/>
      <c r="M21" s="226" t="n"/>
    </row>
    <row r="22" ht="4.15" customHeight="1">
      <c r="A22" s="226" t="n"/>
      <c r="B22" s="226" t="n"/>
      <c r="C22" s="226" t="n"/>
      <c r="D22" s="226" t="n"/>
      <c r="E22" s="226" t="n"/>
      <c r="F22" s="226" t="n"/>
      <c r="G22" s="226" t="n"/>
      <c r="H22" s="226" t="n"/>
      <c r="I22" s="226" t="n"/>
      <c r="J22" s="226" t="n"/>
      <c r="K22" s="226" t="n"/>
      <c r="L22" s="226" t="n"/>
      <c r="M22" s="226" t="n"/>
    </row>
    <row r="23" ht="18" customHeight="1">
      <c r="A23" s="348" t="inlineStr">
        <is>
          <t xml:space="preserve">  BY CATEGORY</t>
        </is>
      </c>
      <c r="K23" s="226" t="n"/>
      <c r="L23" s="226" t="n"/>
      <c r="M23" s="226" t="n"/>
    </row>
    <row r="24" ht="4.15" customHeight="1">
      <c r="A24" s="226" t="n"/>
      <c r="B24" s="226" t="n"/>
      <c r="C24" s="226" t="n"/>
      <c r="D24" s="226" t="n"/>
      <c r="E24" s="226" t="n"/>
      <c r="F24" s="226" t="n"/>
      <c r="G24" s="226" t="n"/>
      <c r="H24" s="226" t="n"/>
      <c r="I24" s="226" t="n"/>
      <c r="J24" s="226" t="n"/>
      <c r="K24" s="226" t="n"/>
      <c r="L24" s="226" t="n"/>
      <c r="M24" s="226" t="n"/>
    </row>
    <row r="25" ht="31.9" customHeight="1">
      <c r="A25" s="226" t="n"/>
      <c r="B25" s="70" t="inlineStr">
        <is>
          <t>ACFT GENERAL T/C</t>
        </is>
      </c>
      <c r="C25" s="71">
        <f>IFERROR(COUNTIFS('HZ-ASD Tracker'!$A$4:$A$992,"&lt;&gt;",'HZ-ASD Tracker'!$D$4:$D$992,"ACFT GENERAL T/C",'HZ-ASD Tracker'!$E$4:$E$992,"Closed")&amp;" / "&amp;COUNTIFS('HZ-ASD Tracker'!$A$4:$A$992,"&lt;&gt;",'HZ-ASD Tracker'!$D$4:$D$992,"ACFT GENERAL T/C"),"-")</f>
        <v/>
      </c>
      <c r="D25" s="226" t="n"/>
      <c r="E25" s="72" t="inlineStr">
        <is>
          <t>LAVATORY</t>
        </is>
      </c>
      <c r="F25" s="73">
        <f>IFERROR(COUNTIFS('HZ-ASD Tracker'!$A$4:$A$992,"&lt;&gt;",'HZ-ASD Tracker'!$D$4:$D$992,"LAVATORY",'HZ-ASD Tracker'!$E$4:$E$992,"Closed")&amp;" / "&amp;COUNTIFS('HZ-ASD Tracker'!$A$4:$A$992,"&lt;&gt;",'HZ-ASD Tracker'!$D$4:$D$992,"LAVATORY"),"-")</f>
        <v/>
      </c>
      <c r="G25" s="226" t="n"/>
      <c r="H25" s="74" t="inlineStr">
        <is>
          <t>GALLEY</t>
        </is>
      </c>
      <c r="I25" s="75">
        <f>IFERROR(COUNTIFS('HZ-ASD Tracker'!$A$4:$A$992,"&lt;&gt;",'HZ-ASD Tracker'!$D$4:$D$992,"GALLEY",'HZ-ASD Tracker'!$E$4:$E$992,"Closed")&amp;" / "&amp;COUNTIFS('HZ-ASD Tracker'!$A$4:$A$992,"&lt;&gt;",'HZ-ASD Tracker'!$D$4:$D$992,"GALLEY"),"-")</f>
        <v/>
      </c>
      <c r="J25" s="226" t="n"/>
      <c r="K25" s="226" t="n"/>
      <c r="L25" s="226" t="n"/>
      <c r="M25" s="226" t="n"/>
    </row>
    <row r="26" ht="14.45" customHeight="1">
      <c r="A26" s="226" t="n"/>
      <c r="B26" s="307">
        <f>IFERROR("Completion: "&amp;TEXT(COUNTIFS('HZ-ASD Tracker'!$A$4:$A$992,"&lt;&gt;",'HZ-ASD Tracker'!$D$4:$D$992,"ACFT GENERAL T/C",'HZ-ASD Tracker'!$E$4:$E$992,"Closed")/COUNTIFS('HZ-ASD Tracker'!$A$4:$A$992,"&lt;&gt;",'HZ-ASD Tracker'!$D$4:$D$992,"ACFT GENERAL T/C"),"0%"),"-")</f>
        <v/>
      </c>
      <c r="C26" s="289" t="n"/>
      <c r="D26" s="226" t="n"/>
      <c r="E26" s="311">
        <f>IFERROR("Completion: "&amp;TEXT(COUNTIFS('HZ-ASD Tracker'!$A$4:$A$992,"&lt;&gt;",'HZ-ASD Tracker'!$D$4:$D$992,"LAVATORY",'HZ-ASD Tracker'!$E$4:$E$992,"Closed")/COUNTIFS('HZ-ASD Tracker'!$A$4:$A$992,"&lt;&gt;",'HZ-ASD Tracker'!$D$4:$D$992,"LAVATORY"),"0%"),"-")</f>
        <v/>
      </c>
      <c r="F26" s="289" t="n"/>
      <c r="G26" s="226" t="n"/>
      <c r="H26" s="295">
        <f>IFERROR("Completion: "&amp;TEXT(COUNTIFS('HZ-ASD Tracker'!$A$4:$A$992,"&lt;&gt;",'HZ-ASD Tracker'!$D$4:$D$992,"GALLEY",'HZ-ASD Tracker'!$E$4:$E$992,"Closed")/COUNTIFS('HZ-ASD Tracker'!$A$4:$A$992,"&lt;&gt;",'HZ-ASD Tracker'!$D$4:$D$992,"GALLEY"),"0%"),"-")</f>
        <v/>
      </c>
      <c r="I26" s="289" t="n"/>
      <c r="J26" s="226" t="n"/>
      <c r="K26" s="226" t="n"/>
      <c r="L26" s="226" t="n"/>
      <c r="M26" s="226" t="n"/>
    </row>
    <row r="27" ht="4.15" customHeight="1">
      <c r="A27" s="226" t="n"/>
      <c r="B27" s="218" t="n"/>
      <c r="C27" s="226" t="n"/>
      <c r="D27" s="226" t="n"/>
      <c r="E27" s="218" t="n"/>
      <c r="F27" s="226" t="n"/>
      <c r="G27" s="226" t="n"/>
      <c r="H27" s="218" t="n"/>
      <c r="I27" s="226" t="n"/>
      <c r="J27" s="226" t="n"/>
      <c r="K27" s="226" t="n"/>
      <c r="L27" s="226" t="n"/>
      <c r="M27" s="226" t="n"/>
    </row>
    <row r="28" ht="31.9" customHeight="1">
      <c r="A28" s="226" t="n"/>
      <c r="B28" s="76" t="inlineStr">
        <is>
          <t>GENERAL CABIN</t>
        </is>
      </c>
      <c r="C28" s="77">
        <f>IFERROR(COUNTIFS('HZ-ASD Tracker'!$D$4:$D$992,"GENERAL CABIN",'HZ-ASD Tracker'!$E$4:$E$992,"Closed",'HZ-ASD Tracker'!$A$4:$A$992,"&lt;&gt;")&amp;" / "&amp;COUNTIFS('HZ-ASD Tracker'!$D$4:$D$992,"GENERAL CABIN",'HZ-ASD Tracker'!$A$4:$A$992,"&lt;&gt;"),"-")</f>
        <v/>
      </c>
      <c r="D28" s="226" t="n"/>
      <c r="E28" s="78" t="inlineStr">
        <is>
          <t>TEDLAR/SIDEWALL</t>
        </is>
      </c>
      <c r="F28" s="79">
        <f>IFERROR(COUNTIFS('HZ-ASD Tracker'!$A$4:$A$992,"&lt;&gt;",'HZ-ASD Tracker'!$D$4:$D$992,"TEDLAR/SIDEWALL",'HZ-ASD Tracker'!$E$4:$E$992,"Closed")&amp;" / "&amp;COUNTIFS('HZ-ASD Tracker'!$A$4:$A$992,"&lt;&gt;",'HZ-ASD Tracker'!$D$4:$D$992,"TEDLAR/SIDEWALL"),"-")</f>
        <v/>
      </c>
      <c r="G28" s="226" t="n"/>
      <c r="H28" s="80" t="inlineStr">
        <is>
          <t>PAX SEAT</t>
        </is>
      </c>
      <c r="I28" s="81">
        <f>IFERROR(COUNTIFS('HZ-ASD Tracker'!$A$4:$A$992,"&lt;&gt;",'HZ-ASD Tracker'!$D$4:$D$992,"PAX SEAT",'HZ-ASD Tracker'!$E$4:$E$992,"Closed")&amp;" / "&amp;COUNTIFS('HZ-ASD Tracker'!$A$4:$A$992,"&lt;&gt;",'HZ-ASD Tracker'!$D$4:$D$992,"PAX SEAT"),"-")</f>
        <v/>
      </c>
      <c r="J28" s="226" t="n"/>
      <c r="K28" s="226" t="n"/>
      <c r="L28" s="226" t="n"/>
      <c r="M28" s="226" t="n"/>
    </row>
    <row r="29" ht="14.45" customHeight="1">
      <c r="A29" s="226" t="n"/>
      <c r="B29" s="297">
        <f>IFERROR("Completion: "&amp;TEXT(COUNTIFS('HZ-ASD Tracker'!$D$4:$D$992,"GENERAL CABIN",'HZ-ASD Tracker'!$E$4:$E$992,"Closed",'HZ-ASD Tracker'!$A$4:$A$992,"&lt;&gt;")/COUNTIFS('HZ-ASD Tracker'!$D$4:$D$992,"GENERAL CABIN",'HZ-ASD Tracker'!$A$4:$A$992,"&lt;&gt;"),"0%"),"-")</f>
        <v/>
      </c>
      <c r="C29" s="289" t="n"/>
      <c r="D29" s="226" t="n"/>
      <c r="E29" s="298">
        <f>IFERROR("Completion: "&amp;TEXT(COUNTIFS('HZ-ASD Tracker'!$A$4:$A$992,"&lt;&gt;",'HZ-ASD Tracker'!$D$4:$D$992,"TEDLAR/SIDEWALL",'HZ-ASD Tracker'!$E$4:$E$992,"Closed")/COUNTIFS('HZ-ASD Tracker'!$A$4:$A$992,"&lt;&gt;",'HZ-ASD Tracker'!$D$4:$D$992,"TEDLAR/SIDEWALL"),"0%"),"-")</f>
        <v/>
      </c>
      <c r="F29" s="289" t="n"/>
      <c r="G29" s="226" t="n"/>
      <c r="H29" s="292">
        <f>IFERROR("Completion: "&amp;TEXT(COUNTIFS('HZ-ASD Tracker'!$A$4:$A$992,"&lt;&gt;",'HZ-ASD Tracker'!$D$4:$D$992,"PAX SEAT",'HZ-ASD Tracker'!$E$4:$E$992,"Closed")/COUNTIFS('HZ-ASD Tracker'!$A$4:$A$992,"&lt;&gt;",'HZ-ASD Tracker'!$D$4:$D$992,"PAX SEAT"),"0%"),"-")</f>
        <v/>
      </c>
      <c r="I29" s="289" t="n"/>
      <c r="J29" s="226" t="n"/>
      <c r="K29" s="226" t="n"/>
      <c r="L29" s="226" t="n"/>
      <c r="M29" s="226" t="n"/>
    </row>
    <row r="30" ht="4.15" customHeight="1">
      <c r="A30" s="226" t="n"/>
      <c r="B30" s="218" t="n"/>
      <c r="C30" s="226" t="n"/>
      <c r="D30" s="226" t="n"/>
      <c r="E30" s="218" t="n"/>
      <c r="F30" s="226" t="n"/>
      <c r="G30" s="226" t="n"/>
      <c r="H30" s="218" t="n"/>
      <c r="I30" s="226" t="n"/>
      <c r="J30" s="226" t="n"/>
      <c r="K30" s="226" t="n"/>
      <c r="L30" s="226" t="n"/>
      <c r="M30" s="226" t="n"/>
    </row>
    <row r="31" ht="31.9" customHeight="1">
      <c r="A31" s="226" t="n"/>
      <c r="B31" s="82" t="inlineStr">
        <is>
          <t>PAX DOORS</t>
        </is>
      </c>
      <c r="C31" s="83">
        <f>IFERROR(COUNTIFS('HZ-ASD Tracker'!$A$4:$A$992,"&lt;&gt;",'HZ-ASD Tracker'!$D$4:$D$992,"PAX DOORS",'HZ-ASD Tracker'!$E$4:$E$992,"Closed")&amp;" / "&amp;COUNTIFS('HZ-ASD Tracker'!$A$4:$A$992,"&lt;&gt;",'HZ-ASD Tracker'!$D$4:$D$992,"PAX DOORS"),"-")</f>
        <v/>
      </c>
      <c r="D31" s="226" t="n"/>
      <c r="E31" s="84" t="inlineStr">
        <is>
          <t>F/A SEAT</t>
        </is>
      </c>
      <c r="F31" s="85">
        <f>IFERROR(COUNTIFS('HZ-ASD Tracker'!$A$4:$A$992,"&lt;&gt;",'HZ-ASD Tracker'!$D$4:$D$992,"F/A SEAT",'HZ-ASD Tracker'!$E$4:$E$992,"Closed")&amp;" / "&amp;COUNTIFS('HZ-ASD Tracker'!$A$4:$A$992,"&lt;&gt;",'HZ-ASD Tracker'!$D$4:$D$992,"F/A SEAT"),"-")</f>
        <v/>
      </c>
      <c r="G31" s="226" t="n"/>
      <c r="H31" s="86">
        <f>IF($M$31=0,"—",$L$31&amp;" / "&amp;$M$31)</f>
        <v/>
      </c>
      <c r="I31" s="87">
        <f>IFERROR((COUNTIFS('HZ-ASD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Tracker'!$D$4:$D$992,"ACCESS")+COUNTIFS('HZ-ASD Tracker'!$A$4:$A$992,"&lt;&gt;",'HZ-ASD Tracker'!$D$4:$D$992,"ACCESS",'HZ-ASD Tracker'!$E$4:$E$992,"Closed")+COUNTIFS('HZ-ASD Tracker'!$A$4:$A$992,"&lt;&gt;",'HZ-ASD Tracker'!$D$4:$D$992,"FLIGHT DECK",'HZ-ASD Tracker'!$E$4:$E$992,"Closed")))&amp;" / "&amp;(COUNTIFS('HZ-ASD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Tracker'!$D$4:$D$992,"ACCESS")+COUNTIFS('HZ-ASD Tracker'!$A$4:$A$992,"&lt;&gt;",'HZ-ASD Tracker'!$D$4:$D$992,"FLIGHT DECK"))),"-")</f>
        <v/>
      </c>
      <c r="J31" s="226" t="n"/>
      <c r="K31" s="226" t="n"/>
      <c r="L31" s="219">
        <f>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Tracker'!$D$4:$D$992,"FLIGHT DECK",'HZ-ASD Tracker'!$E$4:$E$992,"Closed")+COUNTIFS('HZ-ASD Tracker'!$A$4:$A$992,"&lt;&gt;",'HZ-ASD Tracker'!$D$4:$D$992,"ACCESS",'HZ-ASD Tracker'!$E$4:$E$992,"Closed"))</f>
        <v/>
      </c>
      <c r="M31" s="219">
        <f>COUNTIF('HZ-ASD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Tracker'!$D$4:$D$992,"FLIGHT DECK")+COUNTIFS('HZ-ASD Tracker'!$A$4:$A$992,"&lt;&gt;",'HZ-ASD Tracker'!$D$4:$D$992,"ACCESS"))</f>
        <v/>
      </c>
    </row>
    <row r="32" ht="14.45" customHeight="1">
      <c r="A32" s="226" t="n"/>
      <c r="B32" s="305">
        <f>IFERROR("Completion: "&amp;TEXT(COUNTIFS('HZ-ASD Tracker'!$A$4:$A$992,"&lt;&gt;",'HZ-ASD Tracker'!$D$4:$D$992,"PAX DOORS",'HZ-ASD Tracker'!$E$4:$E$992,"Closed")/COUNTIFS('HZ-ASD Tracker'!$A$4:$A$992,"&lt;&gt;",'HZ-ASD Tracker'!$D$4:$D$992,"PAX DOORS"),"0%"),"-")</f>
        <v/>
      </c>
      <c r="C32" s="289" t="n"/>
      <c r="D32" s="226" t="n"/>
      <c r="E32" s="313">
        <f>IFERROR("Completion: "&amp;TEXT(COUNTIFS('HZ-ASD Tracker'!$A$4:$A$992,"&lt;&gt;",'HZ-ASD Tracker'!$D$4:$D$992,"F/A SEAT",'HZ-ASD Tracker'!$E$4:$E$992,"Closed")/COUNTIFS('HZ-ASD Tracker'!$A$4:$A$992,"&lt;&gt;",'HZ-ASD Tracker'!$D$4:$D$992,"F/A SEAT"),"0%"),"-")</f>
        <v/>
      </c>
      <c r="F32" s="289" t="n"/>
      <c r="G32" s="226" t="n"/>
      <c r="H32" s="310">
        <f>IF($M$31=0,"—","Completion: "&amp;TEXT(IFERROR($L$31/$M$31,0),"0%"))</f>
        <v/>
      </c>
      <c r="I32" s="289" t="n"/>
      <c r="J32" s="226" t="n"/>
      <c r="K32" s="226" t="n"/>
      <c r="L32" s="226" t="n"/>
      <c r="M32" s="226" t="n"/>
    </row>
    <row r="33" ht="4.15" customHeight="1">
      <c r="A33" s="226" t="n"/>
      <c r="B33" s="218" t="n"/>
      <c r="C33" s="226" t="n"/>
      <c r="D33" s="226" t="n"/>
      <c r="E33" s="218" t="n"/>
      <c r="F33" s="226" t="n"/>
      <c r="G33" s="226" t="n"/>
      <c r="H33" s="226" t="n"/>
      <c r="I33" s="226" t="n"/>
      <c r="J33" s="226" t="n"/>
    </row>
    <row r="34" ht="31.9" customHeight="1">
      <c r="A34" s="226" t="n"/>
      <c r="B34" s="88" t="inlineStr">
        <is>
          <t>FLIGHT DECK</t>
        </is>
      </c>
      <c r="C34" s="89">
        <f>IFERROR(COUNTIFS('HZ-ASD Tracker'!$A$4:$A$992,"&lt;&gt;",'HZ-ASD Tracker'!$D$4:$D$992,"FLIGHT DECK",'HZ-ASD Tracker'!$E$4:$E$992,"Closed")&amp;" / "&amp;COUNTIFS('HZ-ASD Tracker'!$A$4:$A$992,"&lt;&gt;",'HZ-ASD Tracker'!$D$4:$D$992,"FLIGHT DECK"),"-")</f>
        <v/>
      </c>
      <c r="D34" s="226" t="n"/>
      <c r="E34" s="88" t="inlineStr">
        <is>
          <t>ACCESS</t>
        </is>
      </c>
      <c r="F34" s="89">
        <f>IFERROR(COUNTIFS('HZ-ASD Tracker'!$A$4:$A$992,"&lt;&gt;",'HZ-ASD Tracker'!$D$4:$D$992,"ACCESS",'HZ-ASD Tracker'!$E$4:$E$992,"Closed")&amp;" / "&amp;COUNTIFS('HZ-ASD Tracker'!$A$4:$A$992,"&lt;&gt;",'HZ-ASD Tracker'!$D$4:$D$992,"ACCESS"),"-")</f>
        <v/>
      </c>
      <c r="G34" s="226" t="n"/>
      <c r="H34" s="226" t="n"/>
      <c r="I34" s="226" t="n"/>
      <c r="J34" s="226" t="n"/>
    </row>
    <row r="35">
      <c r="A35" s="226" t="n"/>
      <c r="B35" s="292">
        <f>IFERROR("Completion: "&amp;TEXT(COUNTIFS('HZ-ASD Tracker'!$A$4:$A$992,"&lt;&gt;",'HZ-ASD Tracker'!$D$4:$D$992,"FLIGHT DECK",'HZ-ASD Tracker'!$E$4:$E$992,"Closed")/COUNTIFS('HZ-ASD Tracker'!$A$4:$A$992,"&lt;&gt;",'HZ-ASD Tracker'!$D$4:$D$992,"FLIGHT DECK"),"0%"),"-")</f>
        <v/>
      </c>
      <c r="C35" s="289" t="n"/>
      <c r="D35" s="226" t="n"/>
      <c r="E35" s="292">
        <f>IFERROR("Completion: "&amp;TEXT(COUNTIFS('HZ-ASD Tracker'!$A$4:$A$992,"&lt;&gt;",'HZ-ASD Tracker'!$D$4:$D$992,"ACCESS",'HZ-ASD Tracker'!$E$4:$E$992,"Closed")/COUNTIFS('HZ-ASD Tracker'!$A$4:$A$992,"&lt;&gt;",'HZ-ASD Tracker'!$D$4:$D$992,"ACCESS"),"0%"),"-")</f>
        <v/>
      </c>
      <c r="F35" s="289" t="n"/>
      <c r="G35" s="226" t="n"/>
      <c r="H35" s="226" t="n"/>
      <c r="I35" s="226" t="n"/>
      <c r="J35" s="226" t="n"/>
    </row>
    <row r="36" ht="4.15" customHeight="1">
      <c r="A36" s="226" t="n"/>
      <c r="B36" s="226" t="n"/>
      <c r="C36" s="226" t="n"/>
      <c r="D36" s="226" t="n"/>
      <c r="E36" s="226" t="n"/>
      <c r="F36" s="226" t="n"/>
      <c r="G36" s="226" t="n"/>
      <c r="H36" s="226" t="n"/>
      <c r="I36" s="226" t="n"/>
      <c r="J36" s="226" t="n"/>
    </row>
    <row r="37" ht="18" customHeight="1">
      <c r="A37" s="348" t="inlineStr">
        <is>
          <t xml:space="preserve">  SPECIALTY</t>
        </is>
      </c>
    </row>
    <row r="38" ht="4.15" customHeight="1">
      <c r="A38" s="226" t="n"/>
      <c r="B38" s="226" t="n"/>
      <c r="C38" s="226" t="n"/>
      <c r="D38" s="226" t="n"/>
      <c r="E38" s="226" t="n"/>
      <c r="F38" s="226" t="n"/>
      <c r="G38" s="226" t="n"/>
      <c r="H38" s="226" t="n"/>
      <c r="I38" s="226" t="n"/>
      <c r="J38" s="226" t="n"/>
    </row>
    <row r="39" ht="32.1" customHeight="1">
      <c r="A39" s="226" t="n"/>
      <c r="B39" s="72" t="inlineStr">
        <is>
          <t>CABIN</t>
        </is>
      </c>
      <c r="C39" s="90">
        <f>IFERROR(COUNTIFS('HZ-ASD Tracker'!$A$4:$A$992,"&lt;&gt;",'HZ-ASD Tracker'!$G$4:$G$992,"CAB",'HZ-ASD Tracker'!$E$4:$E$992,"Closed")&amp;" / "&amp;COUNTIFS('HZ-ASD Tracker'!$A$4:$A$992,"&lt;&gt;",'HZ-ASD Tracker'!$G$4:$G$992,"CAB"),"-")</f>
        <v/>
      </c>
      <c r="D39" s="226" t="n"/>
      <c r="E39" s="82" t="inlineStr">
        <is>
          <t>SEAT SHOP</t>
        </is>
      </c>
      <c r="F39" s="91">
        <f>IFERROR(COUNTIFS('HZ-ASD Tracker'!$A$4:$A$992,"&lt;&gt;",'HZ-ASD Tracker'!$G$4:$G$992,"SEAT",'HZ-ASD Tracker'!$E$4:$E$992,"Closed")&amp;" / "&amp;COUNTIFS('HZ-ASD Tracker'!$A$4:$A$992,"&lt;&gt;",'HZ-ASD Tracker'!$G$4:$G$992,"SEAT"),"-")</f>
        <v/>
      </c>
      <c r="G39" s="226" t="n"/>
      <c r="H39" s="92" t="inlineStr">
        <is>
          <t>AV/FOMAX</t>
        </is>
      </c>
      <c r="I39" s="93">
        <f>IFERROR(COUNTIFS('HZ-ASD Tracker'!$A$4:$A$992,"&lt;&gt;",'HZ-ASD Tracker'!$G$4:$G$992,"AV",'HZ-ASD Tracker'!$E$4:$E$992,"Closed")&amp;" / "&amp;COUNTIFS('HZ-ASD Tracker'!$A$4:$A$992,"&lt;&gt;",'HZ-ASD Tracker'!$G$4:$G$992,"AV"),"-")</f>
        <v/>
      </c>
      <c r="J39" s="226" t="n"/>
    </row>
    <row r="40" ht="14.45" customHeight="1">
      <c r="A40" s="226" t="n"/>
      <c r="B40" s="311">
        <f>IFERROR("Completion: "&amp;TEXT(COUNTIFS('HZ-ASD Tracker'!$A$4:$A$992,"&lt;&gt;",'HZ-ASD Tracker'!$G$4:$G$992,"CAB",'HZ-ASD Tracker'!$E$4:$E$992,"Closed")/COUNTIFS('HZ-ASD Tracker'!$A$4:$A$992,"&lt;&gt;",'HZ-ASD Tracker'!$G$4:$G$992,"CAB"),"0%"),"-")</f>
        <v/>
      </c>
      <c r="C40" s="289" t="n"/>
      <c r="D40" s="226" t="n"/>
      <c r="E40" s="305">
        <f>IFERROR("Completion: "&amp;TEXT(COUNTIFS('HZ-ASD Tracker'!$A$4:$A$992,"&lt;&gt;",'HZ-ASD Tracker'!$G$4:$G$992,"SEAT",'HZ-ASD Tracker'!$E$4:$E$992,"Closed")/COUNTIFS('HZ-ASD Tracker'!$A$4:$A$992,"&lt;&gt;",'HZ-ASD Tracker'!$G$4:$G$992,"SEAT"),"0%"),"-")</f>
        <v/>
      </c>
      <c r="F40" s="289" t="n"/>
      <c r="G40" s="226" t="n"/>
      <c r="H40" s="297">
        <f>IFERROR("Completion: "&amp;TEXT(COUNTIFS('HZ-ASD Tracker'!$A$4:$A$992,"&lt;&gt;",'HZ-ASD Tracker'!$G$4:$G$992,"AV",'HZ-ASD Tracker'!$E$4:$E$992,"Closed")/COUNTIFS('HZ-ASD Tracker'!$A$4:$A$992,"&lt;&gt;",'HZ-ASD Tracker'!$G$4:$G$992,"AV"),"0%"),"-")</f>
        <v/>
      </c>
      <c r="I40" s="289" t="n"/>
      <c r="J40" s="226" t="n"/>
    </row>
    <row r="41" ht="3.75" customHeight="1">
      <c r="A41" s="226" t="n"/>
      <c r="B41" s="218" t="n"/>
      <c r="C41" s="226" t="n"/>
      <c r="D41" s="226" t="n"/>
      <c r="E41" s="218" t="n"/>
      <c r="F41" s="226" t="n"/>
      <c r="G41" s="226" t="n"/>
      <c r="H41" s="218" t="n"/>
      <c r="I41" s="226" t="n"/>
      <c r="J41" s="226" t="n"/>
    </row>
    <row r="42" ht="32.1" customHeight="1">
      <c r="A42" s="226" t="n"/>
      <c r="B42" s="78" t="inlineStr">
        <is>
          <t>SIDEWALL</t>
        </is>
      </c>
      <c r="C42" s="94">
        <f>IFERROR(COUNTIFS('HZ-ASD Tracker'!$A$4:$A$992,"&lt;&gt;",'HZ-ASD Tracker'!$G$4:$G$992,"WALL",'HZ-ASD Tracker'!$E$4:$E$992,"Closed")&amp;" / "&amp;COUNTIFS('HZ-ASD Tracker'!$A$4:$A$992,"&lt;&gt;",'HZ-ASD Tracker'!$G$4:$G$992,"WALL"),"-")</f>
        <v/>
      </c>
      <c r="D42" s="226" t="n"/>
      <c r="E42" s="95" t="inlineStr">
        <is>
          <t>S/M</t>
        </is>
      </c>
      <c r="F42" s="96">
        <f>IFERROR(COUNTIFS('HZ-ASD Tracker'!$A$4:$A$992,"&lt;&gt;",'HZ-ASD Tracker'!$G$4:$G$992,"S/M",'HZ-ASD Tracker'!$E$4:$E$992,"Closed")&amp;" / "&amp;COUNTIFS('HZ-ASD Tracker'!$A$4:$A$992,"&lt;&gt;",'HZ-ASD Tracker'!$G$4:$G$992,"S/M"),"-")</f>
        <v/>
      </c>
      <c r="G42" s="226" t="n"/>
      <c r="H42" s="97" t="inlineStr">
        <is>
          <t>PAINT</t>
        </is>
      </c>
      <c r="I42" s="98">
        <f>IFERROR(COUNTIFS('HZ-ASD Tracker'!$A$4:$A$992,"&lt;&gt;",'HZ-ASD Tracker'!$G$4:$G$992,"PAINT",'HZ-ASD Tracker'!$E$4:$E$992,"Closed")&amp;" / "&amp;COUNTIFS('HZ-ASD Tracker'!$A$4:$A$992,"&lt;&gt;",'HZ-ASD Tracker'!$G$4:$G$992,"PAINT"),"-")</f>
        <v/>
      </c>
      <c r="J42" s="226" t="n"/>
    </row>
    <row r="43" ht="14.45" customHeight="1">
      <c r="A43" s="226" t="n"/>
      <c r="B43" s="298">
        <f>IFERROR("Completion: "&amp;TEXT(COUNTIFS('HZ-ASD Tracker'!$A$4:$A$992,"&lt;&gt;",'HZ-ASD Tracker'!$G$4:$G$992,"WALL",'HZ-ASD Tracker'!$E$4:$E$992,"Closed")/COUNTIFS('HZ-ASD Tracker'!$A$4:$A$992,"&lt;&gt;",'HZ-ASD Tracker'!$G$4:$G$992,"WALL"),"0%"),"-")</f>
        <v/>
      </c>
      <c r="C43" s="289" t="n"/>
      <c r="D43" s="226" t="n"/>
      <c r="E43" s="288">
        <f>IFERROR("Completion: "&amp;TEXT(COUNTIFS('HZ-ASD Tracker'!$A$4:$A$992,"&lt;&gt;",'HZ-ASD Tracker'!$G$4:$G$992,"S/M",'HZ-ASD Tracker'!$E$4:$E$992,"Closed")/COUNTIFS('HZ-ASD Tracker'!$A$4:$A$992,"&lt;&gt;",'HZ-ASD Tracker'!$G$4:$G$992,"S/M"),"0%"),"-")</f>
        <v/>
      </c>
      <c r="F43" s="289" t="n"/>
      <c r="G43" s="226" t="n"/>
      <c r="H43" s="293">
        <f>IFERROR("Completion: "&amp;TEXT(COUNTIFS('HZ-ASD Tracker'!$A$4:$A$992,"&lt;&gt;",'HZ-ASD Tracker'!$G$4:$G$992,"PAINT",'HZ-ASD Tracker'!$E$4:$E$992,"Closed")/COUNTIFS('HZ-ASD Tracker'!$A$4:$A$992,"&lt;&gt;",'HZ-ASD Tracker'!$G$4:$G$992,"PAINT"),"0%"),"-")</f>
        <v/>
      </c>
      <c r="I43" s="289" t="n"/>
      <c r="J43" s="226" t="n"/>
    </row>
    <row r="44" ht="3.75" customHeight="1">
      <c r="A44" s="226" t="n"/>
      <c r="B44" s="218" t="n"/>
      <c r="C44" s="226" t="n"/>
      <c r="D44" s="226" t="n"/>
      <c r="E44" s="218" t="n"/>
      <c r="F44" s="226" t="n"/>
      <c r="G44" s="226" t="n"/>
      <c r="H44" s="218" t="n"/>
      <c r="I44" s="226" t="n"/>
      <c r="J44" s="226" t="n"/>
    </row>
    <row r="45" ht="32.1" customHeight="1">
      <c r="A45" s="226" t="n"/>
      <c r="B45" s="99" t="inlineStr">
        <is>
          <t>JOINT</t>
        </is>
      </c>
      <c r="C45" s="100">
        <f>IFERROR(COUNTIFS('HZ-ASD Tracker'!$A$4:$A$992,"&lt;&gt;",'HZ-ASD Tracker'!$G$4:$G$992,"JOINT",'HZ-ASD Tracker'!$E$4:$E$992,"Closed")&amp;" / "&amp;COUNTIFS('HZ-ASD Tracker'!$A$4:$A$992,"&lt;&gt;",'HZ-ASD Tracker'!$G$4:$G$992,"JOINT"),"-")</f>
        <v/>
      </c>
      <c r="D45" s="226" t="n"/>
      <c r="E45" s="101" t="inlineStr">
        <is>
          <t>INSP</t>
        </is>
      </c>
      <c r="F45" s="102">
        <f>IFERROR(COUNTIFS('HZ-ASD Tracker'!$A$4:$A$992,"&lt;&gt;",'HZ-ASD Tracker'!$G$4:$G$992,"INSP",'HZ-ASD Tracker'!$E$4:$E$992,"Closed")&amp;" / "&amp;COUNTIFS('HZ-ASD Tracker'!$A$4:$A$992,"&lt;&gt;",'HZ-ASD Tracker'!$G$4:$G$992,"INSP"),"-")</f>
        <v/>
      </c>
      <c r="G45" s="226" t="n"/>
      <c r="H45" s="103" t="inlineStr">
        <is>
          <t>A/P</t>
        </is>
      </c>
      <c r="I45" s="104">
        <f>IFERROR(COUNTIFS('HZ-ASD Tracker'!$A$4:$A$992,"&lt;&gt;",'HZ-ASD Tracker'!$G$4:$G$992,"AP",'HZ-ASD Tracker'!$E$4:$E$992,"Closed")&amp;" / "&amp;COUNTIFS('HZ-ASD Tracker'!$A$4:$A$992,"&lt;&gt;",'HZ-ASD Tracker'!$G$4:$G$992,"AP"),"-")</f>
        <v/>
      </c>
      <c r="J45" s="226" t="n"/>
    </row>
    <row r="46" ht="14.45" customHeight="1">
      <c r="A46" s="226" t="n"/>
      <c r="B46" s="288">
        <f>IFERROR("Completion: "&amp;TEXT(COUNTIFS('HZ-ASD Tracker'!$A$4:$A$992,"&lt;&gt;",'HZ-ASD Tracker'!$G$4:$G$992,"JOINT",'HZ-ASD Tracker'!$E$4:$E$992,"Closed")/COUNTIFS('HZ-ASD Tracker'!$A$4:$A$992,"&lt;&gt;",'HZ-ASD Tracker'!$G$4:$G$992,"JOINT"),"0%"),"-")</f>
        <v/>
      </c>
      <c r="C46" s="289" t="n"/>
      <c r="D46" s="226" t="n"/>
      <c r="E46" s="309">
        <f>IFERROR("Completion: "&amp;TEXT(COUNTIFS('HZ-ASD Tracker'!$A$4:$A$992,"&lt;&gt;",'HZ-ASD Tracker'!$G$4:$G$992,"INSP",'HZ-ASD Tracker'!$E$4:$E$992,"Closed")/COUNTIFS('HZ-ASD Tracker'!$A$4:$A$992,"&lt;&gt;",'HZ-ASD Tracker'!$G$4:$G$992,"INSP"),"0%"),"-")</f>
        <v/>
      </c>
      <c r="F46" s="289" t="n"/>
      <c r="G46" s="226" t="n"/>
      <c r="H46" s="302">
        <f>IFERROR("Completion: "&amp;TEXT(COUNTIFS('HZ-ASD Tracker'!$A$4:$A$992,"&lt;&gt;",'HZ-ASD Tracker'!$G$4:$G$992,"AP",'HZ-ASD Tracker'!$E$4:$E$992,"Closed")/COUNTIFS('HZ-ASD Tracker'!$A$4:$A$992,"&lt;&gt;",'HZ-ASD Tracker'!$G$4:$G$992,"AP"),"0%"),"-")</f>
        <v/>
      </c>
      <c r="I46" s="289" t="n"/>
      <c r="J46" s="226" t="n"/>
    </row>
    <row r="47" ht="32.1" customHeight="1">
      <c r="A47" s="226" t="n"/>
      <c r="B47" s="226" t="n"/>
      <c r="C47" s="226" t="n"/>
      <c r="D47" s="226" t="n"/>
      <c r="E47" s="226" t="n"/>
      <c r="F47" s="226" t="n"/>
      <c r="G47" s="226" t="n"/>
      <c r="H47" s="226" t="n"/>
      <c r="I47" s="226" t="n"/>
      <c r="J47" s="226" t="n"/>
    </row>
    <row r="48" ht="18" customHeight="1">
      <c r="A48" s="348" t="inlineStr">
        <is>
          <t xml:space="preserve">  PARTS REQUIREMENTS  (count of WOs with each status)</t>
        </is>
      </c>
    </row>
    <row r="49" ht="4.15" customHeight="1">
      <c r="B49" s="226" t="n"/>
      <c r="C49" s="226" t="n"/>
      <c r="D49" s="226" t="n"/>
      <c r="E49" s="226" t="n"/>
      <c r="F49" s="226" t="n"/>
      <c r="G49" s="226" t="n"/>
      <c r="H49" s="226" t="n"/>
      <c r="I49" s="226" t="n"/>
    </row>
    <row r="50" ht="31.9" customHeight="1">
      <c r="B50" s="105" t="inlineStr">
        <is>
          <t>Requested</t>
        </is>
      </c>
      <c r="C50" s="106">
        <f>COUNTIFS('HZ-ASD Tracker'!A4:A992,"&lt;&gt;",'HZ-ASD Tracker'!H4:H992,"Requested")</f>
        <v/>
      </c>
      <c r="D50" s="226" t="n"/>
      <c r="E50" s="107" t="inlineStr">
        <is>
          <t>Requested – CR</t>
        </is>
      </c>
      <c r="F50" s="108">
        <f>COUNTIFS('HZ-ASD Tracker'!A4:A992,"&lt;&gt;",'HZ-ASD Tracker'!H4:H992,"Requested - CR")</f>
        <v/>
      </c>
      <c r="G50" s="226" t="n"/>
      <c r="H50" s="92" t="inlineStr">
        <is>
          <t>Requested – R</t>
        </is>
      </c>
      <c r="I50" s="109">
        <f>COUNTIFS('HZ-ASD Tracker'!A4:A992,"&lt;&gt;",'HZ-ASD Tracker'!H4:H992,"Requested - R")</f>
        <v/>
      </c>
    </row>
    <row r="51" ht="4.15" customHeight="1">
      <c r="B51" s="226" t="n"/>
      <c r="C51" s="226" t="n"/>
      <c r="D51" s="226" t="n"/>
      <c r="E51" s="226" t="n"/>
      <c r="F51" s="226" t="n"/>
      <c r="G51" s="226" t="n"/>
      <c r="H51" s="226" t="n"/>
      <c r="I51" s="226" t="n"/>
    </row>
    <row r="52" ht="31.9" customHeight="1">
      <c r="B52" s="110" t="inlineStr">
        <is>
          <t>Pending - Require Evaluation</t>
        </is>
      </c>
      <c r="C52" s="111">
        <f>COUNTIFS('HZ-ASD Tracker'!A4:A992,"&lt;&gt;",'HZ-ASD Tracker'!H4:H992,"Pending EVAL")</f>
        <v/>
      </c>
      <c r="D52" s="226" t="n"/>
      <c r="E52" s="56" t="inlineStr">
        <is>
          <t>N/R  (not required)</t>
        </is>
      </c>
      <c r="F52" s="57">
        <f>COUNTIFS('HZ-ASD Tracker'!A4:A992,"&lt;&gt;",'HZ-ASD Tracker'!H4:H992,"N/R")</f>
        <v/>
      </c>
      <c r="G52" s="226" t="n"/>
      <c r="H52" s="112" t="inlineStr">
        <is>
          <t>N/A (Not available)</t>
        </is>
      </c>
      <c r="I52" s="113">
        <f>COUNTIFS('HZ-ASD Tracker'!A4:A992,"&lt;&gt;",'HZ-ASD Tracker'!H4:H992,"N/A")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0" stopIfTrue="1">
      <formula>ISNUMBER(SEARCH("✅",$A$2))</formula>
    </cfRule>
    <cfRule type="expression" priority="2" dxfId="9" stopIfTrue="1">
      <formula>ISNUMBER(SEARCH("⚠️",$A$2))</formula>
    </cfRule>
    <cfRule type="expression" priority="3" dxfId="8" stopIfTrue="1">
      <formula>ISNUMBER(SEARCH("🔴",$A$2))</formula>
    </cfRule>
    <cfRule type="expression" priority="4" dxfId="7" stopIfTrue="1">
      <formula>ISNUMBER(SEARCH("❌",$A$2))</formula>
    </cfRule>
  </conditionalFormatting>
  <conditionalFormatting sqref="H3:J3">
    <cfRule type="expression" priority="7" dxfId="6" stopIfTrue="1">
      <formula>ISNUMBER(SEARCH("CLOSED",$H$3))</formula>
    </cfRule>
  </conditionalFormatting>
  <conditionalFormatting sqref="H9:J9">
    <cfRule type="expression" priority="9" dxfId="5">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7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20" t="inlineStr">
        <is>
          <t>Seq</t>
        </is>
      </c>
      <c r="B1" s="220" t="inlineStr">
        <is>
          <t>WO / Task</t>
        </is>
      </c>
      <c r="C1" s="220" t="inlineStr">
        <is>
          <t>Title</t>
        </is>
      </c>
      <c r="D1" s="220" t="inlineStr">
        <is>
          <t>Priority</t>
        </is>
      </c>
      <c r="E1" s="220" t="inlineStr">
        <is>
          <t>Est MH</t>
        </is>
      </c>
      <c r="F1" s="220" t="inlineStr">
        <is>
          <t>Booked MH</t>
        </is>
      </c>
      <c r="G1" s="220" t="inlineStr">
        <is>
          <t>Dur (h)</t>
        </is>
      </c>
      <c r="H1" s="220" t="inlineStr">
        <is>
          <t>Progress</t>
        </is>
      </c>
      <c r="I1" s="220" t="inlineStr">
        <is>
          <t>ATA</t>
        </is>
      </c>
      <c r="J1" s="220" t="inlineStr">
        <is>
          <t>Phase</t>
        </is>
      </c>
      <c r="K1" s="226" t="n"/>
      <c r="L1" s="221" t="inlineStr">
        <is>
          <t>Day</t>
        </is>
      </c>
      <c r="M1" s="221" t="inlineStr">
        <is>
          <t>Plan Cum</t>
        </is>
      </c>
    </row>
    <row r="2">
      <c r="A2" s="222" t="inlineStr">
        <is>
          <t>1</t>
        </is>
      </c>
      <c r="B2" s="222" t="inlineStr">
        <is>
          <t>32797253</t>
        </is>
      </c>
      <c r="C2" s="222" t="inlineStr">
        <is>
          <t>6Y_N/6Y_N YEARS STRUCTURE</t>
        </is>
      </c>
      <c r="D2" s="222" t="inlineStr">
        <is>
          <t>N</t>
        </is>
      </c>
      <c r="E2" s="222" t="n"/>
      <c r="F2" s="222" t="n"/>
      <c r="G2" s="222" t="n"/>
      <c r="H2" s="222" t="inlineStr">
        <is>
          <t>Not Started</t>
        </is>
      </c>
      <c r="I2" s="222" t="inlineStr">
        <is>
          <t>05</t>
        </is>
      </c>
      <c r="J2" s="222" t="inlineStr"/>
      <c r="K2" s="226" t="n"/>
      <c r="L2" s="226" t="n">
        <v>1</v>
      </c>
      <c r="M2" s="226" t="n">
        <v>0.0396</v>
      </c>
    </row>
    <row r="3">
      <c r="A3" s="222" t="inlineStr">
        <is>
          <t>6</t>
        </is>
      </c>
      <c r="B3" s="222" t="inlineStr">
        <is>
          <t>200121-01-1</t>
        </is>
      </c>
      <c r="C3" s="222" t="inlineStr">
        <is>
          <t>200121-01-1 (3) / FWD AVIONIC COMP. ELECTRICAL WIRING</t>
        </is>
      </c>
      <c r="D3" s="222" t="inlineStr">
        <is>
          <t>1</t>
        </is>
      </c>
      <c r="E3" s="222" t="n">
        <v>1.3</v>
      </c>
      <c r="F3" s="222" t="n"/>
      <c r="G3" s="222" t="n"/>
      <c r="H3" s="222" t="inlineStr">
        <is>
          <t>Not Started</t>
        </is>
      </c>
      <c r="I3" s="222" t="inlineStr">
        <is>
          <t>24-92</t>
        </is>
      </c>
      <c r="J3" s="222" t="inlineStr">
        <is>
          <t>TC/P, TC/P</t>
        </is>
      </c>
      <c r="K3" s="226" t="n"/>
      <c r="L3" s="226" t="n">
        <v>2</v>
      </c>
      <c r="M3" s="226" t="n">
        <v>0.07920000000000001</v>
      </c>
    </row>
    <row r="4">
      <c r="A4" s="222" t="inlineStr">
        <is>
          <t>8</t>
        </is>
      </c>
      <c r="B4" s="222" t="inlineStr">
        <is>
          <t>200121-04-1</t>
        </is>
      </c>
      <c r="C4" s="222" t="inlineStr">
        <is>
          <t>200121-04-1 (03) / FWD AVIONICS COMPT WIRING DET INSP</t>
        </is>
      </c>
      <c r="D4" s="222" t="inlineStr">
        <is>
          <t>1</t>
        </is>
      </c>
      <c r="E4" s="222" t="n">
        <v>1.3</v>
      </c>
      <c r="F4" s="222" t="n"/>
      <c r="G4" s="222" t="n"/>
      <c r="H4" s="222" t="inlineStr">
        <is>
          <t>Not Started</t>
        </is>
      </c>
      <c r="I4" s="222" t="inlineStr">
        <is>
          <t>24-92</t>
        </is>
      </c>
      <c r="J4" s="222" t="inlineStr">
        <is>
          <t>INSPECTION</t>
        </is>
      </c>
      <c r="K4" s="226" t="n"/>
      <c r="L4" s="226" t="n">
        <v>3</v>
      </c>
      <c r="M4" s="226" t="n">
        <v>0.1188</v>
      </c>
    </row>
    <row r="5">
      <c r="A5" s="222" t="inlineStr">
        <is>
          <t>9</t>
        </is>
      </c>
      <c r="B5" s="222" t="inlineStr">
        <is>
          <t>200125-01-1</t>
        </is>
      </c>
      <c r="C5" s="222" t="inlineStr">
        <is>
          <t>200125-01-1 (2) / LATERAL AVIONIC COMPARTMENT CLEANING</t>
        </is>
      </c>
      <c r="D5" s="222" t="inlineStr">
        <is>
          <t>1</t>
        </is>
      </c>
      <c r="E5" s="222" t="n">
        <v>1.4</v>
      </c>
      <c r="F5" s="222" t="n"/>
      <c r="G5" s="222" t="n"/>
      <c r="H5" s="222" t="inlineStr">
        <is>
          <t>Not Started</t>
        </is>
      </c>
      <c r="I5" s="222" t="inlineStr">
        <is>
          <t>24-92</t>
        </is>
      </c>
      <c r="J5" s="222" t="inlineStr">
        <is>
          <t>CLEAN-UP</t>
        </is>
      </c>
      <c r="K5" s="226" t="n"/>
      <c r="L5" s="226" t="n">
        <v>4</v>
      </c>
      <c r="M5" s="226" t="n">
        <v>0.1584</v>
      </c>
    </row>
    <row r="6">
      <c r="A6" s="222" t="inlineStr">
        <is>
          <t>11</t>
        </is>
      </c>
      <c r="B6" s="222" t="inlineStr">
        <is>
          <t>200125-06-1</t>
        </is>
      </c>
      <c r="C6" s="222" t="inlineStr">
        <is>
          <t>200125-06-1 (2) / LATERAL AVIONICS COMPT INSP</t>
        </is>
      </c>
      <c r="D6" s="222" t="inlineStr">
        <is>
          <t>1</t>
        </is>
      </c>
      <c r="E6" s="222" t="n">
        <v>10.2</v>
      </c>
      <c r="F6" s="222" t="n"/>
      <c r="G6" s="222" t="n"/>
      <c r="H6" s="222" t="inlineStr">
        <is>
          <t>Not Started</t>
        </is>
      </c>
      <c r="I6" s="222" t="inlineStr">
        <is>
          <t>24-92</t>
        </is>
      </c>
      <c r="J6" s="222" t="inlineStr">
        <is>
          <t>JOB-SETUP, INSPECTION, JOB-CLOSEUP, JOB-CLOSEUP, JOB-CLOSEUP</t>
        </is>
      </c>
      <c r="K6" s="226" t="n"/>
      <c r="L6" s="226" t="n">
        <v>5</v>
      </c>
      <c r="M6" s="226" t="n">
        <v>0.1584</v>
      </c>
    </row>
    <row r="7">
      <c r="A7" s="222" t="inlineStr">
        <is>
          <t>12</t>
        </is>
      </c>
      <c r="B7" s="222" t="inlineStr">
        <is>
          <t>200127-02-1</t>
        </is>
      </c>
      <c r="C7" s="222" t="inlineStr">
        <is>
          <t>200127-02-1 (2) / REAR AVIONICS COMPT CLEANING</t>
        </is>
      </c>
      <c r="D7" s="222" t="inlineStr">
        <is>
          <t>1</t>
        </is>
      </c>
      <c r="E7" s="222" t="n">
        <v>1.3</v>
      </c>
      <c r="F7" s="222" t="n"/>
      <c r="G7" s="222" t="n"/>
      <c r="H7" s="222" t="inlineStr">
        <is>
          <t>Not Started</t>
        </is>
      </c>
      <c r="I7" s="222" t="inlineStr">
        <is>
          <t>24-92</t>
        </is>
      </c>
      <c r="J7" s="222" t="inlineStr">
        <is>
          <t>CLEAN-UP</t>
        </is>
      </c>
      <c r="K7" s="226" t="n"/>
      <c r="L7" s="226" t="n">
        <v>6</v>
      </c>
      <c r="M7" s="226" t="n">
        <v>0.198</v>
      </c>
    </row>
    <row r="8">
      <c r="A8" s="222" t="inlineStr">
        <is>
          <t>15</t>
        </is>
      </c>
      <c r="B8" s="222" t="inlineStr">
        <is>
          <t>200131-01-1</t>
        </is>
      </c>
      <c r="C8" s="222" t="inlineStr">
        <is>
          <t>200131-01-1 (2) / FWD CARGO COMPARTMENT CLEANING</t>
        </is>
      </c>
      <c r="D8" s="222" t="inlineStr">
        <is>
          <t>1</t>
        </is>
      </c>
      <c r="E8" s="222" t="n">
        <v>3.3</v>
      </c>
      <c r="F8" s="222" t="n">
        <v>35</v>
      </c>
      <c r="G8" s="222" t="n">
        <v>207.1</v>
      </c>
      <c r="H8" s="222" t="inlineStr">
        <is>
          <t>Idle</t>
        </is>
      </c>
      <c r="I8" s="222" t="inlineStr">
        <is>
          <t>24-92</t>
        </is>
      </c>
      <c r="J8" s="222" t="inlineStr">
        <is>
          <t>JOB-SETUP, CLEAN-UP, CLOSE-UP, CLOSE-UP</t>
        </is>
      </c>
      <c r="K8" s="226" t="n"/>
      <c r="L8" s="226" t="n">
        <v>7</v>
      </c>
      <c r="M8" s="226" t="n">
        <v>0.2376</v>
      </c>
    </row>
    <row r="9">
      <c r="A9" s="222" t="inlineStr">
        <is>
          <t>16</t>
        </is>
      </c>
      <c r="B9" s="222" t="inlineStr">
        <is>
          <t>200133-01-1</t>
        </is>
      </c>
      <c r="C9" s="222" t="inlineStr">
        <is>
          <t>200133-01-1 (2) / FWD CGO UNDER FLOOR BAY (EWIS) CLEAN</t>
        </is>
      </c>
      <c r="D9" s="222" t="inlineStr">
        <is>
          <t>1</t>
        </is>
      </c>
      <c r="E9" s="222" t="n">
        <v>8.300000000000001</v>
      </c>
      <c r="F9" s="222" t="n">
        <v>10</v>
      </c>
      <c r="G9" s="222" t="n">
        <v>205.1</v>
      </c>
      <c r="H9" s="222" t="inlineStr">
        <is>
          <t>Idle</t>
        </is>
      </c>
      <c r="I9" s="222" t="inlineStr">
        <is>
          <t>24-92</t>
        </is>
      </c>
      <c r="J9" s="222" t="inlineStr">
        <is>
          <t>JOB-SETUP, CLEAN-UP, INSPECTION, JOB-CLOSEUP</t>
        </is>
      </c>
      <c r="K9" s="226" t="n"/>
      <c r="L9" s="226" t="n">
        <v>8</v>
      </c>
      <c r="M9" s="226" t="n">
        <v>0.2773</v>
      </c>
    </row>
    <row r="10">
      <c r="A10" s="222" t="inlineStr">
        <is>
          <t>18</t>
        </is>
      </c>
      <c r="B10" s="222" t="inlineStr">
        <is>
          <t>200145-01-1</t>
        </is>
      </c>
      <c r="C10" s="222" t="inlineStr">
        <is>
          <t>200145-01-1 (2) / ZONE UNDER CABIN FLOOR CLEANING</t>
        </is>
      </c>
      <c r="D10" s="222" t="inlineStr">
        <is>
          <t>1</t>
        </is>
      </c>
      <c r="E10" s="222" t="n">
        <v>9.9</v>
      </c>
      <c r="F10" s="222" t="n"/>
      <c r="G10" s="222" t="n"/>
      <c r="H10" s="222" t="inlineStr">
        <is>
          <t>Not Started</t>
        </is>
      </c>
      <c r="I10" s="222" t="inlineStr">
        <is>
          <t>24-92</t>
        </is>
      </c>
      <c r="J10" s="222" t="inlineStr">
        <is>
          <t>JOB-SETUP, CLEAN-UP, INSPECTION, JOB-CLOSEUP</t>
        </is>
      </c>
      <c r="K10" s="226" t="n"/>
      <c r="L10" s="226" t="n">
        <v>9</v>
      </c>
      <c r="M10" s="226" t="n">
        <v>0.3046</v>
      </c>
    </row>
    <row r="11">
      <c r="A11" s="222" t="inlineStr">
        <is>
          <t>19</t>
        </is>
      </c>
      <c r="B11" s="222" t="inlineStr">
        <is>
          <t>200151-01-1</t>
        </is>
      </c>
      <c r="C11" s="222" t="inlineStr">
        <is>
          <t>200151-01-1 (01) / AFT CARGO COMPARTMENT EWIS CLEANING</t>
        </is>
      </c>
      <c r="D11" s="222" t="inlineStr">
        <is>
          <t>1</t>
        </is>
      </c>
      <c r="E11" s="222" t="n">
        <v>78.5</v>
      </c>
      <c r="F11" s="222" t="n"/>
      <c r="G11" s="222" t="n"/>
      <c r="H11" s="222" t="inlineStr">
        <is>
          <t>Not Started</t>
        </is>
      </c>
      <c r="I11" s="222" t="inlineStr">
        <is>
          <t>24-92</t>
        </is>
      </c>
      <c r="J11" s="222" t="inlineStr">
        <is>
          <t>INSPECTION, INSPECTION, CLEAN-UP, JOB-SETUP, JOB-CLOSEUP, INSPECTION</t>
        </is>
      </c>
      <c r="K11" s="226" t="n"/>
      <c r="L11" s="226" t="n">
        <v>10</v>
      </c>
      <c r="M11" s="226" t="n">
        <v>0.332</v>
      </c>
    </row>
    <row r="12">
      <c r="A12" s="222" t="inlineStr">
        <is>
          <t>20</t>
        </is>
      </c>
      <c r="B12" s="222" t="inlineStr">
        <is>
          <t>200151-03-1</t>
        </is>
      </c>
      <c r="C12" s="222" t="inlineStr">
        <is>
          <t>200151-03-1 (02) / ACT (EWIS) WIRING CONNECTION INSP</t>
        </is>
      </c>
      <c r="D12" s="222" t="inlineStr">
        <is>
          <t>1</t>
        </is>
      </c>
      <c r="E12" s="222" t="n">
        <v>13.8</v>
      </c>
      <c r="F12" s="222" t="n"/>
      <c r="G12" s="222" t="n"/>
      <c r="H12" s="222" t="inlineStr">
        <is>
          <t>Not Started</t>
        </is>
      </c>
      <c r="I12" s="222" t="inlineStr">
        <is>
          <t>24-92</t>
        </is>
      </c>
      <c r="J12" s="222" t="inlineStr">
        <is>
          <t>JOB-SETUP, JOB-SETUP, TC/P, TC/P, TC/P, TC/P, TC/P, TC/P, TC/P, TC/P, TC/P, TC/P, TC/P, TC/P, TC/P, TC/P, TC/P, INSPECTION, JOB-CLOSEUP, JOB-CLOSEUP, JOB-CLOSEUP</t>
        </is>
      </c>
      <c r="K12" s="226" t="n"/>
      <c r="L12" s="226" t="n">
        <v>11</v>
      </c>
      <c r="M12" s="226" t="n">
        <v>0.3594</v>
      </c>
    </row>
    <row r="13">
      <c r="A13" s="222" t="inlineStr">
        <is>
          <t>22</t>
        </is>
      </c>
      <c r="B13" s="222" t="inlineStr">
        <is>
          <t>200191-01-1</t>
        </is>
      </c>
      <c r="C13" s="222" t="inlineStr">
        <is>
          <t>200191-01-1 (02) / AIR COND COMP AND FAIRING CLEANING</t>
        </is>
      </c>
      <c r="D13" s="222" t="inlineStr">
        <is>
          <t>1</t>
        </is>
      </c>
      <c r="E13" s="222" t="n">
        <v>0.7</v>
      </c>
      <c r="F13" s="222" t="n"/>
      <c r="G13" s="222" t="n"/>
      <c r="H13" s="222" t="inlineStr">
        <is>
          <t>Not Started</t>
        </is>
      </c>
      <c r="I13" s="222" t="inlineStr">
        <is>
          <t>24-92</t>
        </is>
      </c>
      <c r="J13" s="222" t="inlineStr">
        <is>
          <t>PWR-OFF</t>
        </is>
      </c>
      <c r="K13" s="226" t="n"/>
      <c r="L13" s="226" t="n">
        <v>12</v>
      </c>
      <c r="M13" s="226" t="n">
        <v>0.3868</v>
      </c>
    </row>
    <row r="14">
      <c r="A14" s="222" t="inlineStr">
        <is>
          <t>23</t>
        </is>
      </c>
      <c r="B14" s="222" t="inlineStr">
        <is>
          <t>200211-02-1</t>
        </is>
      </c>
      <c r="C14" s="222" t="inlineStr">
        <is>
          <t>200211-02-1 (01) / COCKPIT WIRING CLEANING</t>
        </is>
      </c>
      <c r="D14" s="222" t="inlineStr">
        <is>
          <t>1</t>
        </is>
      </c>
      <c r="E14" s="222" t="n">
        <v>5.7</v>
      </c>
      <c r="F14" s="222" t="n"/>
      <c r="G14" s="222" t="n"/>
      <c r="H14" s="222" t="inlineStr">
        <is>
          <t>Not Started</t>
        </is>
      </c>
      <c r="I14" s="222" t="inlineStr">
        <is>
          <t>24-92</t>
        </is>
      </c>
      <c r="J14" s="222" t="inlineStr">
        <is>
          <t>PWR-OFF</t>
        </is>
      </c>
      <c r="K14" s="226" t="n"/>
      <c r="L14" s="226" t="n">
        <v>13</v>
      </c>
      <c r="M14" s="226" t="n">
        <v>0.4142</v>
      </c>
    </row>
    <row r="15">
      <c r="A15" s="222" t="inlineStr">
        <is>
          <t>25</t>
        </is>
      </c>
      <c r="B15" s="222" t="inlineStr">
        <is>
          <t>200241-04-1</t>
        </is>
      </c>
      <c r="C15" s="222" t="inlineStr">
        <is>
          <t>200241-04-1 (2) / CENTER PASSENGER COMPARTMENT INSP</t>
        </is>
      </c>
      <c r="D15" s="222" t="inlineStr">
        <is>
          <t>1</t>
        </is>
      </c>
      <c r="E15" s="222" t="n">
        <v>3</v>
      </c>
      <c r="F15" s="222" t="n">
        <v>11</v>
      </c>
      <c r="G15" s="222" t="n">
        <v>209.5</v>
      </c>
      <c r="H15" s="222" t="inlineStr">
        <is>
          <t>Idle</t>
        </is>
      </c>
      <c r="I15" s="222" t="inlineStr">
        <is>
          <t>24-92</t>
        </is>
      </c>
      <c r="J15" s="222" t="inlineStr">
        <is>
          <t>JOB-SETUP, INSPECTION, JOB-CLOSEUP</t>
        </is>
      </c>
      <c r="K15" s="226" t="n"/>
      <c r="L15" s="226" t="n">
        <v>14</v>
      </c>
      <c r="M15" s="226" t="n">
        <v>0.4416</v>
      </c>
    </row>
    <row r="16">
      <c r="A16" s="222" t="inlineStr">
        <is>
          <t>26</t>
        </is>
      </c>
      <c r="B16" s="222" t="inlineStr">
        <is>
          <t>200251-03-1</t>
        </is>
      </c>
      <c r="C16" s="222" t="inlineStr">
        <is>
          <t>200251-03-1 (2) / AFT PASSENGER COMPARTMENT INSPECTION</t>
        </is>
      </c>
      <c r="D16" s="222" t="inlineStr">
        <is>
          <t>1</t>
        </is>
      </c>
      <c r="E16" s="222" t="n">
        <v>2.1</v>
      </c>
      <c r="F16" s="222" t="n">
        <v>9.5</v>
      </c>
      <c r="G16" s="222" t="n">
        <v>208.9</v>
      </c>
      <c r="H16" s="222" t="inlineStr">
        <is>
          <t>Idle</t>
        </is>
      </c>
      <c r="I16" s="222" t="inlineStr">
        <is>
          <t>24-92</t>
        </is>
      </c>
      <c r="J16" s="222" t="inlineStr">
        <is>
          <t>JOB-SETUP, INSPECTION, JOB-CLOSEUP</t>
        </is>
      </c>
      <c r="K16" s="226" t="n"/>
      <c r="L16" s="226" t="n">
        <v>15</v>
      </c>
      <c r="M16" s="226" t="n">
        <v>0.4416</v>
      </c>
    </row>
    <row r="17">
      <c r="A17" s="222" t="inlineStr">
        <is>
          <t>30</t>
        </is>
      </c>
      <c r="B17" s="222" t="inlineStr">
        <is>
          <t>212100-03-1</t>
        </is>
      </c>
      <c r="C17" s="222" t="inlineStr">
        <is>
          <t>212100-03-1 (0) / AIR DISTRIBUTION AND RECIRCULATION</t>
        </is>
      </c>
      <c r="D17" s="222" t="inlineStr">
        <is>
          <t>1</t>
        </is>
      </c>
      <c r="E17" s="222" t="n">
        <v>1</v>
      </c>
      <c r="F17" s="222" t="n"/>
      <c r="G17" s="222" t="n"/>
      <c r="H17" s="222" t="inlineStr">
        <is>
          <t>Not Started</t>
        </is>
      </c>
      <c r="I17" s="222" t="inlineStr">
        <is>
          <t>21</t>
        </is>
      </c>
      <c r="J17" s="222" t="inlineStr">
        <is>
          <t>--, INSPECTION, --</t>
        </is>
      </c>
      <c r="K17" s="226" t="n"/>
      <c r="L17" s="226" t="n">
        <v>16</v>
      </c>
      <c r="M17" s="226" t="n">
        <v>0.469</v>
      </c>
    </row>
    <row r="18">
      <c r="A18" s="222" t="inlineStr">
        <is>
          <t>32</t>
        </is>
      </c>
      <c r="B18" s="222" t="inlineStr">
        <is>
          <t>25-11-00-18-0-SVA-001</t>
        </is>
      </c>
      <c r="C18" s="222" t="inlineStr">
        <is>
          <t>25-11-00-18-0-SVA-001 (04) / FOURTH OCCUPANT SEAT COVERS REPLCMNT</t>
        </is>
      </c>
      <c r="D18" s="222" t="inlineStr">
        <is>
          <t>1</t>
        </is>
      </c>
      <c r="E18" s="222" t="n"/>
      <c r="F18" s="222" t="n">
        <v>6.5</v>
      </c>
      <c r="G18" s="222" t="n">
        <v>16.7</v>
      </c>
      <c r="H18" s="222" t="inlineStr">
        <is>
          <t>Idle</t>
        </is>
      </c>
      <c r="I18" s="222" t="inlineStr">
        <is>
          <t>25-11</t>
        </is>
      </c>
      <c r="J18" s="222" t="inlineStr">
        <is>
          <t>TC/P</t>
        </is>
      </c>
      <c r="K18" s="226" t="n"/>
      <c r="L18" s="226" t="n">
        <v>17</v>
      </c>
      <c r="M18" s="226" t="n">
        <v>0.4863</v>
      </c>
    </row>
    <row r="19">
      <c r="A19" s="222" t="inlineStr">
        <is>
          <t>33</t>
        </is>
      </c>
      <c r="B19" s="222" t="inlineStr">
        <is>
          <t>25-11-00-18-0-SVA-002</t>
        </is>
      </c>
      <c r="C19" s="222" t="inlineStr">
        <is>
          <t>25-11-00-18-0-SVA-002 (04) / THIRD OCCUPANT SEAT COVERS R/R</t>
        </is>
      </c>
      <c r="D19" s="222" t="inlineStr">
        <is>
          <t>1</t>
        </is>
      </c>
      <c r="E19" s="222" t="n">
        <v>2</v>
      </c>
      <c r="F19" s="222" t="n"/>
      <c r="G19" s="222" t="n"/>
      <c r="H19" s="222" t="inlineStr">
        <is>
          <t>Not Started</t>
        </is>
      </c>
      <c r="I19" s="222" t="inlineStr">
        <is>
          <t>25-11</t>
        </is>
      </c>
      <c r="J19" s="222" t="inlineStr">
        <is>
          <t>TC/P</t>
        </is>
      </c>
      <c r="K19" s="226" t="n"/>
      <c r="L19" s="226" t="n">
        <v>18</v>
      </c>
      <c r="M19" s="226" t="n">
        <v>0.5036</v>
      </c>
    </row>
    <row r="20">
      <c r="A20" s="222" t="inlineStr">
        <is>
          <t>34</t>
        </is>
      </c>
      <c r="B20" s="222" t="inlineStr">
        <is>
          <t>25-22-00-03-0-SVA-002</t>
        </is>
      </c>
      <c r="C20" s="222" t="inlineStr">
        <is>
          <t>25-22-00-03-0-SVA-002 (02) / CABIN ATTENDANT SEAT COVERS R&amp;R</t>
        </is>
      </c>
      <c r="D20" s="222" t="inlineStr">
        <is>
          <t>1</t>
        </is>
      </c>
      <c r="E20" s="222" t="n">
        <v>4</v>
      </c>
      <c r="F20" s="222" t="n"/>
      <c r="G20" s="222" t="n"/>
      <c r="H20" s="222" t="inlineStr">
        <is>
          <t>Not Started</t>
        </is>
      </c>
      <c r="I20" s="222" t="inlineStr">
        <is>
          <t>25-22</t>
        </is>
      </c>
      <c r="J20" s="222" t="inlineStr">
        <is>
          <t>TC/P</t>
        </is>
      </c>
      <c r="K20" s="226" t="n"/>
      <c r="L20" s="226" t="n">
        <v>19</v>
      </c>
      <c r="M20" s="226" t="n">
        <v>0.5209</v>
      </c>
    </row>
    <row r="21">
      <c r="A21" s="222" t="inlineStr">
        <is>
          <t>35</t>
        </is>
      </c>
      <c r="B21" s="222" t="inlineStr">
        <is>
          <t>253000-01-1</t>
        </is>
      </c>
      <c r="C21" s="222" t="inlineStr">
        <is>
          <t>253000-01-1 (3) / GALLEY ATTACHMENT POINTS INSPECTION</t>
        </is>
      </c>
      <c r="D21" s="222" t="inlineStr">
        <is>
          <t>1</t>
        </is>
      </c>
      <c r="E21" s="222" t="n">
        <v>0.5</v>
      </c>
      <c r="F21" s="222" t="n">
        <v>44</v>
      </c>
      <c r="G21" s="222" t="n">
        <v>265.1</v>
      </c>
      <c r="H21" s="222" t="inlineStr">
        <is>
          <t>Idle</t>
        </is>
      </c>
      <c r="I21" s="222" t="inlineStr">
        <is>
          <t>25-30</t>
        </is>
      </c>
      <c r="J21" s="222" t="inlineStr">
        <is>
          <t>JOB-SETUP, INSPECTION, INSPECTION, INSPECTION, INSPECTION, JOB-CLOSEUP, JOB-CLOSEUP</t>
        </is>
      </c>
      <c r="K21" s="226" t="n"/>
      <c r="L21" s="226" t="n">
        <v>20</v>
      </c>
      <c r="M21" s="226" t="n">
        <v>0.5383</v>
      </c>
    </row>
    <row r="22">
      <c r="A22" s="222" t="inlineStr">
        <is>
          <t>36</t>
        </is>
      </c>
      <c r="B22" s="222" t="inlineStr">
        <is>
          <t>254000-02-2</t>
        </is>
      </c>
      <c r="C22" s="222" t="inlineStr">
        <is>
          <t>254000-02-2 (2) / LAVATORIE’S ATTACHMENT POINTS INSP</t>
        </is>
      </c>
      <c r="D22" s="222" t="inlineStr">
        <is>
          <t>1</t>
        </is>
      </c>
      <c r="E22" s="222" t="n">
        <v>0.2</v>
      </c>
      <c r="F22" s="222" t="n">
        <v>15</v>
      </c>
      <c r="G22" s="222" t="n">
        <v>252.6</v>
      </c>
      <c r="H22" s="222" t="inlineStr">
        <is>
          <t>Idle</t>
        </is>
      </c>
      <c r="I22" s="222" t="inlineStr">
        <is>
          <t>25-40</t>
        </is>
      </c>
      <c r="J22" s="222" t="inlineStr">
        <is>
          <t>JOB-SETUP, INSPECTION, JOB-CLOSEUP</t>
        </is>
      </c>
      <c r="K22" s="226" t="n"/>
      <c r="L22" s="226" t="n">
        <v>21</v>
      </c>
      <c r="M22" s="226" t="n">
        <v>0.5556</v>
      </c>
    </row>
    <row r="23">
      <c r="A23" s="222" t="inlineStr">
        <is>
          <t>39</t>
        </is>
      </c>
      <c r="B23" s="222" t="inlineStr">
        <is>
          <t>272100-13-1</t>
        </is>
      </c>
      <c r="C23" s="222" t="inlineStr">
        <is>
          <t>272100-13-1 (0) / RUDDER MECHANICAL CONTROL</t>
        </is>
      </c>
      <c r="D23" s="222" t="inlineStr">
        <is>
          <t>1</t>
        </is>
      </c>
      <c r="E23" s="222" t="n"/>
      <c r="F23" s="222" t="n"/>
      <c r="G23" s="222" t="n"/>
      <c r="H23" s="222" t="inlineStr">
        <is>
          <t>Not Started</t>
        </is>
      </c>
      <c r="I23" s="222" t="inlineStr">
        <is>
          <t>27</t>
        </is>
      </c>
      <c r="J23" s="222" t="inlineStr"/>
      <c r="K23" s="226" t="n"/>
      <c r="L23" s="226" t="n">
        <v>22</v>
      </c>
      <c r="M23" s="226" t="n">
        <v>0.5729</v>
      </c>
    </row>
    <row r="24">
      <c r="A24" s="222" t="inlineStr">
        <is>
          <t>42</t>
        </is>
      </c>
      <c r="B24" s="222" t="inlineStr">
        <is>
          <t>282800-08-1</t>
        </is>
      </c>
      <c r="C24" s="222" t="inlineStr">
        <is>
          <t>282800-08-1 (02) / ADDITIONAL CENTER TANK (ACT) OPC</t>
        </is>
      </c>
      <c r="D24" s="222" t="inlineStr">
        <is>
          <t>1</t>
        </is>
      </c>
      <c r="E24" s="222" t="n">
        <v>1.1</v>
      </c>
      <c r="F24" s="222" t="n">
        <v>21</v>
      </c>
      <c r="G24" s="222" t="n">
        <v>98.5</v>
      </c>
      <c r="H24" s="222" t="inlineStr">
        <is>
          <t>Idle</t>
        </is>
      </c>
      <c r="I24" s="222" t="inlineStr">
        <is>
          <t>28-28</t>
        </is>
      </c>
      <c r="J24" s="222" t="inlineStr">
        <is>
          <t>JOB-SETUP, OPS/LK, JOB-CLOSEUP</t>
        </is>
      </c>
      <c r="K24" s="226" t="n"/>
      <c r="L24" s="226" t="n">
        <v>23</v>
      </c>
      <c r="M24" s="226" t="n">
        <v>0.5901999999999999</v>
      </c>
    </row>
    <row r="25">
      <c r="A25" s="222" t="inlineStr">
        <is>
          <t>43</t>
        </is>
      </c>
      <c r="B25" s="222" t="inlineStr">
        <is>
          <t>282800-18-1</t>
        </is>
      </c>
      <c r="C25" s="222" t="inlineStr">
        <is>
          <t>282800-18-1 (08) / VENT/TRANSFER PIPE SHROUDS FNC</t>
        </is>
      </c>
      <c r="D25" s="222" t="inlineStr">
        <is>
          <t>1</t>
        </is>
      </c>
      <c r="E25" s="222" t="n">
        <v>1.5</v>
      </c>
      <c r="F25" s="222" t="n"/>
      <c r="G25" s="222" t="n"/>
      <c r="H25" s="222" t="inlineStr">
        <is>
          <t>Not Started</t>
        </is>
      </c>
      <c r="I25" s="222" t="inlineStr">
        <is>
          <t>28-28</t>
        </is>
      </c>
      <c r="J25" s="222" t="inlineStr">
        <is>
          <t>JOB-SETUP, TC/P, TC/P, INSPECTION, JOB-CLOSEUP, JOB-CLOSEUP</t>
        </is>
      </c>
      <c r="K25" s="226" t="n"/>
      <c r="L25" s="226" t="n">
        <v>24</v>
      </c>
      <c r="M25" s="226" t="n">
        <v>0.5901999999999999</v>
      </c>
    </row>
    <row r="26">
      <c r="A26" s="222" t="inlineStr">
        <is>
          <t>44</t>
        </is>
      </c>
      <c r="B26" s="222" t="inlineStr">
        <is>
          <t>323300-01-1</t>
        </is>
      </c>
      <c r="C26" s="222" t="inlineStr">
        <is>
          <t>323300-01-1 (2) / LG FREE FALL EXTN MECH&amp;CABLE INSP</t>
        </is>
      </c>
      <c r="D26" s="222" t="inlineStr">
        <is>
          <t>1</t>
        </is>
      </c>
      <c r="E26" s="222" t="n">
        <v>2.2</v>
      </c>
      <c r="F26" s="222" t="n"/>
      <c r="G26" s="222" t="n"/>
      <c r="H26" s="222" t="inlineStr">
        <is>
          <t>Not Started</t>
        </is>
      </c>
      <c r="I26" s="222" t="inlineStr">
        <is>
          <t>32-33</t>
        </is>
      </c>
      <c r="J26" s="222" t="inlineStr">
        <is>
          <t>JOB-SETUP, JOB-SETUP, TC/P, TC/P, TC/P, TC/P, INSPECTION, INSPECTION, INSPECTION, INSPECTION, INSPECTION, INSPECTION, INSPECTION, JOB-CLOSEUP, JOB-CLOSEUP, JOB-CLOSEUP</t>
        </is>
      </c>
      <c r="K26" s="226" t="n"/>
      <c r="L26" s="226" t="n">
        <v>25</v>
      </c>
      <c r="M26" s="226" t="n">
        <v>0.6094000000000001</v>
      </c>
    </row>
    <row r="27">
      <c r="A27" s="222" t="inlineStr">
        <is>
          <t>45</t>
        </is>
      </c>
      <c r="B27" s="222" t="inlineStr">
        <is>
          <t>323300-04-1</t>
        </is>
      </c>
      <c r="C27" s="222" t="inlineStr">
        <is>
          <t>323300-04-1 (3) / LG FREE FALL MECH CABLE TENTION CHK</t>
        </is>
      </c>
      <c r="D27" s="222" t="inlineStr">
        <is>
          <t>1</t>
        </is>
      </c>
      <c r="E27" s="222" t="n">
        <v>0.5</v>
      </c>
      <c r="F27" s="222" t="n">
        <v>2</v>
      </c>
      <c r="G27" s="222" t="n">
        <v>191.5</v>
      </c>
      <c r="H27" s="222" t="inlineStr">
        <is>
          <t>Idle</t>
        </is>
      </c>
      <c r="I27" s="222" t="inlineStr">
        <is>
          <t>32-33</t>
        </is>
      </c>
      <c r="J27" s="222" t="inlineStr">
        <is>
          <t>JOB-SETUP, JOB-SETUP, OPS/LK, OPS/LK, JOB-CLOSEUP, JOB-CLOSEUP</t>
        </is>
      </c>
      <c r="K27" s="226" t="n"/>
      <c r="L27" s="226" t="n">
        <v>26</v>
      </c>
      <c r="M27" s="226" t="n">
        <v>0.6286</v>
      </c>
    </row>
    <row r="28">
      <c r="A28" s="222" t="inlineStr">
        <is>
          <t>46</t>
        </is>
      </c>
      <c r="B28" s="222" t="inlineStr">
        <is>
          <t>341300-13-1</t>
        </is>
      </c>
      <c r="C28" s="222" t="inlineStr">
        <is>
          <t>341300-13-1 (6) / ADM ACCURACY FUNCTIONAL TEST</t>
        </is>
      </c>
      <c r="D28" s="222" t="inlineStr">
        <is>
          <t>1</t>
        </is>
      </c>
      <c r="E28" s="222" t="n">
        <v>0.8</v>
      </c>
      <c r="F28" s="222" t="n"/>
      <c r="G28" s="222" t="n"/>
      <c r="H28" s="222" t="inlineStr">
        <is>
          <t>Not Started</t>
        </is>
      </c>
      <c r="I28" s="222" t="inlineStr">
        <is>
          <t>34-13</t>
        </is>
      </c>
      <c r="J28" s="222" t="inlineStr">
        <is>
          <t>JOB-SETUP, OPS/LK, JOB-CLOSEUP</t>
        </is>
      </c>
      <c r="K28" s="226" t="n"/>
      <c r="L28" s="226" t="n">
        <v>27</v>
      </c>
      <c r="M28" s="226" t="n">
        <v>0.6478</v>
      </c>
    </row>
    <row r="29">
      <c r="A29" s="222" t="inlineStr">
        <is>
          <t>50</t>
        </is>
      </c>
      <c r="B29" s="222" t="inlineStr">
        <is>
          <t>530000-01-1</t>
        </is>
      </c>
      <c r="C29" s="222" t="inlineStr">
        <is>
          <t>530000-01-1 (4) / FUSELAGE DRAIN VALVE INSP</t>
        </is>
      </c>
      <c r="D29" s="222" t="inlineStr">
        <is>
          <t>1</t>
        </is>
      </c>
      <c r="E29" s="222" t="n">
        <v>0.7</v>
      </c>
      <c r="F29" s="222" t="n">
        <v>0.2</v>
      </c>
      <c r="G29" s="222" t="n">
        <v>106.4</v>
      </c>
      <c r="H29" s="222" t="inlineStr">
        <is>
          <t>Idle</t>
        </is>
      </c>
      <c r="I29" s="222" t="inlineStr">
        <is>
          <t>53-00</t>
        </is>
      </c>
      <c r="J29" s="222" t="inlineStr">
        <is>
          <t>JOB-SETUP, INSPECTION, JOB-CLOSEUP</t>
        </is>
      </c>
      <c r="K29" s="226" t="n"/>
      <c r="L29" s="226" t="n">
        <v>28</v>
      </c>
      <c r="M29" s="226" t="n">
        <v>0.667</v>
      </c>
    </row>
    <row r="30">
      <c r="A30" s="222" t="inlineStr">
        <is>
          <t>52</t>
        </is>
      </c>
      <c r="B30" s="222" t="inlineStr">
        <is>
          <t>531164-01-1</t>
        </is>
      </c>
      <c r="C30" s="222" t="inlineStr">
        <is>
          <t>531164-01-1 (02) / FUSELAGE FR 15-21 INSPECTION</t>
        </is>
      </c>
      <c r="D30" s="222" t="inlineStr">
        <is>
          <t>1</t>
        </is>
      </c>
      <c r="E30" s="222" t="n">
        <v>2</v>
      </c>
      <c r="F30" s="222" t="n">
        <v>2.8</v>
      </c>
      <c r="G30" s="222" t="n">
        <v>117.6</v>
      </c>
      <c r="H30" s="222" t="inlineStr">
        <is>
          <t>Idle</t>
        </is>
      </c>
      <c r="I30" s="222" t="inlineStr">
        <is>
          <t>53-11</t>
        </is>
      </c>
      <c r="J30" s="222" t="inlineStr">
        <is>
          <t>JOB-SETUP, CLEAN-UP, INSPECTION, INSPECTION, INSPECTION, JOB-CLOSEUP</t>
        </is>
      </c>
      <c r="K30" s="226" t="n"/>
      <c r="L30" s="226" t="n">
        <v>29</v>
      </c>
      <c r="M30" s="226" t="n">
        <v>0.6862</v>
      </c>
    </row>
    <row r="31">
      <c r="A31" s="222" t="inlineStr">
        <is>
          <t>53</t>
        </is>
      </c>
      <c r="B31" s="222" t="inlineStr">
        <is>
          <t>531166-01-2</t>
        </is>
      </c>
      <c r="C31" s="222" t="inlineStr">
        <is>
          <t>531166-01-2 (2) / FUSELAGE FR 16-20 INSPECTION</t>
        </is>
      </c>
      <c r="D31" s="222" t="inlineStr">
        <is>
          <t>1</t>
        </is>
      </c>
      <c r="E31" s="222" t="n">
        <v>3.5</v>
      </c>
      <c r="F31" s="222" t="n"/>
      <c r="G31" s="222" t="n"/>
      <c r="H31" s="222" t="inlineStr">
        <is>
          <t>Not Started</t>
        </is>
      </c>
      <c r="I31" s="222" t="inlineStr">
        <is>
          <t>53-11</t>
        </is>
      </c>
      <c r="J31" s="222" t="inlineStr">
        <is>
          <t>JOB-SETUP, CLEAN-UP, INSPECTION, INSPECTION, JOB-CLOSEUP</t>
        </is>
      </c>
      <c r="K31" s="226" t="n"/>
      <c r="L31" s="226" t="n">
        <v>30</v>
      </c>
      <c r="M31" s="226" t="n">
        <v>0.7054</v>
      </c>
    </row>
    <row r="32">
      <c r="A32" s="222" t="inlineStr">
        <is>
          <t>54</t>
        </is>
      </c>
      <c r="B32" s="222" t="inlineStr">
        <is>
          <t>531171-01-1</t>
        </is>
      </c>
      <c r="C32" s="222" t="inlineStr">
        <is>
          <t>531171-01-1 (2) / NLG SECONDARY DOOR HINGE SUPPORTS</t>
        </is>
      </c>
      <c r="D32" s="222" t="inlineStr">
        <is>
          <t>1</t>
        </is>
      </c>
      <c r="E32" s="222" t="n">
        <v>0.6</v>
      </c>
      <c r="F32" s="222" t="n">
        <v>0</v>
      </c>
      <c r="G32" s="222" t="n">
        <v>137.3</v>
      </c>
      <c r="H32" s="222" t="inlineStr">
        <is>
          <t>Idle</t>
        </is>
      </c>
      <c r="I32" s="222" t="inlineStr">
        <is>
          <t>53-11</t>
        </is>
      </c>
      <c r="J32" s="222" t="inlineStr">
        <is>
          <t>INSPECTION, INSPECTION</t>
        </is>
      </c>
      <c r="K32" s="226" t="n"/>
      <c r="L32" s="226" t="n">
        <v>31</v>
      </c>
      <c r="M32" s="226" t="n">
        <v>0.7246</v>
      </c>
    </row>
    <row r="33">
      <c r="A33" s="222" t="inlineStr">
        <is>
          <t>55</t>
        </is>
      </c>
      <c r="B33" s="222" t="inlineStr">
        <is>
          <t>531181-01-1</t>
        </is>
      </c>
      <c r="C33" s="222" t="inlineStr">
        <is>
          <t>531181-01-1 (3) / FUSELAGE INTERNL STRUCT FR15-21 INSP</t>
        </is>
      </c>
      <c r="D33" s="222" t="inlineStr">
        <is>
          <t>1</t>
        </is>
      </c>
      <c r="E33" s="222" t="n">
        <v>4.9</v>
      </c>
      <c r="F33" s="222" t="n"/>
      <c r="G33" s="222" t="n"/>
      <c r="H33" s="222" t="inlineStr">
        <is>
          <t>Not Started</t>
        </is>
      </c>
      <c r="I33" s="222" t="inlineStr">
        <is>
          <t>53-11</t>
        </is>
      </c>
      <c r="J33" s="222" t="inlineStr">
        <is>
          <t>JOB-SETUP, CLEAN-UP, INSPECTION, INSPECTION, INSPECTION, JOB-CLOSEUP, JOB-CLOSEUP</t>
        </is>
      </c>
      <c r="K33" s="226" t="n"/>
      <c r="L33" s="226" t="n">
        <v>32</v>
      </c>
      <c r="M33" s="226" t="n">
        <v>0.7705</v>
      </c>
    </row>
    <row r="34">
      <c r="A34" s="222" t="inlineStr">
        <is>
          <t>56</t>
        </is>
      </c>
      <c r="B34" s="222" t="inlineStr">
        <is>
          <t>531189-01-2</t>
        </is>
      </c>
      <c r="C34" s="222" t="inlineStr">
        <is>
          <t>531189-01-2 (2) / CABIN FLOOR STRUCT FR12 &amp; FR21 INSP</t>
        </is>
      </c>
      <c r="D34" s="222" t="inlineStr">
        <is>
          <t>1</t>
        </is>
      </c>
      <c r="E34" s="222" t="n">
        <v>9.699999999999999</v>
      </c>
      <c r="F34" s="222" t="n">
        <v>72</v>
      </c>
      <c r="G34" s="222" t="n">
        <v>72.5</v>
      </c>
      <c r="H34" s="222" t="inlineStr">
        <is>
          <t>Idle</t>
        </is>
      </c>
      <c r="I34" s="222" t="inlineStr">
        <is>
          <t>53-11</t>
        </is>
      </c>
      <c r="J34" s="222" t="inlineStr">
        <is>
          <t>JOB-SETUP, CLEAN-UP, INSPECTION, INSPECTION, INSPECTION, JOB-CLOSEUP, INSPECTION, JOB-CLOSEUP</t>
        </is>
      </c>
      <c r="K34" s="226" t="n"/>
      <c r="L34" s="226" t="n">
        <v>33</v>
      </c>
      <c r="M34" s="226" t="n">
        <v>0.8164</v>
      </c>
    </row>
    <row r="35">
      <c r="A35" s="222" t="inlineStr">
        <is>
          <t>57</t>
        </is>
      </c>
      <c r="B35" s="222" t="inlineStr">
        <is>
          <t>531194-01-2</t>
        </is>
      </c>
      <c r="C35" s="222" t="inlineStr">
        <is>
          <t>531194-01-2 (2) / FLOOR STRUCTURE FR21 TO FR24 INSP</t>
        </is>
      </c>
      <c r="D35" s="222" t="inlineStr">
        <is>
          <t>1</t>
        </is>
      </c>
      <c r="E35" s="222" t="n">
        <v>39.8</v>
      </c>
      <c r="F35" s="222" t="n">
        <v>10.5</v>
      </c>
      <c r="G35" s="222" t="n">
        <v>166.6</v>
      </c>
      <c r="H35" s="222" t="inlineStr">
        <is>
          <t>Idle</t>
        </is>
      </c>
      <c r="I35" s="222" t="inlineStr">
        <is>
          <t>53-11</t>
        </is>
      </c>
      <c r="J35" s="222" t="inlineStr">
        <is>
          <t>JOB-SETUP, JOB-SETUP, INSPECTION, TC/P, JOB-CLOSEUP, JOB-CLOSEUP, JOB-CLOSEUP</t>
        </is>
      </c>
      <c r="K35" s="226" t="n"/>
      <c r="L35" s="226" t="n">
        <v>34</v>
      </c>
      <c r="M35" s="226" t="n">
        <v>0.8164</v>
      </c>
    </row>
    <row r="36">
      <c r="A36" s="222" t="inlineStr">
        <is>
          <t>59</t>
        </is>
      </c>
      <c r="B36" s="222" t="inlineStr">
        <is>
          <t>533136-01-1</t>
        </is>
      </c>
      <c r="C36" s="222" t="inlineStr">
        <is>
          <t>533136-01-1 (3) / MLG BAY INCLUDING DOOR BAY INSP</t>
        </is>
      </c>
      <c r="D36" s="222" t="inlineStr">
        <is>
          <t>1</t>
        </is>
      </c>
      <c r="E36" s="222" t="n">
        <v>0.2</v>
      </c>
      <c r="F36" s="222" t="n">
        <v>13.5</v>
      </c>
      <c r="G36" s="222" t="n">
        <v>253</v>
      </c>
      <c r="H36" s="222" t="inlineStr">
        <is>
          <t>Idle</t>
        </is>
      </c>
      <c r="I36" s="222" t="inlineStr">
        <is>
          <t>53-31</t>
        </is>
      </c>
      <c r="J36" s="222" t="inlineStr">
        <is>
          <t>JOB-SETUP, CLEAN-UP, INSPECTION, INSPECTION, JOB-CLOSEUP</t>
        </is>
      </c>
      <c r="K36" s="226" t="n"/>
      <c r="L36" s="226" t="n">
        <v>35</v>
      </c>
      <c r="M36" s="226" t="n">
        <v>0.8623</v>
      </c>
    </row>
    <row r="37">
      <c r="A37" s="222" t="inlineStr">
        <is>
          <t>60</t>
        </is>
      </c>
      <c r="B37" s="222" t="inlineStr">
        <is>
          <t>534132-02-1</t>
        </is>
      </c>
      <c r="C37" s="222" t="inlineStr">
        <is>
          <t>534132-02-1 (2) / DETAILED INSP OF AFT PASS/CREW DOOR CUTOUT, UPPER CORNERS</t>
        </is>
      </c>
      <c r="D37" s="222" t="inlineStr">
        <is>
          <t>1</t>
        </is>
      </c>
      <c r="E37" s="222" t="n"/>
      <c r="F37" s="222" t="n">
        <v>2.2</v>
      </c>
      <c r="G37" s="222" t="n">
        <v>97.09999999999999</v>
      </c>
      <c r="H37" s="222" t="inlineStr">
        <is>
          <t>Idle</t>
        </is>
      </c>
      <c r="I37" s="222" t="inlineStr">
        <is>
          <t>53-41</t>
        </is>
      </c>
      <c r="J37" s="222" t="inlineStr"/>
      <c r="K37" s="226" t="n"/>
      <c r="L37" s="226" t="n">
        <v>36</v>
      </c>
      <c r="M37" s="226" t="n">
        <v>0.9082</v>
      </c>
    </row>
    <row r="38">
      <c r="A38" s="222" t="inlineStr">
        <is>
          <t>61</t>
        </is>
      </c>
      <c r="B38" s="222" t="inlineStr">
        <is>
          <t>534135-01-4</t>
        </is>
      </c>
      <c r="C38" s="222" t="inlineStr">
        <is>
          <t>534135-01-4 (03) / AFT PASSENGER/CREW DOOR CUTOUT INSP</t>
        </is>
      </c>
      <c r="D38" s="222" t="inlineStr">
        <is>
          <t>1</t>
        </is>
      </c>
      <c r="E38" s="222" t="n">
        <v>3</v>
      </c>
      <c r="F38" s="222" t="n">
        <v>24</v>
      </c>
      <c r="G38" s="222" t="n">
        <v>48.5</v>
      </c>
      <c r="H38" s="222" t="inlineStr">
        <is>
          <t>Idle</t>
        </is>
      </c>
      <c r="I38" s="222" t="inlineStr">
        <is>
          <t>53-41</t>
        </is>
      </c>
      <c r="J38" s="222" t="inlineStr">
        <is>
          <t>JOB-SETUP, INSPECTION, INSPECTION, INSPECTION, JOB-CLOSEUP</t>
        </is>
      </c>
      <c r="K38" s="226" t="n"/>
      <c r="L38" s="226" t="n">
        <v>37</v>
      </c>
      <c r="M38" s="226" t="n">
        <v>0.9540999999999999</v>
      </c>
    </row>
    <row r="39">
      <c r="A39" s="222" t="inlineStr">
        <is>
          <t>62</t>
        </is>
      </c>
      <c r="B39" s="222" t="inlineStr">
        <is>
          <t>534147-01-1</t>
        </is>
      </c>
      <c r="C39" s="222" t="inlineStr">
        <is>
          <t>534147-01-1 (2) / CABIN FLOOR STRUC AROUND GALLEY&amp;LAV</t>
        </is>
      </c>
      <c r="D39" s="222" t="inlineStr">
        <is>
          <t>1</t>
        </is>
      </c>
      <c r="E39" s="222" t="n">
        <v>50</v>
      </c>
      <c r="F39" s="222" t="n">
        <v>104.5</v>
      </c>
      <c r="G39" s="222" t="n">
        <v>192.6</v>
      </c>
      <c r="H39" s="222" t="inlineStr">
        <is>
          <t>Idle</t>
        </is>
      </c>
      <c r="I39" s="222" t="inlineStr">
        <is>
          <t>53-41</t>
        </is>
      </c>
      <c r="J39" s="222" t="inlineStr">
        <is>
          <t>JOB-SETUP, CLEAN-UP, INSPECTION, INSPECTION, INSPECTION, JOB-CLOSEUP, JOB-CLOSEUP</t>
        </is>
      </c>
      <c r="K39" s="226" t="n"/>
      <c r="L39" s="226" t="n">
        <v>38</v>
      </c>
      <c r="M39" s="226" t="n">
        <v>1</v>
      </c>
    </row>
    <row r="40">
      <c r="A40" s="222" t="inlineStr">
        <is>
          <t>63</t>
        </is>
      </c>
      <c r="B40" s="222" t="inlineStr">
        <is>
          <t>534148-01-1</t>
        </is>
      </c>
      <c r="C40" s="222" t="inlineStr">
        <is>
          <t>534148-01-1 (2) / FUSELAGE UNDER BELLY FAIRING INSP</t>
        </is>
      </c>
      <c r="D40" s="222" t="inlineStr">
        <is>
          <t>1</t>
        </is>
      </c>
      <c r="E40" s="222" t="n">
        <v>6</v>
      </c>
      <c r="F40" s="222" t="n">
        <v>5.3</v>
      </c>
      <c r="G40" s="222" t="n">
        <v>106.6</v>
      </c>
      <c r="H40" s="222" t="inlineStr">
        <is>
          <t>Idle</t>
        </is>
      </c>
      <c r="I40" s="222" t="inlineStr">
        <is>
          <t>53-41</t>
        </is>
      </c>
      <c r="J40" s="222" t="inlineStr">
        <is>
          <t>JOB-SETUP, CLEAN-UP, INSPECTION, INSPECTION, JOB-CLOSEUP</t>
        </is>
      </c>
      <c r="K40" s="226" t="n"/>
      <c r="L40" s="226" t="n"/>
      <c r="M40" s="226" t="n"/>
    </row>
    <row r="41">
      <c r="A41" s="222" t="inlineStr">
        <is>
          <t>66</t>
        </is>
      </c>
      <c r="B41" s="222" t="inlineStr">
        <is>
          <t>534195-01-2</t>
        </is>
      </c>
      <c r="C41" s="222" t="inlineStr">
        <is>
          <t>534195-01-2 (01) / CABIN FLOOR STRUCT BELOW AFT ENTERAN</t>
        </is>
      </c>
      <c r="D41" s="222" t="inlineStr">
        <is>
          <t>1</t>
        </is>
      </c>
      <c r="E41" s="222" t="n">
        <v>4</v>
      </c>
      <c r="F41" s="222" t="n">
        <v>22</v>
      </c>
      <c r="G41" s="222" t="n">
        <v>64.3</v>
      </c>
      <c r="H41" s="222" t="inlineStr">
        <is>
          <t>Idle</t>
        </is>
      </c>
      <c r="I41" s="222" t="inlineStr">
        <is>
          <t>53-41</t>
        </is>
      </c>
      <c r="J41" s="222" t="inlineStr">
        <is>
          <t>JOB-SETUP, INSPECTION, INSPECTION, JOB-CLOSEUP</t>
        </is>
      </c>
      <c r="K41" s="226" t="n"/>
      <c r="L41" s="226" t="n"/>
      <c r="M41" s="226" t="n"/>
    </row>
    <row r="42">
      <c r="A42" s="222" t="inlineStr">
        <is>
          <t>68</t>
        </is>
      </c>
      <c r="B42" s="222" t="inlineStr">
        <is>
          <t>535101-01-1</t>
        </is>
      </c>
      <c r="C42" s="222" t="inlineStr">
        <is>
          <t>535101-01-1 (2) / REAR PRESSURE BULKHEAD AFT FACE INSP</t>
        </is>
      </c>
      <c r="D42" s="222" t="inlineStr">
        <is>
          <t>1</t>
        </is>
      </c>
      <c r="E42" s="222" t="n">
        <v>3.1</v>
      </c>
      <c r="F42" s="222" t="n">
        <v>4.5</v>
      </c>
      <c r="G42" s="222" t="n">
        <v>143.3</v>
      </c>
      <c r="H42" s="222" t="inlineStr">
        <is>
          <t>Idle</t>
        </is>
      </c>
      <c r="I42" s="222" t="inlineStr">
        <is>
          <t>53-51</t>
        </is>
      </c>
      <c r="J42" s="222" t="inlineStr">
        <is>
          <t>JOB-SETUP, CLEAN-UP, INSPECTION, INSPECTION, INSPECTION, INSPECTION, JOB-CLOSEUP</t>
        </is>
      </c>
      <c r="K42" s="226" t="n"/>
      <c r="L42" s="226" t="n"/>
      <c r="M42" s="226" t="n"/>
    </row>
    <row r="43">
      <c r="A43" s="222" t="inlineStr">
        <is>
          <t>69</t>
        </is>
      </c>
      <c r="B43" s="222" t="inlineStr">
        <is>
          <t>551020-01-1</t>
        </is>
      </c>
      <c r="C43" s="222" t="inlineStr">
        <is>
          <t>551020-01-1 (3) / ELEVATOR HNG SUPPORTS AND FTNGS INSP</t>
        </is>
      </c>
      <c r="D43" s="222" t="inlineStr">
        <is>
          <t>1</t>
        </is>
      </c>
      <c r="E43" s="222" t="n">
        <v>1.6</v>
      </c>
      <c r="F43" s="222" t="n">
        <v>4.7</v>
      </c>
      <c r="G43" s="222" t="n">
        <v>143.6</v>
      </c>
      <c r="H43" s="222" t="inlineStr">
        <is>
          <t>Idle</t>
        </is>
      </c>
      <c r="I43" s="222" t="inlineStr">
        <is>
          <t>55-16</t>
        </is>
      </c>
      <c r="J43" s="222" t="inlineStr">
        <is>
          <t>JOB-SETUP, CLEAN-UP, INSPECTION, INSPECTION, JOB-CLOSEUP</t>
        </is>
      </c>
      <c r="K43" s="226" t="n"/>
      <c r="L43" s="226" t="n"/>
      <c r="M43" s="226" t="n"/>
    </row>
    <row r="44">
      <c r="A44" s="222" t="inlineStr">
        <is>
          <t>70</t>
        </is>
      </c>
      <c r="B44" s="222" t="inlineStr">
        <is>
          <t>552002-01-1</t>
        </is>
      </c>
      <c r="C44" s="222" t="inlineStr">
        <is>
          <t>552002-01-1 (2) / ELEVATOR HNG SUPPORT &amp; ACT FTG INSP</t>
        </is>
      </c>
      <c r="D44" s="222" t="inlineStr">
        <is>
          <t>1</t>
        </is>
      </c>
      <c r="E44" s="222" t="n">
        <v>1.6</v>
      </c>
      <c r="F44" s="222" t="n">
        <v>2.7</v>
      </c>
      <c r="G44" s="222" t="n">
        <v>142.6</v>
      </c>
      <c r="H44" s="222" t="inlineStr">
        <is>
          <t>Idle</t>
        </is>
      </c>
      <c r="I44" s="222" t="inlineStr">
        <is>
          <t>55-20</t>
        </is>
      </c>
      <c r="J44" s="222" t="inlineStr">
        <is>
          <t>JOB-SETUP, CLEAN-UP, INSPECTION, INSPECTION, JOB-CLOSEUP</t>
        </is>
      </c>
      <c r="K44" s="226" t="n"/>
      <c r="L44" s="226" t="n"/>
      <c r="M44" s="226" t="n"/>
    </row>
    <row r="45">
      <c r="A45" s="222" t="inlineStr">
        <is>
          <t>71</t>
        </is>
      </c>
      <c r="B45" s="222" t="inlineStr">
        <is>
          <t>553004-01-1</t>
        </is>
      </c>
      <c r="C45" s="222" t="inlineStr">
        <is>
          <t>553004-01-1 (2) / VERT STABILIZER ATTACH FITTINGS INSP</t>
        </is>
      </c>
      <c r="D45" s="222" t="inlineStr">
        <is>
          <t>1</t>
        </is>
      </c>
      <c r="E45" s="222" t="n">
        <v>0.3</v>
      </c>
      <c r="F45" s="222" t="n">
        <v>25</v>
      </c>
      <c r="G45" s="222" t="n">
        <v>114.5</v>
      </c>
      <c r="H45" s="222" t="inlineStr">
        <is>
          <t>Idle</t>
        </is>
      </c>
      <c r="I45" s="222" t="inlineStr">
        <is>
          <t>55-36</t>
        </is>
      </c>
      <c r="J45" s="222" t="inlineStr">
        <is>
          <t>JOB-SETUP, INSPECTION, JOB-CLOSEUP</t>
        </is>
      </c>
      <c r="K45" s="226" t="n"/>
      <c r="L45" s="226" t="n"/>
      <c r="M45" s="226" t="n"/>
    </row>
    <row r="46">
      <c r="A46" s="222" t="inlineStr">
        <is>
          <t>72</t>
        </is>
      </c>
      <c r="B46" s="222" t="inlineStr">
        <is>
          <t>553005-01-1</t>
        </is>
      </c>
      <c r="C46" s="222" t="inlineStr">
        <is>
          <t>553005-01-1 (2) / RUDDER HINGE ARMS AND ACTUATOR INSP</t>
        </is>
      </c>
      <c r="D46" s="222" t="inlineStr">
        <is>
          <t>1</t>
        </is>
      </c>
      <c r="E46" s="222" t="n">
        <v>0.2</v>
      </c>
      <c r="F46" s="222" t="n">
        <v>2.5</v>
      </c>
      <c r="G46" s="222" t="n">
        <v>161.1</v>
      </c>
      <c r="H46" s="222" t="inlineStr">
        <is>
          <t>Idle</t>
        </is>
      </c>
      <c r="I46" s="222" t="inlineStr">
        <is>
          <t>55-30</t>
        </is>
      </c>
      <c r="J46" s="222" t="inlineStr">
        <is>
          <t>JOB-SETUP, CLEAN-UP, INSPECTION, JOB-CLOSEUP, JOB-CLOSEUP</t>
        </is>
      </c>
      <c r="K46" s="226" t="n"/>
      <c r="L46" s="226" t="n"/>
      <c r="M46" s="226" t="n"/>
    </row>
    <row r="47">
      <c r="A47" s="222" t="inlineStr">
        <is>
          <t>73</t>
        </is>
      </c>
      <c r="B47" s="222" t="inlineStr">
        <is>
          <t>553006-01-2</t>
        </is>
      </c>
      <c r="C47" s="222" t="inlineStr">
        <is>
          <t>553006-01-2 (2) / RUDDER HINGE ARM 6 AND 7 INSPECTION</t>
        </is>
      </c>
      <c r="D47" s="222" t="inlineStr">
        <is>
          <t>1</t>
        </is>
      </c>
      <c r="E47" s="222" t="n">
        <v>0.2</v>
      </c>
      <c r="F47" s="222" t="n">
        <v>2</v>
      </c>
      <c r="G47" s="222" t="n">
        <v>160.1</v>
      </c>
      <c r="H47" s="222" t="inlineStr">
        <is>
          <t>Idle</t>
        </is>
      </c>
      <c r="I47" s="222" t="inlineStr">
        <is>
          <t>55-30</t>
        </is>
      </c>
      <c r="J47" s="222" t="inlineStr">
        <is>
          <t>JOB-SETUP, CLEAN-UP, INSPECTION, JOB-CLOSEUP, JOB-CLOSEUP</t>
        </is>
      </c>
      <c r="K47" s="226" t="n"/>
      <c r="L47" s="226" t="n"/>
      <c r="M47" s="226" t="n"/>
    </row>
    <row r="48">
      <c r="A48" s="222" t="inlineStr">
        <is>
          <t>74</t>
        </is>
      </c>
      <c r="B48" s="222" t="inlineStr">
        <is>
          <t>554003-01-1</t>
        </is>
      </c>
      <c r="C48" s="222" t="inlineStr">
        <is>
          <t>554003-01-1 (03) / RUDDER SIDE PANELS INSPECTION</t>
        </is>
      </c>
      <c r="D48" s="222" t="inlineStr">
        <is>
          <t>1</t>
        </is>
      </c>
      <c r="E48" s="222" t="n">
        <v>1</v>
      </c>
      <c r="F48" s="222" t="n">
        <v>7.5</v>
      </c>
      <c r="G48" s="222" t="n">
        <v>634.2</v>
      </c>
      <c r="H48" s="222" t="inlineStr">
        <is>
          <t>Idle</t>
        </is>
      </c>
      <c r="I48" s="222" t="inlineStr">
        <is>
          <t>55-40</t>
        </is>
      </c>
      <c r="J48" s="222" t="inlineStr">
        <is>
          <t>JOB-SETUP, CLEAN-UP, X-RAY / NDT, X-RAY / NDT, JOB-CLOSEUP</t>
        </is>
      </c>
      <c r="K48" s="226" t="n"/>
      <c r="L48" s="226" t="n"/>
      <c r="M48" s="226" t="n"/>
    </row>
    <row r="49">
      <c r="A49" s="222" t="inlineStr">
        <is>
          <t>75</t>
        </is>
      </c>
      <c r="B49" s="222" t="inlineStr">
        <is>
          <t>554005-01-1</t>
        </is>
      </c>
      <c r="C49" s="222" t="inlineStr">
        <is>
          <t>554005-01-1 (2) / RUDDER FTNG, ACT. ATTACH FTNG INSP</t>
        </is>
      </c>
      <c r="D49" s="222" t="inlineStr">
        <is>
          <t>1</t>
        </is>
      </c>
      <c r="E49" s="222" t="n">
        <v>0.2</v>
      </c>
      <c r="F49" s="222" t="n">
        <v>2</v>
      </c>
      <c r="G49" s="222" t="n">
        <v>161.1</v>
      </c>
      <c r="H49" s="222" t="inlineStr">
        <is>
          <t>Idle</t>
        </is>
      </c>
      <c r="I49" s="222" t="inlineStr">
        <is>
          <t>55-40</t>
        </is>
      </c>
      <c r="J49" s="222" t="inlineStr">
        <is>
          <t>JOB-SETUP, CLEAN-UP, INSPECTION, JOB-CLOSEUP, JOB-CLOSEUP</t>
        </is>
      </c>
    </row>
    <row r="50">
      <c r="A50" s="222" t="inlineStr">
        <is>
          <t>76</t>
        </is>
      </c>
      <c r="B50" s="222" t="inlineStr">
        <is>
          <t>554006-01-1</t>
        </is>
      </c>
      <c r="C50" s="222" t="inlineStr">
        <is>
          <t>554006-01-1 (2) / RUDDER ATTACH FITTING 6 AND 7 INSP</t>
        </is>
      </c>
      <c r="D50" s="222" t="inlineStr">
        <is>
          <t>1</t>
        </is>
      </c>
      <c r="E50" s="222" t="n">
        <v>0.2</v>
      </c>
      <c r="F50" s="222" t="n">
        <v>3.5</v>
      </c>
      <c r="G50" s="222" t="n">
        <v>160.1</v>
      </c>
      <c r="H50" s="222" t="inlineStr">
        <is>
          <t>Idle</t>
        </is>
      </c>
      <c r="I50" s="222" t="inlineStr">
        <is>
          <t>55-40</t>
        </is>
      </c>
      <c r="J50" s="222" t="inlineStr">
        <is>
          <t>JOB-SETUP, CLEAN-UP, INSPECTION, JOB-CLOSEUP, JOB-CLOSEUP</t>
        </is>
      </c>
    </row>
    <row r="51">
      <c r="A51" s="222" t="inlineStr">
        <is>
          <t>77</t>
        </is>
      </c>
      <c r="B51" s="222" t="inlineStr">
        <is>
          <t>554008-01-1</t>
        </is>
      </c>
      <c r="C51" s="222" t="inlineStr">
        <is>
          <t>554008-01-1 (3) / RUDDER L/H AND R/H SIDE PANELS INSP</t>
        </is>
      </c>
      <c r="D51" s="222" t="inlineStr">
        <is>
          <t>1</t>
        </is>
      </c>
      <c r="E51" s="222" t="n">
        <v>2.5</v>
      </c>
      <c r="F51" s="222" t="n">
        <v>7.5</v>
      </c>
      <c r="G51" s="222" t="n">
        <v>202.2</v>
      </c>
      <c r="H51" s="222" t="inlineStr">
        <is>
          <t>Idle</t>
        </is>
      </c>
      <c r="I51" s="222" t="inlineStr">
        <is>
          <t>55-40</t>
        </is>
      </c>
      <c r="J51" s="222" t="inlineStr">
        <is>
          <t>JOB-SETUP, JOB-SETUP, X-RAY / NDT, X-RAY / NDT, JOB-CLOSEUP</t>
        </is>
      </c>
    </row>
    <row r="52">
      <c r="A52" s="222" t="inlineStr">
        <is>
          <t>78</t>
        </is>
      </c>
      <c r="B52" s="222" t="inlineStr">
        <is>
          <t>554009-01-1</t>
        </is>
      </c>
      <c r="C52" s="222" t="inlineStr">
        <is>
          <t>554009-01-1 (3) / RUDDER SIDE PNL (ELCH TEST) NDT INSP</t>
        </is>
      </c>
      <c r="D52" s="222" t="inlineStr">
        <is>
          <t>1</t>
        </is>
      </c>
      <c r="E52" s="222" t="n">
        <v>5.5</v>
      </c>
      <c r="F52" s="222" t="n">
        <v>20.5</v>
      </c>
      <c r="G52" s="222" t="n">
        <v>202.2</v>
      </c>
      <c r="H52" s="222" t="inlineStr">
        <is>
          <t>Idle</t>
        </is>
      </c>
      <c r="I52" s="222" t="inlineStr">
        <is>
          <t>55-40</t>
        </is>
      </c>
      <c r="J52" s="222" t="inlineStr">
        <is>
          <t>JOB-SETUP, JOB-SETUP, X-RAY / NDT, X-RAY / NDT, JOB-CLOSEUP</t>
        </is>
      </c>
    </row>
    <row r="53">
      <c r="A53" s="222" t="inlineStr">
        <is>
          <t>79</t>
        </is>
      </c>
      <c r="B53" s="222" t="inlineStr">
        <is>
          <t>562101-01-1</t>
        </is>
      </c>
      <c r="C53" s="222" t="inlineStr">
        <is>
          <t>562101-01-1 (3) / CABIN AND DOOR WINDOW PANES INSP</t>
        </is>
      </c>
      <c r="D53" s="222" t="inlineStr">
        <is>
          <t>1</t>
        </is>
      </c>
      <c r="E53" s="222" t="n">
        <v>5.2</v>
      </c>
      <c r="F53" s="222" t="n">
        <v>80</v>
      </c>
      <c r="G53" s="222" t="n">
        <v>97.09999999999999</v>
      </c>
      <c r="H53" s="222" t="inlineStr">
        <is>
          <t>Idle</t>
        </is>
      </c>
      <c r="I53" s="222" t="inlineStr">
        <is>
          <t>56-21</t>
        </is>
      </c>
      <c r="J53" s="222" t="inlineStr">
        <is>
          <t>JOB-SETUP, JOB-SETUP, INSPECTION, INSPECTION, INSPECTION, JOB-CLOSEUP</t>
        </is>
      </c>
    </row>
    <row r="54">
      <c r="A54" s="222" t="inlineStr">
        <is>
          <t>80</t>
        </is>
      </c>
      <c r="B54" s="222" t="inlineStr">
        <is>
          <t>571122-01-1</t>
        </is>
      </c>
      <c r="C54" s="222" t="inlineStr">
        <is>
          <t>571122-01-1 (2) / CENTER WING BOX REAR SPAR INSPECTION</t>
        </is>
      </c>
      <c r="D54" s="222" t="inlineStr">
        <is>
          <t>1</t>
        </is>
      </c>
      <c r="E54" s="222" t="n">
        <v>2.1</v>
      </c>
      <c r="F54" s="222" t="n">
        <v>9</v>
      </c>
      <c r="G54" s="222" t="n">
        <v>73.2</v>
      </c>
      <c r="H54" s="222" t="inlineStr">
        <is>
          <t>Idle</t>
        </is>
      </c>
      <c r="I54" s="222" t="inlineStr">
        <is>
          <t>57-10</t>
        </is>
      </c>
      <c r="J54" s="222" t="inlineStr">
        <is>
          <t>JOB-SETUP, JOB-SETUP, INSPECTION, JOB-CLOSEUP, JOB-CLOSEUP</t>
        </is>
      </c>
    </row>
    <row r="55">
      <c r="A55" s="222" t="inlineStr">
        <is>
          <t>81</t>
        </is>
      </c>
      <c r="B55" s="222" t="inlineStr">
        <is>
          <t>571157-01-1</t>
        </is>
      </c>
      <c r="C55" s="222" t="inlineStr">
        <is>
          <t>571157-01-1 (3) / CENTER WING BOX UPPER SKIN INSP</t>
        </is>
      </c>
      <c r="D55" s="222" t="inlineStr">
        <is>
          <t>1</t>
        </is>
      </c>
      <c r="E55" s="222" t="n">
        <v>7.7</v>
      </c>
      <c r="F55" s="222" t="n"/>
      <c r="G55" s="222" t="n"/>
      <c r="H55" s="222" t="inlineStr">
        <is>
          <t>Not Started</t>
        </is>
      </c>
      <c r="I55" s="222" t="inlineStr">
        <is>
          <t>57-10</t>
        </is>
      </c>
      <c r="J55" s="222" t="inlineStr">
        <is>
          <t>JOB-CLOSEUP, JOB-CLOSEUP, INSPECTION, JOB-SETUP</t>
        </is>
      </c>
    </row>
    <row r="56">
      <c r="A56" s="222" t="inlineStr">
        <is>
          <t>84</t>
        </is>
      </c>
      <c r="B56" s="222" t="inlineStr">
        <is>
          <t>572065-01-1-001</t>
        </is>
      </c>
      <c r="C56" s="222" t="inlineStr">
        <is>
          <t>572065-01-1-001 (03) / L/H OUTER WING TOP SKIN LOWER SURFACE INSP</t>
        </is>
      </c>
      <c r="D56" s="222" t="inlineStr">
        <is>
          <t>1</t>
        </is>
      </c>
      <c r="E56" s="222" t="n">
        <v>1</v>
      </c>
      <c r="F56" s="222" t="n">
        <v>0.8</v>
      </c>
      <c r="G56" s="222" t="n">
        <v>135</v>
      </c>
      <c r="H56" s="222" t="inlineStr">
        <is>
          <t>Idle</t>
        </is>
      </c>
      <c r="I56" s="222" t="inlineStr">
        <is>
          <t>57-20</t>
        </is>
      </c>
      <c r="J56" s="222" t="inlineStr">
        <is>
          <t>JOB-SETUP, CLEAN-UP, INSPECTION, JOB-CLOSEUP, JOB-CLOSEUP</t>
        </is>
      </c>
    </row>
    <row r="57">
      <c r="A57" s="222" t="inlineStr">
        <is>
          <t>85</t>
        </is>
      </c>
      <c r="B57" s="222" t="inlineStr">
        <is>
          <t>572065-01-1-002</t>
        </is>
      </c>
      <c r="C57" s="222" t="inlineStr">
        <is>
          <t>572065-01-1-002 (03) / R/H OUTER WING TOP SKIN LOWER SURFACE INSP</t>
        </is>
      </c>
      <c r="D57" s="222" t="inlineStr">
        <is>
          <t>1</t>
        </is>
      </c>
      <c r="E57" s="222" t="n">
        <v>1</v>
      </c>
      <c r="F57" s="222" t="n">
        <v>0.8</v>
      </c>
      <c r="G57" s="222" t="n">
        <v>154.7</v>
      </c>
      <c r="H57" s="222" t="inlineStr">
        <is>
          <t>Idle</t>
        </is>
      </c>
      <c r="I57" s="222" t="inlineStr">
        <is>
          <t>57-20</t>
        </is>
      </c>
      <c r="J57" s="222" t="inlineStr">
        <is>
          <t>JOB-SETUP, CLEAN-UP, INSPECTION, JOB-CLOSEUP, JOB-CLOSEUP</t>
        </is>
      </c>
    </row>
    <row r="58">
      <c r="A58" s="222" t="inlineStr">
        <is>
          <t>88</t>
        </is>
      </c>
      <c r="B58" s="222" t="inlineStr">
        <is>
          <t>572161-01-11-001</t>
        </is>
      </c>
      <c r="C58" s="222" t="inlineStr">
        <is>
          <t>572161-01-11-001 (04) / LH O/WING BTTM ACCSS (RIB13-27) INSP</t>
        </is>
      </c>
      <c r="D58" s="222" t="inlineStr">
        <is>
          <t>1</t>
        </is>
      </c>
      <c r="E58" s="222" t="n">
        <v>0.5</v>
      </c>
      <c r="F58" s="222" t="n">
        <v>7</v>
      </c>
      <c r="G58" s="222" t="n">
        <v>47.4</v>
      </c>
      <c r="H58" s="222" t="inlineStr">
        <is>
          <t>Idle</t>
        </is>
      </c>
      <c r="I58" s="222" t="inlineStr">
        <is>
          <t>57-21</t>
        </is>
      </c>
      <c r="J58" s="222" t="inlineStr">
        <is>
          <t>JOB-SETUP, CLEAN-UP, INSPECTION, INSPECTION, INSPECTION, JOB-CLOSEUP</t>
        </is>
      </c>
    </row>
    <row r="59">
      <c r="A59" s="222" t="inlineStr">
        <is>
          <t>89</t>
        </is>
      </c>
      <c r="B59" s="222" t="inlineStr">
        <is>
          <t>572161-01-11-002</t>
        </is>
      </c>
      <c r="C59" s="222" t="inlineStr">
        <is>
          <t>572161-01-11-002 (04) / RH O/WING BTTM ACCSS (RIB13-27) INSP</t>
        </is>
      </c>
      <c r="D59" s="222" t="inlineStr">
        <is>
          <t>1</t>
        </is>
      </c>
      <c r="E59" s="222" t="n">
        <v>0.5</v>
      </c>
      <c r="F59" s="222" t="n">
        <v>8.5</v>
      </c>
      <c r="G59" s="222" t="n">
        <v>47.4</v>
      </c>
      <c r="H59" s="222" t="inlineStr">
        <is>
          <t>Idle</t>
        </is>
      </c>
      <c r="I59" s="222" t="inlineStr">
        <is>
          <t>57-21</t>
        </is>
      </c>
      <c r="J59" s="222" t="inlineStr">
        <is>
          <t>JOB-SETUP, CLEAN-UP, INSPECTION, INSPECTION, INSPECTION, JOB-CLOSEUP</t>
        </is>
      </c>
    </row>
    <row r="60">
      <c r="A60" s="222" t="inlineStr">
        <is>
          <t>99</t>
        </is>
      </c>
      <c r="B60" s="222" t="inlineStr">
        <is>
          <t>575151-03-1</t>
        </is>
      </c>
      <c r="C60" s="222" t="inlineStr">
        <is>
          <t>575151-03-1 (0) / TRAILING EDGE</t>
        </is>
      </c>
      <c r="D60" s="222" t="inlineStr">
        <is>
          <t>1</t>
        </is>
      </c>
      <c r="E60" s="222" t="n">
        <v>0.5</v>
      </c>
      <c r="F60" s="222" t="n">
        <v>1</v>
      </c>
      <c r="G60" s="222" t="n">
        <v>135.9</v>
      </c>
      <c r="H60" s="222" t="inlineStr">
        <is>
          <t>Idle</t>
        </is>
      </c>
      <c r="I60" s="222" t="inlineStr">
        <is>
          <t>57-51</t>
        </is>
      </c>
      <c r="J60" s="222" t="inlineStr">
        <is>
          <t>JOB-SETUP, JOB-SETUP, INSPECTION, INSPECTION, JOB-CLOSEUP</t>
        </is>
      </c>
    </row>
    <row r="61">
      <c r="A61" s="222" t="inlineStr">
        <is>
          <t>100</t>
        </is>
      </c>
      <c r="B61" s="222" t="inlineStr">
        <is>
          <t>575167-01-1-001</t>
        </is>
      </c>
      <c r="C61" s="222" t="inlineStr">
        <is>
          <t>575167-01-1-001 (02) / L/H OUTER WING BTOM SKN PNL NO3 INSP</t>
        </is>
      </c>
      <c r="D61" s="222" t="inlineStr">
        <is>
          <t>1</t>
        </is>
      </c>
      <c r="E61" s="222" t="n">
        <v>0.2</v>
      </c>
      <c r="F61" s="222" t="n">
        <v>2.5</v>
      </c>
      <c r="G61" s="222" t="n">
        <v>134.5</v>
      </c>
      <c r="H61" s="222" t="inlineStr">
        <is>
          <t>Idle</t>
        </is>
      </c>
      <c r="I61" s="222" t="inlineStr">
        <is>
          <t>57-51</t>
        </is>
      </c>
      <c r="J61" s="222" t="inlineStr">
        <is>
          <t>JOB-SETUP, INSPECTION, INSPECTION, INSPECTION, JOB-CLOSEUP</t>
        </is>
      </c>
    </row>
    <row r="62">
      <c r="A62" s="222" t="inlineStr">
        <is>
          <t>101</t>
        </is>
      </c>
      <c r="B62" s="222" t="inlineStr">
        <is>
          <t>575167-01-1-002</t>
        </is>
      </c>
      <c r="C62" s="222" t="inlineStr">
        <is>
          <t>575167-01-1-002 (02) / R/H OUTER WING BTTM SKIN NO.3 INSP</t>
        </is>
      </c>
      <c r="D62" s="222" t="inlineStr">
        <is>
          <t>1</t>
        </is>
      </c>
      <c r="E62" s="222" t="n">
        <v>0.2</v>
      </c>
      <c r="F62" s="222" t="n">
        <v>5.8</v>
      </c>
      <c r="G62" s="222" t="n">
        <v>157.9</v>
      </c>
      <c r="H62" s="222" t="inlineStr">
        <is>
          <t>Idle</t>
        </is>
      </c>
      <c r="I62" s="222" t="inlineStr">
        <is>
          <t>57-51</t>
        </is>
      </c>
      <c r="J62" s="222" t="inlineStr">
        <is>
          <t>JOB-SETUP, INSPECTION, INSPECTION, INSPECTION, JOB-CLOSEUP</t>
        </is>
      </c>
    </row>
    <row r="63">
      <c r="A63" s="222" t="inlineStr">
        <is>
          <t>105</t>
        </is>
      </c>
      <c r="B63" s="222" t="inlineStr">
        <is>
          <t>ZL-125-02-1</t>
        </is>
      </c>
      <c r="C63" s="222" t="inlineStr">
        <is>
          <t>ZL-125-02-1 (4) / LATERAL AVIONIC COMPARTMENT INSP</t>
        </is>
      </c>
      <c r="D63" s="222" t="inlineStr">
        <is>
          <t>1</t>
        </is>
      </c>
      <c r="E63" s="222" t="n">
        <v>0.8</v>
      </c>
      <c r="F63" s="222" t="n">
        <v>6.5</v>
      </c>
      <c r="G63" s="222" t="n">
        <v>117.5</v>
      </c>
      <c r="H63" s="222" t="inlineStr">
        <is>
          <t>Idle</t>
        </is>
      </c>
      <c r="I63" s="222" t="inlineStr">
        <is>
          <t>05-21</t>
        </is>
      </c>
      <c r="J63" s="222" t="inlineStr">
        <is>
          <t>JOB-SETUP, INSPECTION, INSPECTION, JOB-CLOSEUP</t>
        </is>
      </c>
    </row>
    <row r="64">
      <c r="A64" s="222" t="inlineStr">
        <is>
          <t>108</t>
        </is>
      </c>
      <c r="B64" s="222" t="inlineStr">
        <is>
          <t>ZL-133-01-1</t>
        </is>
      </c>
      <c r="C64" s="222" t="inlineStr">
        <is>
          <t>ZL-133-01-1 (2) / FWD CARGO COMPAR UNDERFLOOR BAY INSP</t>
        </is>
      </c>
      <c r="D64" s="222" t="inlineStr">
        <is>
          <t>1</t>
        </is>
      </c>
      <c r="E64" s="222" t="n">
        <v>3.3</v>
      </c>
      <c r="F64" s="222" t="n">
        <v>1</v>
      </c>
      <c r="G64" s="222" t="n">
        <v>134.8</v>
      </c>
      <c r="H64" s="222" t="inlineStr">
        <is>
          <t>Idle</t>
        </is>
      </c>
      <c r="I64" s="222" t="inlineStr">
        <is>
          <t>05-21</t>
        </is>
      </c>
      <c r="J64" s="222" t="inlineStr">
        <is>
          <t>JOB-SETUP, INSPECTION, INSPECTION, JOB-CLOSEUP</t>
        </is>
      </c>
    </row>
    <row r="65">
      <c r="A65" s="222" t="inlineStr">
        <is>
          <t>109</t>
        </is>
      </c>
      <c r="B65" s="222" t="inlineStr">
        <is>
          <t>ZL-145-01-1</t>
        </is>
      </c>
      <c r="C65" s="222" t="inlineStr">
        <is>
          <t>ZL-145-01-1 (2) / ZONE UNDER CABIN FLOOR INSPECTION</t>
        </is>
      </c>
      <c r="D65" s="222" t="inlineStr">
        <is>
          <t>1</t>
        </is>
      </c>
      <c r="E65" s="222" t="n">
        <v>7</v>
      </c>
      <c r="F65" s="222" t="n">
        <v>85.5</v>
      </c>
      <c r="G65" s="222" t="n">
        <v>72.59999999999999</v>
      </c>
      <c r="H65" s="222" t="inlineStr">
        <is>
          <t>Idle</t>
        </is>
      </c>
      <c r="I65" s="222" t="inlineStr">
        <is>
          <t>05-21</t>
        </is>
      </c>
      <c r="J65" s="222" t="inlineStr">
        <is>
          <t>JOB-SETUP, INSPECTION, INSPECTION, JOB-CLOSEUP, INSPECTION, JOB-CLOSEUP</t>
        </is>
      </c>
    </row>
    <row r="66">
      <c r="A66" s="222" t="inlineStr">
        <is>
          <t>111</t>
        </is>
      </c>
      <c r="B66" s="222" t="inlineStr">
        <is>
          <t>ZL-151-02-3</t>
        </is>
      </c>
      <c r="C66" s="222" t="inlineStr">
        <is>
          <t>ZL-151-02-3 (2) / AFT CARGO COMPARTMENT ZONAL INSP</t>
        </is>
      </c>
      <c r="D66" s="222" t="inlineStr">
        <is>
          <t>1</t>
        </is>
      </c>
      <c r="E66" s="222" t="n">
        <v>20</v>
      </c>
      <c r="F66" s="222" t="n">
        <v>12</v>
      </c>
      <c r="G66" s="222" t="n">
        <v>72.8</v>
      </c>
      <c r="H66" s="222" t="inlineStr">
        <is>
          <t>Idle</t>
        </is>
      </c>
      <c r="I66" s="222" t="inlineStr">
        <is>
          <t>28-11</t>
        </is>
      </c>
      <c r="J66" s="222" t="inlineStr">
        <is>
          <t>JOB-SETUP, INSPECTION, INSPECTION, CLOSE-UP, CLOSE-UP</t>
        </is>
      </c>
    </row>
    <row r="67">
      <c r="A67" s="222" t="inlineStr">
        <is>
          <t>112</t>
        </is>
      </c>
      <c r="B67" s="222" t="inlineStr">
        <is>
          <t>ZL-153-01-1</t>
        </is>
      </c>
      <c r="C67" s="222" t="inlineStr">
        <is>
          <t>ZL-153-01-1 (03) / AFT CARGO COMPTMENT UNDERFLOOR BAY</t>
        </is>
      </c>
      <c r="D67" s="222" t="inlineStr">
        <is>
          <t>1</t>
        </is>
      </c>
      <c r="E67" s="222" t="n">
        <v>6.8</v>
      </c>
      <c r="F67" s="222" t="n">
        <v>17</v>
      </c>
      <c r="G67" s="222" t="n">
        <v>227.8</v>
      </c>
      <c r="H67" s="222" t="inlineStr">
        <is>
          <t>Idle</t>
        </is>
      </c>
      <c r="I67" s="222" t="inlineStr">
        <is>
          <t>05-21</t>
        </is>
      </c>
      <c r="J67" s="222" t="inlineStr">
        <is>
          <t>JOB-SETUP, INSPECTION, INSPECTION, INSPECTION, INSPECTION, INSPECTION, JOB-CLOSEUP, JOB-CLOSEUP</t>
        </is>
      </c>
    </row>
    <row r="68">
      <c r="A68" s="222" t="inlineStr">
        <is>
          <t>114</t>
        </is>
      </c>
      <c r="B68" s="222" t="inlineStr">
        <is>
          <t>ZL-163-01-1</t>
        </is>
      </c>
      <c r="C68" s="222" t="inlineStr">
        <is>
          <t>ZL-163-01-1 (01) / BULK CARGO COMPART UNDERFLOOR INSP</t>
        </is>
      </c>
      <c r="D68" s="222" t="inlineStr">
        <is>
          <t>1</t>
        </is>
      </c>
      <c r="E68" s="222" t="n">
        <v>2.9</v>
      </c>
      <c r="F68" s="222" t="n">
        <v>0.6</v>
      </c>
      <c r="G68" s="222" t="n">
        <v>135.1</v>
      </c>
      <c r="H68" s="222" t="inlineStr">
        <is>
          <t>Idle</t>
        </is>
      </c>
      <c r="I68" s="222" t="inlineStr">
        <is>
          <t>05-21</t>
        </is>
      </c>
      <c r="J68" s="222" t="inlineStr">
        <is>
          <t>JOB-SETUP, INSPECTION, INSPECTION, JOB-CLOSEUP</t>
        </is>
      </c>
    </row>
    <row r="69">
      <c r="A69" s="222" t="inlineStr">
        <is>
          <t>117</t>
        </is>
      </c>
      <c r="B69" s="222" t="inlineStr">
        <is>
          <t>ZL-193-01-1</t>
        </is>
      </c>
      <c r="C69" s="222" t="inlineStr">
        <is>
          <t>ZL-193-01-1 (03) / UPPER WING FAIRING SLIDE STOWAGE AREA</t>
        </is>
      </c>
      <c r="D69" s="222" t="inlineStr">
        <is>
          <t>1</t>
        </is>
      </c>
      <c r="E69" s="222" t="n">
        <v>0.9</v>
      </c>
      <c r="F69" s="222" t="n">
        <v>6.5</v>
      </c>
      <c r="G69" s="222" t="n">
        <v>121.2</v>
      </c>
      <c r="H69" s="222" t="inlineStr">
        <is>
          <t>Idle</t>
        </is>
      </c>
      <c r="I69" s="222" t="inlineStr">
        <is>
          <t>05-21</t>
        </is>
      </c>
      <c r="J69" s="222" t="inlineStr">
        <is>
          <t>JOB-SETUP, INSPECTION, INSPECTION, JOB-CLOSEUP</t>
        </is>
      </c>
    </row>
    <row r="70">
      <c r="A70" s="222" t="inlineStr">
        <is>
          <t>157</t>
        </is>
      </c>
      <c r="B70" s="222" t="inlineStr">
        <is>
          <t>ZL-833-02-1</t>
        </is>
      </c>
      <c r="C70" s="222" t="inlineStr">
        <is>
          <t>ZL-833-02-1 (04) / FWD AND AFT EMERGENCY EXITS INSP</t>
        </is>
      </c>
      <c r="D70" s="222" t="inlineStr">
        <is>
          <t>1</t>
        </is>
      </c>
      <c r="E70" s="222" t="n">
        <v>1</v>
      </c>
      <c r="F70" s="222" t="n">
        <v>6</v>
      </c>
      <c r="G70" s="222" t="n">
        <v>213.6</v>
      </c>
      <c r="H70" s="222" t="inlineStr">
        <is>
          <t>Idle</t>
        </is>
      </c>
      <c r="I70" s="222" t="inlineStr">
        <is>
          <t>05-28</t>
        </is>
      </c>
      <c r="J70" s="222" t="inlineStr">
        <is>
          <t>PRE INSP, PRE INSP, PRE INSP, PRE INSP</t>
        </is>
      </c>
    </row>
    <row r="71">
      <c r="A71" s="222" t="inlineStr">
        <is>
          <t>158</t>
        </is>
      </c>
      <c r="B71" s="222" t="inlineStr">
        <is>
          <t>31871161</t>
        </is>
      </c>
      <c r="C71" s="222" t="inlineStr">
        <is>
          <t>A_N (A_N09)/A_N-CHECK</t>
        </is>
      </c>
      <c r="D71" s="222" t="inlineStr">
        <is>
          <t>N</t>
        </is>
      </c>
      <c r="E71" s="222" t="n"/>
      <c r="F71" s="222" t="n"/>
      <c r="G71" s="222" t="n"/>
      <c r="H71" s="222" t="inlineStr">
        <is>
          <t>Not Started</t>
        </is>
      </c>
      <c r="I71" s="222" t="inlineStr">
        <is>
          <t>20-00</t>
        </is>
      </c>
      <c r="J71" s="222" t="inlineStr"/>
    </row>
    <row r="72">
      <c r="A72" s="222" t="inlineStr">
        <is>
          <t>159</t>
        </is>
      </c>
      <c r="B72" s="222" t="inlineStr">
        <is>
          <t>05-SVA-01</t>
        </is>
      </c>
      <c r="C72" s="222" t="inlineStr">
        <is>
          <t>05-SVA-01 (00) / EMERGENCY EQUIPMENTS EXPIRY CHECK</t>
        </is>
      </c>
      <c r="D72" s="222" t="inlineStr">
        <is>
          <t>1</t>
        </is>
      </c>
      <c r="E72" s="222" t="n">
        <v>2.2</v>
      </c>
      <c r="F72" s="222" t="n">
        <v>8</v>
      </c>
      <c r="G72" s="222" t="n">
        <v>232.6</v>
      </c>
      <c r="H72" s="222" t="inlineStr">
        <is>
          <t>Idle</t>
        </is>
      </c>
      <c r="I72" s="222" t="inlineStr">
        <is>
          <t>05</t>
        </is>
      </c>
      <c r="J72" s="222" t="inlineStr"/>
    </row>
    <row r="73">
      <c r="A73" s="222" t="inlineStr">
        <is>
          <t>160</t>
        </is>
      </c>
      <c r="B73" s="222" t="inlineStr">
        <is>
          <t>11-11-00-01-0-SVA</t>
        </is>
      </c>
      <c r="C73" s="222" t="inlineStr">
        <is>
          <t>11-11-00-01-0-SVA (02) / INTERIOR PLACARDS CHECK</t>
        </is>
      </c>
      <c r="D73" s="222" t="inlineStr">
        <is>
          <t>1</t>
        </is>
      </c>
      <c r="E73" s="222" t="n">
        <v>1</v>
      </c>
      <c r="F73" s="222" t="n"/>
      <c r="G73" s="222" t="n"/>
      <c r="H73" s="222" t="inlineStr">
        <is>
          <t>Not Started</t>
        </is>
      </c>
      <c r="I73" s="222" t="inlineStr">
        <is>
          <t>11-11</t>
        </is>
      </c>
      <c r="J73" s="222" t="inlineStr">
        <is>
          <t>PRE INSP</t>
        </is>
      </c>
    </row>
    <row r="74">
      <c r="A74" s="222" t="inlineStr">
        <is>
          <t>163</t>
        </is>
      </c>
      <c r="B74" s="222" t="inlineStr">
        <is>
          <t>212600-11-1</t>
        </is>
      </c>
      <c r="C74" s="222" t="inlineStr">
        <is>
          <t>212600-11-1 (4) / DEMISTER FLTER&amp;FILTER CARTRIDGE R&amp;R</t>
        </is>
      </c>
      <c r="D74" s="222" t="inlineStr">
        <is>
          <t>1</t>
        </is>
      </c>
      <c r="E74" s="222" t="n">
        <v>0.2</v>
      </c>
      <c r="F74" s="222" t="n"/>
      <c r="G74" s="222" t="n"/>
      <c r="H74" s="222" t="inlineStr">
        <is>
          <t>Not Started</t>
        </is>
      </c>
      <c r="I74" s="222" t="inlineStr">
        <is>
          <t>21-26</t>
        </is>
      </c>
      <c r="J74" s="222" t="inlineStr">
        <is>
          <t>JOB-SETUP, TC/P, TC/P, JOB-CLOSEUP</t>
        </is>
      </c>
    </row>
    <row r="75">
      <c r="A75" s="222" t="inlineStr">
        <is>
          <t>165</t>
        </is>
      </c>
      <c r="B75" s="222" t="inlineStr">
        <is>
          <t>242000-25-1</t>
        </is>
      </c>
      <c r="C75" s="222" t="inlineStr">
        <is>
          <t>242000-25-1 (02) / AC GENERATION</t>
        </is>
      </c>
      <c r="D75" s="222" t="inlineStr">
        <is>
          <t>1</t>
        </is>
      </c>
      <c r="E75" s="222" t="n">
        <v>1</v>
      </c>
      <c r="F75" s="222" t="n"/>
      <c r="G75" s="222" t="n"/>
      <c r="H75" s="222" t="inlineStr">
        <is>
          <t>Not Started</t>
        </is>
      </c>
      <c r="I75" s="222" t="inlineStr">
        <is>
          <t>53-31</t>
        </is>
      </c>
      <c r="J75" s="222" t="inlineStr">
        <is>
          <t>JOB-SETUP, OPS/LK, JOB-CLOSEUP</t>
        </is>
      </c>
    </row>
    <row r="76">
      <c r="A76" s="222" t="inlineStr">
        <is>
          <t>168</t>
        </is>
      </c>
      <c r="B76" s="222" t="inlineStr">
        <is>
          <t>25-10-00-00-SVA</t>
        </is>
      </c>
      <c r="C76" s="222" t="inlineStr">
        <is>
          <t>25-10-00-00-SVA (00) / COCKPIT CHECK</t>
        </is>
      </c>
      <c r="D76" s="222" t="inlineStr">
        <is>
          <t>1</t>
        </is>
      </c>
      <c r="E76" s="222" t="n">
        <v>4.3</v>
      </c>
      <c r="F76" s="222" t="n">
        <v>38</v>
      </c>
      <c r="G76" s="222" t="n">
        <v>217.6</v>
      </c>
      <c r="H76" s="222" t="inlineStr">
        <is>
          <t>Idle</t>
        </is>
      </c>
      <c r="I76" s="222" t="inlineStr">
        <is>
          <t>25-10</t>
        </is>
      </c>
      <c r="J76" s="222" t="inlineStr"/>
    </row>
    <row r="77">
      <c r="A77" s="222" t="inlineStr">
        <is>
          <t>169</t>
        </is>
      </c>
      <c r="B77" s="222" t="inlineStr">
        <is>
          <t>25-20-00-00-SVA</t>
        </is>
      </c>
      <c r="C77" s="222" t="inlineStr">
        <is>
          <t>25-20-00-00-SVA (01) / GENERAL CABIN DEEP INSP</t>
        </is>
      </c>
      <c r="D77" s="222" t="inlineStr">
        <is>
          <t>1</t>
        </is>
      </c>
      <c r="E77" s="222" t="n">
        <v>5.8</v>
      </c>
      <c r="F77" s="222" t="n">
        <v>26.5</v>
      </c>
      <c r="G77" s="222" t="n">
        <v>236.9</v>
      </c>
      <c r="H77" s="222" t="inlineStr">
        <is>
          <t>Idle</t>
        </is>
      </c>
      <c r="I77" s="222" t="inlineStr">
        <is>
          <t>25-10</t>
        </is>
      </c>
      <c r="J77" s="222" t="inlineStr"/>
    </row>
    <row r="78">
      <c r="A78" s="222" t="inlineStr">
        <is>
          <t>170</t>
        </is>
      </c>
      <c r="B78" s="222" t="inlineStr">
        <is>
          <t>25-21-00-00-SVA</t>
        </is>
      </c>
      <c r="C78" s="222" t="inlineStr">
        <is>
          <t>25-21-00-00-SVA (01) / B/C SEAT DEEP INSP</t>
        </is>
      </c>
      <c r="D78" s="222" t="inlineStr">
        <is>
          <t>1</t>
        </is>
      </c>
      <c r="E78" s="222" t="n">
        <v>2.3</v>
      </c>
      <c r="F78" s="222" t="n">
        <v>7.5</v>
      </c>
      <c r="G78" s="222" t="n">
        <v>213.7</v>
      </c>
      <c r="H78" s="222" t="inlineStr">
        <is>
          <t>Idle</t>
        </is>
      </c>
      <c r="I78" s="222" t="inlineStr">
        <is>
          <t>25-10</t>
        </is>
      </c>
      <c r="J78" s="222" t="inlineStr"/>
    </row>
    <row r="79">
      <c r="A79" s="222" t="inlineStr">
        <is>
          <t>171</t>
        </is>
      </c>
      <c r="B79" s="222" t="inlineStr">
        <is>
          <t>25-21-01-00-SVA</t>
        </is>
      </c>
      <c r="C79" s="222" t="inlineStr">
        <is>
          <t>25-21-01-00-SVA (01) / G/C SEAT DEEP INSP</t>
        </is>
      </c>
      <c r="D79" s="222" t="inlineStr">
        <is>
          <t>1</t>
        </is>
      </c>
      <c r="E79" s="222" t="n">
        <v>1.5</v>
      </c>
      <c r="F79" s="222" t="n">
        <v>6</v>
      </c>
      <c r="G79" s="222" t="n">
        <v>213.9</v>
      </c>
      <c r="H79" s="222" t="inlineStr">
        <is>
          <t>Idle</t>
        </is>
      </c>
      <c r="I79" s="222" t="inlineStr">
        <is>
          <t>25-10</t>
        </is>
      </c>
      <c r="J79" s="222" t="inlineStr"/>
    </row>
    <row r="80">
      <c r="A80" s="222" t="inlineStr">
        <is>
          <t>172</t>
        </is>
      </c>
      <c r="B80" s="222" t="inlineStr">
        <is>
          <t>25-22-00-00-SVA</t>
        </is>
      </c>
      <c r="C80" s="222" t="inlineStr">
        <is>
          <t>25-22-00-00-SVA (01) / CABIN CREW SEAT DEEP INSP</t>
        </is>
      </c>
      <c r="D80" s="222" t="inlineStr">
        <is>
          <t>1</t>
        </is>
      </c>
      <c r="E80" s="222" t="n"/>
      <c r="F80" s="222" t="n">
        <v>18</v>
      </c>
      <c r="G80" s="222" t="n">
        <v>229.7</v>
      </c>
      <c r="H80" s="222" t="inlineStr">
        <is>
          <t>Idle</t>
        </is>
      </c>
      <c r="I80" s="222" t="inlineStr">
        <is>
          <t>25-10</t>
        </is>
      </c>
      <c r="J80" s="222" t="inlineStr"/>
    </row>
    <row r="81">
      <c r="A81" s="222" t="inlineStr">
        <is>
          <t>173</t>
        </is>
      </c>
      <c r="B81" s="222" t="inlineStr">
        <is>
          <t>25-26-00-08-0-SVA</t>
        </is>
      </c>
      <c r="C81" s="222" t="inlineStr">
        <is>
          <t>25-26-00-08-0-SVA (05) / PASSNGER COMPT CURTAINS REPLACEMENT</t>
        </is>
      </c>
      <c r="D81" s="222" t="inlineStr">
        <is>
          <t>1</t>
        </is>
      </c>
      <c r="E81" s="222" t="n">
        <v>4</v>
      </c>
      <c r="F81" s="222" t="n"/>
      <c r="G81" s="222" t="n"/>
      <c r="H81" s="222" t="inlineStr">
        <is>
          <t>Not Started</t>
        </is>
      </c>
      <c r="I81" s="222" t="inlineStr">
        <is>
          <t>25-26</t>
        </is>
      </c>
      <c r="J81" s="222" t="inlineStr">
        <is>
          <t>TC/P</t>
        </is>
      </c>
    </row>
    <row r="82">
      <c r="A82" s="222" t="inlineStr">
        <is>
          <t>174</t>
        </is>
      </c>
      <c r="B82" s="222" t="inlineStr">
        <is>
          <t>25-28-00-03-0-SVA-001</t>
        </is>
      </c>
      <c r="C82" s="222" t="inlineStr">
        <is>
          <t>25-28-00-03-0-SVA-001 (07) / HZ-ASA TO ASG AISLE CARPETS R/R</t>
        </is>
      </c>
      <c r="D82" s="222" t="inlineStr">
        <is>
          <t>1</t>
        </is>
      </c>
      <c r="E82" s="222" t="n">
        <v>4</v>
      </c>
      <c r="F82" s="222" t="n"/>
      <c r="G82" s="222" t="n"/>
      <c r="H82" s="222" t="inlineStr">
        <is>
          <t>Not Started</t>
        </is>
      </c>
      <c r="I82" s="222" t="inlineStr">
        <is>
          <t>25-28</t>
        </is>
      </c>
      <c r="J82" s="222" t="inlineStr">
        <is>
          <t>PRE INSP</t>
        </is>
      </c>
    </row>
    <row r="83">
      <c r="A83" s="222" t="inlineStr">
        <is>
          <t>175</t>
        </is>
      </c>
      <c r="B83" s="222" t="inlineStr">
        <is>
          <t>25-30-00-03-0-SVA</t>
        </is>
      </c>
      <c r="C83" s="222" t="inlineStr">
        <is>
          <t>25-30-00-03-0-SVA (02) / GALLEY CTL PANELS ELECTRICAL INSP</t>
        </is>
      </c>
      <c r="D83" s="222" t="inlineStr">
        <is>
          <t>1</t>
        </is>
      </c>
      <c r="E83" s="222" t="n">
        <v>2</v>
      </c>
      <c r="F83" s="222" t="n"/>
      <c r="G83" s="222" t="n"/>
      <c r="H83" s="222" t="inlineStr">
        <is>
          <t>Not Started</t>
        </is>
      </c>
      <c r="I83" s="222" t="inlineStr">
        <is>
          <t>25-30</t>
        </is>
      </c>
      <c r="J83" s="222" t="inlineStr">
        <is>
          <t>PRE HGR</t>
        </is>
      </c>
    </row>
    <row r="84">
      <c r="A84" s="222" t="inlineStr">
        <is>
          <t>176</t>
        </is>
      </c>
      <c r="B84" s="222" t="inlineStr">
        <is>
          <t>25-30-00-13-0-SVA</t>
        </is>
      </c>
      <c r="C84" s="222" t="inlineStr">
        <is>
          <t>25-30-00-13-0-SVA (02) / GALLY &amp; WATER AUTO DRAIN VALVES OPC</t>
        </is>
      </c>
      <c r="D84" s="222" t="inlineStr">
        <is>
          <t>1</t>
        </is>
      </c>
      <c r="E84" s="222" t="n">
        <v>0.5</v>
      </c>
      <c r="F84" s="222" t="n"/>
      <c r="G84" s="222" t="n"/>
      <c r="H84" s="222" t="inlineStr">
        <is>
          <t>Not Started</t>
        </is>
      </c>
      <c r="I84" s="222" t="inlineStr">
        <is>
          <t>25-30</t>
        </is>
      </c>
      <c r="J84" s="222" t="inlineStr">
        <is>
          <t>PRE INSP</t>
        </is>
      </c>
    </row>
    <row r="85">
      <c r="A85" s="222" t="inlineStr">
        <is>
          <t>177</t>
        </is>
      </c>
      <c r="B85" s="222" t="inlineStr">
        <is>
          <t>25-32-00-00-SVA</t>
        </is>
      </c>
      <c r="C85" s="222" t="inlineStr">
        <is>
          <t>25-32-00-00-SVA (01) / GALLEY CHECK</t>
        </is>
      </c>
      <c r="D85" s="222" t="inlineStr">
        <is>
          <t>1</t>
        </is>
      </c>
      <c r="E85" s="222" t="n">
        <v>6.9</v>
      </c>
      <c r="F85" s="222" t="n">
        <v>28.5</v>
      </c>
      <c r="G85" s="222" t="n">
        <v>265.6</v>
      </c>
      <c r="H85" s="222" t="inlineStr">
        <is>
          <t>Idle</t>
        </is>
      </c>
      <c r="I85" s="222" t="inlineStr">
        <is>
          <t>25-10</t>
        </is>
      </c>
      <c r="J85" s="222" t="inlineStr"/>
    </row>
    <row r="86">
      <c r="A86" s="222" t="inlineStr">
        <is>
          <t>178</t>
        </is>
      </c>
      <c r="B86" s="222" t="inlineStr">
        <is>
          <t>25-40-00-00-SVA</t>
        </is>
      </c>
      <c r="C86" s="222" t="inlineStr">
        <is>
          <t>25-40-00-00-SVA (01) / LAV CHECK</t>
        </is>
      </c>
      <c r="D86" s="222" t="inlineStr">
        <is>
          <t>1</t>
        </is>
      </c>
      <c r="E86" s="222" t="n">
        <v>7.4</v>
      </c>
      <c r="F86" s="222" t="n">
        <v>3.5</v>
      </c>
      <c r="G86" s="222" t="n">
        <v>206.4</v>
      </c>
      <c r="H86" s="222" t="inlineStr">
        <is>
          <t>Idle</t>
        </is>
      </c>
      <c r="I86" s="222" t="inlineStr">
        <is>
          <t>25-10</t>
        </is>
      </c>
      <c r="J86" s="222" t="inlineStr"/>
    </row>
    <row r="87">
      <c r="A87" s="222" t="inlineStr">
        <is>
          <t>182</t>
        </is>
      </c>
      <c r="B87" s="222" t="inlineStr">
        <is>
          <t>253400-01-1.</t>
        </is>
      </c>
      <c r="C87" s="222" t="inlineStr">
        <is>
          <t>253400-01-1. (03) / GALLEY COOLING CLEANING</t>
        </is>
      </c>
      <c r="D87" s="222" t="inlineStr">
        <is>
          <t>1</t>
        </is>
      </c>
      <c r="E87" s="222" t="n">
        <v>0.3</v>
      </c>
      <c r="F87" s="222" t="n"/>
      <c r="G87" s="222" t="n"/>
      <c r="H87" s="222" t="inlineStr">
        <is>
          <t>Not Started</t>
        </is>
      </c>
      <c r="I87" s="222" t="inlineStr">
        <is>
          <t>20-00</t>
        </is>
      </c>
      <c r="J87" s="222" t="inlineStr"/>
    </row>
    <row r="88">
      <c r="A88" s="222" t="inlineStr">
        <is>
          <t>183</t>
        </is>
      </c>
      <c r="B88" s="222" t="inlineStr">
        <is>
          <t>253400-02-1</t>
        </is>
      </c>
      <c r="C88" s="222" t="inlineStr">
        <is>
          <t>253400-02-1 (3) / AIRCHILLER CONDENSER AIR FLTR CLEANING</t>
        </is>
      </c>
      <c r="D88" s="222" t="inlineStr">
        <is>
          <t>1</t>
        </is>
      </c>
      <c r="E88" s="222" t="n">
        <v>0.4</v>
      </c>
      <c r="F88" s="222" t="n"/>
      <c r="G88" s="222" t="n"/>
      <c r="H88" s="222" t="inlineStr">
        <is>
          <t>Not Started</t>
        </is>
      </c>
      <c r="I88" s="222" t="inlineStr">
        <is>
          <t>25-34</t>
        </is>
      </c>
      <c r="J88" s="222" t="inlineStr">
        <is>
          <t>JOB-SETUP, JOB-SETUP, JOB-SETUP, CLEAN-UP, CLEAN-UP, JOB-CLOSEUP, JOB-CLOSEUP, JOB-CLOSEUP</t>
        </is>
      </c>
    </row>
    <row r="89">
      <c r="A89" s="222" t="inlineStr">
        <is>
          <t>190</t>
        </is>
      </c>
      <c r="B89" s="222" t="inlineStr">
        <is>
          <t>262200-02-1</t>
        </is>
      </c>
      <c r="C89" s="222" t="inlineStr">
        <is>
          <t>262200-02-1 (4) / APU AUTO FIRE EXTINGUISHING OPS</t>
        </is>
      </c>
      <c r="D89" s="222" t="inlineStr">
        <is>
          <t>1</t>
        </is>
      </c>
      <c r="E89" s="222" t="n">
        <v>0.2</v>
      </c>
      <c r="F89" s="222" t="n"/>
      <c r="G89" s="222" t="n"/>
      <c r="H89" s="222" t="inlineStr">
        <is>
          <t>Not Started</t>
        </is>
      </c>
      <c r="I89" s="222" t="inlineStr">
        <is>
          <t>26-22</t>
        </is>
      </c>
      <c r="J89" s="222" t="inlineStr">
        <is>
          <t>OPS/LK</t>
        </is>
      </c>
    </row>
    <row r="90">
      <c r="A90" s="222" t="inlineStr">
        <is>
          <t>191</t>
        </is>
      </c>
      <c r="B90" s="222" t="inlineStr">
        <is>
          <t>274000-02-1</t>
        </is>
      </c>
      <c r="C90" s="222" t="inlineStr">
        <is>
          <t>274000-02-1 (4) / THS ACT OPS CHK (CMR)</t>
        </is>
      </c>
      <c r="D90" s="222" t="inlineStr">
        <is>
          <t>1</t>
        </is>
      </c>
      <c r="E90" s="222" t="n">
        <v>0.2</v>
      </c>
      <c r="F90" s="222" t="n"/>
      <c r="G90" s="222" t="n"/>
      <c r="H90" s="222" t="inlineStr">
        <is>
          <t>Not Started</t>
        </is>
      </c>
      <c r="I90" s="222" t="inlineStr">
        <is>
          <t>27-44</t>
        </is>
      </c>
      <c r="J90" s="222" t="inlineStr">
        <is>
          <t>OPS/LK</t>
        </is>
      </c>
    </row>
    <row r="91">
      <c r="A91" s="222" t="inlineStr">
        <is>
          <t>192</t>
        </is>
      </c>
      <c r="B91" s="222" t="inlineStr">
        <is>
          <t>274451-01-1</t>
        </is>
      </c>
      <c r="C91" s="222" t="inlineStr">
        <is>
          <t>274451-01-1 (2) / THS BALL SCREW NUT LUBRICATION</t>
        </is>
      </c>
      <c r="D91" s="222" t="inlineStr">
        <is>
          <t>1</t>
        </is>
      </c>
      <c r="E91" s="222" t="n">
        <v>0.2</v>
      </c>
      <c r="F91" s="222" t="n"/>
      <c r="G91" s="222" t="n"/>
      <c r="H91" s="222" t="inlineStr">
        <is>
          <t>Not Started</t>
        </is>
      </c>
      <c r="I91" s="222" t="inlineStr">
        <is>
          <t>12-22</t>
        </is>
      </c>
      <c r="J91" s="222" t="inlineStr">
        <is>
          <t>TC/P</t>
        </is>
      </c>
    </row>
    <row r="92">
      <c r="A92" s="222" t="inlineStr">
        <is>
          <t>193</t>
        </is>
      </c>
      <c r="B92" s="222" t="inlineStr">
        <is>
          <t>274451-10-1</t>
        </is>
      </c>
      <c r="C92" s="222" t="inlineStr">
        <is>
          <t>274451-10-1 (5) / THSA LOWER ATTACHM FOR SECOND LOAD</t>
        </is>
      </c>
      <c r="D92" s="222" t="inlineStr">
        <is>
          <t>1</t>
        </is>
      </c>
      <c r="E92" s="222" t="n">
        <v>10.7</v>
      </c>
      <c r="F92" s="222" t="n"/>
      <c r="G92" s="222" t="n"/>
      <c r="H92" s="222" t="inlineStr">
        <is>
          <t>Not Started</t>
        </is>
      </c>
      <c r="I92" s="222" t="inlineStr">
        <is>
          <t>27-44</t>
        </is>
      </c>
      <c r="J92" s="222" t="inlineStr">
        <is>
          <t>JOB-SETUP, TC/P, INSPECTION, INSPECTION, INSPECTION, JOB-CLOSEUP</t>
        </is>
      </c>
    </row>
    <row r="93">
      <c r="A93" s="222" t="inlineStr">
        <is>
          <t>194</t>
        </is>
      </c>
      <c r="B93" s="222" t="inlineStr">
        <is>
          <t>274451-11-1</t>
        </is>
      </c>
      <c r="C93" s="222" t="inlineStr">
        <is>
          <t>274451-11-1 (5) / THS UPER ATTACH FOR SECOND LOAD INSP</t>
        </is>
      </c>
      <c r="D93" s="222" t="inlineStr">
        <is>
          <t>1</t>
        </is>
      </c>
      <c r="E93" s="222" t="n">
        <v>14</v>
      </c>
      <c r="F93" s="222" t="n"/>
      <c r="G93" s="222" t="n"/>
      <c r="H93" s="222" t="inlineStr">
        <is>
          <t>Not Started</t>
        </is>
      </c>
      <c r="I93" s="222" t="inlineStr">
        <is>
          <t>27-44</t>
        </is>
      </c>
      <c r="J93" s="222" t="inlineStr">
        <is>
          <t>JOB-SETUP, INSPECTION, INSPECTION, INSPECTION, INSPECTION, JOB-CLOSEUP</t>
        </is>
      </c>
    </row>
    <row r="94">
      <c r="A94" s="222" t="inlineStr">
        <is>
          <t>195</t>
        </is>
      </c>
      <c r="B94" s="222" t="inlineStr">
        <is>
          <t>275446-01-1-001</t>
        </is>
      </c>
      <c r="C94" s="222" t="inlineStr">
        <is>
          <t>275446-01-1-001 (03) / L/H FLAP TRACKS LUBRICATION</t>
        </is>
      </c>
      <c r="D94" s="222" t="inlineStr">
        <is>
          <t>1</t>
        </is>
      </c>
      <c r="E94" s="222" t="n">
        <v>1.8</v>
      </c>
      <c r="F94" s="222" t="n"/>
      <c r="G94" s="222" t="n"/>
      <c r="H94" s="222" t="inlineStr">
        <is>
          <t>Not Started</t>
        </is>
      </c>
      <c r="I94" s="222" t="inlineStr">
        <is>
          <t>12-22</t>
        </is>
      </c>
      <c r="J94" s="222" t="inlineStr">
        <is>
          <t>TC/P, TC/P</t>
        </is>
      </c>
    </row>
    <row r="95">
      <c r="A95" s="222" t="inlineStr">
        <is>
          <t>196</t>
        </is>
      </c>
      <c r="B95" s="222" t="inlineStr">
        <is>
          <t>275446-01-1-002</t>
        </is>
      </c>
      <c r="C95" s="222" t="inlineStr">
        <is>
          <t>275446-01-1-002 (03) / R/H FLAP TRACKS LUBRICATION</t>
        </is>
      </c>
      <c r="D95" s="222" t="inlineStr">
        <is>
          <t>1</t>
        </is>
      </c>
      <c r="E95" s="222" t="n">
        <v>1.8</v>
      </c>
      <c r="F95" s="222" t="n"/>
      <c r="G95" s="222" t="n"/>
      <c r="H95" s="222" t="inlineStr">
        <is>
          <t>Not Started</t>
        </is>
      </c>
      <c r="I95" s="222" t="inlineStr">
        <is>
          <t>12-22</t>
        </is>
      </c>
      <c r="J95" s="222" t="inlineStr">
        <is>
          <t>TC/P, TC/P</t>
        </is>
      </c>
    </row>
    <row r="96">
      <c r="A96" s="222" t="inlineStr">
        <is>
          <t>197</t>
        </is>
      </c>
      <c r="B96" s="222" t="inlineStr">
        <is>
          <t>278468-01-1-002</t>
        </is>
      </c>
      <c r="C96" s="222" t="inlineStr">
        <is>
          <t>278468-01-1-002 (02) / R/H WING SLAT TRACK LUBRICATION</t>
        </is>
      </c>
      <c r="D96" s="222" t="inlineStr">
        <is>
          <t>1</t>
        </is>
      </c>
      <c r="E96" s="222" t="n">
        <v>2.2</v>
      </c>
      <c r="F96" s="222" t="n"/>
      <c r="G96" s="222" t="n"/>
      <c r="H96" s="222" t="inlineStr">
        <is>
          <t>Not Started</t>
        </is>
      </c>
      <c r="I96" s="222" t="inlineStr">
        <is>
          <t>12-22</t>
        </is>
      </c>
      <c r="J96" s="222" t="inlineStr">
        <is>
          <t>JOB-SETUP, TC/P, JOB-CLOSEUP</t>
        </is>
      </c>
    </row>
    <row r="97">
      <c r="A97" s="222" t="inlineStr">
        <is>
          <t>199</t>
        </is>
      </c>
      <c r="B97" s="222" t="inlineStr">
        <is>
          <t>281100-05-1</t>
        </is>
      </c>
      <c r="C97" s="222" t="inlineStr">
        <is>
          <t>281100-05-1 (1) / GENERAL VISUAL INSPECTION OF FUEL TANKS FOR MINOR EXTERNAL LEAKS</t>
        </is>
      </c>
      <c r="D97" s="222" t="inlineStr">
        <is>
          <t>1</t>
        </is>
      </c>
      <c r="E97" s="222" t="n">
        <v>0.7</v>
      </c>
      <c r="F97" s="222" t="n"/>
      <c r="G97" s="222" t="n"/>
      <c r="H97" s="222" t="inlineStr">
        <is>
          <t>Not Started</t>
        </is>
      </c>
      <c r="I97" s="222" t="inlineStr">
        <is>
          <t>28-11</t>
        </is>
      </c>
      <c r="J97" s="222" t="inlineStr">
        <is>
          <t>JOB-SETUP, INSPECTION, JOB-CLOSEUP</t>
        </is>
      </c>
    </row>
    <row r="98">
      <c r="A98" s="222" t="inlineStr">
        <is>
          <t>200</t>
        </is>
      </c>
      <c r="B98" s="222" t="inlineStr">
        <is>
          <t>281100-06-1</t>
        </is>
      </c>
      <c r="C98" s="222" t="inlineStr">
        <is>
          <t>281100-06-1 (3) / OPERATIONAL CHECK OF WATER DRAIN VALVES</t>
        </is>
      </c>
      <c r="D98" s="222" t="inlineStr">
        <is>
          <t>1</t>
        </is>
      </c>
      <c r="E98" s="222" t="n">
        <v>0.7</v>
      </c>
      <c r="F98" s="222" t="n"/>
      <c r="G98" s="222" t="n"/>
      <c r="H98" s="222" t="inlineStr">
        <is>
          <t>Not Started</t>
        </is>
      </c>
      <c r="I98" s="222" t="inlineStr">
        <is>
          <t>53-11</t>
        </is>
      </c>
      <c r="J98" s="222" t="inlineStr">
        <is>
          <t>JOB-SETUP, OPS/LK</t>
        </is>
      </c>
    </row>
    <row r="99">
      <c r="A99" s="222" t="inlineStr">
        <is>
          <t>201</t>
        </is>
      </c>
      <c r="B99" s="222" t="inlineStr">
        <is>
          <t>282800-01-1</t>
        </is>
      </c>
      <c r="C99" s="222" t="inlineStr">
        <is>
          <t>282800-01-1 (04) / ACT LEAK MONITOR OPERATIONAL CHECK</t>
        </is>
      </c>
      <c r="D99" s="222" t="inlineStr">
        <is>
          <t>1</t>
        </is>
      </c>
      <c r="E99" s="222" t="n">
        <v>1.1</v>
      </c>
      <c r="F99" s="222" t="n"/>
      <c r="G99" s="222" t="n"/>
      <c r="H99" s="222" t="inlineStr">
        <is>
          <t>Not Started</t>
        </is>
      </c>
      <c r="I99" s="222" t="inlineStr">
        <is>
          <t>28-28</t>
        </is>
      </c>
      <c r="J99" s="222" t="inlineStr">
        <is>
          <t>OPS/LK, OPS/LK</t>
        </is>
      </c>
    </row>
    <row r="100">
      <c r="A100" s="222" t="inlineStr">
        <is>
          <t>202</t>
        </is>
      </c>
      <c r="B100" s="222" t="inlineStr">
        <is>
          <t>282800-03-1</t>
        </is>
      </c>
      <c r="C100" s="222" t="inlineStr">
        <is>
          <t>282800-03-1 (03) / ACT WATER DRAIN VALVES OPS CHK</t>
        </is>
      </c>
      <c r="D100" s="222" t="inlineStr">
        <is>
          <t>1</t>
        </is>
      </c>
      <c r="E100" s="222" t="n">
        <v>0.4</v>
      </c>
      <c r="F100" s="222" t="n"/>
      <c r="G100" s="222" t="n"/>
      <c r="H100" s="222" t="inlineStr">
        <is>
          <t>Not Started</t>
        </is>
      </c>
      <c r="I100" s="222" t="inlineStr">
        <is>
          <t>12-32</t>
        </is>
      </c>
      <c r="J100" s="222" t="inlineStr">
        <is>
          <t>TC/P, TC/P</t>
        </is>
      </c>
    </row>
    <row r="101">
      <c r="A101" s="222" t="inlineStr">
        <is>
          <t>206</t>
        </is>
      </c>
      <c r="B101" s="222" t="inlineStr">
        <is>
          <t>292251-02-1</t>
        </is>
      </c>
      <c r="C101" s="222" t="inlineStr">
        <is>
          <t>292251-02-1 (2) / RAT ASSEMBLY AND DOOR INSP</t>
        </is>
      </c>
      <c r="D101" s="222" t="inlineStr">
        <is>
          <t>1</t>
        </is>
      </c>
      <c r="E101" s="222" t="n">
        <v>0.7</v>
      </c>
      <c r="F101" s="222" t="n"/>
      <c r="G101" s="222" t="n"/>
      <c r="H101" s="222" t="inlineStr">
        <is>
          <t>Not Started</t>
        </is>
      </c>
      <c r="I101" s="222" t="inlineStr">
        <is>
          <t>29-22</t>
        </is>
      </c>
      <c r="J101" s="222" t="inlineStr">
        <is>
          <t>TC/P</t>
        </is>
      </c>
    </row>
    <row r="102">
      <c r="A102" s="222" t="inlineStr">
        <is>
          <t>207</t>
        </is>
      </c>
      <c r="B102" s="222" t="inlineStr">
        <is>
          <t>31-63-00-01-SVA-001</t>
        </is>
      </c>
      <c r="C102" s="222" t="inlineStr">
        <is>
          <t>31-63-00-01-SVA-001 (04) / COCKPIT AND AVIONICS COMPARTMENT AREA AND EQUIPMENT`S CLEANING.</t>
        </is>
      </c>
      <c r="D102" s="222" t="inlineStr">
        <is>
          <t>1</t>
        </is>
      </c>
      <c r="E102" s="222" t="n">
        <v>2</v>
      </c>
      <c r="F102" s="222" t="n"/>
      <c r="G102" s="222" t="n"/>
      <c r="H102" s="222" t="inlineStr">
        <is>
          <t>Not Started</t>
        </is>
      </c>
      <c r="I102" s="222" t="inlineStr">
        <is>
          <t>31-63</t>
        </is>
      </c>
      <c r="J102" s="222" t="inlineStr">
        <is>
          <t>CLEAN-UP</t>
        </is>
      </c>
    </row>
    <row r="103">
      <c r="A103" s="222" t="inlineStr">
        <is>
          <t>209</t>
        </is>
      </c>
      <c r="B103" s="222" t="inlineStr">
        <is>
          <t>313300-08-1</t>
        </is>
      </c>
      <c r="C103" s="222" t="inlineStr">
        <is>
          <t>313300-08-1 (3) / DFDR SYSTEM INTERCONNECTION</t>
        </is>
      </c>
      <c r="D103" s="222" t="inlineStr">
        <is>
          <t>1</t>
        </is>
      </c>
      <c r="E103" s="222" t="n">
        <v>2.5</v>
      </c>
      <c r="F103" s="222" t="n"/>
      <c r="G103" s="222" t="n"/>
      <c r="H103" s="222" t="inlineStr">
        <is>
          <t>Not Started</t>
        </is>
      </c>
      <c r="I103" s="222" t="inlineStr">
        <is>
          <t>31-33</t>
        </is>
      </c>
      <c r="J103" s="222" t="inlineStr">
        <is>
          <t>JOB-SETUP, TC/P, JOB-CLOSEUP</t>
        </is>
      </c>
    </row>
    <row r="104">
      <c r="A104" s="222" t="inlineStr">
        <is>
          <t>219</t>
        </is>
      </c>
      <c r="B104" s="222" t="inlineStr">
        <is>
          <t>383200-01-1</t>
        </is>
      </c>
      <c r="C104" s="222" t="inlineStr">
        <is>
          <t>383200-01-1 (3) / WASHBASIN FILTER ELEMENT CLEANING</t>
        </is>
      </c>
      <c r="D104" s="222" t="inlineStr">
        <is>
          <t>1</t>
        </is>
      </c>
      <c r="E104" s="222" t="n">
        <v>0.2</v>
      </c>
      <c r="F104" s="222" t="n"/>
      <c r="G104" s="222" t="n"/>
      <c r="H104" s="222" t="inlineStr">
        <is>
          <t>Not Started</t>
        </is>
      </c>
      <c r="I104" s="222" t="inlineStr">
        <is>
          <t>38-32</t>
        </is>
      </c>
      <c r="J104" s="222" t="inlineStr">
        <is>
          <t>CLEAN-UP, CLEAN-UP, CLEAN-UP</t>
        </is>
      </c>
    </row>
    <row r="105">
      <c r="A105" s="222" t="inlineStr">
        <is>
          <t>221</t>
        </is>
      </c>
      <c r="B105" s="222" t="inlineStr">
        <is>
          <t>52-31-00-01-0-SVA</t>
        </is>
      </c>
      <c r="C105" s="222" t="inlineStr">
        <is>
          <t>52-31-00-01-0-SVA (02) / FWD CARGO COMPARTMENT DOOR PROXIMITY (28WV &amp; 30WV) SWITCH AND TARGET CLEANING</t>
        </is>
      </c>
      <c r="D105" s="222" t="inlineStr">
        <is>
          <t>1</t>
        </is>
      </c>
      <c r="E105" s="222" t="n">
        <v>1.7</v>
      </c>
      <c r="F105" s="222" t="n"/>
      <c r="G105" s="222" t="n"/>
      <c r="H105" s="222" t="inlineStr">
        <is>
          <t>Not Started</t>
        </is>
      </c>
      <c r="I105" s="222" t="inlineStr">
        <is>
          <t>52-71-00</t>
        </is>
      </c>
      <c r="J105" s="222" t="inlineStr">
        <is>
          <t>JOB-SETUP, --, --, --</t>
        </is>
      </c>
    </row>
    <row r="106">
      <c r="A106" s="222" t="inlineStr">
        <is>
          <t>222</t>
        </is>
      </c>
      <c r="B106" s="222" t="inlineStr">
        <is>
          <t>52-32-00-01-0-SVA</t>
        </is>
      </c>
      <c r="C106" s="222" t="inlineStr">
        <is>
          <t>52-32-00-01-0-SVA (01) / AFT CARGO COMPARTMENT DOOR PROXIMITY SWITCH AND TARGET CLEANING</t>
        </is>
      </c>
      <c r="D106" s="222" t="inlineStr">
        <is>
          <t>1</t>
        </is>
      </c>
      <c r="E106" s="222" t="n">
        <v>1.3</v>
      </c>
      <c r="F106" s="222" t="n"/>
      <c r="G106" s="222" t="n"/>
      <c r="H106" s="222" t="inlineStr">
        <is>
          <t>Not Started</t>
        </is>
      </c>
      <c r="I106" s="222" t="inlineStr">
        <is>
          <t>52-71-00</t>
        </is>
      </c>
      <c r="J106" s="222" t="inlineStr">
        <is>
          <t>CLEAN-UP, TC/P, TC/P, --, JOB-CLOSEUP</t>
        </is>
      </c>
    </row>
    <row r="107">
      <c r="A107" s="222" t="inlineStr">
        <is>
          <t>223</t>
        </is>
      </c>
      <c r="B107" s="222" t="inlineStr">
        <is>
          <t>525111-06-2</t>
        </is>
      </c>
      <c r="C107" s="222" t="inlineStr">
        <is>
          <t>525111-06-2 (2) / FUNCTIONAL CHECK OF THE CORRECT ADJUSTMENT OF THE COCKPIT DOOR, ELECTRICAL RELEASE STRIKES AND LATCH MECHANISM</t>
        </is>
      </c>
      <c r="D107" s="222" t="inlineStr">
        <is>
          <t>1</t>
        </is>
      </c>
      <c r="E107" s="222" t="n"/>
      <c r="F107" s="222" t="n">
        <v>7.8</v>
      </c>
      <c r="G107" s="222" t="n">
        <v>237.6</v>
      </c>
      <c r="H107" s="222" t="inlineStr">
        <is>
          <t>Idle</t>
        </is>
      </c>
      <c r="I107" s="222" t="inlineStr">
        <is>
          <t>52-51</t>
        </is>
      </c>
      <c r="J107" s="222" t="inlineStr">
        <is>
          <t>JOB-SETUP, OPS/LK, JOB-CLOSEUP</t>
        </is>
      </c>
    </row>
    <row r="108">
      <c r="A108" s="222" t="inlineStr">
        <is>
          <t>224</t>
        </is>
      </c>
      <c r="B108" s="222" t="inlineStr">
        <is>
          <t>527100-02-1</t>
        </is>
      </c>
      <c r="C108" s="222" t="inlineStr">
        <is>
          <t>527100-02-1 (4) / MAIN ENTRY DR WARNING PRX SW ACTUAT</t>
        </is>
      </c>
      <c r="D108" s="222" t="inlineStr">
        <is>
          <t>1</t>
        </is>
      </c>
      <c r="E108" s="222" t="n">
        <v>0.3</v>
      </c>
      <c r="F108" s="222" t="n">
        <v>2</v>
      </c>
      <c r="G108" s="222" t="n">
        <v>26.1</v>
      </c>
      <c r="H108" s="222" t="inlineStr">
        <is>
          <t>Idle</t>
        </is>
      </c>
      <c r="I108" s="222" t="inlineStr">
        <is>
          <t>12-22</t>
        </is>
      </c>
      <c r="J108" s="222" t="inlineStr">
        <is>
          <t>TC/P, TC/P, TC/P, TC/P, TC/P</t>
        </is>
      </c>
    </row>
    <row r="109">
      <c r="A109" s="222" t="inlineStr">
        <is>
          <t>225</t>
        </is>
      </c>
      <c r="B109" s="222" t="inlineStr">
        <is>
          <t>533154-06-1-A</t>
        </is>
      </c>
      <c r="C109" s="222" t="inlineStr">
        <is>
          <t>533154-06-1-A (03) / MLG HINGE FITTING KEEL BEAM INSP</t>
        </is>
      </c>
      <c r="D109" s="222" t="inlineStr">
        <is>
          <t>1</t>
        </is>
      </c>
      <c r="E109" s="222" t="n">
        <v>17.5</v>
      </c>
      <c r="F109" s="222" t="n">
        <v>4</v>
      </c>
      <c r="G109" s="222" t="n">
        <v>251</v>
      </c>
      <c r="H109" s="222" t="inlineStr">
        <is>
          <t>Idle</t>
        </is>
      </c>
      <c r="I109" s="222" t="inlineStr">
        <is>
          <t>53-31</t>
        </is>
      </c>
      <c r="J109" s="222" t="inlineStr">
        <is>
          <t>JOB-SETUP, JOB-SETUP, --, --, --, --, INSPECTION, --, INSPECTION, --, --, --</t>
        </is>
      </c>
    </row>
    <row r="110">
      <c r="A110" s="222" t="inlineStr">
        <is>
          <t>226</t>
        </is>
      </c>
      <c r="B110" s="222" t="inlineStr">
        <is>
          <t>31675402</t>
        </is>
      </c>
      <c r="C110" s="222" t="inlineStr">
        <is>
          <t>EOD-320-53-00042-R00/FUSELAGE - CENTER FUSELAGE - INSPECT MLG DOOR HINGE FITTING ON KEEL BE</t>
        </is>
      </c>
      <c r="D110" s="222" t="inlineStr">
        <is>
          <t>1</t>
        </is>
      </c>
      <c r="E110" s="222" t="n">
        <v>30.3</v>
      </c>
      <c r="F110" s="222" t="n"/>
      <c r="G110" s="222" t="n"/>
      <c r="H110" s="222" t="inlineStr">
        <is>
          <t>Not Started</t>
        </is>
      </c>
      <c r="I110" s="222" t="inlineStr">
        <is>
          <t>53</t>
        </is>
      </c>
      <c r="J110" s="222" t="inlineStr"/>
    </row>
    <row r="111">
      <c r="A111" s="222" t="inlineStr">
        <is>
          <t>228</t>
        </is>
      </c>
      <c r="B111" s="222" t="inlineStr">
        <is>
          <t>72-00-00-01-0-SVA-001</t>
        </is>
      </c>
      <c r="C111" s="222" t="inlineStr">
        <is>
          <t>72-00-00-01-0-SVA-001 (01) / NO. 1 ENGINE COMPRESSOR WASH</t>
        </is>
      </c>
      <c r="D111" s="222" t="inlineStr">
        <is>
          <t>1</t>
        </is>
      </c>
      <c r="E111" s="222" t="n">
        <v>13</v>
      </c>
      <c r="F111" s="222" t="n"/>
      <c r="G111" s="222" t="n"/>
      <c r="H111" s="222" t="inlineStr">
        <is>
          <t>Not Started</t>
        </is>
      </c>
      <c r="I111" s="222" t="inlineStr">
        <is>
          <t>72-00</t>
        </is>
      </c>
      <c r="J111" s="222" t="inlineStr">
        <is>
          <t>JOB-SETUP, CLEAN-UP, TC/P, TC/P, TC/P, TC/P, TC/P, TC/P, TC/P, TC/P, JOB-CLOSEUP</t>
        </is>
      </c>
    </row>
    <row r="112">
      <c r="A112" s="222" t="inlineStr">
        <is>
          <t>229</t>
        </is>
      </c>
      <c r="B112" s="222" t="inlineStr">
        <is>
          <t>72-00-00-01-0-SVA-002</t>
        </is>
      </c>
      <c r="C112" s="222" t="inlineStr">
        <is>
          <t>72-00-00-01-0-SVA-002 (01) / NO. 2 ENGINE COMPRESSOR WASH</t>
        </is>
      </c>
      <c r="D112" s="222" t="inlineStr">
        <is>
          <t>1</t>
        </is>
      </c>
      <c r="E112" s="222" t="n">
        <v>13</v>
      </c>
      <c r="F112" s="222" t="n"/>
      <c r="G112" s="222" t="n"/>
      <c r="H112" s="222" t="inlineStr">
        <is>
          <t>Not Started</t>
        </is>
      </c>
      <c r="I112" s="222" t="inlineStr">
        <is>
          <t>72-00</t>
        </is>
      </c>
      <c r="J112" s="222" t="inlineStr">
        <is>
          <t>JOB-SETUP, CLEAN-UP, TC/P, TC/P, TC/P, TC/P, TC/P, TC/P, TC/P, TC/P, JOB-CLOSEUP</t>
        </is>
      </c>
    </row>
    <row r="113">
      <c r="A113" s="222" t="inlineStr">
        <is>
          <t>230</t>
        </is>
      </c>
      <c r="B113" s="222" t="inlineStr">
        <is>
          <t>801110-C3-1-001</t>
        </is>
      </c>
      <c r="C113" s="222" t="inlineStr">
        <is>
          <t>801110-C3-1-001 (01) / NO.1 ENGINE STARTER REPLENISHMENT</t>
        </is>
      </c>
      <c r="D113" s="222" t="inlineStr">
        <is>
          <t>1</t>
        </is>
      </c>
      <c r="E113" s="222" t="n">
        <v>0.7</v>
      </c>
      <c r="F113" s="222" t="n"/>
      <c r="G113" s="222" t="n"/>
      <c r="H113" s="222" t="inlineStr">
        <is>
          <t>Not Started</t>
        </is>
      </c>
      <c r="I113" s="222" t="inlineStr">
        <is>
          <t>12-13</t>
        </is>
      </c>
      <c r="J113" s="222" t="inlineStr">
        <is>
          <t>JOB-SETUP, TC/P, JOB-CLOSEUP</t>
        </is>
      </c>
    </row>
    <row r="114">
      <c r="A114" s="222" t="inlineStr">
        <is>
          <t>231</t>
        </is>
      </c>
      <c r="B114" s="222" t="inlineStr">
        <is>
          <t>801110-C3-1-002</t>
        </is>
      </c>
      <c r="C114" s="222" t="inlineStr">
        <is>
          <t>801110-C3-1-002 (01) / NO.2 ENGINE STARTER REPLENISHMENT</t>
        </is>
      </c>
      <c r="D114" s="222" t="inlineStr">
        <is>
          <t>1</t>
        </is>
      </c>
      <c r="E114" s="222" t="n">
        <v>0.7</v>
      </c>
      <c r="F114" s="222" t="n"/>
      <c r="G114" s="222" t="n"/>
      <c r="H114" s="222" t="inlineStr">
        <is>
          <t>Not Started</t>
        </is>
      </c>
      <c r="I114" s="222" t="inlineStr">
        <is>
          <t>12-13</t>
        </is>
      </c>
      <c r="J114" s="222" t="inlineStr">
        <is>
          <t>JOB-SETUP, TC/P, JOB-CLOSEUP</t>
        </is>
      </c>
    </row>
    <row r="115">
      <c r="A115" s="222" t="inlineStr">
        <is>
          <t>233</t>
        </is>
      </c>
      <c r="B115" s="222" t="inlineStr">
        <is>
          <t>31574335</t>
        </is>
      </c>
      <c r="C115" s="222" t="inlineStr">
        <is>
          <t>C_N (C_N02)/C-CHECK</t>
        </is>
      </c>
      <c r="D115" s="222" t="inlineStr">
        <is>
          <t>N</t>
        </is>
      </c>
      <c r="E115" s="222" t="n"/>
      <c r="F115" s="222" t="n"/>
      <c r="G115" s="222" t="n"/>
      <c r="H115" s="222" t="inlineStr">
        <is>
          <t>Not Started</t>
        </is>
      </c>
      <c r="I115" s="222" t="inlineStr">
        <is>
          <t>20-00</t>
        </is>
      </c>
      <c r="J115" s="222" t="inlineStr"/>
    </row>
    <row r="116">
      <c r="A116" s="222" t="inlineStr">
        <is>
          <t>234</t>
        </is>
      </c>
      <c r="B116" s="222" t="inlineStr">
        <is>
          <t>05-00-00-05-SVA</t>
        </is>
      </c>
      <c r="C116" s="222" t="inlineStr">
        <is>
          <t>05-00-00-05-SVA (03) / FINAL PRODUCT QUALITY INSPECTION</t>
        </is>
      </c>
      <c r="D116" s="222" t="inlineStr">
        <is>
          <t>1</t>
        </is>
      </c>
      <c r="E116" s="222" t="n">
        <v>1</v>
      </c>
      <c r="F116" s="222" t="n"/>
      <c r="G116" s="222" t="n"/>
      <c r="H116" s="222" t="inlineStr">
        <is>
          <t>Not Started</t>
        </is>
      </c>
      <c r="I116" s="222" t="inlineStr">
        <is>
          <t>05-00</t>
        </is>
      </c>
      <c r="J116" s="222" t="inlineStr">
        <is>
          <t>ACFT RELEASE, ACFT RELEASE</t>
        </is>
      </c>
    </row>
    <row r="117">
      <c r="A117" s="222" t="inlineStr">
        <is>
          <t>235</t>
        </is>
      </c>
      <c r="B117" s="222" t="inlineStr">
        <is>
          <t>08-10-00-01-0-A</t>
        </is>
      </c>
      <c r="C117" s="222" t="inlineStr">
        <is>
          <t>08-10-00-01-0-A (02) / WIGHT &amp; BALANCE</t>
        </is>
      </c>
      <c r="D117" s="222" t="inlineStr">
        <is>
          <t>1</t>
        </is>
      </c>
      <c r="E117" s="222" t="n">
        <v>65</v>
      </c>
      <c r="F117" s="222" t="n"/>
      <c r="G117" s="222" t="n"/>
      <c r="H117" s="222" t="inlineStr">
        <is>
          <t>Not Started</t>
        </is>
      </c>
      <c r="I117" s="222" t="inlineStr">
        <is>
          <t>08-10</t>
        </is>
      </c>
      <c r="J117" s="222" t="inlineStr">
        <is>
          <t>WT&amp;BAL</t>
        </is>
      </c>
    </row>
    <row r="118">
      <c r="A118" s="222" t="inlineStr">
        <is>
          <t>245</t>
        </is>
      </c>
      <c r="B118" s="222" t="inlineStr">
        <is>
          <t>213100-01-1</t>
        </is>
      </c>
      <c r="C118" s="222" t="inlineStr">
        <is>
          <t>213100-01-1 (3) / PRESSURE CONTROL AND MONITORING OPC</t>
        </is>
      </c>
      <c r="D118" s="222" t="inlineStr">
        <is>
          <t>1</t>
        </is>
      </c>
      <c r="E118" s="222" t="n">
        <v>0.2</v>
      </c>
      <c r="F118" s="222" t="n"/>
      <c r="G118" s="222" t="n"/>
      <c r="H118" s="222" t="inlineStr">
        <is>
          <t>Not Started</t>
        </is>
      </c>
      <c r="I118" s="222" t="inlineStr">
        <is>
          <t>21-31</t>
        </is>
      </c>
      <c r="J118" s="222" t="inlineStr">
        <is>
          <t>OPS/LK</t>
        </is>
      </c>
    </row>
    <row r="119">
      <c r="A119" s="222" t="inlineStr">
        <is>
          <t>246</t>
        </is>
      </c>
      <c r="B119" s="222" t="inlineStr">
        <is>
          <t>213100-02-1</t>
        </is>
      </c>
      <c r="C119" s="222" t="inlineStr">
        <is>
          <t>213100-02-1 (4) / CABIN PRESSURE SYS MANUAL MODE OPC</t>
        </is>
      </c>
      <c r="D119" s="222" t="inlineStr">
        <is>
          <t>1</t>
        </is>
      </c>
      <c r="E119" s="222" t="n">
        <v>0.2</v>
      </c>
      <c r="F119" s="222" t="n"/>
      <c r="G119" s="222" t="n"/>
      <c r="H119" s="222" t="inlineStr">
        <is>
          <t>Not Started</t>
        </is>
      </c>
      <c r="I119" s="222" t="inlineStr">
        <is>
          <t>21-31</t>
        </is>
      </c>
      <c r="J119" s="222" t="inlineStr">
        <is>
          <t>OPS/LK</t>
        </is>
      </c>
    </row>
    <row r="120">
      <c r="A120" s="222" t="inlineStr">
        <is>
          <t>248</t>
        </is>
      </c>
      <c r="B120" s="222" t="inlineStr">
        <is>
          <t>213100-04-1</t>
        </is>
      </c>
      <c r="C120" s="222" t="inlineStr">
        <is>
          <t>213100-04-1 (3) / PRESSURE CONTROL AND MONITORING OPC</t>
        </is>
      </c>
      <c r="D120" s="222" t="inlineStr">
        <is>
          <t>1</t>
        </is>
      </c>
      <c r="E120" s="222" t="n">
        <v>0.1</v>
      </c>
      <c r="F120" s="222" t="n"/>
      <c r="G120" s="222" t="n"/>
      <c r="H120" s="222" t="inlineStr">
        <is>
          <t>Not Started</t>
        </is>
      </c>
      <c r="I120" s="222" t="inlineStr">
        <is>
          <t>21-31</t>
        </is>
      </c>
      <c r="J120" s="222" t="inlineStr">
        <is>
          <t>JOB-SETUP, OPS/LK, JOB-CLOSEUP</t>
        </is>
      </c>
    </row>
    <row r="121">
      <c r="A121" s="222" t="inlineStr">
        <is>
          <t>250</t>
        </is>
      </c>
      <c r="B121" s="222" t="inlineStr">
        <is>
          <t>215000-08-1</t>
        </is>
      </c>
      <c r="C121" s="222" t="inlineStr">
        <is>
          <t>215000-08-1 (0) / AIR COOLING AND TEMPERATURE CONTROL</t>
        </is>
      </c>
      <c r="D121" s="222" t="inlineStr">
        <is>
          <t>1</t>
        </is>
      </c>
      <c r="E121" s="222" t="n">
        <v>0.5</v>
      </c>
      <c r="F121" s="222" t="n"/>
      <c r="G121" s="222" t="n"/>
      <c r="H121" s="222" t="inlineStr">
        <is>
          <t>Not Started</t>
        </is>
      </c>
      <c r="I121" s="222" t="inlineStr">
        <is>
          <t>21</t>
        </is>
      </c>
      <c r="J121" s="222" t="inlineStr">
        <is>
          <t>--, INSPECTION, --</t>
        </is>
      </c>
    </row>
    <row r="122">
      <c r="A122" s="222" t="inlineStr">
        <is>
          <t>252</t>
        </is>
      </c>
      <c r="B122" s="222" t="inlineStr">
        <is>
          <t>215222-01-1</t>
        </is>
      </c>
      <c r="C122" s="222" t="inlineStr">
        <is>
          <t>215222-01-1 (3) / AIR CYCLE MACHINE PLENUM INSP</t>
        </is>
      </c>
      <c r="D122" s="222" t="inlineStr">
        <is>
          <t>1</t>
        </is>
      </c>
      <c r="E122" s="222" t="n">
        <v>1.8</v>
      </c>
      <c r="F122" s="222" t="n">
        <v>12.5</v>
      </c>
      <c r="G122" s="222" t="n">
        <v>24.3</v>
      </c>
      <c r="H122" s="222" t="inlineStr">
        <is>
          <t>Idle</t>
        </is>
      </c>
      <c r="I122" s="222" t="inlineStr">
        <is>
          <t>21-52</t>
        </is>
      </c>
      <c r="J122" s="222" t="inlineStr">
        <is>
          <t>JOB-SETUP, INSPECTION, INSPECTION, INSPECTION, JOB-CLOSEUP</t>
        </is>
      </c>
    </row>
    <row r="123">
      <c r="A123" s="222" t="inlineStr">
        <is>
          <t>253</t>
        </is>
      </c>
      <c r="B123" s="222" t="inlineStr">
        <is>
          <t>215500-01-1</t>
        </is>
      </c>
      <c r="C123" s="222" t="inlineStr">
        <is>
          <t>215500-01-1 (3) / EMERGENCY RAM AIR INLET SYSTEM OPC</t>
        </is>
      </c>
      <c r="D123" s="222" t="inlineStr">
        <is>
          <t>1</t>
        </is>
      </c>
      <c r="E123" s="222" t="n">
        <v>0.2</v>
      </c>
      <c r="F123" s="222" t="n"/>
      <c r="G123" s="222" t="n"/>
      <c r="H123" s="222" t="inlineStr">
        <is>
          <t>Not Started</t>
        </is>
      </c>
      <c r="I123" s="222" t="inlineStr">
        <is>
          <t>21-55</t>
        </is>
      </c>
      <c r="J123" s="222" t="inlineStr">
        <is>
          <t>JOB-SETUP, OPS/LK, JOB-CLOSEUP</t>
        </is>
      </c>
    </row>
    <row r="124">
      <c r="A124" s="222" t="inlineStr">
        <is>
          <t>254</t>
        </is>
      </c>
      <c r="B124" s="222" t="inlineStr">
        <is>
          <t>215500-02-1</t>
        </is>
      </c>
      <c r="C124" s="222" t="inlineStr">
        <is>
          <t>215500-02-1 (4) / EMERGENCY RAM AIR INLET AND FLOW OPC</t>
        </is>
      </c>
      <c r="D124" s="222" t="inlineStr">
        <is>
          <t>1</t>
        </is>
      </c>
      <c r="E124" s="222" t="n">
        <v>0.2</v>
      </c>
      <c r="F124" s="222" t="n"/>
      <c r="G124" s="222" t="n"/>
      <c r="H124" s="222" t="inlineStr">
        <is>
          <t>Not Started</t>
        </is>
      </c>
      <c r="I124" s="222" t="inlineStr">
        <is>
          <t>21-55</t>
        </is>
      </c>
      <c r="J124" s="222" t="inlineStr">
        <is>
          <t>OPS/LK</t>
        </is>
      </c>
    </row>
    <row r="125">
      <c r="A125" s="222" t="inlineStr">
        <is>
          <t>255</t>
        </is>
      </c>
      <c r="B125" s="222" t="inlineStr">
        <is>
          <t>216242-01-1</t>
        </is>
      </c>
      <c r="C125" s="222" t="inlineStr">
        <is>
          <t>216242-01-1 (5) / TRIM AIR CHECK VALVES FLAPPERS INSP</t>
        </is>
      </c>
      <c r="D125" s="222" t="inlineStr">
        <is>
          <t>1</t>
        </is>
      </c>
      <c r="E125" s="222" t="n">
        <v>2.6</v>
      </c>
      <c r="F125" s="222" t="n"/>
      <c r="G125" s="222" t="n"/>
      <c r="H125" s="222" t="inlineStr">
        <is>
          <t>Not Started</t>
        </is>
      </c>
      <c r="I125" s="222" t="inlineStr">
        <is>
          <t>21-63</t>
        </is>
      </c>
      <c r="J125" s="222" t="inlineStr">
        <is>
          <t>JOB-SETUP, TC/P, TC/P, TC/P, OPS/LK</t>
        </is>
      </c>
    </row>
    <row r="126">
      <c r="A126" s="222" t="inlineStr">
        <is>
          <t>272</t>
        </is>
      </c>
      <c r="B126" s="222" t="inlineStr">
        <is>
          <t>25-11-00-03-0-SVA-001</t>
        </is>
      </c>
      <c r="C126" s="222" t="inlineStr">
        <is>
          <t>25-11-00-03-0-SVA-001 (02) / THIRD OCCUPANT SEAT BOTTOM CUSHION REPLACMENT</t>
        </is>
      </c>
      <c r="D126" s="222" t="inlineStr">
        <is>
          <t>1</t>
        </is>
      </c>
      <c r="E126" s="222" t="n">
        <v>0.5</v>
      </c>
      <c r="F126" s="222" t="n"/>
      <c r="G126" s="222" t="n"/>
      <c r="H126" s="222" t="inlineStr">
        <is>
          <t>Not Started</t>
        </is>
      </c>
      <c r="I126" s="222" t="inlineStr">
        <is>
          <t>25-11</t>
        </is>
      </c>
      <c r="J126" s="222" t="inlineStr"/>
    </row>
    <row r="127">
      <c r="A127" s="222" t="inlineStr">
        <is>
          <t>273</t>
        </is>
      </c>
      <c r="B127" s="222" t="inlineStr">
        <is>
          <t>25-11-00-08-0-SVA</t>
        </is>
      </c>
      <c r="C127" s="222" t="inlineStr">
        <is>
          <t>25-11-00-08-0-SVA (03) / CAPTAIN AND F/O SEATS BOTTOM REPLACMENT</t>
        </is>
      </c>
      <c r="D127" s="222" t="inlineStr">
        <is>
          <t>1</t>
        </is>
      </c>
      <c r="E127" s="222" t="n">
        <v>1</v>
      </c>
      <c r="F127" s="222" t="n"/>
      <c r="G127" s="222" t="n"/>
      <c r="H127" s="222" t="inlineStr">
        <is>
          <t>Not Started</t>
        </is>
      </c>
      <c r="I127" s="222" t="inlineStr">
        <is>
          <t>25-11</t>
        </is>
      </c>
      <c r="J127" s="222" t="inlineStr">
        <is>
          <t>INSPECTION, --</t>
        </is>
      </c>
    </row>
    <row r="128">
      <c r="A128" s="222" t="inlineStr">
        <is>
          <t>274</t>
        </is>
      </c>
      <c r="B128" s="222" t="inlineStr">
        <is>
          <t>25-11-00-09-0-SVA</t>
        </is>
      </c>
      <c r="C128" s="222" t="inlineStr">
        <is>
          <t>25-11-00-09-0-SVA (04) / CAPTAIN &amp; F/O SEATS COVERS REPLACMENT</t>
        </is>
      </c>
      <c r="D128" s="222" t="inlineStr">
        <is>
          <t>1</t>
        </is>
      </c>
      <c r="E128" s="222" t="n">
        <v>4</v>
      </c>
      <c r="F128" s="222" t="n"/>
      <c r="G128" s="222" t="n"/>
      <c r="H128" s="222" t="inlineStr">
        <is>
          <t>Not Started</t>
        </is>
      </c>
      <c r="I128" s="222" t="inlineStr">
        <is>
          <t>25-11</t>
        </is>
      </c>
      <c r="J128" s="222" t="inlineStr">
        <is>
          <t>TC/P, TC/P</t>
        </is>
      </c>
    </row>
    <row r="129">
      <c r="A129" s="222" t="inlineStr">
        <is>
          <t>275</t>
        </is>
      </c>
      <c r="B129" s="222" t="inlineStr">
        <is>
          <t>25-11-00-17-0-SVA-002</t>
        </is>
      </c>
      <c r="C129" s="222" t="inlineStr">
        <is>
          <t>25-11-00-17-0-SVA-002 (03) / FOURTH OCCUPANT SEAT BOTTOM CUSHION REPLACMENT</t>
        </is>
      </c>
      <c r="D129" s="222" t="inlineStr">
        <is>
          <t>1</t>
        </is>
      </c>
      <c r="E129" s="222" t="n">
        <v>0.5</v>
      </c>
      <c r="F129" s="222" t="n"/>
      <c r="G129" s="222" t="n"/>
      <c r="H129" s="222" t="inlineStr">
        <is>
          <t>Not Started</t>
        </is>
      </c>
      <c r="I129" s="222" t="inlineStr">
        <is>
          <t>25-11</t>
        </is>
      </c>
      <c r="J129" s="222" t="inlineStr">
        <is>
          <t>PRE INSP, --</t>
        </is>
      </c>
    </row>
    <row r="130">
      <c r="A130" s="222" t="inlineStr">
        <is>
          <t>276</t>
        </is>
      </c>
      <c r="B130" s="222" t="inlineStr">
        <is>
          <t>25-28-00-04-0-SVA-001</t>
        </is>
      </c>
      <c r="C130" s="222" t="inlineStr">
        <is>
          <t>25-28-00-04-0-SVA-001 (03) / A320(HZ-ASA TO ASG) CARPETS&amp;MATS R/R</t>
        </is>
      </c>
      <c r="D130" s="222" t="inlineStr">
        <is>
          <t>1</t>
        </is>
      </c>
      <c r="E130" s="222" t="n">
        <v>48</v>
      </c>
      <c r="F130" s="222" t="n"/>
      <c r="G130" s="222" t="n"/>
      <c r="H130" s="222" t="inlineStr">
        <is>
          <t>Not Started</t>
        </is>
      </c>
      <c r="I130" s="222" t="inlineStr">
        <is>
          <t>25-28</t>
        </is>
      </c>
      <c r="J130" s="222" t="inlineStr">
        <is>
          <t>TC/P, TC/P, TC/P, TC/P</t>
        </is>
      </c>
    </row>
    <row r="131">
      <c r="A131" s="222" t="inlineStr">
        <is>
          <t>277</t>
        </is>
      </c>
      <c r="B131" s="222" t="inlineStr">
        <is>
          <t>25-28-00-04-0-SVA-002</t>
        </is>
      </c>
      <c r="C131" s="222" t="inlineStr">
        <is>
          <t>25-28-00-04-0-SVA-002 (03) / COCKPIT COMPARTMENT CARPETS REPLCMNT</t>
        </is>
      </c>
      <c r="D131" s="222" t="inlineStr">
        <is>
          <t>1</t>
        </is>
      </c>
      <c r="E131" s="222" t="n">
        <v>6</v>
      </c>
      <c r="F131" s="222" t="n"/>
      <c r="G131" s="222" t="n"/>
      <c r="H131" s="222" t="inlineStr">
        <is>
          <t>Not Started</t>
        </is>
      </c>
      <c r="I131" s="222" t="inlineStr">
        <is>
          <t>25-28</t>
        </is>
      </c>
      <c r="J131" s="222" t="inlineStr">
        <is>
          <t>TC/P</t>
        </is>
      </c>
    </row>
    <row r="132">
      <c r="A132" s="222" t="inlineStr">
        <is>
          <t>278</t>
        </is>
      </c>
      <c r="B132" s="222" t="inlineStr">
        <is>
          <t>25-SVA-01</t>
        </is>
      </c>
      <c r="C132" s="222" t="inlineStr">
        <is>
          <t>25-SVA-01 (01) / COCKPIT CHECK</t>
        </is>
      </c>
      <c r="D132" s="222" t="inlineStr">
        <is>
          <t>1</t>
        </is>
      </c>
      <c r="E132" s="222" t="n">
        <v>3.3</v>
      </c>
      <c r="F132" s="222" t="n">
        <v>2</v>
      </c>
      <c r="G132" s="222" t="n">
        <v>236.8</v>
      </c>
      <c r="H132" s="222" t="inlineStr">
        <is>
          <t>Idle</t>
        </is>
      </c>
      <c r="I132" s="222" t="inlineStr">
        <is>
          <t>25</t>
        </is>
      </c>
      <c r="J132" s="222" t="inlineStr"/>
    </row>
    <row r="133">
      <c r="A133" s="222" t="inlineStr">
        <is>
          <t>279</t>
        </is>
      </c>
      <c r="B133" s="222" t="inlineStr">
        <is>
          <t>25-SVA-02</t>
        </is>
      </c>
      <c r="C133" s="222" t="inlineStr">
        <is>
          <t>25-SVA-02 (01) / GENERAL CABIN ITEMS C-CHK</t>
        </is>
      </c>
      <c r="D133" s="222" t="inlineStr">
        <is>
          <t>1</t>
        </is>
      </c>
      <c r="E133" s="222" t="n">
        <v>11.7</v>
      </c>
      <c r="F133" s="222" t="n">
        <v>3</v>
      </c>
      <c r="G133" s="222" t="n">
        <v>237.2</v>
      </c>
      <c r="H133" s="222" t="inlineStr">
        <is>
          <t>Idle</t>
        </is>
      </c>
      <c r="I133" s="222" t="inlineStr">
        <is>
          <t>25</t>
        </is>
      </c>
      <c r="J133" s="222" t="inlineStr"/>
    </row>
    <row r="134">
      <c r="A134" s="222" t="inlineStr">
        <is>
          <t>280</t>
        </is>
      </c>
      <c r="B134" s="222" t="inlineStr">
        <is>
          <t>25-SVA-03</t>
        </is>
      </c>
      <c r="C134" s="222" t="inlineStr">
        <is>
          <t>25-SVA-03 (01) / B/C SEAT REFRESH</t>
        </is>
      </c>
      <c r="D134" s="222" t="inlineStr">
        <is>
          <t>1</t>
        </is>
      </c>
      <c r="E134" s="222" t="n">
        <v>5.2</v>
      </c>
      <c r="F134" s="222" t="n">
        <v>7</v>
      </c>
      <c r="G134" s="222" t="n">
        <v>206.3</v>
      </c>
      <c r="H134" s="222" t="inlineStr">
        <is>
          <t>Idle</t>
        </is>
      </c>
      <c r="I134" s="222" t="inlineStr">
        <is>
          <t>25</t>
        </is>
      </c>
      <c r="J134" s="222" t="inlineStr"/>
    </row>
    <row r="135">
      <c r="A135" s="222" t="inlineStr">
        <is>
          <t>281</t>
        </is>
      </c>
      <c r="B135" s="222" t="inlineStr">
        <is>
          <t>25-SVA-04</t>
        </is>
      </c>
      <c r="C135" s="222" t="inlineStr">
        <is>
          <t>25-SVA-04 (01) / B/C SEAT DEEP REFRESH</t>
        </is>
      </c>
      <c r="D135" s="222" t="inlineStr">
        <is>
          <t>1</t>
        </is>
      </c>
      <c r="E135" s="222" t="n">
        <v>3</v>
      </c>
      <c r="F135" s="222" t="n">
        <v>9</v>
      </c>
      <c r="G135" s="222" t="n">
        <v>182.2</v>
      </c>
      <c r="H135" s="222" t="inlineStr">
        <is>
          <t>Idle</t>
        </is>
      </c>
      <c r="I135" s="222" t="inlineStr">
        <is>
          <t>25</t>
        </is>
      </c>
      <c r="J135" s="222" t="inlineStr"/>
    </row>
    <row r="136">
      <c r="A136" s="222" t="inlineStr">
        <is>
          <t>282</t>
        </is>
      </c>
      <c r="B136" s="222" t="inlineStr">
        <is>
          <t>25-SVA-05</t>
        </is>
      </c>
      <c r="C136" s="222" t="inlineStr">
        <is>
          <t>25-SVA-05 (01) / G/C SEAT REFRESH</t>
        </is>
      </c>
      <c r="D136" s="222" t="inlineStr">
        <is>
          <t>1</t>
        </is>
      </c>
      <c r="E136" s="222" t="n">
        <v>1.8</v>
      </c>
      <c r="F136" s="222" t="n">
        <v>14.5</v>
      </c>
      <c r="G136" s="222" t="n">
        <v>220.3</v>
      </c>
      <c r="H136" s="222" t="inlineStr">
        <is>
          <t>Idle</t>
        </is>
      </c>
      <c r="I136" s="222" t="inlineStr">
        <is>
          <t>25</t>
        </is>
      </c>
      <c r="J136" s="222" t="inlineStr"/>
    </row>
    <row r="137">
      <c r="A137" s="222" t="inlineStr">
        <is>
          <t>283</t>
        </is>
      </c>
      <c r="B137" s="222" t="inlineStr">
        <is>
          <t>25-SVA-06</t>
        </is>
      </c>
      <c r="C137" s="222" t="inlineStr">
        <is>
          <t>25-SVA-06 (01) / GALLEY REFRESH</t>
        </is>
      </c>
      <c r="D137" s="222" t="inlineStr">
        <is>
          <t>1</t>
        </is>
      </c>
      <c r="E137" s="222" t="n">
        <v>2</v>
      </c>
      <c r="F137" s="222" t="n">
        <v>11.5</v>
      </c>
      <c r="G137" s="222" t="n">
        <v>209.2</v>
      </c>
      <c r="H137" s="222" t="inlineStr">
        <is>
          <t>Idle</t>
        </is>
      </c>
      <c r="I137" s="222" t="inlineStr">
        <is>
          <t>25</t>
        </is>
      </c>
      <c r="J137" s="222" t="inlineStr"/>
    </row>
    <row r="138">
      <c r="A138" s="222" t="inlineStr">
        <is>
          <t>284</t>
        </is>
      </c>
      <c r="B138" s="222" t="inlineStr">
        <is>
          <t>25-SVA-07</t>
        </is>
      </c>
      <c r="C138" s="222" t="inlineStr">
        <is>
          <t>25-SVA-07 (01) / LAV REFRESH</t>
        </is>
      </c>
      <c r="D138" s="222" t="inlineStr">
        <is>
          <t>1</t>
        </is>
      </c>
      <c r="E138" s="222" t="n">
        <v>2</v>
      </c>
      <c r="F138" s="222" t="n">
        <v>4.5</v>
      </c>
      <c r="G138" s="222" t="n">
        <v>206.4</v>
      </c>
      <c r="H138" s="222" t="inlineStr">
        <is>
          <t>Idle</t>
        </is>
      </c>
      <c r="I138" s="222" t="inlineStr">
        <is>
          <t>25</t>
        </is>
      </c>
      <c r="J138" s="222" t="inlineStr"/>
    </row>
    <row r="139">
      <c r="A139" s="222" t="inlineStr">
        <is>
          <t>285</t>
        </is>
      </c>
      <c r="B139" s="222" t="inlineStr">
        <is>
          <t>25-SVA-08</t>
        </is>
      </c>
      <c r="C139" s="222" t="inlineStr">
        <is>
          <t>25-SVA-08 (01) / CABIN CREW SEAT DEEP INSP</t>
        </is>
      </c>
      <c r="D139" s="222" t="inlineStr">
        <is>
          <t>1</t>
        </is>
      </c>
      <c r="E139" s="222" t="n">
        <v>3</v>
      </c>
      <c r="F139" s="222" t="n"/>
      <c r="G139" s="222" t="n"/>
      <c r="H139" s="222" t="inlineStr">
        <is>
          <t>Not Started</t>
        </is>
      </c>
      <c r="I139" s="222" t="inlineStr">
        <is>
          <t>25</t>
        </is>
      </c>
      <c r="J139" s="222" t="inlineStr"/>
    </row>
    <row r="140">
      <c r="A140" s="222" t="inlineStr">
        <is>
          <t>286</t>
        </is>
      </c>
      <c r="B140" s="222" t="inlineStr">
        <is>
          <t>25-SVA-09</t>
        </is>
      </c>
      <c r="C140" s="222" t="inlineStr">
        <is>
          <t>25-SVA-09 (01) / B/C PAX SEATS CUSHION R/R</t>
        </is>
      </c>
      <c r="D140" s="222" t="inlineStr">
        <is>
          <t>1</t>
        </is>
      </c>
      <c r="E140" s="222" t="n">
        <v>0.5</v>
      </c>
      <c r="F140" s="222" t="n"/>
      <c r="G140" s="222" t="n"/>
      <c r="H140" s="222" t="inlineStr">
        <is>
          <t>Not Started</t>
        </is>
      </c>
      <c r="I140" s="222" t="inlineStr">
        <is>
          <t>25</t>
        </is>
      </c>
      <c r="J140" s="222" t="inlineStr"/>
    </row>
    <row r="141">
      <c r="A141" s="222" t="inlineStr">
        <is>
          <t>287</t>
        </is>
      </c>
      <c r="B141" s="222" t="inlineStr">
        <is>
          <t>25-SVA-10</t>
        </is>
      </c>
      <c r="C141" s="222" t="inlineStr">
        <is>
          <t>25-SVA-10 (02) / G/C PAX SEATS CUSHION R/R</t>
        </is>
      </c>
      <c r="D141" s="222" t="inlineStr">
        <is>
          <t>1</t>
        </is>
      </c>
      <c r="E141" s="222" t="n">
        <v>0.5</v>
      </c>
      <c r="F141" s="222" t="n">
        <v>152</v>
      </c>
      <c r="G141" s="222" t="n">
        <v>75.2</v>
      </c>
      <c r="H141" s="222" t="inlineStr">
        <is>
          <t>Idle</t>
        </is>
      </c>
      <c r="I141" s="222" t="inlineStr">
        <is>
          <t>25</t>
        </is>
      </c>
      <c r="J141" s="222" t="inlineStr"/>
    </row>
    <row r="142">
      <c r="A142" s="222" t="inlineStr">
        <is>
          <t>288</t>
        </is>
      </c>
      <c r="B142" s="222" t="inlineStr">
        <is>
          <t>252100-01-0-SVA-002</t>
        </is>
      </c>
      <c r="C142" s="222" t="inlineStr">
        <is>
          <t>252100-01-0-SVA-002 (02) / A320 AIRCRAFT HZ-ASA THRU HZ-ASG PASSENGER SEATS COVERS R/R</t>
        </is>
      </c>
      <c r="D142" s="222" t="inlineStr">
        <is>
          <t>1</t>
        </is>
      </c>
      <c r="E142" s="222" t="n">
        <v>38</v>
      </c>
      <c r="F142" s="222" t="n">
        <v>253.5</v>
      </c>
      <c r="G142" s="222" t="n">
        <v>241.6</v>
      </c>
      <c r="H142" s="222" t="inlineStr">
        <is>
          <t>Idle</t>
        </is>
      </c>
      <c r="I142" s="222" t="inlineStr">
        <is>
          <t>25-21</t>
        </is>
      </c>
      <c r="J142" s="222" t="inlineStr">
        <is>
          <t>TC/P, TC/P</t>
        </is>
      </c>
    </row>
    <row r="143">
      <c r="A143" s="222" t="inlineStr">
        <is>
          <t>289</t>
        </is>
      </c>
      <c r="B143" s="222" t="inlineStr">
        <is>
          <t>252100-01-1</t>
        </is>
      </c>
      <c r="C143" s="222" t="inlineStr">
        <is>
          <t>252100-01-1 (4) / PAX SEAT ATTACH TO FLOOR&amp;STRUC INSP</t>
        </is>
      </c>
      <c r="D143" s="222" t="inlineStr">
        <is>
          <t>1</t>
        </is>
      </c>
      <c r="E143" s="222" t="n">
        <v>2</v>
      </c>
      <c r="F143" s="222" t="n">
        <v>19.5</v>
      </c>
      <c r="G143" s="222" t="n">
        <v>210</v>
      </c>
      <c r="H143" s="222" t="inlineStr">
        <is>
          <t>Idle</t>
        </is>
      </c>
      <c r="I143" s="222" t="inlineStr">
        <is>
          <t>25-21</t>
        </is>
      </c>
      <c r="J143" s="222" t="inlineStr">
        <is>
          <t>JOB-SETUP, INSPECTION, JOB-CLOSEUP</t>
        </is>
      </c>
    </row>
    <row r="144">
      <c r="A144" s="222" t="inlineStr">
        <is>
          <t>290</t>
        </is>
      </c>
      <c r="B144" s="222" t="inlineStr">
        <is>
          <t>2521000103-001</t>
        </is>
      </c>
      <c r="C144" s="222" t="inlineStr">
        <is>
          <t>2521000103-001 (05) / PASS COMPARTMENT SEAT BELTS CLEANING B/C</t>
        </is>
      </c>
      <c r="D144" s="222" t="inlineStr">
        <is>
          <t>1</t>
        </is>
      </c>
      <c r="E144" s="222" t="n">
        <v>3</v>
      </c>
      <c r="F144" s="222" t="n">
        <v>2</v>
      </c>
      <c r="G144" s="222" t="n">
        <v>215.5</v>
      </c>
      <c r="H144" s="222" t="inlineStr">
        <is>
          <t>Idle</t>
        </is>
      </c>
      <c r="I144" s="222" t="inlineStr">
        <is>
          <t>25-21</t>
        </is>
      </c>
      <c r="J144" s="222" t="inlineStr">
        <is>
          <t>TC/P, TC/P</t>
        </is>
      </c>
    </row>
    <row r="145">
      <c r="A145" s="222" t="inlineStr">
        <is>
          <t>291</t>
        </is>
      </c>
      <c r="B145" s="222" t="inlineStr">
        <is>
          <t>2521000103-002</t>
        </is>
      </c>
      <c r="C145" s="222" t="inlineStr">
        <is>
          <t>2521000103-002 (06) / PASS COMPARTMENT SEAT BELTS CLEANING G/C</t>
        </is>
      </c>
      <c r="D145" s="222" t="inlineStr">
        <is>
          <t>1</t>
        </is>
      </c>
      <c r="E145" s="222" t="n">
        <v>7</v>
      </c>
      <c r="F145" s="222" t="n">
        <v>6</v>
      </c>
      <c r="G145" s="222" t="n">
        <v>216.5</v>
      </c>
      <c r="H145" s="222" t="inlineStr">
        <is>
          <t>Idle</t>
        </is>
      </c>
      <c r="I145" s="222" t="inlineStr">
        <is>
          <t>25-21</t>
        </is>
      </c>
      <c r="J145" s="222" t="inlineStr">
        <is>
          <t>TC/P, TC/P, TC/P, TC/P</t>
        </is>
      </c>
    </row>
    <row r="146">
      <c r="A146" s="222" t="inlineStr">
        <is>
          <t>292</t>
        </is>
      </c>
      <c r="B146" s="222" t="inlineStr">
        <is>
          <t>252200-01-1</t>
        </is>
      </c>
      <c r="C146" s="222" t="inlineStr">
        <is>
          <t>252200-01-1 (4) / CABIN ATTED SEAT ATTACHMENTS INSP</t>
        </is>
      </c>
      <c r="D146" s="222" t="inlineStr">
        <is>
          <t>1</t>
        </is>
      </c>
      <c r="E146" s="222" t="n">
        <v>0.7</v>
      </c>
      <c r="F146" s="222" t="n"/>
      <c r="G146" s="222" t="n"/>
      <c r="H146" s="222" t="inlineStr">
        <is>
          <t>Not Started</t>
        </is>
      </c>
      <c r="I146" s="222" t="inlineStr">
        <is>
          <t>25-22</t>
        </is>
      </c>
      <c r="J146" s="222" t="inlineStr">
        <is>
          <t>--, PRE INSP, --</t>
        </is>
      </c>
    </row>
    <row r="147">
      <c r="A147" s="222" t="inlineStr">
        <is>
          <t>295</t>
        </is>
      </c>
      <c r="B147" s="222" t="inlineStr">
        <is>
          <t>255000-08-1</t>
        </is>
      </c>
      <c r="C147" s="222" t="inlineStr">
        <is>
          <t>255000-08-1 (02) / AFT CGO XZ &amp; YZ ENDSTOPS INSP</t>
        </is>
      </c>
      <c r="D147" s="222" t="inlineStr">
        <is>
          <t>1</t>
        </is>
      </c>
      <c r="E147" s="222" t="n">
        <v>38.5</v>
      </c>
      <c r="F147" s="222" t="n">
        <v>4.5</v>
      </c>
      <c r="G147" s="222" t="n">
        <v>14</v>
      </c>
      <c r="H147" s="222" t="inlineStr">
        <is>
          <t>Idle</t>
        </is>
      </c>
      <c r="I147" s="222" t="inlineStr">
        <is>
          <t>25-50</t>
        </is>
      </c>
      <c r="J147" s="222" t="inlineStr">
        <is>
          <t>INSPECTION</t>
        </is>
      </c>
    </row>
    <row r="148">
      <c r="A148" s="222" t="inlineStr">
        <is>
          <t>296</t>
        </is>
      </c>
      <c r="B148" s="222" t="inlineStr">
        <is>
          <t>255000-10-1</t>
        </is>
      </c>
      <c r="C148" s="222" t="inlineStr">
        <is>
          <t>255000-10-1 (3) / LOWER DECK CARGO LOADING</t>
        </is>
      </c>
      <c r="D148" s="222" t="inlineStr">
        <is>
          <t>1</t>
        </is>
      </c>
      <c r="E148" s="222" t="n">
        <v>3.6</v>
      </c>
      <c r="F148" s="222" t="n">
        <v>9.6</v>
      </c>
      <c r="G148" s="222" t="n">
        <v>85.8</v>
      </c>
      <c r="H148" s="222" t="inlineStr">
        <is>
          <t>Idle</t>
        </is>
      </c>
      <c r="I148" s="222" t="inlineStr">
        <is>
          <t>25-50</t>
        </is>
      </c>
      <c r="J148" s="222" t="inlineStr">
        <is>
          <t>TC/P, TC/P, TC/P, TC/P, TC/P, TC/P, TC/P</t>
        </is>
      </c>
    </row>
    <row r="149">
      <c r="A149" s="222" t="inlineStr">
        <is>
          <t>298</t>
        </is>
      </c>
      <c r="B149" s="222" t="inlineStr">
        <is>
          <t>256535-04-1</t>
        </is>
      </c>
      <c r="C149" s="222" t="inlineStr">
        <is>
          <t>256535-04-1 (00) / EXTERNAL FIX ELT ANTENNA INSPECTION</t>
        </is>
      </c>
      <c r="D149" s="222" t="inlineStr">
        <is>
          <t>1</t>
        </is>
      </c>
      <c r="E149" s="222" t="n">
        <v>0.2</v>
      </c>
      <c r="F149" s="222" t="n">
        <v>10</v>
      </c>
      <c r="G149" s="222" t="n">
        <v>152.7</v>
      </c>
      <c r="H149" s="222" t="inlineStr">
        <is>
          <t>Idle</t>
        </is>
      </c>
      <c r="I149" s="222" t="inlineStr">
        <is>
          <t>25</t>
        </is>
      </c>
      <c r="J149" s="222" t="inlineStr">
        <is>
          <t>JOB-SETUP, CLEAN-UP, INSPECTION, JOB-CLOSEUP</t>
        </is>
      </c>
    </row>
    <row r="150">
      <c r="A150" s="222" t="inlineStr">
        <is>
          <t>299</t>
        </is>
      </c>
      <c r="B150" s="222" t="inlineStr">
        <is>
          <t>256652-01-1-SVA</t>
        </is>
      </c>
      <c r="C150" s="222" t="inlineStr">
        <is>
          <t>256652-01-1-SVA (01) / LIFE VEST RESTORATION PERIODIC CHECK FOR EXPIRATION</t>
        </is>
      </c>
      <c r="D150" s="222" t="inlineStr">
        <is>
          <t>1</t>
        </is>
      </c>
      <c r="E150" s="222" t="n">
        <v>0.5</v>
      </c>
      <c r="F150" s="222" t="n">
        <v>46.5</v>
      </c>
      <c r="G150" s="222" t="n">
        <v>265.1</v>
      </c>
      <c r="H150" s="222" t="inlineStr">
        <is>
          <t>Idle</t>
        </is>
      </c>
      <c r="I150" s="222" t="inlineStr">
        <is>
          <t>25-11</t>
        </is>
      </c>
      <c r="J150" s="222" t="inlineStr">
        <is>
          <t>JOB-SETUP, INSPECTION, --, JOB-CLOSEUP</t>
        </is>
      </c>
    </row>
    <row r="151">
      <c r="A151" s="222" t="inlineStr">
        <is>
          <t>300</t>
        </is>
      </c>
      <c r="B151" s="222" t="inlineStr">
        <is>
          <t>261500-03-1</t>
        </is>
      </c>
      <c r="C151" s="222" t="inlineStr">
        <is>
          <t>261500-03-1 (3) / AVIONICS COMPARTMENT SMOKE DETECTION CLEAN TUBES</t>
        </is>
      </c>
      <c r="D151" s="222" t="inlineStr">
        <is>
          <t>1</t>
        </is>
      </c>
      <c r="E151" s="222" t="n">
        <v>0.2</v>
      </c>
      <c r="F151" s="222" t="n">
        <v>2</v>
      </c>
      <c r="G151" s="222" t="n">
        <v>26.1</v>
      </c>
      <c r="H151" s="222" t="inlineStr">
        <is>
          <t>Idle</t>
        </is>
      </c>
      <c r="I151" s="222" t="inlineStr">
        <is>
          <t>26-15</t>
        </is>
      </c>
      <c r="J151" s="222" t="inlineStr">
        <is>
          <t>JOB-SETUP, CLEAN-UP, TC/P, OPS/LK, JOB-CLOSEUP</t>
        </is>
      </c>
    </row>
    <row r="152">
      <c r="A152" s="222" t="inlineStr">
        <is>
          <t>305</t>
        </is>
      </c>
      <c r="B152" s="222" t="inlineStr">
        <is>
          <t>262100-05-1</t>
        </is>
      </c>
      <c r="C152" s="222" t="inlineStr">
        <is>
          <t>262100-05-1 (6) / ENG FIRE EXTINGUISHING FIRE CTL OPC</t>
        </is>
      </c>
      <c r="D152" s="222" t="inlineStr">
        <is>
          <t>1</t>
        </is>
      </c>
      <c r="E152" s="222" t="n">
        <v>1.1</v>
      </c>
      <c r="F152" s="222" t="n"/>
      <c r="G152" s="222" t="n"/>
      <c r="H152" s="222" t="inlineStr">
        <is>
          <t>Not Started</t>
        </is>
      </c>
      <c r="I152" s="222" t="inlineStr">
        <is>
          <t>26-21</t>
        </is>
      </c>
      <c r="J152" s="222" t="inlineStr">
        <is>
          <t>OPS/LK</t>
        </is>
      </c>
    </row>
    <row r="153">
      <c r="A153" s="222" t="inlineStr">
        <is>
          <t>311</t>
        </is>
      </c>
      <c r="B153" s="222" t="inlineStr">
        <is>
          <t>262300-03-1</t>
        </is>
      </c>
      <c r="C153" s="222" t="inlineStr">
        <is>
          <t>262300-03-1 (05) / FIRE EXTINGUISHING LINES LEAKAGE CHK</t>
        </is>
      </c>
      <c r="D153" s="222" t="inlineStr">
        <is>
          <t>1</t>
        </is>
      </c>
      <c r="E153" s="222" t="n">
        <v>4.4</v>
      </c>
      <c r="F153" s="222" t="n"/>
      <c r="G153" s="222" t="n"/>
      <c r="H153" s="222" t="inlineStr">
        <is>
          <t>Not Started</t>
        </is>
      </c>
      <c r="I153" s="222" t="inlineStr">
        <is>
          <t>26-23</t>
        </is>
      </c>
      <c r="J153" s="222" t="inlineStr">
        <is>
          <t>JOB-SETUP, OPS/LK, OPS/LK, JOB-CLOSEUP</t>
        </is>
      </c>
    </row>
    <row r="154">
      <c r="A154" s="222" t="inlineStr">
        <is>
          <t>316</t>
        </is>
      </c>
      <c r="B154" s="222" t="inlineStr">
        <is>
          <t>271400-03-1-001</t>
        </is>
      </c>
      <c r="C154" s="222" t="inlineStr">
        <is>
          <t>271400-03-1-001 (03) / L/H AILERON SERVO CONTROL FLUID CHK</t>
        </is>
      </c>
      <c r="D154" s="222" t="inlineStr">
        <is>
          <t>1</t>
        </is>
      </c>
      <c r="E154" s="222" t="n">
        <v>0.7</v>
      </c>
      <c r="F154" s="222" t="n">
        <v>12.5</v>
      </c>
      <c r="G154" s="222" t="n">
        <v>192.8</v>
      </c>
      <c r="H154" s="222" t="inlineStr">
        <is>
          <t>Idle</t>
        </is>
      </c>
      <c r="I154" s="222" t="inlineStr">
        <is>
          <t>27-14</t>
        </is>
      </c>
      <c r="J154" s="222" t="inlineStr">
        <is>
          <t>PRE HGR, PRE HGR, PRE HGR</t>
        </is>
      </c>
    </row>
    <row r="155">
      <c r="A155" s="222" t="inlineStr">
        <is>
          <t>317</t>
        </is>
      </c>
      <c r="B155" s="222" t="inlineStr">
        <is>
          <t>271400-03-1-002</t>
        </is>
      </c>
      <c r="C155" s="222" t="inlineStr">
        <is>
          <t>271400-03-1-002 (03) / R/H AILERON SERVO CONTROL FLUID CHK</t>
        </is>
      </c>
      <c r="D155" s="222" t="inlineStr">
        <is>
          <t>1</t>
        </is>
      </c>
      <c r="E155" s="222" t="n">
        <v>0.7</v>
      </c>
      <c r="F155" s="222" t="n">
        <v>16</v>
      </c>
      <c r="G155" s="222" t="n">
        <v>193</v>
      </c>
      <c r="H155" s="222" t="inlineStr">
        <is>
          <t>Idle</t>
        </is>
      </c>
      <c r="I155" s="222" t="inlineStr">
        <is>
          <t>27-14</t>
        </is>
      </c>
      <c r="J155" s="222" t="inlineStr">
        <is>
          <t>PRE HGR, PRE HGR, PRE HGR</t>
        </is>
      </c>
    </row>
    <row r="156">
      <c r="A156" s="222" t="inlineStr">
        <is>
          <t>318</t>
        </is>
      </c>
      <c r="B156" s="222" t="inlineStr">
        <is>
          <t>272100-02-1</t>
        </is>
      </c>
      <c r="C156" s="222" t="inlineStr">
        <is>
          <t>272100-02-1 (03) / RUDDER CONTROL CABLES INSP</t>
        </is>
      </c>
      <c r="D156" s="222" t="inlineStr">
        <is>
          <t>1</t>
        </is>
      </c>
      <c r="E156" s="222" t="n">
        <v>75.5</v>
      </c>
      <c r="F156" s="222" t="n"/>
      <c r="G156" s="222" t="n"/>
      <c r="H156" s="222" t="inlineStr">
        <is>
          <t>Not Started</t>
        </is>
      </c>
      <c r="I156" s="222" t="inlineStr">
        <is>
          <t>27-21</t>
        </is>
      </c>
      <c r="J156" s="222" t="inlineStr">
        <is>
          <t>TC/P, TC/P, INSPECTION, INSPECTION, INSPECTION, INSPECTION, INSPECTION, INSPECTION, INSPECTION</t>
        </is>
      </c>
    </row>
    <row r="157">
      <c r="A157" s="222" t="inlineStr">
        <is>
          <t>319</t>
        </is>
      </c>
      <c r="B157" s="222" t="inlineStr">
        <is>
          <t>272100-04-1</t>
        </is>
      </c>
      <c r="C157" s="222" t="inlineStr">
        <is>
          <t>272100-04-1 (02) / RUDDER MECHANICAL CONTROL CHK</t>
        </is>
      </c>
      <c r="D157" s="222" t="inlineStr">
        <is>
          <t>1</t>
        </is>
      </c>
      <c r="E157" s="222" t="n">
        <v>0.2</v>
      </c>
      <c r="F157" s="222" t="n">
        <v>21</v>
      </c>
      <c r="G157" s="222" t="n">
        <v>73.5</v>
      </c>
      <c r="H157" s="222" t="inlineStr">
        <is>
          <t>Idle</t>
        </is>
      </c>
      <c r="I157" s="222" t="inlineStr">
        <is>
          <t>27-26</t>
        </is>
      </c>
      <c r="J157" s="222" t="inlineStr">
        <is>
          <t>JOB-SETUP, JOB-SETUP, INSPECTION, JOB-CLOSEUP</t>
        </is>
      </c>
    </row>
    <row r="158">
      <c r="A158" s="222" t="inlineStr">
        <is>
          <t>320</t>
        </is>
      </c>
      <c r="B158" s="222" t="inlineStr">
        <is>
          <t>272100-05-1</t>
        </is>
      </c>
      <c r="C158" s="222" t="inlineStr">
        <is>
          <t>272100-05-1 (02) / RUDDER CENTERING SPRING-ROD</t>
        </is>
      </c>
      <c r="D158" s="222" t="inlineStr">
        <is>
          <t>1</t>
        </is>
      </c>
      <c r="E158" s="222" t="n">
        <v>0.9</v>
      </c>
      <c r="F158" s="222" t="n">
        <v>16</v>
      </c>
      <c r="G158" s="222" t="n">
        <v>280.6</v>
      </c>
      <c r="H158" s="222" t="inlineStr">
        <is>
          <t>Idle</t>
        </is>
      </c>
      <c r="I158" s="222" t="inlineStr">
        <is>
          <t>27-21</t>
        </is>
      </c>
      <c r="J158" s="222" t="inlineStr">
        <is>
          <t>JOB-SETUP, OPS/LK, JOB-CLOSEUP</t>
        </is>
      </c>
    </row>
    <row r="159">
      <c r="A159" s="222" t="inlineStr">
        <is>
          <t>322</t>
        </is>
      </c>
      <c r="B159" s="222" t="inlineStr">
        <is>
          <t>272100-12-1</t>
        </is>
      </c>
      <c r="C159" s="222" t="inlineStr">
        <is>
          <t>272100-12-1 (00) / LUBRICATION OF RUDDER CONTROL CABLES IN REAR PART (ZONE 310).</t>
        </is>
      </c>
      <c r="D159" s="222" t="inlineStr">
        <is>
          <t>1</t>
        </is>
      </c>
      <c r="E159" s="222" t="n">
        <v>1.3</v>
      </c>
      <c r="F159" s="222" t="n"/>
      <c r="G159" s="222" t="n"/>
      <c r="H159" s="222" t="inlineStr">
        <is>
          <t>Not Started</t>
        </is>
      </c>
      <c r="I159" s="222" t="inlineStr">
        <is>
          <t>27-21</t>
        </is>
      </c>
      <c r="J159" s="222" t="inlineStr">
        <is>
          <t>JOB-SETUP, --, --</t>
        </is>
      </c>
    </row>
    <row r="160">
      <c r="A160" s="222" t="inlineStr">
        <is>
          <t>323</t>
        </is>
      </c>
      <c r="B160" s="222" t="inlineStr">
        <is>
          <t>272145-01-1</t>
        </is>
      </c>
      <c r="C160" s="222" t="inlineStr">
        <is>
          <t>272145-01-1 (02) / RUDDER CABLE TENTION REGULATOR CHECK</t>
        </is>
      </c>
      <c r="D160" s="222" t="inlineStr">
        <is>
          <t>1</t>
        </is>
      </c>
      <c r="E160" s="222" t="n">
        <v>0.7</v>
      </c>
      <c r="F160" s="222" t="n"/>
      <c r="G160" s="222" t="n"/>
      <c r="H160" s="222" t="inlineStr">
        <is>
          <t>Not Started</t>
        </is>
      </c>
      <c r="I160" s="222" t="inlineStr">
        <is>
          <t>27-21</t>
        </is>
      </c>
      <c r="J160" s="222" t="inlineStr">
        <is>
          <t>TC/P</t>
        </is>
      </c>
    </row>
    <row r="161">
      <c r="A161" s="222" t="inlineStr">
        <is>
          <t>326</t>
        </is>
      </c>
      <c r="B161" s="222" t="inlineStr">
        <is>
          <t>273400-03-1</t>
        </is>
      </c>
      <c r="C161" s="222" t="inlineStr">
        <is>
          <t>273400-03-1 (3) / ELEVATOR SERVO CONTROL FLUID-RESERVE</t>
        </is>
      </c>
      <c r="D161" s="222" t="inlineStr">
        <is>
          <t>1</t>
        </is>
      </c>
      <c r="E161" s="222" t="n">
        <v>1</v>
      </c>
      <c r="F161" s="222" t="n"/>
      <c r="G161" s="222" t="n"/>
      <c r="H161" s="222" t="inlineStr">
        <is>
          <t>Not Started</t>
        </is>
      </c>
      <c r="I161" s="222" t="inlineStr">
        <is>
          <t>27-34</t>
        </is>
      </c>
      <c r="J161" s="222" t="inlineStr">
        <is>
          <t>JOB-SETUP, TC/P, JOB-CLOSEUP</t>
        </is>
      </c>
    </row>
    <row r="162">
      <c r="A162" s="222" t="inlineStr">
        <is>
          <t>328</t>
        </is>
      </c>
      <c r="B162" s="222" t="inlineStr">
        <is>
          <t>274000-24-1</t>
        </is>
      </c>
      <c r="C162" s="222" t="inlineStr">
        <is>
          <t>274000-24-1 (1) / OPERATIONAL CHECK OF THS ACTUATOR OVERRIDE MECHANISM.</t>
        </is>
      </c>
      <c r="D162" s="222" t="inlineStr">
        <is>
          <t>1</t>
        </is>
      </c>
      <c r="E162" s="222" t="n">
        <v>0.5</v>
      </c>
      <c r="F162" s="222" t="n"/>
      <c r="G162" s="222" t="n"/>
      <c r="H162" s="222" t="inlineStr">
        <is>
          <t>Not Started</t>
        </is>
      </c>
      <c r="I162" s="222" t="inlineStr">
        <is>
          <t>27-44</t>
        </is>
      </c>
      <c r="J162" s="222" t="inlineStr">
        <is>
          <t>TC/P</t>
        </is>
      </c>
    </row>
    <row r="163">
      <c r="A163" s="222" t="inlineStr">
        <is>
          <t>329</t>
        </is>
      </c>
      <c r="B163" s="222" t="inlineStr">
        <is>
          <t>274142-01-1</t>
        </is>
      </c>
      <c r="C163" s="222" t="inlineStr">
        <is>
          <t>274142-01-1 (3) / THS TRIM CTL TENSION REG CABLE CHK</t>
        </is>
      </c>
      <c r="D163" s="222" t="inlineStr">
        <is>
          <t>1</t>
        </is>
      </c>
      <c r="E163" s="222" t="n">
        <v>0.1</v>
      </c>
      <c r="F163" s="222" t="n"/>
      <c r="G163" s="222" t="n"/>
      <c r="H163" s="222" t="inlineStr">
        <is>
          <t>Not Started</t>
        </is>
      </c>
      <c r="I163" s="222" t="inlineStr">
        <is>
          <t>27-41</t>
        </is>
      </c>
      <c r="J163" s="222" t="inlineStr">
        <is>
          <t>JOB-SETUP, TC/P, JOB-CLOSEUP</t>
        </is>
      </c>
    </row>
    <row r="164">
      <c r="A164" s="222" t="inlineStr">
        <is>
          <t>330</t>
        </is>
      </c>
      <c r="B164" s="222" t="inlineStr">
        <is>
          <t>274400-03-1</t>
        </is>
      </c>
      <c r="C164" s="222" t="inlineStr">
        <is>
          <t>274400-03-1 (3) / THS ACTUATOR NO-BACK DEVICE OPC</t>
        </is>
      </c>
      <c r="D164" s="222" t="inlineStr">
        <is>
          <t>1</t>
        </is>
      </c>
      <c r="E164" s="222" t="n">
        <v>0.7</v>
      </c>
      <c r="F164" s="222" t="n"/>
      <c r="G164" s="222" t="n"/>
      <c r="H164" s="222" t="inlineStr">
        <is>
          <t>Not Started</t>
        </is>
      </c>
      <c r="I164" s="222" t="inlineStr">
        <is>
          <t>27-44</t>
        </is>
      </c>
      <c r="J164" s="222" t="inlineStr">
        <is>
          <t>OPS/LK, OPS/LK</t>
        </is>
      </c>
    </row>
    <row r="165">
      <c r="A165" s="222" t="inlineStr">
        <is>
          <t>331</t>
        </is>
      </c>
      <c r="B165" s="222" t="inlineStr">
        <is>
          <t>274451-04-1</t>
        </is>
      </c>
      <c r="C165" s="222" t="inlineStr">
        <is>
          <t>274451-04-1 (3) / THS ACT NUT, SCREW &amp; CLAW STOPS</t>
        </is>
      </c>
      <c r="D165" s="222" t="inlineStr">
        <is>
          <t>1</t>
        </is>
      </c>
      <c r="E165" s="222" t="n">
        <v>0.3</v>
      </c>
      <c r="F165" s="222" t="n"/>
      <c r="G165" s="222" t="n"/>
      <c r="H165" s="222" t="inlineStr">
        <is>
          <t>Not Started</t>
        </is>
      </c>
      <c r="I165" s="222" t="inlineStr">
        <is>
          <t>27-44</t>
        </is>
      </c>
      <c r="J165" s="222" t="inlineStr">
        <is>
          <t>INSPECTION, INSPECTION</t>
        </is>
      </c>
    </row>
    <row r="166">
      <c r="A166" s="222" t="inlineStr">
        <is>
          <t>332</t>
        </is>
      </c>
      <c r="B166" s="222" t="inlineStr">
        <is>
          <t>274451-05-1</t>
        </is>
      </c>
      <c r="C166" s="222" t="inlineStr">
        <is>
          <t>274451-05-1 (4) / THSA UPPER &amp; LOWER ATTACHMENTS INSP</t>
        </is>
      </c>
      <c r="D166" s="222" t="inlineStr">
        <is>
          <t>1</t>
        </is>
      </c>
      <c r="E166" s="222" t="n">
        <v>0.3</v>
      </c>
      <c r="F166" s="222" t="n"/>
      <c r="G166" s="222" t="n"/>
      <c r="H166" s="222" t="inlineStr">
        <is>
          <t>Not Started</t>
        </is>
      </c>
      <c r="I166" s="222" t="inlineStr">
        <is>
          <t>27-44</t>
        </is>
      </c>
      <c r="J166" s="222" t="inlineStr">
        <is>
          <t>JOB-SETUP, INSPECTION, JOB-CLOSEUP</t>
        </is>
      </c>
    </row>
    <row r="167">
      <c r="A167" s="222" t="inlineStr">
        <is>
          <t>334</t>
        </is>
      </c>
      <c r="B167" s="222" t="inlineStr">
        <is>
          <t>274451-08-1</t>
        </is>
      </c>
      <c r="C167" s="222" t="inlineStr">
        <is>
          <t>274451-08-1 (3) / THS BALL SCREW SHAFT INTEGRITY FNC</t>
        </is>
      </c>
      <c r="D167" s="222" t="inlineStr">
        <is>
          <t>1</t>
        </is>
      </c>
      <c r="E167" s="222" t="n">
        <v>0.9</v>
      </c>
      <c r="F167" s="222" t="n"/>
      <c r="G167" s="222" t="n"/>
      <c r="H167" s="222" t="inlineStr">
        <is>
          <t>Not Started</t>
        </is>
      </c>
      <c r="I167" s="222" t="inlineStr">
        <is>
          <t>27-44</t>
        </is>
      </c>
      <c r="J167" s="222" t="inlineStr">
        <is>
          <t>OPS/LK, OPS/LK</t>
        </is>
      </c>
    </row>
    <row r="168">
      <c r="A168" s="222" t="inlineStr">
        <is>
          <t>335</t>
        </is>
      </c>
      <c r="B168" s="222" t="inlineStr">
        <is>
          <t>274451-09-1</t>
        </is>
      </c>
      <c r="C168" s="222" t="inlineStr">
        <is>
          <t>274451-09-1 (4) / THS ACTUATOR GEARBOX SERVICING</t>
        </is>
      </c>
      <c r="D168" s="222" t="inlineStr">
        <is>
          <t>1</t>
        </is>
      </c>
      <c r="E168" s="222" t="n">
        <v>1.1</v>
      </c>
      <c r="F168" s="222" t="n"/>
      <c r="G168" s="222" t="n"/>
      <c r="H168" s="222" t="inlineStr">
        <is>
          <t>Not Started</t>
        </is>
      </c>
      <c r="I168" s="222" t="inlineStr">
        <is>
          <t>27-44</t>
        </is>
      </c>
      <c r="J168" s="222" t="inlineStr">
        <is>
          <t>TC/P, TC/P</t>
        </is>
      </c>
    </row>
    <row r="169">
      <c r="A169" s="222" t="inlineStr">
        <is>
          <t>346</t>
        </is>
      </c>
      <c r="B169" s="222" t="inlineStr">
        <is>
          <t>275446-02-1-001</t>
        </is>
      </c>
      <c r="C169" s="222" t="inlineStr">
        <is>
          <t>275446-02-1-001 (03) / L/H FLAP TRACKS, ROLLERS BERNG INSP</t>
        </is>
      </c>
      <c r="D169" s="222" t="inlineStr">
        <is>
          <t>1</t>
        </is>
      </c>
      <c r="E169" s="222" t="n">
        <v>0.7</v>
      </c>
      <c r="F169" s="222" t="n">
        <v>6.2</v>
      </c>
      <c r="G169" s="222" t="n">
        <v>134.9</v>
      </c>
      <c r="H169" s="222" t="inlineStr">
        <is>
          <t>Idle</t>
        </is>
      </c>
      <c r="I169" s="222" t="inlineStr">
        <is>
          <t>27-54</t>
        </is>
      </c>
      <c r="J169" s="222" t="inlineStr">
        <is>
          <t>JOB-SETUP, CLEAN-UP, INSPECTION, INSPECTION, JOB-CLOSEUP</t>
        </is>
      </c>
    </row>
    <row r="170">
      <c r="A170" s="222" t="inlineStr">
        <is>
          <t>347</t>
        </is>
      </c>
      <c r="B170" s="222" t="inlineStr">
        <is>
          <t>275446-02-1-002</t>
        </is>
      </c>
      <c r="C170" s="222" t="inlineStr">
        <is>
          <t>275446-02-1-002 (03) / R/H FLAP TRACKS, ROLLERS BERNG INSP</t>
        </is>
      </c>
      <c r="D170" s="222" t="inlineStr">
        <is>
          <t>1</t>
        </is>
      </c>
      <c r="E170" s="222" t="n">
        <v>0.7</v>
      </c>
      <c r="F170" s="222" t="n">
        <v>10.8</v>
      </c>
      <c r="G170" s="222" t="n">
        <v>157.9</v>
      </c>
      <c r="H170" s="222" t="inlineStr">
        <is>
          <t>Idle</t>
        </is>
      </c>
      <c r="I170" s="222" t="inlineStr">
        <is>
          <t>27-54</t>
        </is>
      </c>
      <c r="J170" s="222" t="inlineStr">
        <is>
          <t>JOB-SETUP, CLEAN-UP, INSPECTION, INSPECTION, JOB-CLOSEUP</t>
        </is>
      </c>
    </row>
    <row r="171">
      <c r="A171" s="222" t="inlineStr">
        <is>
          <t>348</t>
        </is>
      </c>
      <c r="B171" s="222" t="inlineStr">
        <is>
          <t>275449-06-1-001</t>
        </is>
      </c>
      <c r="C171" s="222" t="inlineStr">
        <is>
          <t>275449-06-1-001 (03) / L/H FLAP ACTUATOR ASSEMBLIES SVS</t>
        </is>
      </c>
      <c r="D171" s="222" t="inlineStr">
        <is>
          <t>1</t>
        </is>
      </c>
      <c r="E171" s="222" t="n">
        <v>17.6</v>
      </c>
      <c r="F171" s="222" t="n"/>
      <c r="G171" s="222" t="n"/>
      <c r="H171" s="222" t="inlineStr">
        <is>
          <t>Not Started</t>
        </is>
      </c>
      <c r="I171" s="222" t="inlineStr">
        <is>
          <t>12-13</t>
        </is>
      </c>
      <c r="J171" s="222" t="inlineStr">
        <is>
          <t>TC/P</t>
        </is>
      </c>
    </row>
    <row r="172">
      <c r="A172" s="222" t="inlineStr">
        <is>
          <t>349</t>
        </is>
      </c>
      <c r="B172" s="222" t="inlineStr">
        <is>
          <t>275449-06-1-002</t>
        </is>
      </c>
      <c r="C172" s="222" t="inlineStr">
        <is>
          <t>275449-06-1-002 (03) / R/H FLAP ACTUATOR ASSEMBLIES</t>
        </is>
      </c>
      <c r="D172" s="222" t="inlineStr">
        <is>
          <t>1</t>
        </is>
      </c>
      <c r="E172" s="222" t="n">
        <v>17.6</v>
      </c>
      <c r="F172" s="222" t="n"/>
      <c r="G172" s="222" t="n"/>
      <c r="H172" s="222" t="inlineStr">
        <is>
          <t>Not Started</t>
        </is>
      </c>
      <c r="I172" s="222" t="inlineStr">
        <is>
          <t>12-13</t>
        </is>
      </c>
      <c r="J172" s="222" t="inlineStr">
        <is>
          <t>TC/P</t>
        </is>
      </c>
    </row>
    <row r="173">
      <c r="A173" s="222" t="inlineStr">
        <is>
          <t>350</t>
        </is>
      </c>
      <c r="B173" s="222" t="inlineStr">
        <is>
          <t>275451-01-1</t>
        </is>
      </c>
      <c r="C173" s="222" t="inlineStr">
        <is>
          <t>275451-01-1 (2) / FLAP PCU GEARBOX OIL REPLENISHMENT</t>
        </is>
      </c>
      <c r="D173" s="222" t="inlineStr">
        <is>
          <t>1</t>
        </is>
      </c>
      <c r="E173" s="222" t="n">
        <v>0.2</v>
      </c>
      <c r="F173" s="222" t="n"/>
      <c r="G173" s="222" t="n"/>
      <c r="H173" s="222" t="inlineStr">
        <is>
          <t>Not Started</t>
        </is>
      </c>
      <c r="I173" s="222" t="inlineStr">
        <is>
          <t>12-13</t>
        </is>
      </c>
      <c r="J173" s="222" t="inlineStr">
        <is>
          <t>JOB-SETUP, TC/P, TC/P, JOB-CLOSEUP</t>
        </is>
      </c>
    </row>
    <row r="174">
      <c r="A174" s="222" t="inlineStr">
        <is>
          <t>353</t>
        </is>
      </c>
      <c r="B174" s="222" t="inlineStr">
        <is>
          <t>278100-03-1</t>
        </is>
      </c>
      <c r="C174" s="222" t="inlineStr">
        <is>
          <t>278100-03-1 (3) / SLAT SYSTEM WING TIP BRAKE OPC</t>
        </is>
      </c>
      <c r="D174" s="222" t="inlineStr">
        <is>
          <t>1</t>
        </is>
      </c>
      <c r="E174" s="222" t="n">
        <v>0.4</v>
      </c>
      <c r="F174" s="222" t="n"/>
      <c r="G174" s="222" t="n"/>
      <c r="H174" s="222" t="inlineStr">
        <is>
          <t>Not Started</t>
        </is>
      </c>
      <c r="I174" s="222" t="inlineStr">
        <is>
          <t>27-81</t>
        </is>
      </c>
      <c r="J174" s="222" t="inlineStr">
        <is>
          <t>JOB-SETUP, OPS/LK, JOB-CLOSEUP</t>
        </is>
      </c>
    </row>
    <row r="175">
      <c r="A175" s="222" t="inlineStr">
        <is>
          <t>356</t>
        </is>
      </c>
      <c r="B175" s="222" t="inlineStr">
        <is>
          <t>278400-01-1-001</t>
        </is>
      </c>
      <c r="C175" s="222" t="inlineStr">
        <is>
          <t>278400-01-1-001 (02) / L/H WING SLAT TRACK INSPECTION</t>
        </is>
      </c>
      <c r="D175" s="222" t="inlineStr">
        <is>
          <t>1</t>
        </is>
      </c>
      <c r="E175" s="222" t="n">
        <v>1.4</v>
      </c>
      <c r="F175" s="222" t="n">
        <v>1.5</v>
      </c>
      <c r="G175" s="222" t="n">
        <v>134.3</v>
      </c>
      <c r="H175" s="222" t="inlineStr">
        <is>
          <t>Idle</t>
        </is>
      </c>
      <c r="I175" s="222" t="inlineStr">
        <is>
          <t>27-84</t>
        </is>
      </c>
      <c r="J175" s="222" t="inlineStr">
        <is>
          <t>JOB-SETUP, CLEAN-UP, INSPECTION, JOB-CLOSEUP</t>
        </is>
      </c>
    </row>
    <row r="176">
      <c r="A176" s="222" t="inlineStr">
        <is>
          <t>357</t>
        </is>
      </c>
      <c r="B176" s="222" t="inlineStr">
        <is>
          <t>278400-01-1-002</t>
        </is>
      </c>
      <c r="C176" s="222" t="inlineStr">
        <is>
          <t>278400-01-1-002 (02) / R/H WING SLAT TRACK INSPECTION</t>
        </is>
      </c>
      <c r="D176" s="222" t="inlineStr">
        <is>
          <t>1</t>
        </is>
      </c>
      <c r="E176" s="222" t="n">
        <v>1.4</v>
      </c>
      <c r="F176" s="222" t="n">
        <v>1.3</v>
      </c>
      <c r="G176" s="222" t="n">
        <v>135.6</v>
      </c>
      <c r="H176" s="222" t="inlineStr">
        <is>
          <t>Idle</t>
        </is>
      </c>
      <c r="I176" s="222" t="inlineStr">
        <is>
          <t>27-84</t>
        </is>
      </c>
      <c r="J176" s="222" t="inlineStr">
        <is>
          <t>JOB-SETUP, CLEAN-UP, INSPECTION, JOB-CLOSEUP</t>
        </is>
      </c>
    </row>
    <row r="177">
      <c r="A177" s="222" t="inlineStr">
        <is>
          <t>358</t>
        </is>
      </c>
      <c r="B177" s="222" t="inlineStr">
        <is>
          <t>278451-01-1</t>
        </is>
      </c>
      <c r="C177" s="222" t="inlineStr">
        <is>
          <t>278451-01-1 (2) / SLAT PCU GEARBOX OIL REPLENISHMENT</t>
        </is>
      </c>
      <c r="D177" s="222" t="inlineStr">
        <is>
          <t>1</t>
        </is>
      </c>
      <c r="E177" s="222" t="n">
        <v>0.2</v>
      </c>
      <c r="F177" s="222" t="n"/>
      <c r="G177" s="222" t="n"/>
      <c r="H177" s="222" t="inlineStr">
        <is>
          <t>Not Started</t>
        </is>
      </c>
      <c r="I177" s="222" t="inlineStr">
        <is>
          <t>12-13</t>
        </is>
      </c>
      <c r="J177" s="222" t="inlineStr">
        <is>
          <t>JOB-SETUP, TC/P, TC/P, JOB-CLOSEUP</t>
        </is>
      </c>
    </row>
    <row r="178">
      <c r="A178" s="222" t="inlineStr">
        <is>
          <t>359</t>
        </is>
      </c>
      <c r="B178" s="222" t="inlineStr">
        <is>
          <t>278468-02-1-001</t>
        </is>
      </c>
      <c r="C178" s="222" t="inlineStr">
        <is>
          <t>278468-02-1-001 (05) / L/H SLAT TRACKS INSPECTION</t>
        </is>
      </c>
      <c r="D178" s="222" t="inlineStr">
        <is>
          <t>1</t>
        </is>
      </c>
      <c r="E178" s="222" t="n">
        <v>2</v>
      </c>
      <c r="F178" s="222" t="n">
        <v>2.5</v>
      </c>
      <c r="G178" s="222" t="n">
        <v>134.5</v>
      </c>
      <c r="H178" s="222" t="inlineStr">
        <is>
          <t>Idle</t>
        </is>
      </c>
      <c r="I178" s="222" t="inlineStr">
        <is>
          <t>27-84</t>
        </is>
      </c>
      <c r="J178" s="222" t="inlineStr">
        <is>
          <t>JOB-SETUP, CLEAN-UP, INSPECTION, INSPECTION, JOB-CLOSEUP</t>
        </is>
      </c>
    </row>
    <row r="179">
      <c r="A179" s="222" t="inlineStr">
        <is>
          <t>360</t>
        </is>
      </c>
      <c r="B179" s="222" t="inlineStr">
        <is>
          <t>278468-02-1-002</t>
        </is>
      </c>
      <c r="C179" s="222" t="inlineStr">
        <is>
          <t>278468-02-1-002 (04) / R/H SLAT TRACKS INSPECTION</t>
        </is>
      </c>
      <c r="D179" s="222" t="inlineStr">
        <is>
          <t>1</t>
        </is>
      </c>
      <c r="E179" s="222" t="n">
        <v>2</v>
      </c>
      <c r="F179" s="222" t="n">
        <v>3.6</v>
      </c>
      <c r="G179" s="222" t="n">
        <v>135.5</v>
      </c>
      <c r="H179" s="222" t="inlineStr">
        <is>
          <t>Idle</t>
        </is>
      </c>
      <c r="I179" s="222" t="inlineStr">
        <is>
          <t>27-84</t>
        </is>
      </c>
      <c r="J179" s="222" t="inlineStr">
        <is>
          <t>JOB-SETUP, CLEAN-UP, INSPECTION, INSPECTION, JOB-CLOSEUP</t>
        </is>
      </c>
    </row>
    <row r="180">
      <c r="A180" s="222" t="inlineStr">
        <is>
          <t>363</t>
        </is>
      </c>
      <c r="B180" s="222" t="inlineStr">
        <is>
          <t>281600-01-1-001</t>
        </is>
      </c>
      <c r="C180" s="222" t="inlineStr">
        <is>
          <t>281600-01-1-001 (02) / NO.1 ENGINE FUEL RECIRC VLV OPS CHK</t>
        </is>
      </c>
      <c r="D180" s="222" t="inlineStr">
        <is>
          <t>1</t>
        </is>
      </c>
      <c r="E180" s="222" t="n">
        <v>0.2</v>
      </c>
      <c r="F180" s="222" t="n">
        <v>16</v>
      </c>
      <c r="G180" s="222" t="n">
        <v>277.7</v>
      </c>
      <c r="H180" s="222" t="inlineStr">
        <is>
          <t>Idle</t>
        </is>
      </c>
      <c r="I180" s="222" t="inlineStr">
        <is>
          <t>28-16</t>
        </is>
      </c>
      <c r="J180" s="222" t="inlineStr">
        <is>
          <t>JOB-SETUP, OPS/LK, OPS/LK, OPS/LK, JOB-CLOSEUP</t>
        </is>
      </c>
    </row>
    <row r="181">
      <c r="A181" s="222" t="inlineStr">
        <is>
          <t>364</t>
        </is>
      </c>
      <c r="B181" s="222" t="inlineStr">
        <is>
          <t>281600-01-1-002</t>
        </is>
      </c>
      <c r="C181" s="222" t="inlineStr">
        <is>
          <t>281600-01-1-002 (02) / NO.2 ENGINE FUEL RECIRC VLV OPS CHK</t>
        </is>
      </c>
      <c r="D181" s="222" t="inlineStr">
        <is>
          <t>1</t>
        </is>
      </c>
      <c r="E181" s="222" t="n">
        <v>0.2</v>
      </c>
      <c r="F181" s="222" t="n">
        <v>16</v>
      </c>
      <c r="G181" s="222" t="n">
        <v>277.7</v>
      </c>
      <c r="H181" s="222" t="inlineStr">
        <is>
          <t>Idle</t>
        </is>
      </c>
      <c r="I181" s="222" t="inlineStr">
        <is>
          <t>28-16</t>
        </is>
      </c>
      <c r="J181" s="222" t="inlineStr">
        <is>
          <t>JOB-SETUP, OPS/LK, OPS/LK, OPS/LK, JOB-CLOSEUP</t>
        </is>
      </c>
    </row>
    <row r="182">
      <c r="A182" s="222" t="inlineStr">
        <is>
          <t>365</t>
        </is>
      </c>
      <c r="B182" s="222" t="inlineStr">
        <is>
          <t>281800-01-1</t>
        </is>
      </c>
      <c r="C182" s="222" t="inlineStr">
        <is>
          <t>281800-01-1 (2) / CTR TANK VAPOR SEAL DRAIN SYS FNC CK</t>
        </is>
      </c>
      <c r="D182" s="222" t="inlineStr">
        <is>
          <t>1</t>
        </is>
      </c>
      <c r="E182" s="222" t="n">
        <v>4.4</v>
      </c>
      <c r="F182" s="222" t="n"/>
      <c r="G182" s="222" t="n"/>
      <c r="H182" s="222" t="inlineStr">
        <is>
          <t>Not Started</t>
        </is>
      </c>
      <c r="I182" s="222" t="inlineStr">
        <is>
          <t>28-18</t>
        </is>
      </c>
      <c r="J182" s="222" t="inlineStr">
        <is>
          <t>JOB-SETUP, OPS/LK, JOB-CLOSEUP</t>
        </is>
      </c>
    </row>
    <row r="183">
      <c r="A183" s="222" t="inlineStr">
        <is>
          <t>366</t>
        </is>
      </c>
      <c r="B183" s="222" t="inlineStr">
        <is>
          <t>282100-02-1</t>
        </is>
      </c>
      <c r="C183" s="222" t="inlineStr">
        <is>
          <t>282100-02-1 (03) / CTR TANK PUMP CANISTER VALVES OPC</t>
        </is>
      </c>
      <c r="D183" s="222" t="inlineStr">
        <is>
          <t>1</t>
        </is>
      </c>
      <c r="E183" s="222" t="n">
        <v>0.2</v>
      </c>
      <c r="F183" s="222" t="n"/>
      <c r="G183" s="222" t="n"/>
      <c r="H183" s="222" t="inlineStr">
        <is>
          <t>Not Started</t>
        </is>
      </c>
      <c r="I183" s="222" t="inlineStr">
        <is>
          <t>28-21</t>
        </is>
      </c>
      <c r="J183" s="222" t="inlineStr">
        <is>
          <t>JOB-SETUP, OPS/LK, OPS/LK, JOB-CLOSEUP</t>
        </is>
      </c>
    </row>
    <row r="184">
      <c r="A184" s="222" t="inlineStr">
        <is>
          <t>372</t>
        </is>
      </c>
      <c r="B184" s="222" t="inlineStr">
        <is>
          <t>282800-04-1</t>
        </is>
      </c>
      <c r="C184" s="222" t="inlineStr">
        <is>
          <t>282800-04-1 (02) / INDIVIDUAL MOTR TRX VLV OPC</t>
        </is>
      </c>
      <c r="D184" s="222" t="inlineStr">
        <is>
          <t>1</t>
        </is>
      </c>
      <c r="E184" s="222" t="n">
        <v>1.3</v>
      </c>
      <c r="F184" s="222" t="n"/>
      <c r="G184" s="222" t="n"/>
      <c r="H184" s="222" t="inlineStr">
        <is>
          <t>Not Started</t>
        </is>
      </c>
      <c r="I184" s="222" t="inlineStr">
        <is>
          <t>28-28</t>
        </is>
      </c>
      <c r="J184" s="222" t="inlineStr">
        <is>
          <t>JOB-SETUP, OPS/LK, JOB-CLOSEUP</t>
        </is>
      </c>
    </row>
    <row r="185">
      <c r="A185" s="222" t="inlineStr">
        <is>
          <t>374</t>
        </is>
      </c>
      <c r="B185" s="222" t="inlineStr">
        <is>
          <t>282800-06-1</t>
        </is>
      </c>
      <c r="C185" s="222" t="inlineStr">
        <is>
          <t>282800-06-1 (02) / (ACT) AIR INLET FILTER REPLACEMENT</t>
        </is>
      </c>
      <c r="D185" s="222" t="inlineStr">
        <is>
          <t>1</t>
        </is>
      </c>
      <c r="E185" s="222" t="n">
        <v>0.6</v>
      </c>
      <c r="F185" s="222" t="n"/>
      <c r="G185" s="222" t="n"/>
      <c r="H185" s="222" t="inlineStr">
        <is>
          <t>Not Started</t>
        </is>
      </c>
      <c r="I185" s="222" t="inlineStr">
        <is>
          <t>28-28</t>
        </is>
      </c>
      <c r="J185" s="222" t="inlineStr">
        <is>
          <t>JOB-SETUP, TC/P, INSPECTION, JOB-CLOSEUP</t>
        </is>
      </c>
    </row>
    <row r="186">
      <c r="A186" s="222" t="inlineStr">
        <is>
          <t>375</t>
        </is>
      </c>
      <c r="B186" s="222" t="inlineStr">
        <is>
          <t>282800-07-1</t>
        </is>
      </c>
      <c r="C186" s="222" t="inlineStr">
        <is>
          <t>282800-07-1 (02) / ACT TRANSFER SYSTEM FNC</t>
        </is>
      </c>
      <c r="D186" s="222" t="inlineStr">
        <is>
          <t>1</t>
        </is>
      </c>
      <c r="E186" s="222" t="n">
        <v>0.5</v>
      </c>
      <c r="F186" s="222" t="n"/>
      <c r="G186" s="222" t="n"/>
      <c r="H186" s="222" t="inlineStr">
        <is>
          <t>Not Started</t>
        </is>
      </c>
      <c r="I186" s="222" t="inlineStr">
        <is>
          <t>28-28</t>
        </is>
      </c>
      <c r="J186" s="222" t="inlineStr">
        <is>
          <t>JOB-SETUP, TC/P, INSPECTION, INSPECTION, INSPECTION, JOB-CLOSEUP, JOB-CLOSEUP</t>
        </is>
      </c>
    </row>
    <row r="187">
      <c r="A187" s="222" t="inlineStr">
        <is>
          <t>376</t>
        </is>
      </c>
      <c r="B187" s="222" t="inlineStr">
        <is>
          <t>291000-04-1</t>
        </is>
      </c>
      <c r="C187" s="222" t="inlineStr">
        <is>
          <t>291000-04-1 (3) / MAIN HYDRAULIC POWER FUNCTIONAL CHK</t>
        </is>
      </c>
      <c r="D187" s="222" t="inlineStr">
        <is>
          <t>1</t>
        </is>
      </c>
      <c r="E187" s="222" t="n">
        <v>0.2</v>
      </c>
      <c r="F187" s="222" t="n"/>
      <c r="G187" s="222" t="n"/>
      <c r="H187" s="222" t="inlineStr">
        <is>
          <t>Not Started</t>
        </is>
      </c>
      <c r="I187" s="222" t="inlineStr">
        <is>
          <t>29-23</t>
        </is>
      </c>
      <c r="J187" s="222" t="inlineStr">
        <is>
          <t>OPS/LK</t>
        </is>
      </c>
    </row>
    <row r="188">
      <c r="A188" s="222" t="inlineStr">
        <is>
          <t>379</t>
        </is>
      </c>
      <c r="B188" s="222" t="inlineStr">
        <is>
          <t>291000-10-1</t>
        </is>
      </c>
      <c r="C188" s="222" t="inlineStr">
        <is>
          <t>291000-10-1 (03) / HYDRAULIC FIRE SHUTOFF VALVES FUNCTIONAL CHECK</t>
        </is>
      </c>
      <c r="D188" s="222" t="inlineStr">
        <is>
          <t>1</t>
        </is>
      </c>
      <c r="E188" s="222" t="n">
        <v>0.5</v>
      </c>
      <c r="F188" s="222" t="n"/>
      <c r="G188" s="222" t="n"/>
      <c r="H188" s="222" t="inlineStr">
        <is>
          <t>Not Started</t>
        </is>
      </c>
      <c r="I188" s="222" t="inlineStr">
        <is>
          <t>29-10</t>
        </is>
      </c>
      <c r="J188" s="222" t="inlineStr">
        <is>
          <t>JOB-SETUP, OPS/LK, OPS/LK, JOB-CLOSEUP</t>
        </is>
      </c>
    </row>
    <row r="189">
      <c r="A189" s="222" t="inlineStr">
        <is>
          <t>381</t>
        </is>
      </c>
      <c r="B189" s="222" t="inlineStr">
        <is>
          <t>291000-20-1</t>
        </is>
      </c>
      <c r="C189" s="222" t="inlineStr">
        <is>
          <t>291000-20-1 (2) / ENG DRIVEN PUMP (EDP) DE-PRESS OPS</t>
        </is>
      </c>
      <c r="D189" s="222" t="inlineStr">
        <is>
          <t>1</t>
        </is>
      </c>
      <c r="E189" s="222" t="n">
        <v>0.6</v>
      </c>
      <c r="F189" s="222" t="n"/>
      <c r="G189" s="222" t="n"/>
      <c r="H189" s="222" t="inlineStr">
        <is>
          <t>Not Started</t>
        </is>
      </c>
      <c r="I189" s="222" t="inlineStr">
        <is>
          <t>29-10</t>
        </is>
      </c>
      <c r="J189" s="222" t="inlineStr">
        <is>
          <t>OPS/LK</t>
        </is>
      </c>
    </row>
    <row r="190">
      <c r="A190" s="222" t="inlineStr">
        <is>
          <t>382</t>
        </is>
      </c>
      <c r="B190" s="222" t="inlineStr">
        <is>
          <t>291000-25-1</t>
        </is>
      </c>
      <c r="C190" s="222" t="inlineStr">
        <is>
          <t>291000-25-1 (1) / MAIN AND AUXILIARY HYDRAULIC POWER</t>
        </is>
      </c>
      <c r="D190" s="222" t="inlineStr">
        <is>
          <t>1</t>
        </is>
      </c>
      <c r="E190" s="222" t="n">
        <v>0.6</v>
      </c>
      <c r="F190" s="222" t="n"/>
      <c r="G190" s="222" t="n"/>
      <c r="H190" s="222" t="inlineStr">
        <is>
          <t>Not Started</t>
        </is>
      </c>
      <c r="I190" s="222" t="inlineStr">
        <is>
          <t>29</t>
        </is>
      </c>
      <c r="J190" s="222" t="inlineStr">
        <is>
          <t>OPS/LK</t>
        </is>
      </c>
    </row>
    <row r="191">
      <c r="A191" s="222" t="inlineStr">
        <is>
          <t>383</t>
        </is>
      </c>
      <c r="B191" s="222" t="inlineStr">
        <is>
          <t>291000-26-1</t>
        </is>
      </c>
      <c r="C191" s="222" t="inlineStr">
        <is>
          <t>291000-26-1 (01) / MAIN AND AUXILIARY HYDRAULIC POWER</t>
        </is>
      </c>
      <c r="D191" s="222" t="inlineStr">
        <is>
          <t>1</t>
        </is>
      </c>
      <c r="E191" s="222" t="n">
        <v>0.6</v>
      </c>
      <c r="F191" s="222" t="n"/>
      <c r="G191" s="222" t="n"/>
      <c r="H191" s="222" t="inlineStr">
        <is>
          <t>Not Started</t>
        </is>
      </c>
      <c r="I191" s="222" t="inlineStr">
        <is>
          <t>29</t>
        </is>
      </c>
      <c r="J191" s="222" t="inlineStr">
        <is>
          <t>JOB-SETUP, --, JOB-CLOSEUP</t>
        </is>
      </c>
    </row>
    <row r="192">
      <c r="A192" s="222" t="inlineStr">
        <is>
          <t>384</t>
        </is>
      </c>
      <c r="B192" s="222" t="inlineStr">
        <is>
          <t>291900-02-1</t>
        </is>
      </c>
      <c r="C192" s="222" t="inlineStr">
        <is>
          <t>291900-02-1 (3) / INTERNAL LEAK RATE BLUE HYD FUN CHK</t>
        </is>
      </c>
      <c r="D192" s="222" t="inlineStr">
        <is>
          <t>1</t>
        </is>
      </c>
      <c r="E192" s="222" t="n">
        <v>0.7</v>
      </c>
      <c r="F192" s="222" t="n"/>
      <c r="G192" s="222" t="n"/>
      <c r="H192" s="222" t="inlineStr">
        <is>
          <t>Not Started</t>
        </is>
      </c>
      <c r="I192" s="222" t="inlineStr">
        <is>
          <t>29-10</t>
        </is>
      </c>
      <c r="J192" s="222" t="inlineStr">
        <is>
          <t>JOB-SETUP, OPS/LK, JOB-CLOSEUP</t>
        </is>
      </c>
    </row>
    <row r="193">
      <c r="A193" s="222" t="inlineStr">
        <is>
          <t>385</t>
        </is>
      </c>
      <c r="B193" s="222" t="inlineStr">
        <is>
          <t>293400-01-1</t>
        </is>
      </c>
      <c r="C193" s="222" t="inlineStr">
        <is>
          <t>293400-01-1 (2) / RESERVOIR PRESSURIZATION INDICATING</t>
        </is>
      </c>
      <c r="D193" s="222" t="inlineStr">
        <is>
          <t>1</t>
        </is>
      </c>
      <c r="E193" s="222" t="n">
        <v>0.2</v>
      </c>
      <c r="F193" s="222" t="n"/>
      <c r="G193" s="222" t="n"/>
      <c r="H193" s="222" t="inlineStr">
        <is>
          <t>Not Started</t>
        </is>
      </c>
      <c r="I193" s="222" t="inlineStr">
        <is>
          <t>29-34</t>
        </is>
      </c>
      <c r="J193" s="222" t="inlineStr">
        <is>
          <t>JOB-SETUP, OPS/LK, JOB-CLOSEUP</t>
        </is>
      </c>
    </row>
    <row r="194">
      <c r="A194" s="222" t="inlineStr">
        <is>
          <t>390</t>
        </is>
      </c>
      <c r="B194" s="222" t="inlineStr">
        <is>
          <t>313300-07-1</t>
        </is>
      </c>
      <c r="C194" s="222" t="inlineStr">
        <is>
          <t>313300-07-1 (02) / DFDR SYSTEM INTERCONNECTION</t>
        </is>
      </c>
      <c r="D194" s="222" t="inlineStr">
        <is>
          <t>1</t>
        </is>
      </c>
      <c r="E194" s="222" t="n">
        <v>1.3</v>
      </c>
      <c r="F194" s="222" t="n"/>
      <c r="G194" s="222" t="n"/>
      <c r="H194" s="222" t="inlineStr">
        <is>
          <t>Not Started</t>
        </is>
      </c>
      <c r="I194" s="222" t="inlineStr">
        <is>
          <t>31-33</t>
        </is>
      </c>
      <c r="J194" s="222" t="inlineStr">
        <is>
          <t>OPS/LK</t>
        </is>
      </c>
    </row>
    <row r="195">
      <c r="A195" s="222" t="inlineStr">
        <is>
          <t>398</t>
        </is>
      </c>
      <c r="B195" s="222" t="inlineStr">
        <is>
          <t>321127-01-1-001</t>
        </is>
      </c>
      <c r="C195" s="222" t="inlineStr">
        <is>
          <t>321127-01-1-001 (04) / LH MLG TORQUE LINK EXCESIVE PLAY CHK</t>
        </is>
      </c>
      <c r="D195" s="222" t="inlineStr">
        <is>
          <t>1</t>
        </is>
      </c>
      <c r="E195" s="222" t="n">
        <v>38.7</v>
      </c>
      <c r="F195" s="222" t="n"/>
      <c r="G195" s="222" t="n"/>
      <c r="H195" s="222" t="inlineStr">
        <is>
          <t>Not Started</t>
        </is>
      </c>
      <c r="I195" s="222" t="inlineStr">
        <is>
          <t>32-11</t>
        </is>
      </c>
      <c r="J195" s="222" t="inlineStr">
        <is>
          <t>JOB-SETUP, TC/P, TC/P, TC/P, INSPECTION, JOB-CLOSEUP, JOB-CLOSEUP</t>
        </is>
      </c>
    </row>
    <row r="196">
      <c r="A196" s="222" t="inlineStr">
        <is>
          <t>399</t>
        </is>
      </c>
      <c r="B196" s="222" t="inlineStr">
        <is>
          <t>321127-01-1-002</t>
        </is>
      </c>
      <c r="C196" s="222" t="inlineStr">
        <is>
          <t>321127-01-1-002 (04) / RH MLG TORQUE LINK EXCESIVE PLAY CHK</t>
        </is>
      </c>
      <c r="D196" s="222" t="inlineStr">
        <is>
          <t>1</t>
        </is>
      </c>
      <c r="E196" s="222" t="n">
        <v>38.7</v>
      </c>
      <c r="F196" s="222" t="n"/>
      <c r="G196" s="222" t="n"/>
      <c r="H196" s="222" t="inlineStr">
        <is>
          <t>Not Started</t>
        </is>
      </c>
      <c r="I196" s="222" t="inlineStr">
        <is>
          <t>32-11</t>
        </is>
      </c>
      <c r="J196" s="222" t="inlineStr">
        <is>
          <t>JOB-SETUP, TC/P, TC/P, TC/P, INSPECTION, JOB-CLOSEUP, JOB-CLOSEUP</t>
        </is>
      </c>
    </row>
    <row r="197">
      <c r="A197" s="222" t="inlineStr">
        <is>
          <t>402</t>
        </is>
      </c>
      <c r="B197" s="222" t="inlineStr">
        <is>
          <t>323100-04-1</t>
        </is>
      </c>
      <c r="C197" s="222" t="inlineStr">
        <is>
          <t>323100-04-1 (4) / (LG) SAFETY VALVE CLOSING OPS CHK</t>
        </is>
      </c>
      <c r="D197" s="222" t="inlineStr">
        <is>
          <t>1</t>
        </is>
      </c>
      <c r="E197" s="222" t="n">
        <v>0.9</v>
      </c>
      <c r="F197" s="222" t="n"/>
      <c r="G197" s="222" t="n"/>
      <c r="H197" s="222" t="inlineStr">
        <is>
          <t>Not Started</t>
        </is>
      </c>
      <c r="I197" s="222" t="inlineStr">
        <is>
          <t>32-31</t>
        </is>
      </c>
      <c r="J197" s="222" t="inlineStr">
        <is>
          <t>OPS/LK, OPS/LK, JOB-CLOSEUP, JOB-SETUP, TC/P</t>
        </is>
      </c>
    </row>
    <row r="198">
      <c r="A198" s="222" t="inlineStr">
        <is>
          <t>404</t>
        </is>
      </c>
      <c r="B198" s="222" t="inlineStr">
        <is>
          <t>323100-06-1</t>
        </is>
      </c>
      <c r="C198" s="222" t="inlineStr">
        <is>
          <t>323100-06-1 (3) / GEAR NOT DOWN WARNINGS BITE CHK</t>
        </is>
      </c>
      <c r="D198" s="222" t="inlineStr">
        <is>
          <t>1</t>
        </is>
      </c>
      <c r="E198" s="222" t="n">
        <v>0.2</v>
      </c>
      <c r="F198" s="222" t="n"/>
      <c r="G198" s="222" t="n"/>
      <c r="H198" s="222" t="inlineStr">
        <is>
          <t>Not Started</t>
        </is>
      </c>
      <c r="I198" s="222" t="inlineStr">
        <is>
          <t>32-61</t>
        </is>
      </c>
      <c r="J198" s="222" t="inlineStr">
        <is>
          <t>OPS/LK</t>
        </is>
      </c>
    </row>
    <row r="199">
      <c r="A199" s="222" t="inlineStr">
        <is>
          <t>405</t>
        </is>
      </c>
      <c r="B199" s="222" t="inlineStr">
        <is>
          <t>323105-04-1</t>
        </is>
      </c>
      <c r="C199" s="222" t="inlineStr">
        <is>
          <t>323105-04-1 (4) / NORMAL EXTENSION AND RETRACTION</t>
        </is>
      </c>
      <c r="D199" s="222" t="inlineStr">
        <is>
          <t>1</t>
        </is>
      </c>
      <c r="E199" s="222" t="n">
        <v>2.2</v>
      </c>
      <c r="F199" s="222" t="n"/>
      <c r="G199" s="222" t="n"/>
      <c r="H199" s="222" t="inlineStr">
        <is>
          <t>Not Started</t>
        </is>
      </c>
      <c r="I199" s="222" t="inlineStr">
        <is>
          <t>32-31</t>
        </is>
      </c>
      <c r="J199" s="222" t="inlineStr">
        <is>
          <t>OPS/LK</t>
        </is>
      </c>
    </row>
    <row r="200">
      <c r="A200" s="222" t="inlineStr">
        <is>
          <t>406</t>
        </is>
      </c>
      <c r="B200" s="222" t="inlineStr">
        <is>
          <t>323105-05-1</t>
        </is>
      </c>
      <c r="C200" s="222" t="inlineStr">
        <is>
          <t>323105-05-1 (3) / NORMAL EXTENSION AND RETRACTION</t>
        </is>
      </c>
      <c r="D200" s="222" t="inlineStr">
        <is>
          <t>1</t>
        </is>
      </c>
      <c r="E200" s="222" t="n">
        <v>1.1</v>
      </c>
      <c r="F200" s="222" t="n"/>
      <c r="G200" s="222" t="n"/>
      <c r="H200" s="222" t="inlineStr">
        <is>
          <t>Not Started</t>
        </is>
      </c>
      <c r="I200" s="222" t="inlineStr">
        <is>
          <t>32-31</t>
        </is>
      </c>
      <c r="J200" s="222" t="inlineStr">
        <is>
          <t>OPS/LK</t>
        </is>
      </c>
    </row>
    <row r="201">
      <c r="A201" s="222" t="inlineStr">
        <is>
          <t>407</t>
        </is>
      </c>
      <c r="B201" s="222" t="inlineStr">
        <is>
          <t>323173-00-SVA</t>
        </is>
      </c>
      <c r="C201" s="222" t="inlineStr">
        <is>
          <t>323173-00-SVA (01) / MLG &amp; NLG PROXIMITY SENS. CLN &amp; NLG CLEARANCE CHK</t>
        </is>
      </c>
      <c r="D201" s="222" t="inlineStr">
        <is>
          <t>1</t>
        </is>
      </c>
      <c r="E201" s="222" t="n">
        <v>4</v>
      </c>
      <c r="F201" s="222" t="n">
        <v>17</v>
      </c>
      <c r="G201" s="222" t="n">
        <v>163.6</v>
      </c>
      <c r="H201" s="222" t="inlineStr">
        <is>
          <t>Idle</t>
        </is>
      </c>
      <c r="I201" s="222" t="inlineStr">
        <is>
          <t>32-31</t>
        </is>
      </c>
      <c r="J201" s="222" t="inlineStr">
        <is>
          <t>JOB-SETUP, TC/P, TC/P, CLOSE-UP</t>
        </is>
      </c>
    </row>
    <row r="202">
      <c r="A202" s="222" t="inlineStr">
        <is>
          <t>408</t>
        </is>
      </c>
      <c r="B202" s="222" t="inlineStr">
        <is>
          <t>324000-14-1</t>
        </is>
      </c>
      <c r="C202" s="222" t="inlineStr">
        <is>
          <t>324000-14-1 (2) / NORML BRAKE MODE AUTO REACT FUN CHK</t>
        </is>
      </c>
      <c r="D202" s="222" t="inlineStr">
        <is>
          <t>1</t>
        </is>
      </c>
      <c r="E202" s="222" t="n">
        <v>10.1</v>
      </c>
      <c r="F202" s="222" t="n"/>
      <c r="G202" s="222" t="n"/>
      <c r="H202" s="222" t="inlineStr">
        <is>
          <t>Not Started</t>
        </is>
      </c>
      <c r="I202" s="222" t="inlineStr">
        <is>
          <t>32-42</t>
        </is>
      </c>
      <c r="J202" s="222" t="inlineStr">
        <is>
          <t>OPS/LK</t>
        </is>
      </c>
    </row>
    <row r="203">
      <c r="A203" s="222" t="inlineStr">
        <is>
          <t>409</t>
        </is>
      </c>
      <c r="B203" s="222" t="inlineStr">
        <is>
          <t>324000-17-1</t>
        </is>
      </c>
      <c r="C203" s="222" t="inlineStr">
        <is>
          <t>324000-17-1 (5) / BRAKE ACCOMULATOR SYSTEM FUN CHK</t>
        </is>
      </c>
      <c r="D203" s="222" t="inlineStr">
        <is>
          <t>1</t>
        </is>
      </c>
      <c r="E203" s="222" t="n">
        <v>2.2</v>
      </c>
      <c r="F203" s="222" t="n"/>
      <c r="G203" s="222" t="n"/>
      <c r="H203" s="222" t="inlineStr">
        <is>
          <t>Not Started</t>
        </is>
      </c>
      <c r="I203" s="222" t="inlineStr">
        <is>
          <t>32-41</t>
        </is>
      </c>
      <c r="J203" s="222" t="inlineStr">
        <is>
          <t>JOB-SETUP, OPS/LK, JOB-CLOSEUP</t>
        </is>
      </c>
    </row>
    <row r="204">
      <c r="A204" s="222" t="inlineStr">
        <is>
          <t>410</t>
        </is>
      </c>
      <c r="B204" s="222" t="inlineStr">
        <is>
          <t>324300-01-3</t>
        </is>
      </c>
      <c r="C204" s="222" t="inlineStr">
        <is>
          <t>324300-01-3 (3) / ALTERNATE BRAKING SYS OPS CHK</t>
        </is>
      </c>
      <c r="D204" s="222" t="inlineStr">
        <is>
          <t>1</t>
        </is>
      </c>
      <c r="E204" s="222" t="n">
        <v>1.3</v>
      </c>
      <c r="F204" s="222" t="n"/>
      <c r="G204" s="222" t="n"/>
      <c r="H204" s="222" t="inlineStr">
        <is>
          <t>Not Started</t>
        </is>
      </c>
      <c r="I204" s="222" t="inlineStr">
        <is>
          <t>32-43</t>
        </is>
      </c>
      <c r="J204" s="222" t="inlineStr">
        <is>
          <t>OPS/LK</t>
        </is>
      </c>
    </row>
    <row r="205">
      <c r="A205" s="222" t="inlineStr">
        <is>
          <t>425</t>
        </is>
      </c>
      <c r="B205" s="222" t="inlineStr">
        <is>
          <t>351000-01-1</t>
        </is>
      </c>
      <c r="C205" s="222" t="inlineStr">
        <is>
          <t>351000-01-1 (3) / FULL FACE/QUICK OXYGEN MASKS OPC</t>
        </is>
      </c>
      <c r="D205" s="222" t="inlineStr">
        <is>
          <t>1</t>
        </is>
      </c>
      <c r="E205" s="222" t="n">
        <v>0.2</v>
      </c>
      <c r="F205" s="222" t="n"/>
      <c r="G205" s="222" t="n"/>
      <c r="H205" s="222" t="inlineStr">
        <is>
          <t>Not Started</t>
        </is>
      </c>
      <c r="I205" s="222" t="inlineStr">
        <is>
          <t>35-12</t>
        </is>
      </c>
      <c r="J205" s="222" t="inlineStr">
        <is>
          <t>OPS/LK</t>
        </is>
      </c>
    </row>
    <row r="206">
      <c r="A206" s="222" t="inlineStr">
        <is>
          <t>427</t>
        </is>
      </c>
      <c r="B206" s="222" t="inlineStr">
        <is>
          <t>352000-02-1</t>
        </is>
      </c>
      <c r="C206" s="222" t="inlineStr">
        <is>
          <t>352000-02-1 (3) / PAX OXYGEN SYSTEM MASK RELEASE FNC</t>
        </is>
      </c>
      <c r="D206" s="222" t="inlineStr">
        <is>
          <t>1</t>
        </is>
      </c>
      <c r="E206" s="222" t="n">
        <v>2</v>
      </c>
      <c r="F206" s="222" t="n">
        <v>45</v>
      </c>
      <c r="G206" s="222" t="n">
        <v>238.2</v>
      </c>
      <c r="H206" s="222" t="inlineStr">
        <is>
          <t>Idle</t>
        </is>
      </c>
      <c r="I206" s="222" t="inlineStr">
        <is>
          <t>35-23</t>
        </is>
      </c>
      <c r="J206" s="222" t="inlineStr">
        <is>
          <t>JOB-SETUP, TC/P, TC/P, OPS/LK, JOB-CLOSEUP, JOB-CLOSEUP</t>
        </is>
      </c>
    </row>
    <row r="207">
      <c r="A207" s="222" t="inlineStr">
        <is>
          <t>428</t>
        </is>
      </c>
      <c r="B207" s="222" t="inlineStr">
        <is>
          <t>352142-01-1-SVA</t>
        </is>
      </c>
      <c r="C207" s="222" t="inlineStr">
        <is>
          <t>352142-01-1-SVA (01) / VALIDITY CHECK OF CHEMICAL OXYGEN GENERATORS</t>
        </is>
      </c>
      <c r="D207" s="222" t="inlineStr">
        <is>
          <t>1</t>
        </is>
      </c>
      <c r="E207" s="222" t="n">
        <v>2.4</v>
      </c>
      <c r="F207" s="222" t="n">
        <v>48.5</v>
      </c>
      <c r="G207" s="222" t="n">
        <v>241.6</v>
      </c>
      <c r="H207" s="222" t="inlineStr">
        <is>
          <t>Idle</t>
        </is>
      </c>
      <c r="I207" s="222" t="inlineStr">
        <is>
          <t>35-21</t>
        </is>
      </c>
      <c r="J207" s="222" t="inlineStr">
        <is>
          <t>JOB-SETUP, --, --, JOB-CLOSEUP, --</t>
        </is>
      </c>
    </row>
    <row r="208">
      <c r="A208" s="222" t="inlineStr">
        <is>
          <t>431</t>
        </is>
      </c>
      <c r="B208" s="222" t="inlineStr">
        <is>
          <t>361100-01-1-001</t>
        </is>
      </c>
      <c r="C208" s="222" t="inlineStr">
        <is>
          <t>361100-01-1-001 (02) / NO. 1 ENGINE OVERPRESS VALVE FUNCTIONAL TEST</t>
        </is>
      </c>
      <c r="D208" s="222" t="inlineStr">
        <is>
          <t>1</t>
        </is>
      </c>
      <c r="E208" s="222" t="n">
        <v>0.4</v>
      </c>
      <c r="F208" s="222" t="n"/>
      <c r="G208" s="222" t="n"/>
      <c r="H208" s="222" t="inlineStr">
        <is>
          <t>Not Started</t>
        </is>
      </c>
      <c r="I208" s="222" t="inlineStr">
        <is>
          <t>36-11</t>
        </is>
      </c>
      <c r="J208" s="222" t="inlineStr">
        <is>
          <t>JOB-SETUP, OPS/LK, JOB-CLOSEUP</t>
        </is>
      </c>
    </row>
    <row r="209">
      <c r="A209" s="222" t="inlineStr">
        <is>
          <t>432</t>
        </is>
      </c>
      <c r="B209" s="222" t="inlineStr">
        <is>
          <t>361100-01-1-002</t>
        </is>
      </c>
      <c r="C209" s="222" t="inlineStr">
        <is>
          <t>361100-01-1-002 (02) / NO. 2 ENGINE OVERPRESS VALVE FUNCTIONAL TEST</t>
        </is>
      </c>
      <c r="D209" s="222" t="inlineStr">
        <is>
          <t>1</t>
        </is>
      </c>
      <c r="E209" s="222" t="n">
        <v>0.4</v>
      </c>
      <c r="F209" s="222" t="n"/>
      <c r="G209" s="222" t="n"/>
      <c r="H209" s="222" t="inlineStr">
        <is>
          <t>Not Started</t>
        </is>
      </c>
      <c r="I209" s="222" t="inlineStr">
        <is>
          <t>36-11</t>
        </is>
      </c>
      <c r="J209" s="222" t="inlineStr">
        <is>
          <t>JOB-SETUP, OPS/LK, JOB-CLOSEUP</t>
        </is>
      </c>
    </row>
    <row r="210">
      <c r="A210" s="222" t="inlineStr">
        <is>
          <t>433</t>
        </is>
      </c>
      <c r="B210" s="222" t="inlineStr">
        <is>
          <t>361100-SVA-01</t>
        </is>
      </c>
      <c r="C210" s="222" t="inlineStr">
        <is>
          <t>361100-SVA-01 (01) / ENGINE BLEED AIR SUPPLY SYSTEM - HEALTH CHECK TEST OF TEMPERATURE CONT</t>
        </is>
      </c>
      <c r="D210" s="222" t="inlineStr">
        <is>
          <t>1</t>
        </is>
      </c>
      <c r="E210" s="222" t="n">
        <v>14.2</v>
      </c>
      <c r="F210" s="222" t="n"/>
      <c r="G210" s="222" t="n"/>
      <c r="H210" s="222" t="inlineStr">
        <is>
          <t>Not Started</t>
        </is>
      </c>
      <c r="I210" s="222" t="inlineStr">
        <is>
          <t>36</t>
        </is>
      </c>
      <c r="J210" s="222" t="inlineStr">
        <is>
          <t>JOB-SETUP, OPS/LK, OPS/LK, --, --, --, --, JOB-CLOSEUP, JOB-CLOSEUP, JOB-CLOSEUP</t>
        </is>
      </c>
    </row>
    <row r="211">
      <c r="A211" s="222" t="inlineStr">
        <is>
          <t>434</t>
        </is>
      </c>
      <c r="B211" s="222" t="inlineStr">
        <is>
          <t>361148-01-1-001</t>
        </is>
      </c>
      <c r="C211" s="222" t="inlineStr">
        <is>
          <t>361148-01-1-001 (04) / L/H WING APU BLEED AIR DUCT LEAK CHK</t>
        </is>
      </c>
      <c r="D211" s="222" t="inlineStr">
        <is>
          <t>1</t>
        </is>
      </c>
      <c r="E211" s="222" t="n">
        <v>2.2</v>
      </c>
      <c r="F211" s="222" t="n"/>
      <c r="G211" s="222" t="n"/>
      <c r="H211" s="222" t="inlineStr">
        <is>
          <t>Not Started</t>
        </is>
      </c>
      <c r="I211" s="222" t="inlineStr">
        <is>
          <t>36-11</t>
        </is>
      </c>
      <c r="J211" s="222" t="inlineStr">
        <is>
          <t>JOB-SETUP, OPS/LK, JOB-CLOSEUP</t>
        </is>
      </c>
    </row>
    <row r="212">
      <c r="A212" s="222" t="inlineStr">
        <is>
          <t>435</t>
        </is>
      </c>
      <c r="B212" s="222" t="inlineStr">
        <is>
          <t>361148-01-1-002</t>
        </is>
      </c>
      <c r="C212" s="222" t="inlineStr">
        <is>
          <t>361148-01-1-002 (04) / R/H WING APU BLEED AIR DUCT LEAK CHK</t>
        </is>
      </c>
      <c r="D212" s="222" t="inlineStr">
        <is>
          <t>1</t>
        </is>
      </c>
      <c r="E212" s="222" t="n">
        <v>2.2</v>
      </c>
      <c r="F212" s="222" t="n"/>
      <c r="G212" s="222" t="n"/>
      <c r="H212" s="222" t="inlineStr">
        <is>
          <t>Not Started</t>
        </is>
      </c>
      <c r="I212" s="222" t="inlineStr">
        <is>
          <t>36-11</t>
        </is>
      </c>
      <c r="J212" s="222" t="inlineStr">
        <is>
          <t>JOB-SETUP, OPS/LK, JOB-CLOSEUP</t>
        </is>
      </c>
    </row>
    <row r="213">
      <c r="A213" s="222" t="inlineStr">
        <is>
          <t>438</t>
        </is>
      </c>
      <c r="B213" s="222" t="inlineStr">
        <is>
          <t>361251-01-3</t>
        </is>
      </c>
      <c r="C213" s="222" t="inlineStr">
        <is>
          <t>361251-01-3 (03) / APU BLEED CHECK VALVE INSP</t>
        </is>
      </c>
      <c r="D213" s="222" t="inlineStr">
        <is>
          <t>1</t>
        </is>
      </c>
      <c r="E213" s="222" t="n">
        <v>0.7</v>
      </c>
      <c r="F213" s="222" t="n">
        <v>2.8</v>
      </c>
      <c r="G213" s="222" t="n">
        <v>155.3</v>
      </c>
      <c r="H213" s="222" t="inlineStr">
        <is>
          <t>Idle</t>
        </is>
      </c>
      <c r="I213" s="222" t="inlineStr">
        <is>
          <t>36-12</t>
        </is>
      </c>
      <c r="J213" s="222" t="inlineStr">
        <is>
          <t>JOB-SETUP, JOB-SETUP, INSPECTION, INSPECTION, INSPECTION, OPS/LK, JOB-CLOSEUP</t>
        </is>
      </c>
    </row>
    <row r="214">
      <c r="A214" s="222" t="inlineStr">
        <is>
          <t>439</t>
        </is>
      </c>
      <c r="B214" s="222" t="inlineStr">
        <is>
          <t>383100-07-1</t>
        </is>
      </c>
      <c r="C214" s="222" t="inlineStr">
        <is>
          <t>383100-07-1 (07) / VACUUM TOILET SYSTEM CLEANING</t>
        </is>
      </c>
      <c r="D214" s="222" t="inlineStr">
        <is>
          <t>1</t>
        </is>
      </c>
      <c r="E214" s="222" t="n">
        <v>10</v>
      </c>
      <c r="F214" s="222" t="n"/>
      <c r="G214" s="222" t="n"/>
      <c r="H214" s="222" t="inlineStr">
        <is>
          <t>Not Started</t>
        </is>
      </c>
      <c r="I214" s="222" t="inlineStr">
        <is>
          <t>38-31</t>
        </is>
      </c>
      <c r="J214" s="222" t="inlineStr">
        <is>
          <t>CLEAN-UP</t>
        </is>
      </c>
    </row>
    <row r="215">
      <c r="A215" s="222" t="inlineStr">
        <is>
          <t>440</t>
        </is>
      </c>
      <c r="B215" s="222" t="inlineStr">
        <is>
          <t>384142-01-1</t>
        </is>
      </c>
      <c r="C215" s="222" t="inlineStr">
        <is>
          <t>384142-01-1 (3) / AIR FILTER CARTRIDGE REPLACEMENT</t>
        </is>
      </c>
      <c r="D215" s="222" t="inlineStr">
        <is>
          <t>1</t>
        </is>
      </c>
      <c r="E215" s="222" t="n">
        <v>0.4</v>
      </c>
      <c r="F215" s="222" t="n"/>
      <c r="G215" s="222" t="n"/>
      <c r="H215" s="222" t="inlineStr">
        <is>
          <t>Not Started</t>
        </is>
      </c>
      <c r="I215" s="222" t="inlineStr">
        <is>
          <t>38-41</t>
        </is>
      </c>
      <c r="J215" s="222" t="inlineStr">
        <is>
          <t>JOB-SETUP, CLEAN-UP, TC/P, OPS/LK, OPS/LK, JOB-CLOSEUP</t>
        </is>
      </c>
    </row>
    <row r="216">
      <c r="A216" s="222" t="inlineStr">
        <is>
          <t>442</t>
        </is>
      </c>
      <c r="B216" s="222" t="inlineStr">
        <is>
          <t>384242-01-1</t>
        </is>
      </c>
      <c r="C216" s="222" t="inlineStr">
        <is>
          <t>384242-01-1 (01) / WATER COMPRESSOR AIR FILTER R&amp;R</t>
        </is>
      </c>
      <c r="D216" s="222" t="inlineStr">
        <is>
          <t>1</t>
        </is>
      </c>
      <c r="E216" s="222" t="n">
        <v>0.7</v>
      </c>
      <c r="F216" s="222" t="n"/>
      <c r="G216" s="222" t="n"/>
      <c r="H216" s="222" t="inlineStr">
        <is>
          <t>Not Started</t>
        </is>
      </c>
      <c r="I216" s="222" t="inlineStr">
        <is>
          <t>38-42</t>
        </is>
      </c>
      <c r="J216" s="222" t="inlineStr">
        <is>
          <t>TC/P, OPS/LK</t>
        </is>
      </c>
    </row>
    <row r="217">
      <c r="A217" s="222" t="inlineStr">
        <is>
          <t>446</t>
        </is>
      </c>
      <c r="B217" s="222" t="inlineStr">
        <is>
          <t>521000-01-SVA</t>
        </is>
      </c>
      <c r="C217" s="222" t="inlineStr">
        <is>
          <t>521000-01-SVA (01) / FWD LH PASSENGER/CREW DOOR DAMPER AND EMERGENCY OPERATION CYLINDER DIAPHRAGM REPLACEMENT</t>
        </is>
      </c>
      <c r="D217" s="222" t="inlineStr">
        <is>
          <t>1</t>
        </is>
      </c>
      <c r="E217" s="222" t="n">
        <v>1</v>
      </c>
      <c r="F217" s="222" t="n">
        <v>22.5</v>
      </c>
      <c r="G217" s="222" t="n">
        <v>43.1</v>
      </c>
      <c r="H217" s="222" t="inlineStr">
        <is>
          <t>Idle</t>
        </is>
      </c>
      <c r="I217" s="222" t="inlineStr">
        <is>
          <t>52-10</t>
        </is>
      </c>
      <c r="J217" s="222" t="inlineStr">
        <is>
          <t>JOB-SETUP, TC/P, INSPECTION, JOB-CLOSEUP</t>
        </is>
      </c>
    </row>
    <row r="218">
      <c r="A218" s="222" t="inlineStr">
        <is>
          <t>447</t>
        </is>
      </c>
      <c r="B218" s="222" t="inlineStr">
        <is>
          <t>521000-02-1</t>
        </is>
      </c>
      <c r="C218" s="222" t="inlineStr">
        <is>
          <t>521000-02-1 (3) / PASSENGER/CREW DOOR SUSPENSION CHK</t>
        </is>
      </c>
      <c r="D218" s="222" t="inlineStr">
        <is>
          <t>1</t>
        </is>
      </c>
      <c r="E218" s="222" t="n">
        <v>0.5</v>
      </c>
      <c r="F218" s="222" t="n">
        <v>9</v>
      </c>
      <c r="G218" s="222" t="n">
        <v>45.6</v>
      </c>
      <c r="H218" s="222" t="inlineStr">
        <is>
          <t>Idle</t>
        </is>
      </c>
      <c r="I218" s="222" t="inlineStr">
        <is>
          <t>52-10</t>
        </is>
      </c>
      <c r="J218" s="222" t="inlineStr">
        <is>
          <t>JOB-SETUP, JOB-SETUP, INSPECTION, OPS/LK, OPS/LK, JOB-CLOSEUP, JOB-CLOSEUP, JOB-CLOSEUP, JOB-CLOSEUP</t>
        </is>
      </c>
    </row>
    <row r="219">
      <c r="A219" s="222" t="inlineStr">
        <is>
          <t>448</t>
        </is>
      </c>
      <c r="B219" s="222" t="inlineStr">
        <is>
          <t>521000-02-SVA</t>
        </is>
      </c>
      <c r="C219" s="222" t="inlineStr">
        <is>
          <t>521000-02-SVA (01) / FWD RH PASSENGER/CREW DOOR DAMPER AND EMERGENCY OPERATION CYLINDER DIAPHRAGM REPLACEMENT</t>
        </is>
      </c>
      <c r="D219" s="222" t="inlineStr">
        <is>
          <t>1</t>
        </is>
      </c>
      <c r="E219" s="222" t="n">
        <v>1</v>
      </c>
      <c r="F219" s="222" t="n">
        <v>20.5</v>
      </c>
      <c r="G219" s="222" t="n">
        <v>43.6</v>
      </c>
      <c r="H219" s="222" t="inlineStr">
        <is>
          <t>Idle</t>
        </is>
      </c>
      <c r="I219" s="222" t="inlineStr">
        <is>
          <t>52-10</t>
        </is>
      </c>
      <c r="J219" s="222" t="inlineStr">
        <is>
          <t>JOB-SETUP, TC/P, INSPECTION, JOB-CLOSEUP</t>
        </is>
      </c>
    </row>
    <row r="220">
      <c r="A220" s="222" t="inlineStr">
        <is>
          <t>449</t>
        </is>
      </c>
      <c r="B220" s="222" t="inlineStr">
        <is>
          <t>521000-03-SVA</t>
        </is>
      </c>
      <c r="C220" s="222" t="inlineStr">
        <is>
          <t>521000-03-SVA (01) / AFT LH PASSENGER/CREW DOOR DAMPER AND EMERGENCY OPERATION CYLINDER DIAPHRAGM REPLACEMENT</t>
        </is>
      </c>
      <c r="D220" s="222" t="inlineStr">
        <is>
          <t>1</t>
        </is>
      </c>
      <c r="E220" s="222" t="n">
        <v>5</v>
      </c>
      <c r="F220" s="222" t="n"/>
      <c r="G220" s="222" t="n"/>
      <c r="H220" s="222" t="inlineStr">
        <is>
          <t>Not Started</t>
        </is>
      </c>
      <c r="I220" s="222" t="inlineStr">
        <is>
          <t>52-10</t>
        </is>
      </c>
      <c r="J220" s="222" t="inlineStr">
        <is>
          <t>JOB-SETUP, TC/P, INSPECTION, JOB-CLOSEUP</t>
        </is>
      </c>
    </row>
    <row r="221">
      <c r="A221" s="222" t="inlineStr">
        <is>
          <t>450</t>
        </is>
      </c>
      <c r="B221" s="222" t="inlineStr">
        <is>
          <t>521000-04-1-001</t>
        </is>
      </c>
      <c r="C221" s="222" t="inlineStr">
        <is>
          <t>521000-04-1-001 (03) / L/H FWD PAX/CREW DOOR INTEGRITY CHK</t>
        </is>
      </c>
      <c r="D221" s="222" t="inlineStr">
        <is>
          <t>1</t>
        </is>
      </c>
      <c r="E221" s="222" t="n">
        <v>1</v>
      </c>
      <c r="F221" s="222" t="n">
        <v>8.5</v>
      </c>
      <c r="G221" s="222" t="n">
        <v>20.1</v>
      </c>
      <c r="H221" s="222" t="inlineStr">
        <is>
          <t>Idle</t>
        </is>
      </c>
      <c r="I221" s="222" t="inlineStr">
        <is>
          <t>52-10</t>
        </is>
      </c>
      <c r="J221" s="222" t="inlineStr">
        <is>
          <t>JOB-SETUP, INSPECTION, INSPECTION, JOB-CLOSEUP, JOB-CLOSEUP, JOB-CLOSEUP, JOB-CLOSEUP, INSPECTION, JOB-CLOSEUP</t>
        </is>
      </c>
    </row>
    <row r="222">
      <c r="A222" s="222" t="inlineStr">
        <is>
          <t>451</t>
        </is>
      </c>
      <c r="B222" s="222" t="inlineStr">
        <is>
          <t>521000-04-1-002</t>
        </is>
      </c>
      <c r="C222" s="222" t="inlineStr">
        <is>
          <t>521000-04-1-002 (03) / R/H FWD PAX/CREW DOOR INTEGRITY CHK</t>
        </is>
      </c>
      <c r="D222" s="222" t="inlineStr">
        <is>
          <t>1</t>
        </is>
      </c>
      <c r="E222" s="222" t="n">
        <v>1</v>
      </c>
      <c r="F222" s="222" t="n">
        <v>4.5</v>
      </c>
      <c r="G222" s="222" t="n">
        <v>12.6</v>
      </c>
      <c r="H222" s="222" t="inlineStr">
        <is>
          <t>Idle</t>
        </is>
      </c>
      <c r="I222" s="222" t="inlineStr">
        <is>
          <t>52-10</t>
        </is>
      </c>
      <c r="J222" s="222" t="inlineStr">
        <is>
          <t>JOB-SETUP, INSPECTION, INSPECTION, JOB-CLOSEUP, JOB-CLOSEUP, JOB-CLOSEUP, JOB-CLOSEUP, INSPECTION, JOB-CLOSEUP</t>
        </is>
      </c>
    </row>
    <row r="223">
      <c r="A223" s="222" t="inlineStr">
        <is>
          <t>452</t>
        </is>
      </c>
      <c r="B223" s="222" t="inlineStr">
        <is>
          <t>521000-04-1-003</t>
        </is>
      </c>
      <c r="C223" s="222" t="inlineStr">
        <is>
          <t>521000-04-1-003 (03) / L/H AFT PAX/CREW DOOR INTEGRITY CHK</t>
        </is>
      </c>
      <c r="D223" s="222" t="inlineStr">
        <is>
          <t>1</t>
        </is>
      </c>
      <c r="E223" s="222" t="n">
        <v>1</v>
      </c>
      <c r="F223" s="222" t="n">
        <v>5.5</v>
      </c>
      <c r="G223" s="222" t="n">
        <v>20.1</v>
      </c>
      <c r="H223" s="222" t="inlineStr">
        <is>
          <t>Idle</t>
        </is>
      </c>
      <c r="I223" s="222" t="inlineStr">
        <is>
          <t>52-10</t>
        </is>
      </c>
      <c r="J223" s="222" t="inlineStr">
        <is>
          <t>INSPECTION, INSPECTION, INSPECTION, JOB-CLOSEUP, JOB-CLOSEUP, JOB-CLOSEUP, JOB-CLOSEUP, INSPECTION, JOB-CLOSEUP</t>
        </is>
      </c>
    </row>
    <row r="224">
      <c r="A224" s="222" t="inlineStr">
        <is>
          <t>453</t>
        </is>
      </c>
      <c r="B224" s="222" t="inlineStr">
        <is>
          <t>521000-04-1-004</t>
        </is>
      </c>
      <c r="C224" s="222" t="inlineStr">
        <is>
          <t>521000-04-1-004 (03) / R/H AFT PAX/CREW DOOR INTEGRITY CHK</t>
        </is>
      </c>
      <c r="D224" s="222" t="inlineStr">
        <is>
          <t>1</t>
        </is>
      </c>
      <c r="E224" s="222" t="n">
        <v>1</v>
      </c>
      <c r="F224" s="222" t="n">
        <v>4.5</v>
      </c>
      <c r="G224" s="222" t="n">
        <v>20.1</v>
      </c>
      <c r="H224" s="222" t="inlineStr">
        <is>
          <t>Idle</t>
        </is>
      </c>
      <c r="I224" s="222" t="inlineStr">
        <is>
          <t>52-10</t>
        </is>
      </c>
      <c r="J224" s="222" t="inlineStr">
        <is>
          <t>INSPECTION, INSPECTION, INSPECTION, JOB-CLOSEUP, JOB-CLOSEUP, JOB-CLOSEUP, JOB-CLOSEUP, INSPECTION, JOB-CLOSEUP</t>
        </is>
      </c>
    </row>
    <row r="225">
      <c r="A225" s="222" t="inlineStr">
        <is>
          <t>454</t>
        </is>
      </c>
      <c r="B225" s="222" t="inlineStr">
        <is>
          <t>521000-04-SVA</t>
        </is>
      </c>
      <c r="C225" s="222" t="inlineStr">
        <is>
          <t>521000-04-SVA (01) / AFT RH PASSENGER/CREW DOOR DAMPER AND EMERGENCY OPERATION CYLINDER DIAPHRAGM REPLACEMENT</t>
        </is>
      </c>
      <c r="D225" s="222" t="inlineStr">
        <is>
          <t>1</t>
        </is>
      </c>
      <c r="E225" s="222" t="n">
        <v>5</v>
      </c>
      <c r="F225" s="222" t="n"/>
      <c r="G225" s="222" t="n"/>
      <c r="H225" s="222" t="inlineStr">
        <is>
          <t>Not Started</t>
        </is>
      </c>
      <c r="I225" s="222" t="inlineStr">
        <is>
          <t>52-10</t>
        </is>
      </c>
      <c r="J225" s="222" t="inlineStr">
        <is>
          <t>JOB-SETUP, TC/P, INSPECTION, JOB-CLOSEUP</t>
        </is>
      </c>
    </row>
    <row r="226">
      <c r="A226" s="222" t="inlineStr">
        <is>
          <t>457</t>
        </is>
      </c>
      <c r="B226" s="222" t="inlineStr">
        <is>
          <t>521000-07-1-001</t>
        </is>
      </c>
      <c r="C226" s="222" t="inlineStr">
        <is>
          <t>521000-07-1-001 (4) / FWRD L/H&amp;R/H PASS/CREW DOR AJAST CK</t>
        </is>
      </c>
      <c r="D226" s="222" t="inlineStr">
        <is>
          <t>1</t>
        </is>
      </c>
      <c r="E226" s="222" t="n">
        <v>0.4</v>
      </c>
      <c r="F226" s="222" t="n">
        <v>7.5</v>
      </c>
      <c r="G226" s="222" t="n">
        <v>93.40000000000001</v>
      </c>
      <c r="H226" s="222" t="inlineStr">
        <is>
          <t>Idle</t>
        </is>
      </c>
      <c r="I226" s="222" t="inlineStr">
        <is>
          <t>52-10</t>
        </is>
      </c>
      <c r="J226" s="222" t="inlineStr">
        <is>
          <t>OPS/LK, OPS/LK, OPS/LK, JOB-CLOSEUP, JOB-CLOSEUP, JOB-CLOSEUP</t>
        </is>
      </c>
    </row>
    <row r="227">
      <c r="A227" s="222" t="inlineStr">
        <is>
          <t>458</t>
        </is>
      </c>
      <c r="B227" s="222" t="inlineStr">
        <is>
          <t>521000-07-1-002</t>
        </is>
      </c>
      <c r="C227" s="222" t="inlineStr">
        <is>
          <t>521000-07-1-002 (5) / AFT PASS/CREW DOORS ADJUSTMENT CHK</t>
        </is>
      </c>
      <c r="D227" s="222" t="inlineStr">
        <is>
          <t>1</t>
        </is>
      </c>
      <c r="E227" s="222" t="n">
        <v>0.4</v>
      </c>
      <c r="F227" s="222" t="n">
        <v>11.5</v>
      </c>
      <c r="G227" s="222" t="n">
        <v>93.3</v>
      </c>
      <c r="H227" s="222" t="inlineStr">
        <is>
          <t>Idle</t>
        </is>
      </c>
      <c r="I227" s="222" t="inlineStr">
        <is>
          <t>52-10</t>
        </is>
      </c>
      <c r="J227" s="222" t="inlineStr">
        <is>
          <t>OPS/LK, JOB-CLOSEUP, JOB-CLOSEUP, JOB-CLOSEUP, OPS/LK, OPS/LK</t>
        </is>
      </c>
    </row>
    <row r="228">
      <c r="A228" s="222" t="inlineStr">
        <is>
          <t>462</t>
        </is>
      </c>
      <c r="B228" s="222" t="inlineStr">
        <is>
          <t>521000-11-1</t>
        </is>
      </c>
      <c r="C228" s="222" t="inlineStr">
        <is>
          <t>521000-11-1 (6) / PASS/CREW DOORS STRIKERS MECHNSM OP</t>
        </is>
      </c>
      <c r="D228" s="222" t="inlineStr">
        <is>
          <t>1</t>
        </is>
      </c>
      <c r="E228" s="222" t="n">
        <v>1.5</v>
      </c>
      <c r="F228" s="222" t="n"/>
      <c r="G228" s="222" t="n"/>
      <c r="H228" s="222" t="inlineStr">
        <is>
          <t>Not Started</t>
        </is>
      </c>
      <c r="I228" s="222" t="inlineStr">
        <is>
          <t>52-10</t>
        </is>
      </c>
      <c r="J228" s="222" t="inlineStr">
        <is>
          <t>OPS/LK, OPS/LK, OPS/LK, OPS/LK, OPS/LK, OPS/LK, OPS/LK, OPS/LK, OPS/LK, OPS/LK</t>
        </is>
      </c>
    </row>
    <row r="229">
      <c r="A229" s="222" t="inlineStr">
        <is>
          <t>465</t>
        </is>
      </c>
      <c r="B229" s="222" t="inlineStr">
        <is>
          <t>521121-02-1</t>
        </is>
      </c>
      <c r="C229" s="222" t="inlineStr">
        <is>
          <t>521121-02-1 (4) / PASSENGER/CREW DOORS LUBRICATION</t>
        </is>
      </c>
      <c r="D229" s="222" t="inlineStr">
        <is>
          <t>1</t>
        </is>
      </c>
      <c r="E229" s="222" t="n">
        <v>0.9</v>
      </c>
      <c r="F229" s="222" t="n"/>
      <c r="G229" s="222" t="n"/>
      <c r="H229" s="222" t="inlineStr">
        <is>
          <t>Not Started</t>
        </is>
      </c>
      <c r="I229" s="222" t="inlineStr">
        <is>
          <t>12-22</t>
        </is>
      </c>
      <c r="J229" s="222" t="inlineStr">
        <is>
          <t>TC/P, TC/P, TC/P, TC/P</t>
        </is>
      </c>
    </row>
    <row r="230">
      <c r="A230" s="222" t="inlineStr">
        <is>
          <t>466</t>
        </is>
      </c>
      <c r="B230" s="222" t="inlineStr">
        <is>
          <t>522100-01-1</t>
        </is>
      </c>
      <c r="C230" s="222" t="inlineStr">
        <is>
          <t>522100-01-1 (02) / PAX EMER EXIT OPENING FROM INSIDE</t>
        </is>
      </c>
      <c r="D230" s="222" t="inlineStr">
        <is>
          <t>1</t>
        </is>
      </c>
      <c r="E230" s="222" t="n">
        <v>3.5</v>
      </c>
      <c r="F230" s="222" t="n"/>
      <c r="G230" s="222" t="n"/>
      <c r="H230" s="222" t="inlineStr">
        <is>
          <t>Not Started</t>
        </is>
      </c>
      <c r="I230" s="222" t="inlineStr">
        <is>
          <t>52-21</t>
        </is>
      </c>
      <c r="J230" s="222" t="inlineStr">
        <is>
          <t>JOB-SETUP, OPS/LK, JOB-CLOSEUP</t>
        </is>
      </c>
    </row>
    <row r="231">
      <c r="A231" s="222" t="inlineStr">
        <is>
          <t>467</t>
        </is>
      </c>
      <c r="B231" s="222" t="inlineStr">
        <is>
          <t>522100-02-5</t>
        </is>
      </c>
      <c r="C231" s="222" t="inlineStr">
        <is>
          <t>522100-02-5 (04) / PASSENGER COMP EMERGENCY EXIT FNC</t>
        </is>
      </c>
      <c r="D231" s="222" t="inlineStr">
        <is>
          <t>1</t>
        </is>
      </c>
      <c r="E231" s="222" t="n">
        <v>3.5</v>
      </c>
      <c r="F231" s="222" t="n"/>
      <c r="G231" s="222" t="n"/>
      <c r="H231" s="222" t="inlineStr">
        <is>
          <t>Not Started</t>
        </is>
      </c>
      <c r="I231" s="222" t="inlineStr">
        <is>
          <t>52-21</t>
        </is>
      </c>
      <c r="J231" s="222" t="inlineStr">
        <is>
          <t>JOB-SETUP, OPS/LK, OPS/LK, JOB-CLOSEUP, JOB-CLOSEUP</t>
        </is>
      </c>
    </row>
    <row r="232">
      <c r="A232" s="222" t="inlineStr">
        <is>
          <t>468</t>
        </is>
      </c>
      <c r="B232" s="222" t="inlineStr">
        <is>
          <t>522100-07-5</t>
        </is>
      </c>
      <c r="C232" s="222" t="inlineStr">
        <is>
          <t>522100-07-5 (03) / EMERGENCY EXIT HATCH OPERATION</t>
        </is>
      </c>
      <c r="D232" s="222" t="inlineStr">
        <is>
          <t>1</t>
        </is>
      </c>
      <c r="E232" s="222" t="n">
        <v>3.5</v>
      </c>
      <c r="F232" s="222" t="n"/>
      <c r="G232" s="222" t="n"/>
      <c r="H232" s="222" t="inlineStr">
        <is>
          <t>Not Started</t>
        </is>
      </c>
      <c r="I232" s="222" t="inlineStr">
        <is>
          <t>52-21</t>
        </is>
      </c>
      <c r="J232" s="222" t="inlineStr">
        <is>
          <t>JOB-SETUP, OPS/LK, OPS/LK, JOB-CLOSEUP</t>
        </is>
      </c>
    </row>
    <row r="233">
      <c r="A233" s="222" t="inlineStr">
        <is>
          <t>469</t>
        </is>
      </c>
      <c r="B233" s="222" t="inlineStr">
        <is>
          <t>522100-08-1</t>
        </is>
      </c>
      <c r="C233" s="222" t="inlineStr">
        <is>
          <t>522100-08-1 (02) / PASSENGER COMPT EMERGENCY EXIT OPC</t>
        </is>
      </c>
      <c r="D233" s="222" t="inlineStr">
        <is>
          <t>1</t>
        </is>
      </c>
      <c r="E233" s="222" t="n">
        <v>3.5</v>
      </c>
      <c r="F233" s="222" t="n"/>
      <c r="G233" s="222" t="n"/>
      <c r="H233" s="222" t="inlineStr">
        <is>
          <t>Not Started</t>
        </is>
      </c>
      <c r="I233" s="222" t="inlineStr">
        <is>
          <t>52-21</t>
        </is>
      </c>
      <c r="J233" s="222" t="inlineStr">
        <is>
          <t>JOB-SETUP, OPS/LK, OPS/LK, JOB-CLOSEUP</t>
        </is>
      </c>
    </row>
    <row r="234">
      <c r="A234" s="222" t="inlineStr">
        <is>
          <t>470</t>
        </is>
      </c>
      <c r="B234" s="222" t="inlineStr">
        <is>
          <t>523100-01-1</t>
        </is>
      </c>
      <c r="C234" s="222" t="inlineStr">
        <is>
          <t>523100-01-1 (3) / FORWARD CARGO COMPARTMENT DOOR FNC</t>
        </is>
      </c>
      <c r="D234" s="222" t="inlineStr">
        <is>
          <t>1</t>
        </is>
      </c>
      <c r="E234" s="222" t="n">
        <v>0.4</v>
      </c>
      <c r="F234" s="222" t="n"/>
      <c r="G234" s="222" t="n"/>
      <c r="H234" s="222" t="inlineStr">
        <is>
          <t>Not Started</t>
        </is>
      </c>
      <c r="I234" s="222" t="inlineStr">
        <is>
          <t>52-31</t>
        </is>
      </c>
      <c r="J234" s="222" t="inlineStr">
        <is>
          <t>JOB-SETUP, OPS/LK, JOB-CLOSEUP, JOB-CLOSEUP</t>
        </is>
      </c>
    </row>
    <row r="235">
      <c r="A235" s="222" t="inlineStr">
        <is>
          <t>471</t>
        </is>
      </c>
      <c r="B235" s="222" t="inlineStr">
        <is>
          <t>523200-01-1</t>
        </is>
      </c>
      <c r="C235" s="222" t="inlineStr">
        <is>
          <t>523200-01-1 (3) / AFT CARGO COMPARTMENT DOOR FNC</t>
        </is>
      </c>
      <c r="D235" s="222" t="inlineStr">
        <is>
          <t>1</t>
        </is>
      </c>
      <c r="E235" s="222" t="n">
        <v>0.4</v>
      </c>
      <c r="F235" s="222" t="n"/>
      <c r="G235" s="222" t="n"/>
      <c r="H235" s="222" t="inlineStr">
        <is>
          <t>Not Started</t>
        </is>
      </c>
      <c r="I235" s="222" t="inlineStr">
        <is>
          <t>52-32</t>
        </is>
      </c>
      <c r="J235" s="222" t="inlineStr">
        <is>
          <t>JOB-SETUP, OPS/LK, JOB-CLOSEUP, JOB-CLOSEUP</t>
        </is>
      </c>
    </row>
    <row r="236">
      <c r="A236" s="222" t="inlineStr">
        <is>
          <t>472</t>
        </is>
      </c>
      <c r="B236" s="222" t="inlineStr">
        <is>
          <t>524100-02-1</t>
        </is>
      </c>
      <c r="C236" s="222" t="inlineStr">
        <is>
          <t>524100-02-1 (2) / AVNICS COMPT DOORS HNDLE LUBRICATION</t>
        </is>
      </c>
      <c r="D236" s="222" t="inlineStr">
        <is>
          <t>1</t>
        </is>
      </c>
      <c r="E236" s="222" t="n">
        <v>0.4</v>
      </c>
      <c r="F236" s="222" t="n"/>
      <c r="G236" s="222" t="n"/>
      <c r="H236" s="222" t="inlineStr">
        <is>
          <t>Not Started</t>
        </is>
      </c>
      <c r="I236" s="222" t="inlineStr">
        <is>
          <t>12-22</t>
        </is>
      </c>
      <c r="J236" s="222" t="inlineStr">
        <is>
          <t>TC/P</t>
        </is>
      </c>
    </row>
    <row r="237">
      <c r="A237" s="222" t="inlineStr">
        <is>
          <t>479</t>
        </is>
      </c>
      <c r="B237" s="222" t="inlineStr">
        <is>
          <t>527300-01-1</t>
        </is>
      </c>
      <c r="C237" s="222" t="inlineStr">
        <is>
          <t>527300-01-1 (04) / EMERGENCY ESCAPE SLIDE WARNING SYS</t>
        </is>
      </c>
      <c r="D237" s="222" t="inlineStr">
        <is>
          <t>1</t>
        </is>
      </c>
      <c r="E237" s="222" t="n">
        <v>0.2</v>
      </c>
      <c r="F237" s="222" t="n"/>
      <c r="G237" s="222" t="n"/>
      <c r="H237" s="222" t="inlineStr">
        <is>
          <t>Not Started</t>
        </is>
      </c>
      <c r="I237" s="222" t="inlineStr">
        <is>
          <t>52-73</t>
        </is>
      </c>
      <c r="J237" s="222" t="inlineStr">
        <is>
          <t>OPS/LK, OPS/LK, OPS/LK, OPS/LK</t>
        </is>
      </c>
    </row>
    <row r="238">
      <c r="A238" s="222" t="inlineStr">
        <is>
          <t>481</t>
        </is>
      </c>
      <c r="B238" s="222" t="inlineStr">
        <is>
          <t>531151-02-1</t>
        </is>
      </c>
      <c r="C238" s="222" t="inlineStr">
        <is>
          <t>531151-02-1 (1) / DETAILED INSPECTION OF DOOR STOP FITTINGS PROTRUDING PART NOT COVERED BY THE LINING ON FRAME 16 AND FRAME 20, LH/RH.</t>
        </is>
      </c>
      <c r="D238" s="222" t="inlineStr">
        <is>
          <t>1</t>
        </is>
      </c>
      <c r="E238" s="222" t="n"/>
      <c r="F238" s="222" t="n">
        <v>2</v>
      </c>
      <c r="G238" s="222" t="n">
        <v>97.09999999999999</v>
      </c>
      <c r="H238" s="222" t="inlineStr">
        <is>
          <t>Idle</t>
        </is>
      </c>
      <c r="I238" s="222" t="inlineStr">
        <is>
          <t>53-11</t>
        </is>
      </c>
      <c r="J238" s="222" t="inlineStr"/>
    </row>
    <row r="239">
      <c r="A239" s="222" t="inlineStr">
        <is>
          <t>483</t>
        </is>
      </c>
      <c r="B239" s="222" t="inlineStr">
        <is>
          <t>531178-02-1</t>
        </is>
      </c>
      <c r="C239" s="222" t="inlineStr">
        <is>
          <t>531178-02-1 (3) / GENERAL VISUAL INSPECTION OF COCKPIT WINDSHIELD, EXTERNAL VISIBLE PORTION OF RETAINERS.</t>
        </is>
      </c>
      <c r="D239" s="222" t="inlineStr">
        <is>
          <t>1</t>
        </is>
      </c>
      <c r="E239" s="222" t="n"/>
      <c r="F239" s="222" t="n">
        <v>11</v>
      </c>
      <c r="G239" s="222" t="n">
        <v>25.5</v>
      </c>
      <c r="H239" s="222" t="inlineStr">
        <is>
          <t>Idle</t>
        </is>
      </c>
      <c r="I239" s="222" t="inlineStr">
        <is>
          <t>53-11</t>
        </is>
      </c>
      <c r="J239" s="222" t="inlineStr">
        <is>
          <t>JOB-SETUP, INSPECTION, JOB-CLOSEUP</t>
        </is>
      </c>
    </row>
    <row r="240">
      <c r="A240" s="222" t="inlineStr">
        <is>
          <t>484</t>
        </is>
      </c>
      <c r="B240" s="222" t="inlineStr">
        <is>
          <t>531182-02-1</t>
        </is>
      </c>
      <c r="C240" s="222" t="inlineStr">
        <is>
          <t>531182-02-1 (1) / DET INSP OF SLIDING WINDOW FRAME, UPPER AND LOWER FRAMES AND FR4 &amp; FR8 FRAMES, INTERNAL STR FROM FR4 TO FR8 LH/RH</t>
        </is>
      </c>
      <c r="D240" s="222" t="inlineStr">
        <is>
          <t>1</t>
        </is>
      </c>
      <c r="E240" s="222" t="n">
        <v>2.3</v>
      </c>
      <c r="F240" s="222" t="n"/>
      <c r="G240" s="222" t="n"/>
      <c r="H240" s="222" t="inlineStr">
        <is>
          <t>Not Started</t>
        </is>
      </c>
      <c r="I240" s="222" t="inlineStr">
        <is>
          <t>53-11</t>
        </is>
      </c>
      <c r="J240" s="222" t="inlineStr">
        <is>
          <t>JOB-SETUP, INSPECTION, JOB-CLOSEUP</t>
        </is>
      </c>
    </row>
    <row r="241">
      <c r="A241" s="222" t="inlineStr">
        <is>
          <t>485</t>
        </is>
      </c>
      <c r="B241" s="222" t="inlineStr">
        <is>
          <t>531900-03-1</t>
        </is>
      </c>
      <c r="C241" s="222" t="inlineStr">
        <is>
          <t>531900-03-1 (2) / FUSLGE SHEL PSTN TYP DRAIN VLV OPC</t>
        </is>
      </c>
      <c r="D241" s="222" t="inlineStr">
        <is>
          <t>1</t>
        </is>
      </c>
      <c r="E241" s="222" t="n">
        <v>1.3</v>
      </c>
      <c r="F241" s="222" t="n"/>
      <c r="G241" s="222" t="n"/>
      <c r="H241" s="222" t="inlineStr">
        <is>
          <t>Not Started</t>
        </is>
      </c>
      <c r="I241" s="222" t="inlineStr">
        <is>
          <t>53-19</t>
        </is>
      </c>
      <c r="J241" s="222" t="inlineStr">
        <is>
          <t>OPS/LK</t>
        </is>
      </c>
    </row>
    <row r="242">
      <c r="A242" s="222" t="inlineStr">
        <is>
          <t>490</t>
        </is>
      </c>
      <c r="B242" s="222" t="inlineStr">
        <is>
          <t>533900-01-1</t>
        </is>
      </c>
      <c r="C242" s="222" t="inlineStr">
        <is>
          <t>533900-01-1 (2) / RUBBER FLAP DRAIN VLV OPC</t>
        </is>
      </c>
      <c r="D242" s="222" t="inlineStr">
        <is>
          <t>1</t>
        </is>
      </c>
      <c r="E242" s="222" t="n">
        <v>0.2</v>
      </c>
      <c r="F242" s="222" t="n"/>
      <c r="G242" s="222" t="n"/>
      <c r="H242" s="222" t="inlineStr">
        <is>
          <t>Not Started</t>
        </is>
      </c>
      <c r="I242" s="222" t="inlineStr">
        <is>
          <t>53-39</t>
        </is>
      </c>
      <c r="J242" s="222" t="inlineStr">
        <is>
          <t>OPS/LK</t>
        </is>
      </c>
    </row>
    <row r="243">
      <c r="A243" s="222" t="inlineStr">
        <is>
          <t>491</t>
        </is>
      </c>
      <c r="B243" s="222" t="inlineStr">
        <is>
          <t>534134-02-1</t>
        </is>
      </c>
      <c r="C243" s="222" t="inlineStr">
        <is>
          <t>534134-02-1 (1) / DETAILED INSP. OF DOOR STOP FITTINGS PROTRUDING PART NOT COVERED BY THE LINING ON FRAME 66 AND 68, LH/RH.</t>
        </is>
      </c>
      <c r="D243" s="222" t="inlineStr">
        <is>
          <t>1</t>
        </is>
      </c>
      <c r="E243" s="222" t="n"/>
      <c r="F243" s="222" t="n">
        <v>2.7</v>
      </c>
      <c r="G243" s="222" t="n">
        <v>97.09999999999999</v>
      </c>
      <c r="H243" s="222" t="inlineStr">
        <is>
          <t>Idle</t>
        </is>
      </c>
      <c r="I243" s="222" t="inlineStr">
        <is>
          <t>53-41</t>
        </is>
      </c>
      <c r="J243" s="222" t="inlineStr"/>
    </row>
    <row r="244">
      <c r="A244" s="222" t="inlineStr">
        <is>
          <t>492</t>
        </is>
      </c>
      <c r="B244" s="222" t="inlineStr">
        <is>
          <t>534144-01-1</t>
        </is>
      </c>
      <c r="C244" s="222" t="inlineStr">
        <is>
          <t>534144-01-1 (02) / FUSELAG INTERNAL STRUCT FR65-70 INSP</t>
        </is>
      </c>
      <c r="D244" s="222" t="inlineStr">
        <is>
          <t>1</t>
        </is>
      </c>
      <c r="E244" s="222" t="n">
        <v>1.5</v>
      </c>
      <c r="F244" s="222" t="n">
        <v>3</v>
      </c>
      <c r="G244" s="222" t="n">
        <v>142.7</v>
      </c>
      <c r="H244" s="222" t="inlineStr">
        <is>
          <t>Idle</t>
        </is>
      </c>
      <c r="I244" s="222" t="inlineStr">
        <is>
          <t>53-41</t>
        </is>
      </c>
      <c r="J244" s="222" t="inlineStr">
        <is>
          <t>JOB-SETUP, CLEAN-UP, INSPECTION, INSPECTION, JOB-CLOSEUP</t>
        </is>
      </c>
    </row>
    <row r="245">
      <c r="A245" s="222" t="inlineStr">
        <is>
          <t>495</t>
        </is>
      </c>
      <c r="B245" s="222" t="inlineStr">
        <is>
          <t>535900-01-1</t>
        </is>
      </c>
      <c r="C245" s="222" t="inlineStr">
        <is>
          <t>535900-01-1 (3) / FUSELAGE DRAINAGE</t>
        </is>
      </c>
      <c r="D245" s="222" t="inlineStr">
        <is>
          <t>1</t>
        </is>
      </c>
      <c r="E245" s="222" t="n">
        <v>0.1</v>
      </c>
      <c r="F245" s="222" t="n"/>
      <c r="G245" s="222" t="n"/>
      <c r="H245" s="222" t="inlineStr">
        <is>
          <t>Not Started</t>
        </is>
      </c>
      <c r="I245" s="222" t="inlineStr">
        <is>
          <t>53-59</t>
        </is>
      </c>
      <c r="J245" s="222" t="inlineStr">
        <is>
          <t>OPS/LK</t>
        </is>
      </c>
    </row>
    <row r="246">
      <c r="A246" s="222" t="inlineStr">
        <is>
          <t>496</t>
        </is>
      </c>
      <c r="B246" s="222" t="inlineStr">
        <is>
          <t>535900-02-1</t>
        </is>
      </c>
      <c r="C246" s="222" t="inlineStr">
        <is>
          <t>535900-02-1 (2) / BULK CARGO COMPARTMENT DOOR RUBBER FLAP DRAIN VALVE OPC</t>
        </is>
      </c>
      <c r="D246" s="222" t="inlineStr">
        <is>
          <t>1</t>
        </is>
      </c>
      <c r="E246" s="222" t="n">
        <v>0.2</v>
      </c>
      <c r="F246" s="222" t="n"/>
      <c r="G246" s="222" t="n"/>
      <c r="H246" s="222" t="inlineStr">
        <is>
          <t>Not Started</t>
        </is>
      </c>
      <c r="I246" s="222" t="inlineStr">
        <is>
          <t>53-59</t>
        </is>
      </c>
      <c r="J246" s="222" t="inlineStr">
        <is>
          <t>OPS/LK</t>
        </is>
      </c>
    </row>
    <row r="247">
      <c r="A247" s="222" t="inlineStr">
        <is>
          <t>501</t>
        </is>
      </c>
      <c r="B247" s="222" t="inlineStr">
        <is>
          <t>545000-05-1-001</t>
        </is>
      </c>
      <c r="C247" s="222" t="inlineStr">
        <is>
          <t>545000-05-1-001 (01) / L/H PYLON FIRE SEALS INSP</t>
        </is>
      </c>
      <c r="D247" s="222" t="inlineStr">
        <is>
          <t>1</t>
        </is>
      </c>
      <c r="E247" s="222" t="n">
        <v>1.6</v>
      </c>
      <c r="F247" s="222" t="n">
        <v>4.5</v>
      </c>
      <c r="G247" s="222" t="n">
        <v>206.3</v>
      </c>
      <c r="H247" s="222" t="inlineStr">
        <is>
          <t>Idle</t>
        </is>
      </c>
      <c r="I247" s="222" t="inlineStr">
        <is>
          <t>05-21</t>
        </is>
      </c>
      <c r="J247" s="222" t="inlineStr">
        <is>
          <t>JOB-SETUP, CLEAN-UP, INSPECTION, JOB-CLOSEUP</t>
        </is>
      </c>
    </row>
    <row r="248">
      <c r="A248" s="222" t="inlineStr">
        <is>
          <t>502</t>
        </is>
      </c>
      <c r="B248" s="222" t="inlineStr">
        <is>
          <t>545000-05-1-002</t>
        </is>
      </c>
      <c r="C248" s="222" t="inlineStr">
        <is>
          <t>545000-05-1-002 (01) / R/H PYLON FIRE SEALS INSP</t>
        </is>
      </c>
      <c r="D248" s="222" t="inlineStr">
        <is>
          <t>1</t>
        </is>
      </c>
      <c r="E248" s="222" t="n">
        <v>1.6</v>
      </c>
      <c r="F248" s="222" t="n">
        <v>5.3</v>
      </c>
      <c r="G248" s="222" t="n">
        <v>206.9</v>
      </c>
      <c r="H248" s="222" t="inlineStr">
        <is>
          <t>Idle</t>
        </is>
      </c>
      <c r="I248" s="222" t="inlineStr">
        <is>
          <t>05-21</t>
        </is>
      </c>
      <c r="J248" s="222" t="inlineStr">
        <is>
          <t>JOB-SETUP, CLEAN-UP, INSPECTION, JOB-CLOSEUP</t>
        </is>
      </c>
    </row>
    <row r="249">
      <c r="A249" s="222" t="inlineStr">
        <is>
          <t>507</t>
        </is>
      </c>
      <c r="B249" s="222" t="inlineStr">
        <is>
          <t>552600-01-1</t>
        </is>
      </c>
      <c r="C249" s="222" t="inlineStr">
        <is>
          <t>552600-01-1 (1) / FUNCTIONAL CHECK OF ELEVATOR HINGE LINE BEARINGS AND ATTACHMENTS FOR EXCESSIVE FREE PLAY AND CONDITION.</t>
        </is>
      </c>
      <c r="D249" s="222" t="inlineStr">
        <is>
          <t>1</t>
        </is>
      </c>
      <c r="E249" s="222" t="n">
        <v>1.2</v>
      </c>
      <c r="F249" s="222" t="n">
        <v>84</v>
      </c>
      <c r="G249" s="222" t="n">
        <v>99.59999999999999</v>
      </c>
      <c r="H249" s="222" t="inlineStr">
        <is>
          <t>Idle</t>
        </is>
      </c>
      <c r="I249" s="222" t="inlineStr">
        <is>
          <t>20-00</t>
        </is>
      </c>
      <c r="J249" s="222" t="inlineStr"/>
    </row>
    <row r="250">
      <c r="A250" s="222" t="inlineStr">
        <is>
          <t>508</t>
        </is>
      </c>
      <c r="B250" s="222" t="inlineStr">
        <is>
          <t>553600-01-1</t>
        </is>
      </c>
      <c r="C250" s="222" t="inlineStr">
        <is>
          <t>553600-01-1 (06) / FUNCTIONAL CHECK OF RUDDER HINGE LINE BEARINGS AND ATTACHMENTS FOR EXCESSIVE PLAY AND CONDITION</t>
        </is>
      </c>
      <c r="D250" s="222" t="inlineStr">
        <is>
          <t>1</t>
        </is>
      </c>
      <c r="E250" s="222" t="n">
        <v>5.8</v>
      </c>
      <c r="F250" s="222" t="n"/>
      <c r="G250" s="222" t="n"/>
      <c r="H250" s="222" t="inlineStr">
        <is>
          <t>Not Started</t>
        </is>
      </c>
      <c r="I250" s="222" t="inlineStr">
        <is>
          <t>55-47</t>
        </is>
      </c>
      <c r="J250" s="222" t="inlineStr">
        <is>
          <t>TC/P</t>
        </is>
      </c>
    </row>
    <row r="251">
      <c r="A251" s="222" t="inlineStr">
        <is>
          <t>509</t>
        </is>
      </c>
      <c r="B251" s="222" t="inlineStr">
        <is>
          <t>561200-02-1</t>
        </is>
      </c>
      <c r="C251" s="222" t="inlineStr">
        <is>
          <t>561200-02-1 (2) / COCKPIT SLIDING WINDOW LUBRICATION</t>
        </is>
      </c>
      <c r="D251" s="222" t="inlineStr">
        <is>
          <t>1</t>
        </is>
      </c>
      <c r="E251" s="222" t="n">
        <v>0.4</v>
      </c>
      <c r="F251" s="222" t="n"/>
      <c r="G251" s="222" t="n"/>
      <c r="H251" s="222" t="inlineStr">
        <is>
          <t>Not Started</t>
        </is>
      </c>
      <c r="I251" s="222" t="inlineStr">
        <is>
          <t>12-22</t>
        </is>
      </c>
      <c r="J251" s="222" t="inlineStr">
        <is>
          <t>TC/P</t>
        </is>
      </c>
    </row>
    <row r="252">
      <c r="A252" s="222" t="inlineStr">
        <is>
          <t>510</t>
        </is>
      </c>
      <c r="B252" s="222" t="inlineStr">
        <is>
          <t>572178-01-1-001</t>
        </is>
      </c>
      <c r="C252" s="222" t="inlineStr">
        <is>
          <t>572178-01-1-001 (03) / L/H OUTER WING, TOP SKIN INSP</t>
        </is>
      </c>
      <c r="D252" s="222" t="inlineStr">
        <is>
          <t>1</t>
        </is>
      </c>
      <c r="E252" s="222" t="n">
        <v>1</v>
      </c>
      <c r="F252" s="222" t="n">
        <v>1.5</v>
      </c>
      <c r="G252" s="222" t="n">
        <v>134.6</v>
      </c>
      <c r="H252" s="222" t="inlineStr">
        <is>
          <t>Idle</t>
        </is>
      </c>
      <c r="I252" s="222" t="inlineStr">
        <is>
          <t>05-21</t>
        </is>
      </c>
      <c r="J252" s="222" t="inlineStr">
        <is>
          <t>JOB-SETUP, CLEAN-UP, INSPECTION, INSPECTION, JOB-CLOSEUP</t>
        </is>
      </c>
    </row>
    <row r="253">
      <c r="A253" s="222" t="inlineStr">
        <is>
          <t>511</t>
        </is>
      </c>
      <c r="B253" s="222" t="inlineStr">
        <is>
          <t>572178-01-1-002</t>
        </is>
      </c>
      <c r="C253" s="222" t="inlineStr">
        <is>
          <t>572178-01-1-002 (03) / R/H OUTER WING, TOP SKIN INSP</t>
        </is>
      </c>
      <c r="D253" s="222" t="inlineStr">
        <is>
          <t>1</t>
        </is>
      </c>
      <c r="E253" s="222" t="n">
        <v>1</v>
      </c>
      <c r="F253" s="222" t="n">
        <v>1.2</v>
      </c>
      <c r="G253" s="222" t="n">
        <v>135.7</v>
      </c>
      <c r="H253" s="222" t="inlineStr">
        <is>
          <t>Idle</t>
        </is>
      </c>
      <c r="I253" s="222" t="inlineStr">
        <is>
          <t>05-21</t>
        </is>
      </c>
      <c r="J253" s="222" t="inlineStr">
        <is>
          <t>JOB-SETUP, CLEAN-UP, INSPECTION, INSPECTION, JOB-CLOSEUP</t>
        </is>
      </c>
    </row>
    <row r="254">
      <c r="A254" s="222" t="inlineStr">
        <is>
          <t>512</t>
        </is>
      </c>
      <c r="B254" s="222" t="inlineStr">
        <is>
          <t>572179-01-1-001</t>
        </is>
      </c>
      <c r="C254" s="222" t="inlineStr">
        <is>
          <t>572179-01-1-001 (03) / L/H OUTER WING TOP SKIN RIB 11 TO 27 INSP</t>
        </is>
      </c>
      <c r="D254" s="222" t="inlineStr">
        <is>
          <t>1</t>
        </is>
      </c>
      <c r="E254" s="222" t="n">
        <v>1</v>
      </c>
      <c r="F254" s="222" t="n">
        <v>3</v>
      </c>
      <c r="G254" s="222" t="n">
        <v>134.4</v>
      </c>
      <c r="H254" s="222" t="inlineStr">
        <is>
          <t>Idle</t>
        </is>
      </c>
      <c r="I254" s="222" t="inlineStr">
        <is>
          <t>05-21</t>
        </is>
      </c>
      <c r="J254" s="222" t="inlineStr">
        <is>
          <t>JOB-SETUP, CLEAN-UP, INSPECTION, INSPECTION, JOB-CLOSEUP</t>
        </is>
      </c>
    </row>
    <row r="255">
      <c r="A255" s="222" t="inlineStr">
        <is>
          <t>513</t>
        </is>
      </c>
      <c r="B255" s="222" t="inlineStr">
        <is>
          <t>572179-01-1-002</t>
        </is>
      </c>
      <c r="C255" s="222" t="inlineStr">
        <is>
          <t>572179-01-1-002 (03) / R/H OUTER WING TOP SKIN RIB 11 TO 27 INSP</t>
        </is>
      </c>
      <c r="D255" s="222" t="inlineStr">
        <is>
          <t>1</t>
        </is>
      </c>
      <c r="E255" s="222" t="n">
        <v>1</v>
      </c>
      <c r="F255" s="222" t="n">
        <v>1.5</v>
      </c>
      <c r="G255" s="222" t="n">
        <v>180.7</v>
      </c>
      <c r="H255" s="222" t="inlineStr">
        <is>
          <t>Idle</t>
        </is>
      </c>
      <c r="I255" s="222" t="inlineStr">
        <is>
          <t>05-21</t>
        </is>
      </c>
      <c r="J255" s="222" t="inlineStr">
        <is>
          <t>JOB-SETUP, CLEAN-UP, INSPECTION, INSPECTION, JOB-CLOSEUP</t>
        </is>
      </c>
    </row>
    <row r="256">
      <c r="A256" s="222" t="inlineStr">
        <is>
          <t>525</t>
        </is>
      </c>
      <c r="B256" s="222" t="inlineStr">
        <is>
          <t>711300-C1-1-001</t>
        </is>
      </c>
      <c r="C256" s="222" t="inlineStr">
        <is>
          <t>711300-C1-1-001 (02) / NO. 1 ENGINE FAN COWL LATCH TENSION</t>
        </is>
      </c>
      <c r="D256" s="222" t="inlineStr">
        <is>
          <t>1</t>
        </is>
      </c>
      <c r="E256" s="222" t="n">
        <v>1.2</v>
      </c>
      <c r="F256" s="222" t="n"/>
      <c r="G256" s="222" t="n"/>
      <c r="H256" s="222" t="inlineStr">
        <is>
          <t>Not Started</t>
        </is>
      </c>
      <c r="I256" s="222" t="inlineStr">
        <is>
          <t>71-13</t>
        </is>
      </c>
      <c r="J256" s="222" t="inlineStr">
        <is>
          <t>OPS/LK, OPS/LK</t>
        </is>
      </c>
    </row>
    <row r="257">
      <c r="A257" s="222" t="inlineStr">
        <is>
          <t>526</t>
        </is>
      </c>
      <c r="B257" s="222" t="inlineStr">
        <is>
          <t>711300-C1-1-002</t>
        </is>
      </c>
      <c r="C257" s="222" t="inlineStr">
        <is>
          <t>711300-C1-1-002 (02) / NO. 2 ENGINE FAN COWL LATCH TENSION</t>
        </is>
      </c>
      <c r="D257" s="222" t="inlineStr">
        <is>
          <t>1</t>
        </is>
      </c>
      <c r="E257" s="222" t="n">
        <v>1.2</v>
      </c>
      <c r="F257" s="222" t="n"/>
      <c r="G257" s="222" t="n"/>
      <c r="H257" s="222" t="inlineStr">
        <is>
          <t>Not Started</t>
        </is>
      </c>
      <c r="I257" s="222" t="inlineStr">
        <is>
          <t>71-13</t>
        </is>
      </c>
      <c r="J257" s="222" t="inlineStr">
        <is>
          <t>OPS/LK, OPS/LK</t>
        </is>
      </c>
    </row>
    <row r="258">
      <c r="A258" s="222" t="inlineStr">
        <is>
          <t>537</t>
        </is>
      </c>
      <c r="B258" s="222" t="inlineStr">
        <is>
          <t>712213-01-1-001</t>
        </is>
      </c>
      <c r="C258" s="222" t="inlineStr">
        <is>
          <t>712213-01-1-001 (02) / NO. 1 ENGINE AFT MOUNT PINS INSP</t>
        </is>
      </c>
      <c r="D258" s="222" t="inlineStr">
        <is>
          <t>1</t>
        </is>
      </c>
      <c r="E258" s="222" t="n">
        <v>2.2</v>
      </c>
      <c r="F258" s="222" t="n">
        <v>24</v>
      </c>
      <c r="G258" s="222" t="n">
        <v>46.7</v>
      </c>
      <c r="H258" s="222" t="inlineStr">
        <is>
          <t>Idle</t>
        </is>
      </c>
      <c r="I258" s="222" t="inlineStr">
        <is>
          <t>71-22</t>
        </is>
      </c>
      <c r="J258" s="222" t="inlineStr">
        <is>
          <t>JOB-SETUP, INSPECTION, INSPECTION, INSPECTION, INSPECTION, INSPECTION, INSPECTION, JOB-CLOSEUP</t>
        </is>
      </c>
    </row>
    <row r="259">
      <c r="A259" s="222" t="inlineStr">
        <is>
          <t>538</t>
        </is>
      </c>
      <c r="B259" s="222" t="inlineStr">
        <is>
          <t>712213-01-1-002</t>
        </is>
      </c>
      <c r="C259" s="222" t="inlineStr">
        <is>
          <t>712213-01-1-002 (02) / NO. 2 ENGINE AFT MOUNT PINS INSP</t>
        </is>
      </c>
      <c r="D259" s="222" t="inlineStr">
        <is>
          <t>1</t>
        </is>
      </c>
      <c r="E259" s="222" t="n">
        <v>2.2</v>
      </c>
      <c r="F259" s="222" t="n">
        <v>24</v>
      </c>
      <c r="G259" s="222" t="n">
        <v>61.6</v>
      </c>
      <c r="H259" s="222" t="inlineStr">
        <is>
          <t>Idle</t>
        </is>
      </c>
      <c r="I259" s="222" t="inlineStr">
        <is>
          <t>71-22</t>
        </is>
      </c>
      <c r="J259" s="222" t="inlineStr">
        <is>
          <t>JOB-SETUP, INSPECTION, INSPECTION, INSPECTION, INSPECTION, INSPECTION, INSPECTION, JOB-CLOSEUP</t>
        </is>
      </c>
    </row>
    <row r="260">
      <c r="A260" s="222" t="inlineStr">
        <is>
          <t>541</t>
        </is>
      </c>
      <c r="B260" s="222" t="inlineStr">
        <is>
          <t>72-00-00-27-0-SVA-001</t>
        </is>
      </c>
      <c r="C260" s="222" t="inlineStr">
        <is>
          <t>72-00-00-27-0-SVA-001 (01) / DEPERSERVATION OF ENG# 1 POST C-CHK</t>
        </is>
      </c>
      <c r="D260" s="222" t="inlineStr">
        <is>
          <t>1</t>
        </is>
      </c>
      <c r="E260" s="222" t="n">
        <v>2</v>
      </c>
      <c r="F260" s="222" t="n"/>
      <c r="G260" s="222" t="n"/>
      <c r="H260" s="222" t="inlineStr">
        <is>
          <t>Not Started</t>
        </is>
      </c>
      <c r="I260" s="222" t="inlineStr">
        <is>
          <t>72</t>
        </is>
      </c>
      <c r="J260" s="222" t="inlineStr">
        <is>
          <t>OPS/LK</t>
        </is>
      </c>
    </row>
    <row r="261">
      <c r="A261" s="222" t="inlineStr">
        <is>
          <t>542</t>
        </is>
      </c>
      <c r="B261" s="222" t="inlineStr">
        <is>
          <t>72-00-00-27-0-SVA-002</t>
        </is>
      </c>
      <c r="C261" s="222" t="inlineStr">
        <is>
          <t>72-00-00-27-0-SVA-002 (01) / DEPERSERVATION OF ENG# 2 POST C-CHK</t>
        </is>
      </c>
      <c r="D261" s="222" t="inlineStr">
        <is>
          <t>1</t>
        </is>
      </c>
      <c r="E261" s="222" t="n">
        <v>2</v>
      </c>
      <c r="F261" s="222" t="n"/>
      <c r="G261" s="222" t="n"/>
      <c r="H261" s="222" t="inlineStr">
        <is>
          <t>Not Started</t>
        </is>
      </c>
      <c r="I261" s="222" t="inlineStr">
        <is>
          <t>72</t>
        </is>
      </c>
      <c r="J261" s="222" t="inlineStr">
        <is>
          <t>OPS/LK</t>
        </is>
      </c>
    </row>
    <row r="262">
      <c r="A262" s="222" t="inlineStr">
        <is>
          <t>543</t>
        </is>
      </c>
      <c r="B262" s="222" t="inlineStr">
        <is>
          <t>783000-C2-1-001</t>
        </is>
      </c>
      <c r="C262" s="222" t="inlineStr">
        <is>
          <t>783000-C2-1-001 (02) / NO.1 ENGINE BLOCKER DOOR SEALS INSP</t>
        </is>
      </c>
      <c r="D262" s="222" t="inlineStr">
        <is>
          <t>1</t>
        </is>
      </c>
      <c r="E262" s="222" t="n">
        <v>0.2</v>
      </c>
      <c r="F262" s="222" t="n">
        <v>6.2</v>
      </c>
      <c r="G262" s="222" t="n">
        <v>85.59999999999999</v>
      </c>
      <c r="H262" s="222" t="inlineStr">
        <is>
          <t>Idle</t>
        </is>
      </c>
      <c r="I262" s="222" t="inlineStr">
        <is>
          <t>78-32</t>
        </is>
      </c>
      <c r="J262" s="222" t="inlineStr">
        <is>
          <t>JOB-SETUP, INSPECTION, JOB-CLOSEUP</t>
        </is>
      </c>
    </row>
    <row r="263">
      <c r="A263" s="222" t="inlineStr">
        <is>
          <t>544</t>
        </is>
      </c>
      <c r="B263" s="222" t="inlineStr">
        <is>
          <t>783000-C2-1-002</t>
        </is>
      </c>
      <c r="C263" s="222" t="inlineStr">
        <is>
          <t>783000-C2-1-002 (02) / NO.2 ENGINE BLOCKER DOOR SEALS INSP</t>
        </is>
      </c>
      <c r="D263" s="222" t="inlineStr">
        <is>
          <t>1</t>
        </is>
      </c>
      <c r="E263" s="222" t="n">
        <v>0.2</v>
      </c>
      <c r="F263" s="222" t="n">
        <v>12.2</v>
      </c>
      <c r="G263" s="222" t="n">
        <v>88</v>
      </c>
      <c r="H263" s="222" t="inlineStr">
        <is>
          <t>Idle</t>
        </is>
      </c>
      <c r="I263" s="222" t="inlineStr">
        <is>
          <t>78-32</t>
        </is>
      </c>
      <c r="J263" s="222" t="inlineStr">
        <is>
          <t>JOB-SETUP, INSPECTION, JOB-CLOSEUP</t>
        </is>
      </c>
    </row>
    <row r="264">
      <c r="A264" s="222" t="inlineStr">
        <is>
          <t>549</t>
        </is>
      </c>
      <c r="B264" s="222" t="inlineStr">
        <is>
          <t>783100-C7-1-001</t>
        </is>
      </c>
      <c r="C264" s="222" t="inlineStr">
        <is>
          <t>783100-C7-1-001 (03) / NO.1 ENG PRIMARY LATCH MECHNISM INSP</t>
        </is>
      </c>
      <c r="D264" s="222" t="inlineStr">
        <is>
          <t>1</t>
        </is>
      </c>
      <c r="E264" s="222" t="n">
        <v>0.1</v>
      </c>
      <c r="F264" s="222" t="n">
        <v>6.2</v>
      </c>
      <c r="G264" s="222" t="n">
        <v>85.59999999999999</v>
      </c>
      <c r="H264" s="222" t="inlineStr">
        <is>
          <t>Idle</t>
        </is>
      </c>
      <c r="I264" s="222" t="inlineStr">
        <is>
          <t>78-31</t>
        </is>
      </c>
      <c r="J264" s="222" t="inlineStr">
        <is>
          <t>JOB-SETUP, INSPECTION, JOB-CLOSEUP</t>
        </is>
      </c>
    </row>
    <row r="265">
      <c r="A265" s="222" t="inlineStr">
        <is>
          <t>550</t>
        </is>
      </c>
      <c r="B265" s="222" t="inlineStr">
        <is>
          <t>783100-C7-1-002</t>
        </is>
      </c>
      <c r="C265" s="222" t="inlineStr">
        <is>
          <t>783100-C7-1-002 (03) / NO.2 ENG PRIMARY LATCH MECHNISM INSP</t>
        </is>
      </c>
      <c r="D265" s="222" t="inlineStr">
        <is>
          <t>1</t>
        </is>
      </c>
      <c r="E265" s="222" t="n">
        <v>0.1</v>
      </c>
      <c r="F265" s="222" t="n">
        <v>13.2</v>
      </c>
      <c r="G265" s="222" t="n">
        <v>85.5</v>
      </c>
      <c r="H265" s="222" t="inlineStr">
        <is>
          <t>Idle</t>
        </is>
      </c>
      <c r="I265" s="222" t="inlineStr">
        <is>
          <t>78-31</t>
        </is>
      </c>
      <c r="J265" s="222" t="inlineStr">
        <is>
          <t>JOB-SETUP, INSPECTION, JOB-CLOSEUP</t>
        </is>
      </c>
    </row>
    <row r="266">
      <c r="A266" s="222" t="inlineStr">
        <is>
          <t>551</t>
        </is>
      </c>
      <c r="B266" s="222" t="inlineStr">
        <is>
          <t>783200-01-1-001</t>
        </is>
      </c>
      <c r="C266" s="222" t="inlineStr">
        <is>
          <t>783200-01-1-001 (04) / NO. 1 ENG “C” DUCT HINGE FITTINGS INSP</t>
        </is>
      </c>
      <c r="D266" s="222" t="inlineStr">
        <is>
          <t>1</t>
        </is>
      </c>
      <c r="E266" s="222" t="n">
        <v>0.8</v>
      </c>
      <c r="F266" s="222" t="n">
        <v>8</v>
      </c>
      <c r="G266" s="222" t="n">
        <v>110.2</v>
      </c>
      <c r="H266" s="222" t="inlineStr">
        <is>
          <t>Idle</t>
        </is>
      </c>
      <c r="I266" s="222" t="inlineStr">
        <is>
          <t>78-32</t>
        </is>
      </c>
      <c r="J266" s="222" t="inlineStr">
        <is>
          <t>JOB-SETUP, INSPECTION, JOB-CLOSEUP, JOB-CLOSEUP, JOB-CLOSEUP</t>
        </is>
      </c>
    </row>
    <row r="267">
      <c r="A267" s="222" t="inlineStr">
        <is>
          <t>552</t>
        </is>
      </c>
      <c r="B267" s="222" t="inlineStr">
        <is>
          <t>783200-01-1-002</t>
        </is>
      </c>
      <c r="C267" s="222" t="inlineStr">
        <is>
          <t>783200-01-1-002 (04) / NO. 2 ENG “C” DUCT HINGE FITTINGS INSP</t>
        </is>
      </c>
      <c r="D267" s="222" t="inlineStr">
        <is>
          <t>1</t>
        </is>
      </c>
      <c r="E267" s="222" t="n">
        <v>0.8</v>
      </c>
      <c r="F267" s="222" t="n">
        <v>7.8</v>
      </c>
      <c r="G267" s="222" t="n">
        <v>110.7</v>
      </c>
      <c r="H267" s="222" t="inlineStr">
        <is>
          <t>Idle</t>
        </is>
      </c>
      <c r="I267" s="222" t="inlineStr">
        <is>
          <t>78-32</t>
        </is>
      </c>
      <c r="J267" s="222" t="inlineStr">
        <is>
          <t>JOB-SETUP, INSPECTION, JOB-CLOSEUP, JOB-CLOSEUP, JOB-CLOSEUP</t>
        </is>
      </c>
    </row>
    <row r="268">
      <c r="A268" s="222" t="inlineStr">
        <is>
          <t>553</t>
        </is>
      </c>
      <c r="B268" s="222" t="inlineStr">
        <is>
          <t>783209-01-1</t>
        </is>
      </c>
      <c r="C268" s="222" t="inlineStr">
        <is>
          <t>783209-01-1 (02) / DETAILED INSPECTION OF THRUST REVERSER V-GROOVE ADAPTER RING.</t>
        </is>
      </c>
      <c r="D268" s="222" t="inlineStr">
        <is>
          <t>1</t>
        </is>
      </c>
      <c r="E268" s="222" t="n">
        <v>3</v>
      </c>
      <c r="F268" s="222" t="n">
        <v>1</v>
      </c>
      <c r="G268" s="222" t="n">
        <v>207.1</v>
      </c>
      <c r="H268" s="222" t="inlineStr">
        <is>
          <t>Idle</t>
        </is>
      </c>
      <c r="I268" s="222" t="inlineStr">
        <is>
          <t>78-32</t>
        </is>
      </c>
      <c r="J268" s="222" t="inlineStr"/>
    </row>
    <row r="269">
      <c r="A269" s="222" t="inlineStr">
        <is>
          <t>582</t>
        </is>
      </c>
      <c r="B269" s="222" t="inlineStr">
        <is>
          <t>272100-08-1</t>
        </is>
      </c>
      <c r="C269" s="222" t="inlineStr">
        <is>
          <t>272100-08-1 (02) / RUDDER MECHANICAL CNTROL LUBRICATION</t>
        </is>
      </c>
      <c r="D269" s="222" t="inlineStr">
        <is>
          <t>1</t>
        </is>
      </c>
      <c r="E269" s="222" t="n">
        <v>0.2</v>
      </c>
      <c r="F269" s="222" t="n"/>
      <c r="G269" s="222" t="n"/>
      <c r="H269" s="222" t="inlineStr">
        <is>
          <t>Not Started</t>
        </is>
      </c>
      <c r="I269" s="222" t="inlineStr">
        <is>
          <t>27-21</t>
        </is>
      </c>
      <c r="J269" s="222" t="inlineStr">
        <is>
          <t>TC/P</t>
        </is>
      </c>
    </row>
    <row r="270">
      <c r="A270" s="222" t="inlineStr">
        <is>
          <t>583</t>
        </is>
      </c>
      <c r="B270" s="222" t="inlineStr">
        <is>
          <t>274100-03-1</t>
        </is>
      </c>
      <c r="C270" s="222" t="inlineStr">
        <is>
          <t>274100-03-1 (3) / THS MECHANICAL CONTROL LUBRICATION</t>
        </is>
      </c>
      <c r="D270" s="222" t="inlineStr">
        <is>
          <t>1</t>
        </is>
      </c>
      <c r="E270" s="222" t="n">
        <v>0.4</v>
      </c>
      <c r="F270" s="222" t="n"/>
      <c r="G270" s="222" t="n"/>
      <c r="H270" s="222" t="inlineStr">
        <is>
          <t>Not Started</t>
        </is>
      </c>
      <c r="I270" s="222" t="inlineStr">
        <is>
          <t>12-22</t>
        </is>
      </c>
      <c r="J270" s="222" t="inlineStr">
        <is>
          <t>JOB-SETUP, TC/P, JOB-CLOSEUP</t>
        </is>
      </c>
    </row>
    <row r="271">
      <c r="A271" s="222" t="inlineStr">
        <is>
          <t>584</t>
        </is>
      </c>
      <c r="B271" s="222" t="inlineStr">
        <is>
          <t>282200-04-1</t>
        </is>
      </c>
      <c r="C271" s="222" t="inlineStr">
        <is>
          <t>282200-04-1 (1) / APU FUEL PUMP SYSTEM AND FUEL FEED LINE</t>
        </is>
      </c>
      <c r="D271" s="222" t="inlineStr">
        <is>
          <t>1</t>
        </is>
      </c>
      <c r="E271" s="222" t="n">
        <v>2.5</v>
      </c>
      <c r="F271" s="222" t="n"/>
      <c r="G271" s="222" t="n"/>
      <c r="H271" s="222" t="inlineStr">
        <is>
          <t>Not Started</t>
        </is>
      </c>
      <c r="I271" s="222" t="inlineStr">
        <is>
          <t>28-22</t>
        </is>
      </c>
      <c r="J271" s="222" t="inlineStr">
        <is>
          <t>JOB-SETUP, INSPECTION, JOB-CLOSEUP</t>
        </is>
      </c>
    </row>
    <row r="272">
      <c r="A272" s="222" t="inlineStr">
        <is>
          <t>585</t>
        </is>
      </c>
      <c r="B272" s="222" t="inlineStr">
        <is>
          <t>282400-01-1-001</t>
        </is>
      </c>
      <c r="C272" s="222" t="inlineStr">
        <is>
          <t>282400-01-1-001 (05) / NO. 1 ENG LOW PRESS SHUT OFF VALVE OPC</t>
        </is>
      </c>
      <c r="D272" s="222" t="inlineStr">
        <is>
          <t>1</t>
        </is>
      </c>
      <c r="E272" s="222" t="n">
        <v>0.5</v>
      </c>
      <c r="F272" s="222" t="n"/>
      <c r="G272" s="222" t="n"/>
      <c r="H272" s="222" t="inlineStr">
        <is>
          <t>Not Started</t>
        </is>
      </c>
      <c r="I272" s="222" t="inlineStr">
        <is>
          <t>28-24</t>
        </is>
      </c>
      <c r="J272" s="222" t="inlineStr">
        <is>
          <t>PRE HGR, PRE HGR, PRE HGR, OPS/LK, JOB-CLOSEUP</t>
        </is>
      </c>
    </row>
    <row r="273">
      <c r="A273" s="222" t="inlineStr">
        <is>
          <t>586</t>
        </is>
      </c>
      <c r="B273" s="222" t="inlineStr">
        <is>
          <t>282400-01-1-002</t>
        </is>
      </c>
      <c r="C273" s="222" t="inlineStr">
        <is>
          <t>282400-01-1-002 (06) / NO.2 ENG LOW PRESS SHUT OFF VALVE OPC</t>
        </is>
      </c>
      <c r="D273" s="222" t="inlineStr">
        <is>
          <t>1</t>
        </is>
      </c>
      <c r="E273" s="222" t="n">
        <v>0.7</v>
      </c>
      <c r="F273" s="222" t="n"/>
      <c r="G273" s="222" t="n"/>
      <c r="H273" s="222" t="inlineStr">
        <is>
          <t>Not Started</t>
        </is>
      </c>
      <c r="I273" s="222" t="inlineStr">
        <is>
          <t>28-24</t>
        </is>
      </c>
      <c r="J273" s="222" t="inlineStr">
        <is>
          <t>PRE HGR, PRE HGR, PRE HGR, PRE HGR, OPS/LK, JOB-CLOSEUP</t>
        </is>
      </c>
    </row>
    <row r="274">
      <c r="A274" s="222" t="inlineStr">
        <is>
          <t>587</t>
        </is>
      </c>
      <c r="B274" s="222" t="inlineStr">
        <is>
          <t>282400-02-1-001</t>
        </is>
      </c>
      <c r="C274" s="222" t="inlineStr">
        <is>
          <t>282400-02-1-001 (04) / NO. 1 ENG LOW PRESS SHUT OFF VALVE OPC BY INDIVIDUAL MOTORS</t>
        </is>
      </c>
      <c r="D274" s="222" t="inlineStr">
        <is>
          <t>1</t>
        </is>
      </c>
      <c r="E274" s="222" t="n">
        <v>0.7</v>
      </c>
      <c r="F274" s="222" t="n"/>
      <c r="G274" s="222" t="n"/>
      <c r="H274" s="222" t="inlineStr">
        <is>
          <t>Not Started</t>
        </is>
      </c>
      <c r="I274" s="222" t="inlineStr">
        <is>
          <t>28-24</t>
        </is>
      </c>
      <c r="J274" s="222" t="inlineStr">
        <is>
          <t>PRE HGR, PRE HGR, JOB-CLOSEUP</t>
        </is>
      </c>
    </row>
    <row r="275">
      <c r="A275" s="222" t="inlineStr">
        <is>
          <t>588</t>
        </is>
      </c>
      <c r="B275" s="222" t="inlineStr">
        <is>
          <t>282400-02-1-002</t>
        </is>
      </c>
      <c r="C275" s="222" t="inlineStr">
        <is>
          <t>282400-02-1-002 (04) / NO. 2 ENG LOW PRESS SHUT OFF VALVE OPC BY INDIVIDUAL MOTORS</t>
        </is>
      </c>
      <c r="D275" s="222" t="inlineStr">
        <is>
          <t>1</t>
        </is>
      </c>
      <c r="E275" s="222" t="n">
        <v>0.7</v>
      </c>
      <c r="F275" s="222" t="n"/>
      <c r="G275" s="222" t="n"/>
      <c r="H275" s="222" t="inlineStr">
        <is>
          <t>Not Started</t>
        </is>
      </c>
      <c r="I275" s="222" t="inlineStr">
        <is>
          <t>28-24</t>
        </is>
      </c>
      <c r="J275" s="222" t="inlineStr">
        <is>
          <t>PRE HGR, PRE HGR, JOB-CLOSEUP</t>
        </is>
      </c>
    </row>
    <row r="276">
      <c r="A276" s="222" t="inlineStr">
        <is>
          <t>589</t>
        </is>
      </c>
      <c r="B276" s="222" t="inlineStr">
        <is>
          <t>344200-02-2</t>
        </is>
      </c>
      <c r="C276" s="222" t="inlineStr">
        <is>
          <t>344200-02-2 (01) / RADIO ALTIMETER</t>
        </is>
      </c>
      <c r="D276" s="222" t="inlineStr">
        <is>
          <t>1</t>
        </is>
      </c>
      <c r="E276" s="222" t="n">
        <v>6.2</v>
      </c>
      <c r="F276" s="222" t="n">
        <v>1</v>
      </c>
      <c r="G276" s="222" t="n">
        <v>12.3</v>
      </c>
      <c r="H276" s="222" t="inlineStr">
        <is>
          <t>Idle</t>
        </is>
      </c>
      <c r="I276" s="222" t="inlineStr">
        <is>
          <t>34-42</t>
        </is>
      </c>
      <c r="J276" s="222" t="inlineStr">
        <is>
          <t>JOB-SETUP, TC/P, JOB-CLOSEUP, JOB-CLOSEUP</t>
        </is>
      </c>
    </row>
    <row r="277">
      <c r="A277" s="222" t="inlineStr">
        <is>
          <t>590</t>
        </is>
      </c>
      <c r="B277" s="222" t="inlineStr">
        <is>
          <t>344200-04-1</t>
        </is>
      </c>
      <c r="C277" s="222" t="inlineStr">
        <is>
          <t>344200-04-1 (01) / RADIO ALTIMETER</t>
        </is>
      </c>
      <c r="D277" s="222" t="inlineStr">
        <is>
          <t>1</t>
        </is>
      </c>
      <c r="E277" s="222" t="n">
        <v>10.2</v>
      </c>
      <c r="F277" s="222" t="n"/>
      <c r="G277" s="222" t="n"/>
      <c r="H277" s="222" t="inlineStr">
        <is>
          <t>Not Started</t>
        </is>
      </c>
      <c r="I277" s="222" t="inlineStr">
        <is>
          <t>34-42</t>
        </is>
      </c>
      <c r="J277" s="222" t="inlineStr">
        <is>
          <t>JOB-SETUP, CLEAN-UP, INSPECTION, INSPECTION, JOB-CLOSEUP, JOB-CLOSEUP</t>
        </is>
      </c>
    </row>
    <row r="278">
      <c r="A278" s="222" t="inlineStr">
        <is>
          <t>591</t>
        </is>
      </c>
      <c r="B278" s="222" t="inlineStr">
        <is>
          <t>38-10-00-SVA</t>
        </is>
      </c>
      <c r="C278" s="222" t="inlineStr">
        <is>
          <t>38-10-00-SVA (01) / DECALCIFICATION OF THE POTABLE WATER TANK AND DISTRIBUTION SYSTEM</t>
        </is>
      </c>
      <c r="D278" s="222" t="inlineStr">
        <is>
          <t>1</t>
        </is>
      </c>
      <c r="E278" s="222" t="n">
        <v>10</v>
      </c>
      <c r="F278" s="222" t="n"/>
      <c r="G278" s="222" t="n"/>
      <c r="H278" s="222" t="inlineStr">
        <is>
          <t>Not Started</t>
        </is>
      </c>
      <c r="I278" s="222" t="inlineStr">
        <is>
          <t>38-10</t>
        </is>
      </c>
      <c r="J278" s="222" t="inlineStr">
        <is>
          <t>JOB-SETUP, --, JOB-CLOSEUP</t>
        </is>
      </c>
    </row>
    <row r="279">
      <c r="A279" s="222" t="inlineStr">
        <is>
          <t>592</t>
        </is>
      </c>
      <c r="B279" s="222" t="inlineStr">
        <is>
          <t>383100-02-1</t>
        </is>
      </c>
      <c r="C279" s="222" t="inlineStr">
        <is>
          <t>383100-02-1 (3) / INSPECT WATER SEPARATOR AND ASSOCIATED FILTER ELEMENT, AND CLEAN AS NECESSARY</t>
        </is>
      </c>
      <c r="D279" s="222" t="inlineStr">
        <is>
          <t>1</t>
        </is>
      </c>
      <c r="E279" s="222" t="n">
        <v>3.1</v>
      </c>
      <c r="F279" s="222" t="n"/>
      <c r="G279" s="222" t="n"/>
      <c r="H279" s="222" t="inlineStr">
        <is>
          <t>Not Started</t>
        </is>
      </c>
      <c r="I279" s="222" t="inlineStr">
        <is>
          <t>38-31</t>
        </is>
      </c>
      <c r="J279" s="222" t="inlineStr">
        <is>
          <t>JOB-SETUP, TC/P, CLOSE-UP</t>
        </is>
      </c>
    </row>
    <row r="280">
      <c r="A280" s="222" t="inlineStr">
        <is>
          <t>594</t>
        </is>
      </c>
      <c r="B280" s="222" t="inlineStr">
        <is>
          <t>521000-14-1</t>
        </is>
      </c>
      <c r="C280" s="222" t="inlineStr">
        <is>
          <t>521000-14-1 (7) / FWD AND AFT PASS/CREW DOOR HINGE LUB</t>
        </is>
      </c>
      <c r="D280" s="222" t="inlineStr">
        <is>
          <t>1</t>
        </is>
      </c>
      <c r="E280" s="222" t="n">
        <v>0.9</v>
      </c>
      <c r="F280" s="222" t="n"/>
      <c r="G280" s="222" t="n"/>
      <c r="H280" s="222" t="inlineStr">
        <is>
          <t>Not Started</t>
        </is>
      </c>
      <c r="I280" s="222" t="inlineStr">
        <is>
          <t>12-22</t>
        </is>
      </c>
      <c r="J280" s="222" t="inlineStr">
        <is>
          <t>TC/P</t>
        </is>
      </c>
    </row>
    <row r="281">
      <c r="A281" s="222" t="inlineStr">
        <is>
          <t>595</t>
        </is>
      </c>
      <c r="B281" s="222" t="inlineStr">
        <is>
          <t>521121-01-1</t>
        </is>
      </c>
      <c r="C281" s="222" t="inlineStr">
        <is>
          <t>521121-01-1 (4) / FWD AND AFT PASS/CREW DOOR EXT LUB</t>
        </is>
      </c>
      <c r="D281" s="222" t="inlineStr">
        <is>
          <t>1</t>
        </is>
      </c>
      <c r="E281" s="222" t="n">
        <v>0.9</v>
      </c>
      <c r="F281" s="222" t="n"/>
      <c r="G281" s="222" t="n"/>
      <c r="H281" s="222" t="inlineStr">
        <is>
          <t>Not Started</t>
        </is>
      </c>
      <c r="I281" s="222" t="inlineStr">
        <is>
          <t>12-22</t>
        </is>
      </c>
      <c r="J281" s="222" t="inlineStr">
        <is>
          <t>TC/P</t>
        </is>
      </c>
    </row>
    <row r="282">
      <c r="A282" s="222" t="inlineStr">
        <is>
          <t>597</t>
        </is>
      </c>
      <c r="B282" s="222" t="inlineStr">
        <is>
          <t>533130-01-1</t>
        </is>
      </c>
      <c r="C282" s="222" t="inlineStr">
        <is>
          <t>533130-01-1 (04) / ANTI COLLISION LIGHT SKN CUTOUT INSP</t>
        </is>
      </c>
      <c r="D282" s="222" t="inlineStr">
        <is>
          <t>1</t>
        </is>
      </c>
      <c r="E282" s="222" t="n">
        <v>0.2</v>
      </c>
      <c r="F282" s="222" t="n">
        <v>12.5</v>
      </c>
      <c r="G282" s="222" t="n">
        <v>73.59999999999999</v>
      </c>
      <c r="H282" s="222" t="inlineStr">
        <is>
          <t>Idle</t>
        </is>
      </c>
      <c r="I282" s="222" t="inlineStr">
        <is>
          <t>53-31</t>
        </is>
      </c>
      <c r="J282" s="222" t="inlineStr">
        <is>
          <t>JOB-SETUP, CLEAN-UP, INSPECTION, INSPECTION, JOB-CLOSEUP</t>
        </is>
      </c>
    </row>
    <row r="283">
      <c r="A283" s="222" t="inlineStr">
        <is>
          <t>598</t>
        </is>
      </c>
      <c r="B283" s="222" t="inlineStr">
        <is>
          <t>533131-01-1</t>
        </is>
      </c>
      <c r="C283" s="222" t="inlineStr">
        <is>
          <t>533131-01-1 (05) / SKIN AROUND ADF1 ANTENNA CUTOUT INSP</t>
        </is>
      </c>
      <c r="D283" s="222" t="inlineStr">
        <is>
          <t>1</t>
        </is>
      </c>
      <c r="E283" s="222" t="n">
        <v>0.8</v>
      </c>
      <c r="F283" s="222" t="n">
        <v>22</v>
      </c>
      <c r="G283" s="222" t="n">
        <v>75.5</v>
      </c>
      <c r="H283" s="222" t="inlineStr">
        <is>
          <t>Idle</t>
        </is>
      </c>
      <c r="I283" s="222" t="inlineStr">
        <is>
          <t>53-31</t>
        </is>
      </c>
      <c r="J283" s="222" t="inlineStr">
        <is>
          <t>JOB-SETUP, CLEAN-UP, INSPECTION, INSPECTION, JOB-CLOSEUP, JOB-CLOSEUP, JOB-CLOSEUP</t>
        </is>
      </c>
    </row>
    <row r="284">
      <c r="A284" s="222" t="inlineStr">
        <is>
          <t>599</t>
        </is>
      </c>
      <c r="B284" s="222" t="inlineStr">
        <is>
          <t>534112-01-1</t>
        </is>
      </c>
      <c r="C284" s="222" t="inlineStr">
        <is>
          <t>534112-01-1 (03) / VHF3 ANTENNA SKIN CUTOUT INSPECTION</t>
        </is>
      </c>
      <c r="D284" s="222" t="inlineStr">
        <is>
          <t>1</t>
        </is>
      </c>
      <c r="E284" s="222" t="n">
        <v>0.1</v>
      </c>
      <c r="F284" s="222" t="n">
        <v>14</v>
      </c>
      <c r="G284" s="222" t="n">
        <v>73.5</v>
      </c>
      <c r="H284" s="222" t="inlineStr">
        <is>
          <t>Idle</t>
        </is>
      </c>
      <c r="I284" s="222" t="inlineStr">
        <is>
          <t>53-41</t>
        </is>
      </c>
      <c r="J284" s="222" t="inlineStr">
        <is>
          <t>JOB-SETUP, CLEAN-UP, INSPECTION, INSPECTION, JOB-CLOSEUP</t>
        </is>
      </c>
    </row>
    <row r="285">
      <c r="A285" s="222" t="inlineStr">
        <is>
          <t>603</t>
        </is>
      </c>
      <c r="B285" s="222" t="inlineStr">
        <is>
          <t>05-00-00-01-0-A</t>
        </is>
      </c>
      <c r="C285" s="222" t="inlineStr">
        <is>
          <t>05-00-00-01-0-A (04) / AIRCRAFT C&amp;D CHECKS DATA REVIEW</t>
        </is>
      </c>
      <c r="D285" s="222" t="inlineStr">
        <is>
          <t>1</t>
        </is>
      </c>
      <c r="E285" s="222" t="n">
        <v>1</v>
      </c>
      <c r="F285" s="222" t="n"/>
      <c r="G285" s="222" t="n"/>
      <c r="H285" s="222" t="inlineStr">
        <is>
          <t>Not Started</t>
        </is>
      </c>
      <c r="I285" s="222" t="inlineStr">
        <is>
          <t>05-11</t>
        </is>
      </c>
      <c r="J285" s="222" t="inlineStr">
        <is>
          <t>TC/P</t>
        </is>
      </c>
    </row>
    <row r="286">
      <c r="A286" s="222" t="inlineStr">
        <is>
          <t>604</t>
        </is>
      </c>
      <c r="B286" s="222" t="inlineStr">
        <is>
          <t>12-21-11-01-0-SVA</t>
        </is>
      </c>
      <c r="C286" s="222" t="inlineStr">
        <is>
          <t>12-21-11-01-0-SVA (03) / AIRCRAFT EXTERIOR APPEARANCE WASH</t>
        </is>
      </c>
      <c r="D286" s="222" t="inlineStr">
        <is>
          <t>1</t>
        </is>
      </c>
      <c r="E286" s="222" t="n">
        <v>9.800000000000001</v>
      </c>
      <c r="F286" s="222" t="n">
        <v>12</v>
      </c>
      <c r="G286" s="222" t="n">
        <v>298.6</v>
      </c>
      <c r="H286" s="222" t="inlineStr">
        <is>
          <t>Idle</t>
        </is>
      </c>
      <c r="I286" s="222" t="inlineStr">
        <is>
          <t>12-21</t>
        </is>
      </c>
      <c r="J286" s="222" t="inlineStr">
        <is>
          <t>JOB-SETUP, JOB-SETUP, JOB-SETUP, CLEAN-UP, TC/P, TC/P, TC/P, TC/P, TC/P, JOB-CLOSEUP</t>
        </is>
      </c>
    </row>
    <row r="287">
      <c r="A287" s="222" t="inlineStr">
        <is>
          <t>605</t>
        </is>
      </c>
      <c r="B287" s="222" t="inlineStr">
        <is>
          <t>12-21-11-03-0-SVA</t>
        </is>
      </c>
      <c r="C287" s="222" t="inlineStr">
        <is>
          <t>12-21-11-03-0-SVA (03) / AIRCRAFT HEAVY WASH</t>
        </is>
      </c>
      <c r="D287" s="222" t="inlineStr">
        <is>
          <t>1</t>
        </is>
      </c>
      <c r="E287" s="222" t="n"/>
      <c r="F287" s="222" t="n">
        <v>135</v>
      </c>
      <c r="G287" s="222" t="n">
        <v>300.6</v>
      </c>
      <c r="H287" s="222" t="inlineStr">
        <is>
          <t>Idle</t>
        </is>
      </c>
      <c r="I287" s="222" t="inlineStr">
        <is>
          <t>12-21</t>
        </is>
      </c>
      <c r="J287" s="222" t="inlineStr">
        <is>
          <t>WASH, WASH, WASH, WASH, WASH, WASH, WASH, WASH, WASH, WASH, WASH, WASH, WASH, WASH, WASH, WASH, WASH, WASH, WASH, WASH, WASH, WASH, WASH, WASH, WASH</t>
        </is>
      </c>
    </row>
    <row r="288">
      <c r="A288" s="222" t="inlineStr">
        <is>
          <t>606</t>
        </is>
      </c>
      <c r="B288" s="222" t="inlineStr">
        <is>
          <t>32-10-00-01-0-SVA</t>
        </is>
      </c>
      <c r="C288" s="222" t="inlineStr">
        <is>
          <t>32-10-00-01-0-SVA (02) / MLG DR ACTUATOR EYE END BEARING LUB</t>
        </is>
      </c>
      <c r="D288" s="222" t="inlineStr">
        <is>
          <t>1</t>
        </is>
      </c>
      <c r="E288" s="222" t="n">
        <v>2</v>
      </c>
      <c r="F288" s="222" t="n">
        <v>9</v>
      </c>
      <c r="G288" s="222" t="n">
        <v>25.5</v>
      </c>
      <c r="H288" s="222" t="inlineStr">
        <is>
          <t>Idle</t>
        </is>
      </c>
      <c r="I288" s="222" t="inlineStr">
        <is>
          <t>32-12</t>
        </is>
      </c>
      <c r="J288" s="222" t="inlineStr">
        <is>
          <t>JOB-SETUP, TC/P, TC/P</t>
        </is>
      </c>
    </row>
    <row r="289">
      <c r="A289" s="222" t="inlineStr">
        <is>
          <t>607</t>
        </is>
      </c>
      <c r="B289" s="222" t="inlineStr">
        <is>
          <t>321000-01-1</t>
        </is>
      </c>
      <c r="C289" s="222" t="inlineStr">
        <is>
          <t>321000-01-1 (5) / MLG AND DOORS LUBRICATION</t>
        </is>
      </c>
      <c r="D289" s="222" t="inlineStr">
        <is>
          <t>1</t>
        </is>
      </c>
      <c r="E289" s="222" t="n">
        <v>2</v>
      </c>
      <c r="F289" s="222" t="n"/>
      <c r="G289" s="222" t="n"/>
      <c r="H289" s="222" t="inlineStr">
        <is>
          <t>Not Started</t>
        </is>
      </c>
      <c r="I289" s="222" t="inlineStr">
        <is>
          <t>12-22</t>
        </is>
      </c>
      <c r="J289" s="222" t="inlineStr">
        <is>
          <t>JOB-SETUP, TC/P, TC/P</t>
        </is>
      </c>
    </row>
    <row r="290">
      <c r="A290" s="222" t="inlineStr">
        <is>
          <t>608</t>
        </is>
      </c>
      <c r="B290" s="222" t="inlineStr">
        <is>
          <t>322100-07-1</t>
        </is>
      </c>
      <c r="C290" s="222" t="inlineStr">
        <is>
          <t>322100-07-1 (4) / NLG AIRFRAME ATTACHMENT FITTING INSP</t>
        </is>
      </c>
      <c r="D290" s="222" t="inlineStr">
        <is>
          <t>1</t>
        </is>
      </c>
      <c r="E290" s="222" t="n">
        <v>19</v>
      </c>
      <c r="F290" s="222" t="n">
        <v>66</v>
      </c>
      <c r="G290" s="222" t="n">
        <v>99.40000000000001</v>
      </c>
      <c r="H290" s="222" t="inlineStr">
        <is>
          <t>Idle</t>
        </is>
      </c>
      <c r="I290" s="222" t="inlineStr">
        <is>
          <t>32-21</t>
        </is>
      </c>
      <c r="J290" s="222" t="inlineStr">
        <is>
          <t>JOB-SETUP, JOB-SETUP, JOB-SETUP, JOB-SETUP, INSPECTION, JOB-CLOSEUP, JOB-CLOSEUP, JOB-CLOSEUP, JOB-CLOSEUP, JOB-CLOSEUP</t>
        </is>
      </c>
    </row>
    <row r="291">
      <c r="A291" s="222" t="inlineStr">
        <is>
          <t>610</t>
        </is>
      </c>
      <c r="B291" s="222" t="inlineStr">
        <is>
          <t>521104-01-1</t>
        </is>
      </c>
      <c r="C291" s="222" t="inlineStr">
        <is>
          <t>521104-01-1 (02) / FWD PAX DOOR INTERNAL STRUCTURE INSP</t>
        </is>
      </c>
      <c r="D291" s="222" t="inlineStr">
        <is>
          <t>1</t>
        </is>
      </c>
      <c r="E291" s="222" t="n">
        <v>1.8</v>
      </c>
      <c r="F291" s="222" t="n">
        <v>34</v>
      </c>
      <c r="G291" s="222" t="n">
        <v>89.59999999999999</v>
      </c>
      <c r="H291" s="222" t="inlineStr">
        <is>
          <t>Idle</t>
        </is>
      </c>
      <c r="I291" s="222" t="inlineStr">
        <is>
          <t>25-62</t>
        </is>
      </c>
      <c r="J291" s="222" t="inlineStr">
        <is>
          <t>JOB-SETUP, JOB-SETUP, JOB-SETUP, CLEAN-UP, INSPECTION, INSPECTION, INSPECTION, INSPECTION, JOB-CLOSEUP, JOB-CLOSEUP</t>
        </is>
      </c>
    </row>
    <row r="292">
      <c r="A292" s="222" t="inlineStr">
        <is>
          <t>611</t>
        </is>
      </c>
      <c r="B292" s="222" t="inlineStr">
        <is>
          <t>521304-01-1</t>
        </is>
      </c>
      <c r="C292" s="222" t="inlineStr">
        <is>
          <t>521304-01-1 (02) / AFT PAX DOOR INTERNAL STRUCTURE INSP</t>
        </is>
      </c>
      <c r="D292" s="222" t="inlineStr">
        <is>
          <t>1</t>
        </is>
      </c>
      <c r="E292" s="222" t="n">
        <v>1.9</v>
      </c>
      <c r="F292" s="222" t="n">
        <v>16</v>
      </c>
      <c r="G292" s="222" t="n">
        <v>69</v>
      </c>
      <c r="H292" s="222" t="inlineStr">
        <is>
          <t>Idle</t>
        </is>
      </c>
      <c r="I292" s="222" t="inlineStr">
        <is>
          <t>52-13</t>
        </is>
      </c>
      <c r="J292" s="222" t="inlineStr">
        <is>
          <t>TC/P, TC/P, TC/P, TC/P, INSPECTION, INSPECTION, INSPECTION, INSPECTION, INSPECTION, INSPECTION</t>
        </is>
      </c>
    </row>
    <row r="293">
      <c r="A293" s="222" t="inlineStr">
        <is>
          <t>612</t>
        </is>
      </c>
      <c r="B293" s="222" t="inlineStr">
        <is>
          <t>522102-01-1</t>
        </is>
      </c>
      <c r="C293" s="222" t="inlineStr">
        <is>
          <t>522102-01-1 (04) / EMERGENCY EXITS STRUCTURE INSPECTION</t>
        </is>
      </c>
      <c r="D293" s="222" t="inlineStr">
        <is>
          <t>1</t>
        </is>
      </c>
      <c r="E293" s="222" t="n">
        <v>10.1</v>
      </c>
      <c r="F293" s="222" t="n"/>
      <c r="G293" s="222" t="n"/>
      <c r="H293" s="222" t="inlineStr">
        <is>
          <t>Not Started</t>
        </is>
      </c>
      <c r="I293" s="222" t="inlineStr">
        <is>
          <t>52-21</t>
        </is>
      </c>
      <c r="J293" s="222" t="inlineStr">
        <is>
          <t>JOB-SETUP, CLEAN-UP, INSPECTION, INSPECTION, INSPECTION, INSPECTION, JOB-CLOSEUP</t>
        </is>
      </c>
    </row>
    <row r="294">
      <c r="A294" s="222" t="inlineStr">
        <is>
          <t>613</t>
        </is>
      </c>
      <c r="B294" s="222" t="inlineStr">
        <is>
          <t>523103-01-1</t>
        </is>
      </c>
      <c r="C294" s="222" t="inlineStr">
        <is>
          <t>523103-01-1 (02) / FWD CGO DOOR INTERNAL STRUCTURE INSP</t>
        </is>
      </c>
      <c r="D294" s="222" t="inlineStr">
        <is>
          <t>1</t>
        </is>
      </c>
      <c r="E294" s="222" t="n">
        <v>3.6</v>
      </c>
      <c r="F294" s="222" t="n">
        <v>2</v>
      </c>
      <c r="G294" s="222" t="n">
        <v>142.4</v>
      </c>
      <c r="H294" s="222" t="inlineStr">
        <is>
          <t>Idle</t>
        </is>
      </c>
      <c r="I294" s="222" t="inlineStr">
        <is>
          <t>52-31</t>
        </is>
      </c>
      <c r="J294" s="222" t="inlineStr">
        <is>
          <t>JOB-SETUP, CLEAN-UP, INSPECTION, INSPECTION, INSPECTION, JOB-CLOSEUP</t>
        </is>
      </c>
    </row>
    <row r="295">
      <c r="A295" s="222" t="inlineStr">
        <is>
          <t>614</t>
        </is>
      </c>
      <c r="B295" s="222" t="inlineStr">
        <is>
          <t>523109-01-1</t>
        </is>
      </c>
      <c r="C295" s="222" t="inlineStr">
        <is>
          <t>523109-01-1 (02) / FWD CARGO DOOR LOCKING HOOKS INSP</t>
        </is>
      </c>
      <c r="D295" s="222" t="inlineStr">
        <is>
          <t>1</t>
        </is>
      </c>
      <c r="E295" s="222" t="n">
        <v>0.4</v>
      </c>
      <c r="F295" s="222" t="n">
        <v>4</v>
      </c>
      <c r="G295" s="222" t="n">
        <v>143.4</v>
      </c>
      <c r="H295" s="222" t="inlineStr">
        <is>
          <t>Idle</t>
        </is>
      </c>
      <c r="I295" s="222" t="inlineStr">
        <is>
          <t>52-31</t>
        </is>
      </c>
      <c r="J295" s="222" t="inlineStr">
        <is>
          <t>JOB-SETUP, CLEAN-UP, INSPECTION, JOB-CLOSEUP</t>
        </is>
      </c>
    </row>
    <row r="296">
      <c r="A296" s="222" t="inlineStr">
        <is>
          <t>615</t>
        </is>
      </c>
      <c r="B296" s="222" t="inlineStr">
        <is>
          <t>523113-01-1</t>
        </is>
      </c>
      <c r="C296" s="222" t="inlineStr">
        <is>
          <t>523113-01-1 (02) / AFT CGO DOOR INTERNAL STRUCTURE INSP</t>
        </is>
      </c>
      <c r="D296" s="222" t="inlineStr">
        <is>
          <t>1</t>
        </is>
      </c>
      <c r="E296" s="222" t="n">
        <v>2.5</v>
      </c>
      <c r="F296" s="222" t="n">
        <v>3.5</v>
      </c>
      <c r="G296" s="222" t="n">
        <v>142.7</v>
      </c>
      <c r="H296" s="222" t="inlineStr">
        <is>
          <t>Idle</t>
        </is>
      </c>
      <c r="I296" s="222" t="inlineStr">
        <is>
          <t>52-32</t>
        </is>
      </c>
      <c r="J296" s="222" t="inlineStr">
        <is>
          <t>JOB-SETUP, CLEAN-UP, INSPECTION, JOB-CLOSEUP, JOB-CLOSEUP, JOB-CLOSEUP</t>
        </is>
      </c>
    </row>
    <row r="297">
      <c r="A297" s="222" t="inlineStr">
        <is>
          <t>616</t>
        </is>
      </c>
      <c r="B297" s="222" t="inlineStr">
        <is>
          <t>523119-01-2</t>
        </is>
      </c>
      <c r="C297" s="222" t="inlineStr">
        <is>
          <t>523119-01-2 (03) / AFT CARGO DOOR LOCKING HOOKS INSP</t>
        </is>
      </c>
      <c r="D297" s="222" t="inlineStr">
        <is>
          <t>1</t>
        </is>
      </c>
      <c r="E297" s="222" t="n">
        <v>0.4</v>
      </c>
      <c r="F297" s="222" t="n">
        <v>3.5</v>
      </c>
      <c r="G297" s="222" t="n">
        <v>141.2</v>
      </c>
      <c r="H297" s="222" t="inlineStr">
        <is>
          <t>Idle</t>
        </is>
      </c>
      <c r="I297" s="222" t="inlineStr">
        <is>
          <t>52-32</t>
        </is>
      </c>
      <c r="J297" s="222" t="inlineStr">
        <is>
          <t>JOB-SETUP, CLEAN-UP, INSPECTION, JOB-CLOSEUP</t>
        </is>
      </c>
    </row>
    <row r="298">
      <c r="A298" s="222" t="inlineStr">
        <is>
          <t>617</t>
        </is>
      </c>
      <c r="B298" s="222" t="inlineStr">
        <is>
          <t>523303-01-1</t>
        </is>
      </c>
      <c r="C298" s="222" t="inlineStr">
        <is>
          <t>523303-01-1 (02) / BULK CARGO DOOR INTERNAL STRUC INSP</t>
        </is>
      </c>
      <c r="D298" s="222" t="inlineStr">
        <is>
          <t>1</t>
        </is>
      </c>
      <c r="E298" s="222" t="n">
        <v>1</v>
      </c>
      <c r="F298" s="222" t="n">
        <v>1.6</v>
      </c>
      <c r="G298" s="222" t="n">
        <v>142.5</v>
      </c>
      <c r="H298" s="222" t="inlineStr">
        <is>
          <t>Idle</t>
        </is>
      </c>
      <c r="I298" s="222" t="inlineStr">
        <is>
          <t>52-33</t>
        </is>
      </c>
      <c r="J298" s="222" t="inlineStr">
        <is>
          <t>JOB-SETUP, CLEAN-UP, INSPECTION, JOB-CLOSEUP, JOB-CLOSEUP, JOB-CLOSEUP</t>
        </is>
      </c>
    </row>
    <row r="299">
      <c r="A299" s="222" t="inlineStr">
        <is>
          <t>618</t>
        </is>
      </c>
      <c r="B299" s="222" t="inlineStr">
        <is>
          <t>531163-01-1</t>
        </is>
      </c>
      <c r="C299" s="222" t="inlineStr">
        <is>
          <t>531163-01-1 (03) / FWD PAX/CREW DOOR SURROUND INSP</t>
        </is>
      </c>
      <c r="D299" s="222" t="inlineStr">
        <is>
          <t>1</t>
        </is>
      </c>
      <c r="E299" s="222" t="n">
        <v>3</v>
      </c>
      <c r="F299" s="222" t="n">
        <v>9.5</v>
      </c>
      <c r="G299" s="222" t="n">
        <v>63</v>
      </c>
      <c r="H299" s="222" t="inlineStr">
        <is>
          <t>Idle</t>
        </is>
      </c>
      <c r="I299" s="222" t="inlineStr">
        <is>
          <t>53-11</t>
        </is>
      </c>
      <c r="J299" s="222" t="inlineStr">
        <is>
          <t>JOB-SETUP, CLEAN-UP, INSPECTION, INSPECTION, INSPECTION, JOB-CLOSEUP</t>
        </is>
      </c>
    </row>
    <row r="300">
      <c r="A300" s="222" t="inlineStr">
        <is>
          <t>619</t>
        </is>
      </c>
      <c r="B300" s="222" t="inlineStr">
        <is>
          <t>532130-09-1</t>
        </is>
      </c>
      <c r="C300" s="222" t="inlineStr">
        <is>
          <t>532130-09-1 (02) / ANTI-CRASH ROD JUNCTION</t>
        </is>
      </c>
      <c r="D300" s="222" t="inlineStr">
        <is>
          <t>1</t>
        </is>
      </c>
      <c r="E300" s="222" t="n">
        <v>2.8</v>
      </c>
      <c r="F300" s="222" t="n"/>
      <c r="G300" s="222" t="n"/>
      <c r="H300" s="222" t="inlineStr">
        <is>
          <t>Not Started</t>
        </is>
      </c>
      <c r="I300" s="222" t="inlineStr">
        <is>
          <t>53-31</t>
        </is>
      </c>
      <c r="J300" s="222" t="inlineStr">
        <is>
          <t>JOB-SETUP, CLEAN-UP, INSPECTION, INSPECTION, JOB-CLOSEUP, JOB-CLOSEUP</t>
        </is>
      </c>
    </row>
    <row r="301">
      <c r="A301" s="222" t="inlineStr">
        <is>
          <t>620</t>
        </is>
      </c>
      <c r="B301" s="222" t="inlineStr">
        <is>
          <t>532130-29-1</t>
        </is>
      </c>
      <c r="C301" s="222" t="inlineStr">
        <is>
          <t>532130-29-1 (01) / ANTI-CRASH ROD JUNCTION</t>
        </is>
      </c>
      <c r="D301" s="222" t="inlineStr">
        <is>
          <t>1</t>
        </is>
      </c>
      <c r="E301" s="222" t="n">
        <v>4.4</v>
      </c>
      <c r="F301" s="222" t="n"/>
      <c r="G301" s="222" t="n"/>
      <c r="H301" s="222" t="inlineStr">
        <is>
          <t>Not Started</t>
        </is>
      </c>
      <c r="I301" s="222" t="inlineStr">
        <is>
          <t>53-21</t>
        </is>
      </c>
      <c r="J301" s="222" t="inlineStr">
        <is>
          <t>JOB-SETUP, JOB-SETUP, JOB-SETUP, JOB-SETUP, INSPECTION, JOB-CLOSEUP, JOB-CLOSEUP, JOB-CLOSEUP, JOB-CLOSEUP, JOB-CLOSEUP</t>
        </is>
      </c>
    </row>
    <row r="302">
      <c r="A302" s="222" t="inlineStr">
        <is>
          <t>621</t>
        </is>
      </c>
      <c r="B302" s="222" t="inlineStr">
        <is>
          <t>532132-01-1</t>
        </is>
      </c>
      <c r="C302" s="222" t="inlineStr">
        <is>
          <t>532132-01-1 (06) / FWD CARGO DOOR HINGE FITTING INSP</t>
        </is>
      </c>
      <c r="D302" s="222" t="inlineStr">
        <is>
          <t>1</t>
        </is>
      </c>
      <c r="E302" s="222" t="n">
        <v>1</v>
      </c>
      <c r="F302" s="222" t="n">
        <v>2</v>
      </c>
      <c r="G302" s="222" t="n">
        <v>143.9</v>
      </c>
      <c r="H302" s="222" t="inlineStr">
        <is>
          <t>Idle</t>
        </is>
      </c>
      <c r="I302" s="222" t="inlineStr">
        <is>
          <t>53-21</t>
        </is>
      </c>
      <c r="J302" s="222" t="inlineStr">
        <is>
          <t>CLEAN-UP, INSPECTION, INSPECTION, JOB-CLOSEUP</t>
        </is>
      </c>
    </row>
    <row r="303">
      <c r="A303" s="222" t="inlineStr">
        <is>
          <t>623</t>
        </is>
      </c>
      <c r="B303" s="222" t="inlineStr">
        <is>
          <t>532175-01-1</t>
        </is>
      </c>
      <c r="C303" s="222" t="inlineStr">
        <is>
          <t>532175-01-1 (03) / INTERNAL STRUC AROUND FWD CGO DOOR</t>
        </is>
      </c>
      <c r="D303" s="222" t="inlineStr">
        <is>
          <t>1</t>
        </is>
      </c>
      <c r="E303" s="222" t="n">
        <v>5</v>
      </c>
      <c r="F303" s="222" t="n">
        <v>4</v>
      </c>
      <c r="G303" s="222" t="n">
        <v>143.3</v>
      </c>
      <c r="H303" s="222" t="inlineStr">
        <is>
          <t>Idle</t>
        </is>
      </c>
      <c r="I303" s="222" t="inlineStr">
        <is>
          <t>53-21</t>
        </is>
      </c>
      <c r="J303" s="222" t="inlineStr">
        <is>
          <t>JOB-SETUP, CLEAN-UP, INSPECTION, JOB-CLOSEUP, JOB-CLOSEUP, JOB-CLOSEUP, JOB-CLOSEUP, JOB-CLOSEUP, JOB-CLOSEUP, JOB-CLOSEUP, JOB-CLOSEUP, JOB-CLOSEUP</t>
        </is>
      </c>
    </row>
    <row r="304">
      <c r="A304" s="222" t="inlineStr">
        <is>
          <t>626</t>
        </is>
      </c>
      <c r="B304" s="222" t="inlineStr">
        <is>
          <t>533129-07-1</t>
        </is>
      </c>
      <c r="C304" s="222" t="inlineStr">
        <is>
          <t>533129-07-1 (0) / EMERGENCY EXIT CUTOUTS</t>
        </is>
      </c>
      <c r="D304" s="222" t="inlineStr">
        <is>
          <t>1</t>
        </is>
      </c>
      <c r="E304" s="222" t="n"/>
      <c r="F304" s="222" t="n">
        <v>6.2</v>
      </c>
      <c r="G304" s="222" t="n">
        <v>21.3</v>
      </c>
      <c r="H304" s="222" t="inlineStr">
        <is>
          <t>Idle</t>
        </is>
      </c>
      <c r="I304" s="222" t="inlineStr">
        <is>
          <t>53</t>
        </is>
      </c>
      <c r="J304" s="222" t="inlineStr"/>
    </row>
    <row r="305">
      <c r="A305" s="222" t="inlineStr">
        <is>
          <t>627</t>
        </is>
      </c>
      <c r="B305" s="222" t="inlineStr">
        <is>
          <t>533139-02-1</t>
        </is>
      </c>
      <c r="C305" s="222" t="inlineStr">
        <is>
          <t>533139-02-1 (01) / INSPECTION OF LONGITUDINAL BEAM FLANGE</t>
        </is>
      </c>
      <c r="D305" s="222" t="inlineStr">
        <is>
          <t>1</t>
        </is>
      </c>
      <c r="E305" s="222" t="n"/>
      <c r="F305" s="222" t="n">
        <v>3</v>
      </c>
      <c r="G305" s="222" t="n">
        <v>17.8</v>
      </c>
      <c r="H305" s="222" t="inlineStr">
        <is>
          <t>Idle</t>
        </is>
      </c>
      <c r="I305" s="222" t="inlineStr">
        <is>
          <t>53-31</t>
        </is>
      </c>
      <c r="J305" s="222" t="inlineStr">
        <is>
          <t>JOB-SETUP, INSPECTION, --</t>
        </is>
      </c>
    </row>
    <row r="306">
      <c r="A306" s="222" t="inlineStr">
        <is>
          <t>628</t>
        </is>
      </c>
      <c r="B306" s="222" t="inlineStr">
        <is>
          <t>533152-01-7</t>
        </is>
      </c>
      <c r="C306" s="222" t="inlineStr">
        <is>
          <t>533152-01-7 (02) / PRESS BULKHEAD AT FR35 FWD FACE INSP</t>
        </is>
      </c>
      <c r="D306" s="222" t="inlineStr">
        <is>
          <t>1</t>
        </is>
      </c>
      <c r="E306" s="222" t="n">
        <v>5</v>
      </c>
      <c r="F306" s="222" t="n">
        <v>1</v>
      </c>
      <c r="G306" s="222" t="n">
        <v>111</v>
      </c>
      <c r="H306" s="222" t="inlineStr">
        <is>
          <t>Idle</t>
        </is>
      </c>
      <c r="I306" s="222" t="inlineStr">
        <is>
          <t>53-31</t>
        </is>
      </c>
      <c r="J306" s="222" t="inlineStr">
        <is>
          <t>JOB-SETUP, CLEAN-UP, INSPECTION, INSPECTION, INSPECTION, JOB-CLOSEUP, JOB-CLOSEUP, JOB-CLOSEUP, JOB-CLOSEUP</t>
        </is>
      </c>
    </row>
    <row r="307">
      <c r="A307" s="222" t="inlineStr">
        <is>
          <t>630</t>
        </is>
      </c>
      <c r="B307" s="222" t="inlineStr">
        <is>
          <t>534123-01-3</t>
        </is>
      </c>
      <c r="C307" s="222" t="inlineStr">
        <is>
          <t>534123-01-3 (06) / GUSSET PLATE FASTENER HOLE NDT INSP</t>
        </is>
      </c>
      <c r="D307" s="222" t="inlineStr">
        <is>
          <t>1</t>
        </is>
      </c>
      <c r="E307" s="222" t="n">
        <v>16.4</v>
      </c>
      <c r="F307" s="222" t="n"/>
      <c r="G307" s="222" t="n"/>
      <c r="H307" s="222" t="inlineStr">
        <is>
          <t>Not Started</t>
        </is>
      </c>
      <c r="I307" s="222" t="inlineStr">
        <is>
          <t>53-41</t>
        </is>
      </c>
      <c r="J307" s="222" t="inlineStr">
        <is>
          <t>JOB-SETUP, CLEAN-UP, INSPECTION, INSPECTION, INSPECTION, INSPECTION, INSPECTION, INSPECTION, JOB-CLOSEUP, --</t>
        </is>
      </c>
    </row>
    <row r="308">
      <c r="A308" s="222" t="inlineStr">
        <is>
          <t>631</t>
        </is>
      </c>
      <c r="B308" s="222" t="inlineStr">
        <is>
          <t>534135-02-1</t>
        </is>
      </c>
      <c r="C308" s="222" t="inlineStr">
        <is>
          <t>534135-02-1 (0) / REAR FUSELAGE</t>
        </is>
      </c>
      <c r="D308" s="222" t="inlineStr">
        <is>
          <t>1</t>
        </is>
      </c>
      <c r="E308" s="222" t="n">
        <v>0.7</v>
      </c>
      <c r="F308" s="222" t="n"/>
      <c r="G308" s="222" t="n"/>
      <c r="H308" s="222" t="inlineStr">
        <is>
          <t>Not Started</t>
        </is>
      </c>
      <c r="I308" s="222" t="inlineStr">
        <is>
          <t>57-21</t>
        </is>
      </c>
      <c r="J308" s="222" t="inlineStr">
        <is>
          <t>JOB-SETUP, INSPECTION, JOB-CLOSEUP</t>
        </is>
      </c>
    </row>
    <row r="309">
      <c r="A309" s="222" t="inlineStr">
        <is>
          <t>632</t>
        </is>
      </c>
      <c r="B309" s="222" t="inlineStr">
        <is>
          <t>534143-01-3</t>
        </is>
      </c>
      <c r="C309" s="222" t="inlineStr">
        <is>
          <t>534143-01-3 (03) / AFT PASSENGER/CREW DOOR CUTOUT INSP</t>
        </is>
      </c>
      <c r="D309" s="222" t="inlineStr">
        <is>
          <t>1</t>
        </is>
      </c>
      <c r="E309" s="222" t="n">
        <v>1.6</v>
      </c>
      <c r="F309" s="222" t="n">
        <v>9</v>
      </c>
      <c r="G309" s="222" t="n">
        <v>63.1</v>
      </c>
      <c r="H309" s="222" t="inlineStr">
        <is>
          <t>Idle</t>
        </is>
      </c>
      <c r="I309" s="222" t="inlineStr">
        <is>
          <t>53-41</t>
        </is>
      </c>
      <c r="J309" s="222" t="inlineStr">
        <is>
          <t>JOB-SETUP, INSPECTION, INSPECTION, INSPECTION, INSPECTION, INSPECTION, JOB-CLOSEUP</t>
        </is>
      </c>
    </row>
    <row r="310">
      <c r="A310" s="222" t="inlineStr">
        <is>
          <t>633</t>
        </is>
      </c>
      <c r="B310" s="222" t="inlineStr">
        <is>
          <t>534150-01-1</t>
        </is>
      </c>
      <c r="C310" s="222" t="inlineStr">
        <is>
          <t>534150-01-1 (02) / AFT CARGO DOOR CUTOUT INSPECTION</t>
        </is>
      </c>
      <c r="D310" s="222" t="inlineStr">
        <is>
          <t>1</t>
        </is>
      </c>
      <c r="E310" s="222" t="n">
        <v>2.8</v>
      </c>
      <c r="F310" s="222" t="n">
        <v>6</v>
      </c>
      <c r="G310" s="222" t="n">
        <v>25.5</v>
      </c>
      <c r="H310" s="222" t="inlineStr">
        <is>
          <t>Idle</t>
        </is>
      </c>
      <c r="I310" s="222" t="inlineStr">
        <is>
          <t>53-41</t>
        </is>
      </c>
      <c r="J310" s="222" t="inlineStr">
        <is>
          <t>JOB-SETUP, JOB-SETUP, CLEAN-UP, INSPECTION, INSPECTION, INSPECTION, JOB-CLOSEUP, JOB-CLOSEUP</t>
        </is>
      </c>
    </row>
    <row r="311">
      <c r="A311" s="222" t="inlineStr">
        <is>
          <t>634</t>
        </is>
      </c>
      <c r="B311" s="222" t="inlineStr">
        <is>
          <t>534164-01-1</t>
        </is>
      </c>
      <c r="C311" s="222" t="inlineStr">
        <is>
          <t>534164-01-1 (05) / BULK CGO DOOR CUTOUT INTERNAL STRUC</t>
        </is>
      </c>
      <c r="D311" s="222" t="inlineStr">
        <is>
          <t>1</t>
        </is>
      </c>
      <c r="E311" s="222" t="n">
        <v>1.1</v>
      </c>
      <c r="F311" s="222" t="n">
        <v>5</v>
      </c>
      <c r="G311" s="222" t="n">
        <v>142.9</v>
      </c>
      <c r="H311" s="222" t="inlineStr">
        <is>
          <t>Idle</t>
        </is>
      </c>
      <c r="I311" s="222" t="inlineStr">
        <is>
          <t>53-41</t>
        </is>
      </c>
      <c r="J311" s="222" t="inlineStr">
        <is>
          <t>JOB-SETUP, CLEAN-UP, INSPECTION, INSPECTION, INSPECTION, INSPECTION, INSPECTION, JOB-CLOSEUP</t>
        </is>
      </c>
    </row>
    <row r="312">
      <c r="A312" s="222" t="inlineStr">
        <is>
          <t>635</t>
        </is>
      </c>
      <c r="B312" s="222" t="inlineStr">
        <is>
          <t>534195-01-1</t>
        </is>
      </c>
      <c r="C312" s="222" t="inlineStr">
        <is>
          <t>534195-01-1 (0) / CABIN FLOOR STRUCTURE AFT ENTRANCE A</t>
        </is>
      </c>
      <c r="D312" s="222" t="inlineStr">
        <is>
          <t>1</t>
        </is>
      </c>
      <c r="E312" s="222" t="n">
        <v>6.2</v>
      </c>
      <c r="F312" s="222" t="n"/>
      <c r="G312" s="222" t="n"/>
      <c r="H312" s="222" t="inlineStr">
        <is>
          <t>Not Started</t>
        </is>
      </c>
      <c r="I312" s="222" t="inlineStr">
        <is>
          <t>53-41</t>
        </is>
      </c>
      <c r="J312" s="222" t="inlineStr">
        <is>
          <t>JOB-SETUP, CLEAN-UP, INSPECTION, JOB-CLOSEUP</t>
        </is>
      </c>
    </row>
    <row r="313">
      <c r="A313" s="222" t="inlineStr">
        <is>
          <t>636</t>
        </is>
      </c>
      <c r="B313" s="222" t="inlineStr">
        <is>
          <t>534395-01-2</t>
        </is>
      </c>
      <c r="C313" s="222" t="inlineStr">
        <is>
          <t>534395-01-2 (0) / LATERAL SHEAR PLATES BETWEEN FRAME 6</t>
        </is>
      </c>
      <c r="D313" s="222" t="inlineStr">
        <is>
          <t>1</t>
        </is>
      </c>
      <c r="E313" s="222" t="n">
        <v>3.5</v>
      </c>
      <c r="F313" s="222" t="n"/>
      <c r="G313" s="222" t="n"/>
      <c r="H313" s="222" t="inlineStr">
        <is>
          <t>Not Started</t>
        </is>
      </c>
      <c r="I313" s="222" t="inlineStr">
        <is>
          <t>53-51</t>
        </is>
      </c>
      <c r="J313" s="222" t="inlineStr">
        <is>
          <t>JOB-SETUP, CLEAN-UP, INSPECTION, JOB-CLOSEUP</t>
        </is>
      </c>
    </row>
    <row r="314">
      <c r="A314" s="222" t="inlineStr">
        <is>
          <t>639</t>
        </is>
      </c>
      <c r="B314" s="222" t="inlineStr">
        <is>
          <t>545134-09-6-001</t>
        </is>
      </c>
      <c r="C314" s="222" t="inlineStr">
        <is>
          <t>545134-09-6-001 (03) / L/H PYLON UPR SPAR RIB 4 AND 10 INSP</t>
        </is>
      </c>
      <c r="D314" s="222" t="inlineStr">
        <is>
          <t>1</t>
        </is>
      </c>
      <c r="E314" s="222" t="n">
        <v>0.8</v>
      </c>
      <c r="F314" s="222" t="n">
        <v>13.2</v>
      </c>
      <c r="G314" s="222" t="n">
        <v>207.1</v>
      </c>
      <c r="H314" s="222" t="inlineStr">
        <is>
          <t>Idle</t>
        </is>
      </c>
      <c r="I314" s="222" t="inlineStr">
        <is>
          <t>54-51</t>
        </is>
      </c>
      <c r="J314" s="222" t="inlineStr">
        <is>
          <t>JOB-SETUP, CLEAN-UP, INSPECTION, JOB-CLOSEUP</t>
        </is>
      </c>
    </row>
    <row r="315">
      <c r="A315" s="222" t="inlineStr">
        <is>
          <t>640</t>
        </is>
      </c>
      <c r="B315" s="222" t="inlineStr">
        <is>
          <t>545134-09-6-002</t>
        </is>
      </c>
      <c r="C315" s="222" t="inlineStr">
        <is>
          <t>545134-09-6-002 (02) / R/H PYLON UPR SPAR RIB 4 AND 10 INSP</t>
        </is>
      </c>
      <c r="D315" s="222" t="inlineStr">
        <is>
          <t>1</t>
        </is>
      </c>
      <c r="E315" s="222" t="n">
        <v>0.8</v>
      </c>
      <c r="F315" s="222" t="n">
        <v>1.3</v>
      </c>
      <c r="G315" s="222" t="n">
        <v>206.8</v>
      </c>
      <c r="H315" s="222" t="inlineStr">
        <is>
          <t>Idle</t>
        </is>
      </c>
      <c r="I315" s="222" t="inlineStr">
        <is>
          <t>54-51</t>
        </is>
      </c>
      <c r="J315" s="222" t="inlineStr">
        <is>
          <t>JOB-SETUP, CLEAN-UP, INSPECTION, JOB-CLOSEUP</t>
        </is>
      </c>
    </row>
    <row r="316">
      <c r="A316" s="222" t="inlineStr">
        <is>
          <t>641</t>
        </is>
      </c>
      <c r="B316" s="222" t="inlineStr">
        <is>
          <t>571192-09-1</t>
        </is>
      </c>
      <c r="C316" s="222" t="inlineStr">
        <is>
          <t>571192-09-1 (0) / CENTER WING BOX</t>
        </is>
      </c>
      <c r="D316" s="222" t="inlineStr">
        <is>
          <t>1</t>
        </is>
      </c>
      <c r="E316" s="222" t="n">
        <v>1.2</v>
      </c>
      <c r="F316" s="222" t="n">
        <v>9</v>
      </c>
      <c r="G316" s="222" t="n">
        <v>134.2</v>
      </c>
      <c r="H316" s="222" t="inlineStr">
        <is>
          <t>Idle</t>
        </is>
      </c>
      <c r="I316" s="222" t="inlineStr">
        <is>
          <t>53-41</t>
        </is>
      </c>
      <c r="J316" s="222" t="inlineStr">
        <is>
          <t>JOB-SETUP, INSPECTION, JOB-CLOSEUP</t>
        </is>
      </c>
    </row>
    <row r="317">
      <c r="A317" s="222" t="inlineStr">
        <is>
          <t>642</t>
        </is>
      </c>
      <c r="B317" s="222" t="inlineStr">
        <is>
          <t>571192-19-1</t>
        </is>
      </c>
      <c r="C317" s="222" t="inlineStr">
        <is>
          <t>571192-19-1 (0) / CENTER WING BOX</t>
        </is>
      </c>
      <c r="D317" s="222" t="inlineStr">
        <is>
          <t>1</t>
        </is>
      </c>
      <c r="E317" s="222" t="n">
        <v>1.2</v>
      </c>
      <c r="F317" s="222" t="n">
        <v>7.5</v>
      </c>
      <c r="G317" s="222" t="n">
        <v>134.2</v>
      </c>
      <c r="H317" s="222" t="inlineStr">
        <is>
          <t>Idle</t>
        </is>
      </c>
      <c r="I317" s="222" t="inlineStr">
        <is>
          <t>57</t>
        </is>
      </c>
      <c r="J317" s="222" t="inlineStr">
        <is>
          <t>JOB-SETUP, INSPECTION, JOB-CLOSEUP</t>
        </is>
      </c>
    </row>
    <row r="318">
      <c r="A318" s="222" t="inlineStr">
        <is>
          <t>643</t>
        </is>
      </c>
      <c r="B318" s="222" t="inlineStr">
        <is>
          <t>572001-01-1-001</t>
        </is>
      </c>
      <c r="C318" s="222" t="inlineStr">
        <is>
          <t>572001-01-1-001 (02) / L/H WING FRONT SPAR FWD FACE INSP</t>
        </is>
      </c>
      <c r="D318" s="222" t="inlineStr">
        <is>
          <t>1</t>
        </is>
      </c>
      <c r="E318" s="222" t="n">
        <v>1</v>
      </c>
      <c r="F318" s="222" t="n">
        <v>0.5</v>
      </c>
      <c r="G318" s="222" t="n">
        <v>134.7</v>
      </c>
      <c r="H318" s="222" t="inlineStr">
        <is>
          <t>Idle</t>
        </is>
      </c>
      <c r="I318" s="222" t="inlineStr">
        <is>
          <t>57-20</t>
        </is>
      </c>
      <c r="J318" s="222" t="inlineStr">
        <is>
          <t>JOB-SETUP, CLEAN-UP, INSPECTION, JOB-CLOSEUP, JOB-CLOSEUP</t>
        </is>
      </c>
    </row>
    <row r="319">
      <c r="A319" s="222" t="inlineStr">
        <is>
          <t>644</t>
        </is>
      </c>
      <c r="B319" s="222" t="inlineStr">
        <is>
          <t>572001-01-1-002</t>
        </is>
      </c>
      <c r="C319" s="222" t="inlineStr">
        <is>
          <t>572001-01-1-002 (02) / R/H WING FRONT SPAR FWD FACE INSP</t>
        </is>
      </c>
      <c r="D319" s="222" t="inlineStr">
        <is>
          <t>1</t>
        </is>
      </c>
      <c r="E319" s="222" t="n"/>
      <c r="F319" s="222" t="n">
        <v>7.8</v>
      </c>
      <c r="G319" s="222" t="n">
        <v>158.6</v>
      </c>
      <c r="H319" s="222" t="inlineStr">
        <is>
          <t>Idle</t>
        </is>
      </c>
      <c r="I319" s="222" t="inlineStr">
        <is>
          <t>57-20</t>
        </is>
      </c>
      <c r="J319" s="222" t="inlineStr">
        <is>
          <t>JOB-SETUP, CLEAN-UP, INSPECTION, JOB-CLOSEUP, JOB-CLOSEUP</t>
        </is>
      </c>
    </row>
    <row r="320">
      <c r="A320" s="222" t="inlineStr">
        <is>
          <t>645</t>
        </is>
      </c>
      <c r="B320" s="222" t="inlineStr">
        <is>
          <t>572007-01-2-001</t>
        </is>
      </c>
      <c r="C320" s="222" t="inlineStr">
        <is>
          <t>572007-01-2-001 (03) / L-OUTER WING REAR SPAR AFT FACE INSP</t>
        </is>
      </c>
      <c r="D320" s="222" t="inlineStr">
        <is>
          <t>1</t>
        </is>
      </c>
      <c r="E320" s="222" t="n">
        <v>1</v>
      </c>
      <c r="F320" s="222" t="n">
        <v>0.5</v>
      </c>
      <c r="G320" s="222" t="n">
        <v>134.7</v>
      </c>
      <c r="H320" s="222" t="inlineStr">
        <is>
          <t>Idle</t>
        </is>
      </c>
      <c r="I320" s="222" t="inlineStr">
        <is>
          <t>57-20</t>
        </is>
      </c>
      <c r="J320" s="222" t="inlineStr">
        <is>
          <t>JOB-SETUP, INSPECTION, INSPECTION, JOB-CLOSEUP, JOB-CLOSEUP</t>
        </is>
      </c>
    </row>
    <row r="321">
      <c r="A321" s="222" t="inlineStr">
        <is>
          <t>646</t>
        </is>
      </c>
      <c r="B321" s="222" t="inlineStr">
        <is>
          <t>572007-01-2-002</t>
        </is>
      </c>
      <c r="C321" s="222" t="inlineStr">
        <is>
          <t>572007-01-2-002 (03) / R-OUTER WING REAR SPAR AFT FACE INSP</t>
        </is>
      </c>
      <c r="D321" s="222" t="inlineStr">
        <is>
          <t>1</t>
        </is>
      </c>
      <c r="E321" s="222" t="n">
        <v>1</v>
      </c>
      <c r="F321" s="222" t="n">
        <v>8.199999999999999</v>
      </c>
      <c r="G321" s="222" t="n">
        <v>158.4</v>
      </c>
      <c r="H321" s="222" t="inlineStr">
        <is>
          <t>Idle</t>
        </is>
      </c>
      <c r="I321" s="222" t="inlineStr">
        <is>
          <t>57-20</t>
        </is>
      </c>
      <c r="J321" s="222" t="inlineStr">
        <is>
          <t>JOB-SETUP, INSPECTION, INSPECTION, JOB-CLOSEUP, JOB-CLOSEUP</t>
        </is>
      </c>
    </row>
    <row r="322">
      <c r="A322" s="222" t="inlineStr">
        <is>
          <t>647</t>
        </is>
      </c>
      <c r="B322" s="222" t="inlineStr">
        <is>
          <t>572020-01-1-001</t>
        </is>
      </c>
      <c r="C322" s="222" t="inlineStr">
        <is>
          <t>572020-01-1-001 (03) / L/H WING TOP SKIN RIB 1 AND 8 INSP</t>
        </is>
      </c>
      <c r="D322" s="222" t="inlineStr">
        <is>
          <t>1</t>
        </is>
      </c>
      <c r="E322" s="222" t="n">
        <v>6</v>
      </c>
      <c r="F322" s="222" t="n">
        <v>3.5</v>
      </c>
      <c r="G322" s="222" t="n">
        <v>44.2</v>
      </c>
      <c r="H322" s="222" t="inlineStr">
        <is>
          <t>Idle</t>
        </is>
      </c>
      <c r="I322" s="222" t="inlineStr">
        <is>
          <t>57-20</t>
        </is>
      </c>
      <c r="J322" s="222" t="inlineStr">
        <is>
          <t>JOB-SETUP, CLEAN-UP, INSPECTION, INSPECTION, JOB-CLOSEUP, JOB-CLOSEUP</t>
        </is>
      </c>
    </row>
    <row r="323">
      <c r="A323" s="222" t="inlineStr">
        <is>
          <t>648</t>
        </is>
      </c>
      <c r="B323" s="222" t="inlineStr">
        <is>
          <t>572020-01-1-002</t>
        </is>
      </c>
      <c r="C323" s="222" t="inlineStr">
        <is>
          <t>572020-01-1-002 (03) / R/H WING TOP SKIN RIB 1 AND 8 INSP</t>
        </is>
      </c>
      <c r="D323" s="222" t="inlineStr">
        <is>
          <t>1</t>
        </is>
      </c>
      <c r="E323" s="222" t="n">
        <v>2</v>
      </c>
      <c r="F323" s="222" t="n">
        <v>5.8</v>
      </c>
      <c r="G323" s="222" t="n">
        <v>44.3</v>
      </c>
      <c r="H323" s="222" t="inlineStr">
        <is>
          <t>Idle</t>
        </is>
      </c>
      <c r="I323" s="222" t="inlineStr">
        <is>
          <t>57-20</t>
        </is>
      </c>
      <c r="J323" s="222" t="inlineStr">
        <is>
          <t>JOB-SETUP, CLEAN-UP, INSPECTION, INSPECTION, JOB-CLOSEUP, JOB-CLOSEUP</t>
        </is>
      </c>
    </row>
    <row r="324">
      <c r="A324" s="222" t="inlineStr">
        <is>
          <t>649</t>
        </is>
      </c>
      <c r="B324" s="222" t="inlineStr">
        <is>
          <t>572040-01-2-001</t>
        </is>
      </c>
      <c r="C324" s="222" t="inlineStr">
        <is>
          <t>572040-01-2-001 (03) / L/H WING BOTTOM SKIN CUTOUTS INSP</t>
        </is>
      </c>
      <c r="D324" s="222" t="inlineStr">
        <is>
          <t>1</t>
        </is>
      </c>
      <c r="E324" s="222" t="n">
        <v>0.2</v>
      </c>
      <c r="F324" s="222" t="n">
        <v>2.5</v>
      </c>
      <c r="G324" s="222" t="n">
        <v>44.2</v>
      </c>
      <c r="H324" s="222" t="inlineStr">
        <is>
          <t>Idle</t>
        </is>
      </c>
      <c r="I324" s="222" t="inlineStr">
        <is>
          <t>57-20</t>
        </is>
      </c>
      <c r="J324" s="222" t="inlineStr">
        <is>
          <t>JOB-SETUP, CLEAN-UP, INSPECTION, INSPECTION, JOB-CLOSEUP, JOB-CLOSEUP</t>
        </is>
      </c>
    </row>
    <row r="325">
      <c r="A325" s="222" t="inlineStr">
        <is>
          <t>650</t>
        </is>
      </c>
      <c r="B325" s="222" t="inlineStr">
        <is>
          <t>572040-01-2-002</t>
        </is>
      </c>
      <c r="C325" s="222" t="inlineStr">
        <is>
          <t>572040-01-2-002 (03) / R/H WING BOTTOM SKIN CUTOUTS INSP</t>
        </is>
      </c>
      <c r="D325" s="222" t="inlineStr">
        <is>
          <t>1</t>
        </is>
      </c>
      <c r="E325" s="222" t="n">
        <v>0.1</v>
      </c>
      <c r="F325" s="222" t="n">
        <v>6.8</v>
      </c>
      <c r="G325" s="222" t="n">
        <v>44.5</v>
      </c>
      <c r="H325" s="222" t="inlineStr">
        <is>
          <t>Idle</t>
        </is>
      </c>
      <c r="I325" s="222" t="inlineStr">
        <is>
          <t>57-20</t>
        </is>
      </c>
      <c r="J325" s="222" t="inlineStr">
        <is>
          <t>JOB-SETUP, CLEAN-UP, INSPECTION, INSPECTION, JOB-CLOSEUP, JOB-CLOSEUP</t>
        </is>
      </c>
    </row>
    <row r="326">
      <c r="A326" s="222" t="inlineStr">
        <is>
          <t>655</t>
        </is>
      </c>
      <c r="B326" s="222" t="inlineStr">
        <is>
          <t>572063-01-1-001</t>
        </is>
      </c>
      <c r="C326" s="222" t="inlineStr">
        <is>
          <t>572063-01-1-001 (02) / L/H O/WNG BTOM SKN LWR SURFACE INSP</t>
        </is>
      </c>
      <c r="D326" s="222" t="inlineStr">
        <is>
          <t>1</t>
        </is>
      </c>
      <c r="E326" s="222" t="n">
        <v>1.6</v>
      </c>
      <c r="F326" s="222" t="n">
        <v>1</v>
      </c>
      <c r="G326" s="222" t="n">
        <v>132.2</v>
      </c>
      <c r="H326" s="222" t="inlineStr">
        <is>
          <t>Idle</t>
        </is>
      </c>
      <c r="I326" s="222" t="inlineStr">
        <is>
          <t>57-20</t>
        </is>
      </c>
      <c r="J326" s="222" t="inlineStr">
        <is>
          <t>JOB-SETUP, CLEAN-UP, INSPECTION, INSPECTION, JOB-CLOSEUP, JOB-CLOSEUP</t>
        </is>
      </c>
    </row>
    <row r="327">
      <c r="A327" s="222" t="inlineStr">
        <is>
          <t>656</t>
        </is>
      </c>
      <c r="B327" s="222" t="inlineStr">
        <is>
          <t>572063-01-1-002</t>
        </is>
      </c>
      <c r="C327" s="222" t="inlineStr">
        <is>
          <t>572063-01-1-002 (02) / R/H O/WING BTOM SKN LWR SURFACE INSP</t>
        </is>
      </c>
      <c r="D327" s="222" t="inlineStr">
        <is>
          <t>1</t>
        </is>
      </c>
      <c r="E327" s="222" t="n">
        <v>1.6</v>
      </c>
      <c r="F327" s="222" t="n">
        <v>2.5</v>
      </c>
      <c r="G327" s="222" t="n">
        <v>144.3</v>
      </c>
      <c r="H327" s="222" t="inlineStr">
        <is>
          <t>Idle</t>
        </is>
      </c>
      <c r="I327" s="222" t="inlineStr">
        <is>
          <t>57-20</t>
        </is>
      </c>
      <c r="J327" s="222" t="inlineStr">
        <is>
          <t>JOB-SETUP, CLEAN-UP, INSPECTION, INSPECTION, JOB-CLOSEUP, JOB-CLOSEUP</t>
        </is>
      </c>
    </row>
    <row r="328">
      <c r="A328" s="222" t="inlineStr">
        <is>
          <t>657</t>
        </is>
      </c>
      <c r="B328" s="222" t="inlineStr">
        <is>
          <t>572066-01-1-001</t>
        </is>
      </c>
      <c r="C328" s="222" t="inlineStr">
        <is>
          <t>572066-01-1-001 (03) / L/H OUTER WING TOP SKIN LOWER SURFACE INSP</t>
        </is>
      </c>
      <c r="D328" s="222" t="inlineStr">
        <is>
          <t>1</t>
        </is>
      </c>
      <c r="E328" s="222" t="n">
        <v>1</v>
      </c>
      <c r="F328" s="222" t="n">
        <v>1.5</v>
      </c>
      <c r="G328" s="222" t="n">
        <v>134.5</v>
      </c>
      <c r="H328" s="222" t="inlineStr">
        <is>
          <t>Idle</t>
        </is>
      </c>
      <c r="I328" s="222" t="inlineStr">
        <is>
          <t>57-20</t>
        </is>
      </c>
      <c r="J328" s="222" t="inlineStr">
        <is>
          <t>JOB-SETUP, CLEAN-UP, INSPECTION, JOB-CLOSEUP, JOB-CLOSEUP</t>
        </is>
      </c>
    </row>
    <row r="329">
      <c r="A329" s="222" t="inlineStr">
        <is>
          <t>658</t>
        </is>
      </c>
      <c r="B329" s="222" t="inlineStr">
        <is>
          <t>572066-01-1-002</t>
        </is>
      </c>
      <c r="C329" s="222" t="inlineStr">
        <is>
          <t>572066-01-1-002 (03) / R/H OUTER WING TOP SKIN LOWER SURFACE INSP</t>
        </is>
      </c>
      <c r="D329" s="222" t="inlineStr">
        <is>
          <t>1</t>
        </is>
      </c>
      <c r="E329" s="222" t="n">
        <v>1</v>
      </c>
      <c r="F329" s="222" t="n">
        <v>0.8</v>
      </c>
      <c r="G329" s="222" t="n">
        <v>136.1</v>
      </c>
      <c r="H329" s="222" t="inlineStr">
        <is>
          <t>Idle</t>
        </is>
      </c>
      <c r="I329" s="222" t="inlineStr">
        <is>
          <t>57-20</t>
        </is>
      </c>
      <c r="J329" s="222" t="inlineStr">
        <is>
          <t>JOB-SETUP, CLEAN-UP, INSPECTION, JOB-CLOSEUP, JOB-CLOSEUP</t>
        </is>
      </c>
    </row>
    <row r="330">
      <c r="A330" s="222" t="inlineStr">
        <is>
          <t>664</t>
        </is>
      </c>
      <c r="B330" s="222" t="inlineStr">
        <is>
          <t>572139-01-2-001</t>
        </is>
      </c>
      <c r="C330" s="222" t="inlineStr">
        <is>
          <t>572139-01-2-001 (02) / L/H OUTR WING BOTOM SKIN RIB BAY CUTOUTS INSP</t>
        </is>
      </c>
      <c r="D330" s="222" t="inlineStr">
        <is>
          <t>1</t>
        </is>
      </c>
      <c r="E330" s="222" t="n">
        <v>0.5</v>
      </c>
      <c r="F330" s="222" t="n">
        <v>6.5</v>
      </c>
      <c r="G330" s="222" t="n">
        <v>142.2</v>
      </c>
      <c r="H330" s="222" t="inlineStr">
        <is>
          <t>Idle</t>
        </is>
      </c>
      <c r="I330" s="222" t="inlineStr">
        <is>
          <t>57-21</t>
        </is>
      </c>
      <c r="J330" s="222" t="inlineStr">
        <is>
          <t>JOB-SETUP, CLEAN-UP, INSPECTION, JOB-CLOSEUP, JOB-CLOSEUP</t>
        </is>
      </c>
    </row>
    <row r="331">
      <c r="A331" s="222" t="inlineStr">
        <is>
          <t>665</t>
        </is>
      </c>
      <c r="B331" s="222" t="inlineStr">
        <is>
          <t>572139-01-2-002</t>
        </is>
      </c>
      <c r="C331" s="222" t="inlineStr">
        <is>
          <t>572139-01-2-002 (02) / R/H OUTR WING BOTOM SKIN RIB BAY CUTOUTS INSP</t>
        </is>
      </c>
      <c r="D331" s="222" t="inlineStr">
        <is>
          <t>1</t>
        </is>
      </c>
      <c r="E331" s="222" t="n">
        <v>0.5</v>
      </c>
      <c r="F331" s="222" t="n">
        <v>7.5</v>
      </c>
      <c r="G331" s="222" t="n">
        <v>142.2</v>
      </c>
      <c r="H331" s="222" t="inlineStr">
        <is>
          <t>Idle</t>
        </is>
      </c>
      <c r="I331" s="222" t="inlineStr">
        <is>
          <t>57-21</t>
        </is>
      </c>
      <c r="J331" s="222" t="inlineStr">
        <is>
          <t>JOB-SETUP, CLEAN-UP, INSPECTION, JOB-CLOSEUP, JOB-CLOSEUP</t>
        </is>
      </c>
    </row>
    <row r="332">
      <c r="A332" s="222" t="inlineStr">
        <is>
          <t>666</t>
        </is>
      </c>
      <c r="B332" s="222" t="inlineStr">
        <is>
          <t>32712996</t>
        </is>
      </c>
      <c r="C332" s="222" t="inlineStr">
        <is>
          <t>572140-01-2-001 (03) / LH OUTER WNG BOTTOM SKN CUTOUTS INSP</t>
        </is>
      </c>
      <c r="D332" s="222" t="inlineStr">
        <is>
          <t>1</t>
        </is>
      </c>
      <c r="E332" s="222" t="n">
        <v>1.3</v>
      </c>
      <c r="F332" s="222" t="n">
        <v>5</v>
      </c>
      <c r="G332" s="222" t="n">
        <v>46.2</v>
      </c>
      <c r="H332" s="222" t="inlineStr">
        <is>
          <t>Idle</t>
        </is>
      </c>
      <c r="I332" s="222" t="inlineStr">
        <is>
          <t>57-21</t>
        </is>
      </c>
      <c r="J332" s="222" t="inlineStr">
        <is>
          <t>JOB-SETUP, CLEAN-UP, INSPECTION, JOB-CLOSEUP, JOB-CLOSEUP</t>
        </is>
      </c>
    </row>
    <row r="333">
      <c r="A333" s="222" t="inlineStr">
        <is>
          <t>667</t>
        </is>
      </c>
      <c r="B333" s="222" t="inlineStr">
        <is>
          <t>572140-01-2-002</t>
        </is>
      </c>
      <c r="C333" s="222" t="inlineStr">
        <is>
          <t>572140-01-2-002 (03) / RH OUTER WNG BOTTOM SKN CUTOUTS INSP</t>
        </is>
      </c>
      <c r="D333" s="222" t="inlineStr">
        <is>
          <t>1</t>
        </is>
      </c>
      <c r="E333" s="222" t="n">
        <v>0.5</v>
      </c>
      <c r="F333" s="222" t="n">
        <v>5.5</v>
      </c>
      <c r="G333" s="222" t="n">
        <v>46.3</v>
      </c>
      <c r="H333" s="222" t="inlineStr">
        <is>
          <t>Idle</t>
        </is>
      </c>
      <c r="I333" s="222" t="inlineStr">
        <is>
          <t>57-21</t>
        </is>
      </c>
      <c r="J333" s="222" t="inlineStr">
        <is>
          <t>JOB-SETUP, CLEAN-UP, INSPECTION, JOB-CLOSEUP, JOB-CLOSEUP</t>
        </is>
      </c>
    </row>
    <row r="334">
      <c r="A334" s="222" t="inlineStr">
        <is>
          <t>675</t>
        </is>
      </c>
      <c r="B334" s="222" t="inlineStr">
        <is>
          <t>574202-01-2-002</t>
        </is>
      </c>
      <c r="C334" s="222" t="inlineStr">
        <is>
          <t>574202-01-2-002 (02) / R/H SLAT 1 TRACKS 1-4 ATACHMNTS INSP</t>
        </is>
      </c>
      <c r="D334" s="222" t="inlineStr">
        <is>
          <t>1</t>
        </is>
      </c>
      <c r="E334" s="222" t="n">
        <v>0.8</v>
      </c>
      <c r="F334" s="222" t="n">
        <v>17</v>
      </c>
      <c r="G334" s="222" t="n">
        <v>135.2</v>
      </c>
      <c r="H334" s="222" t="inlineStr">
        <is>
          <t>Idle</t>
        </is>
      </c>
      <c r="I334" s="222" t="inlineStr">
        <is>
          <t>57-42</t>
        </is>
      </c>
      <c r="J334" s="222" t="inlineStr">
        <is>
          <t>JOB-SETUP, CLEAN-UP, INSPECTION, JOB-CLOSEUP</t>
        </is>
      </c>
    </row>
    <row r="335">
      <c r="A335" s="222" t="inlineStr">
        <is>
          <t>696</t>
        </is>
      </c>
      <c r="B335" s="222" t="inlineStr">
        <is>
          <t>575120-03-1-001</t>
        </is>
      </c>
      <c r="C335" s="222" t="inlineStr">
        <is>
          <t>575120-03-1-001 (02) / TRALING EDGE AILERON HINGE PINS INSP</t>
        </is>
      </c>
      <c r="D335" s="222" t="inlineStr">
        <is>
          <t>1</t>
        </is>
      </c>
      <c r="E335" s="222" t="n">
        <v>1.8</v>
      </c>
      <c r="F335" s="222" t="n">
        <v>1</v>
      </c>
      <c r="G335" s="222" t="n">
        <v>21.3</v>
      </c>
      <c r="H335" s="222" t="inlineStr">
        <is>
          <t>Idle</t>
        </is>
      </c>
      <c r="I335" s="222" t="inlineStr">
        <is>
          <t>57-51</t>
        </is>
      </c>
      <c r="J335" s="222" t="inlineStr">
        <is>
          <t>JOB-SETUP, CLEAN-UP, INSPECTION, JOB-CLOSEUP</t>
        </is>
      </c>
    </row>
    <row r="336">
      <c r="A336" s="222" t="inlineStr">
        <is>
          <t>699</t>
        </is>
      </c>
      <c r="B336" s="222" t="inlineStr">
        <is>
          <t>575150-01-2-002</t>
        </is>
      </c>
      <c r="C336" s="222" t="inlineStr">
        <is>
          <t>575150-01-2-002 (03) / R/H OUTER WING MLG SUPPORT RIBS INSP</t>
        </is>
      </c>
      <c r="D336" s="222" t="inlineStr">
        <is>
          <t>1</t>
        </is>
      </c>
      <c r="E336" s="222" t="n"/>
      <c r="F336" s="222" t="n">
        <v>7.3</v>
      </c>
      <c r="G336" s="222" t="n">
        <v>23.4</v>
      </c>
      <c r="H336" s="222" t="inlineStr">
        <is>
          <t>Idle</t>
        </is>
      </c>
      <c r="I336" s="222" t="inlineStr">
        <is>
          <t>57-51</t>
        </is>
      </c>
      <c r="J336" s="222" t="inlineStr">
        <is>
          <t>JOB-SETUP, CLEAN-UP, INSPECTION, JOB-CLOSEUP</t>
        </is>
      </c>
    </row>
    <row r="337">
      <c r="A337" s="222" t="inlineStr">
        <is>
          <t>701</t>
        </is>
      </c>
      <c r="B337" s="222" t="inlineStr">
        <is>
          <t>575158-01-5-002</t>
        </is>
      </c>
      <c r="C337" s="222" t="inlineStr">
        <is>
          <t>575158-01-5-002 (02) / R/H WNG BOTTOM SKN LWR SURFACE INSP</t>
        </is>
      </c>
      <c r="D337" s="222" t="inlineStr">
        <is>
          <t>1</t>
        </is>
      </c>
      <c r="E337" s="222" t="n"/>
      <c r="F337" s="222" t="n">
        <v>5</v>
      </c>
      <c r="G337" s="222" t="n">
        <v>22.4</v>
      </c>
      <c r="H337" s="222" t="inlineStr">
        <is>
          <t>Idle</t>
        </is>
      </c>
      <c r="I337" s="222" t="inlineStr">
        <is>
          <t>57-51</t>
        </is>
      </c>
      <c r="J337" s="222" t="inlineStr">
        <is>
          <t>JOB-SETUP, CLEAN-UP, INSPECTION, JOB-CLOSEUP</t>
        </is>
      </c>
    </row>
    <row r="338">
      <c r="A338" s="222" t="inlineStr">
        <is>
          <t>702</t>
        </is>
      </c>
      <c r="B338" s="222" t="inlineStr">
        <is>
          <t>783000-C9-1</t>
        </is>
      </c>
      <c r="C338" s="222" t="inlineStr">
        <is>
          <t>783000-C9-1 (01) / DETAILED INSPECTION OF TRU STRUTS.</t>
        </is>
      </c>
      <c r="D338" s="222" t="inlineStr">
        <is>
          <t>1</t>
        </is>
      </c>
      <c r="E338" s="222" t="n">
        <v>4.7</v>
      </c>
      <c r="F338" s="222" t="n"/>
      <c r="G338" s="222" t="n"/>
      <c r="H338" s="222" t="inlineStr">
        <is>
          <t>Not Started</t>
        </is>
      </c>
      <c r="I338" s="222" t="inlineStr">
        <is>
          <t>78-30</t>
        </is>
      </c>
      <c r="J338" s="222" t="inlineStr"/>
    </row>
    <row r="339">
      <c r="A339" s="222" t="inlineStr">
        <is>
          <t>707</t>
        </is>
      </c>
      <c r="B339" s="222" t="inlineStr">
        <is>
          <t>29904504</t>
        </is>
      </c>
      <c r="C339" s="222" t="inlineStr">
        <is>
          <t>EOD-320-21-00004-R00/A320 - AIR CONDITIONING -AVIONICS EQUIPMENT VENTILATION - INTRODUCE A</t>
        </is>
      </c>
      <c r="D339" s="222" t="inlineStr">
        <is>
          <t>C</t>
        </is>
      </c>
      <c r="E339" s="222" t="n">
        <v>16</v>
      </c>
      <c r="F339" s="222" t="n"/>
      <c r="G339" s="222" t="n"/>
      <c r="H339" s="222" t="inlineStr">
        <is>
          <t>Not Started</t>
        </is>
      </c>
      <c r="I339" s="222" t="inlineStr">
        <is>
          <t>21</t>
        </is>
      </c>
      <c r="J339" s="222" t="inlineStr"/>
    </row>
    <row r="340">
      <c r="A340" s="222" t="inlineStr">
        <is>
          <t>708</t>
        </is>
      </c>
      <c r="B340" s="222" t="inlineStr">
        <is>
          <t>29749798</t>
        </is>
      </c>
      <c r="C340" s="222" t="inlineStr">
        <is>
          <t>EOD-320-23-00013-R00/COMMUNICATIONS- COCKPIT VOICE RECORDER-ACTIVATION OF DATALINK RECORDI</t>
        </is>
      </c>
      <c r="D340" s="222" t="inlineStr">
        <is>
          <t>C</t>
        </is>
      </c>
      <c r="E340" s="222" t="n">
        <v>3</v>
      </c>
      <c r="F340" s="222" t="n">
        <v>6</v>
      </c>
      <c r="G340" s="222" t="n">
        <v>61.2</v>
      </c>
      <c r="H340" s="222" t="inlineStr">
        <is>
          <t>Idle</t>
        </is>
      </c>
      <c r="I340" s="222" t="inlineStr">
        <is>
          <t>23</t>
        </is>
      </c>
      <c r="J340" s="222" t="inlineStr"/>
    </row>
    <row r="341">
      <c r="A341" s="222" t="inlineStr">
        <is>
          <t>709</t>
        </is>
      </c>
      <c r="B341" s="222" t="inlineStr">
        <is>
          <t>20893203</t>
        </is>
      </c>
      <c r="C341" s="222" t="inlineStr">
        <is>
          <t>EOD-320-25-00032-R00/AD-SPECIAL DETAILED INSPECTION OF THE RACK 80VU (CEO)</t>
        </is>
      </c>
      <c r="D341" s="222" t="inlineStr">
        <is>
          <t>PJED</t>
        </is>
      </c>
      <c r="E341" s="222" t="n">
        <v>9.199999999999999</v>
      </c>
      <c r="F341" s="222" t="n"/>
      <c r="G341" s="222" t="n"/>
      <c r="H341" s="222" t="inlineStr">
        <is>
          <t>Not Started</t>
        </is>
      </c>
      <c r="I341" s="222" t="inlineStr">
        <is>
          <t>25</t>
        </is>
      </c>
      <c r="J341" s="222" t="inlineStr"/>
    </row>
    <row r="342">
      <c r="A342" s="222" t="inlineStr">
        <is>
          <t>710</t>
        </is>
      </c>
      <c r="B342" s="222" t="inlineStr">
        <is>
          <t>29715410</t>
        </is>
      </c>
      <c r="C342" s="222" t="inlineStr">
        <is>
          <t>EOD-320-25-00050-R00/AD-EQUIPMENT/FURNISHINGS - LININGS AND FURNISHINGS/FORWARD CARGO</t>
        </is>
      </c>
      <c r="D342" s="222" t="inlineStr">
        <is>
          <t>CCHK</t>
        </is>
      </c>
      <c r="E342" s="222" t="n">
        <v>6.2</v>
      </c>
      <c r="F342" s="222" t="n"/>
      <c r="G342" s="222" t="n"/>
      <c r="H342" s="222" t="inlineStr">
        <is>
          <t>Not Started</t>
        </is>
      </c>
      <c r="I342" s="222" t="inlineStr">
        <is>
          <t>25</t>
        </is>
      </c>
      <c r="J342" s="222" t="inlineStr"/>
    </row>
    <row r="343">
      <c r="A343" s="222" t="inlineStr">
        <is>
          <t>711</t>
        </is>
      </c>
      <c r="B343" s="222" t="inlineStr">
        <is>
          <t>30970374</t>
        </is>
      </c>
      <c r="C343" s="222" t="inlineStr">
        <is>
          <t>EOD-320-25-00052-R00/PAD-THIRD OCCUPANT SEAT – 168 SERIES BOTTOM EQUIPPED SCREW REPLACEMENT</t>
        </is>
      </c>
      <c r="D343" s="222" t="inlineStr">
        <is>
          <t>AD</t>
        </is>
      </c>
      <c r="E343" s="222" t="n">
        <v>0.5</v>
      </c>
      <c r="F343" s="222" t="n"/>
      <c r="G343" s="222" t="n"/>
      <c r="H343" s="222" t="inlineStr">
        <is>
          <t>Not Started</t>
        </is>
      </c>
      <c r="I343" s="222" t="inlineStr">
        <is>
          <t>25</t>
        </is>
      </c>
      <c r="J343" s="222" t="inlineStr"/>
    </row>
    <row r="344">
      <c r="A344" s="222" t="inlineStr">
        <is>
          <t>712</t>
        </is>
      </c>
      <c r="B344" s="222" t="inlineStr">
        <is>
          <t>29411293</t>
        </is>
      </c>
      <c r="C344" s="222" t="inlineStr">
        <is>
          <t>EOD-320-27-00018-R00/A320 - FLIGHT CONTROLS - LIFT AUGMENTING - INTRODUCE IMPROVED SLAT GEA</t>
        </is>
      </c>
      <c r="D344" s="222" t="inlineStr">
        <is>
          <t>CCHK</t>
        </is>
      </c>
      <c r="E344" s="222" t="n">
        <v>8.800000000000001</v>
      </c>
      <c r="F344" s="222" t="n"/>
      <c r="G344" s="222" t="n"/>
      <c r="H344" s="222" t="inlineStr">
        <is>
          <t>Not Started</t>
        </is>
      </c>
      <c r="I344" s="222" t="inlineStr">
        <is>
          <t>27</t>
        </is>
      </c>
      <c r="J344" s="222" t="inlineStr">
        <is>
          <t>--, --, --, --, --, CLOSE-UP</t>
        </is>
      </c>
    </row>
    <row r="345">
      <c r="A345" s="222" t="inlineStr">
        <is>
          <t>713</t>
        </is>
      </c>
      <c r="B345" s="222" t="inlineStr">
        <is>
          <t>29411377</t>
        </is>
      </c>
      <c r="C345" s="222" t="inlineStr">
        <is>
          <t>EOD-320-27-00019-R00/A320 - FLIGHT CONTROLS - LIFT AUGMENTING - INTRODUCE IMPROVED SLAT GEA</t>
        </is>
      </c>
      <c r="D345" s="222" t="inlineStr">
        <is>
          <t>CCHK</t>
        </is>
      </c>
      <c r="E345" s="222" t="n">
        <v>8.800000000000001</v>
      </c>
      <c r="F345" s="222" t="n"/>
      <c r="G345" s="222" t="n"/>
      <c r="H345" s="222" t="inlineStr">
        <is>
          <t>Not Started</t>
        </is>
      </c>
      <c r="I345" s="222" t="inlineStr">
        <is>
          <t>27</t>
        </is>
      </c>
      <c r="J345" s="222" t="inlineStr">
        <is>
          <t>--, --, --, --, --, CLOSE-UP</t>
        </is>
      </c>
    </row>
    <row r="346">
      <c r="A346" s="222" t="inlineStr">
        <is>
          <t>714</t>
        </is>
      </c>
      <c r="B346" s="222" t="inlineStr">
        <is>
          <t>31889267</t>
        </is>
      </c>
      <c r="C346" s="222" t="inlineStr">
        <is>
          <t>EOD-320-27-00026-R00/AD- A320 - FLIGHT CONTROLS- HIGH TIME THSA INSPECTION.</t>
        </is>
      </c>
      <c r="D346" s="222" t="inlineStr">
        <is>
          <t>C</t>
        </is>
      </c>
      <c r="E346" s="222" t="n">
        <v>15.9</v>
      </c>
      <c r="F346" s="222" t="n"/>
      <c r="G346" s="222" t="n"/>
      <c r="H346" s="222" t="inlineStr">
        <is>
          <t>Not Started</t>
        </is>
      </c>
      <c r="I346" s="222" t="inlineStr">
        <is>
          <t>27</t>
        </is>
      </c>
      <c r="J346" s="222" t="inlineStr"/>
    </row>
    <row r="347">
      <c r="A347" s="222" t="inlineStr">
        <is>
          <t>715</t>
        </is>
      </c>
      <c r="B347" s="222" t="inlineStr">
        <is>
          <t>30839449</t>
        </is>
      </c>
      <c r="C347" s="222" t="inlineStr">
        <is>
          <t>EOD-320-29-00007-R00/HYDRAULIC POWER - PYLON - REPLACE BUSHING ON HP LINE ON SVA CFM PYLON</t>
        </is>
      </c>
      <c r="D347" s="222" t="inlineStr">
        <is>
          <t>C</t>
        </is>
      </c>
      <c r="E347" s="222" t="n">
        <v>48.5</v>
      </c>
      <c r="F347" s="222" t="n">
        <v>51.3</v>
      </c>
      <c r="G347" s="222" t="n">
        <v>62.2</v>
      </c>
      <c r="H347" s="222" t="inlineStr">
        <is>
          <t>Idle</t>
        </is>
      </c>
      <c r="I347" s="222" t="inlineStr">
        <is>
          <t>29</t>
        </is>
      </c>
      <c r="J347" s="222" t="inlineStr">
        <is>
          <t>--, JOB-SETUP, JOB-SETUP, JOB-SETUP, --, --, --, --, --, --, --, JOB-CLOSEUP, JOB-CLOSEUP, JOB-CLOSEUP, JOB-CLOSEUP, CLOSE-UP, CLOSE-UP</t>
        </is>
      </c>
    </row>
    <row r="348">
      <c r="A348" s="222" t="inlineStr">
        <is>
          <t>716</t>
        </is>
      </c>
      <c r="B348" s="222" t="inlineStr">
        <is>
          <t>29500617</t>
        </is>
      </c>
      <c r="C348" s="222" t="inlineStr">
        <is>
          <t>EOD-320-31-00005-R00/A320 - INDICATING/RECORDING SYSTEMS - SDAC - ACQUISITION/INTERFACE- MO</t>
        </is>
      </c>
      <c r="D348" s="222" t="inlineStr">
        <is>
          <t>C</t>
        </is>
      </c>
      <c r="E348" s="222" t="n">
        <v>6</v>
      </c>
      <c r="F348" s="222" t="n">
        <v>4</v>
      </c>
      <c r="G348" s="222" t="n">
        <v>44.7</v>
      </c>
      <c r="H348" s="222" t="inlineStr">
        <is>
          <t>Idle</t>
        </is>
      </c>
      <c r="I348" s="222" t="inlineStr">
        <is>
          <t>31</t>
        </is>
      </c>
      <c r="J348" s="222" t="inlineStr"/>
    </row>
    <row r="349">
      <c r="A349" s="222" t="inlineStr">
        <is>
          <t>718</t>
        </is>
      </c>
      <c r="B349" s="222" t="inlineStr">
        <is>
          <t>30481965</t>
        </is>
      </c>
      <c r="C349" s="222" t="inlineStr">
        <is>
          <t>EOD-320-31-00007-R00/A320 –ELECTRONIC INSTRUMENT SYSTEM (EIS) - INTRODUCE EIS2 STANDARD S16</t>
        </is>
      </c>
      <c r="D349" s="222" t="inlineStr">
        <is>
          <t>ACHK</t>
        </is>
      </c>
      <c r="E349" s="222" t="n">
        <v>4.9</v>
      </c>
      <c r="F349" s="222" t="n"/>
      <c r="G349" s="222" t="n"/>
      <c r="H349" s="222" t="inlineStr">
        <is>
          <t>Not Started</t>
        </is>
      </c>
      <c r="I349" s="222" t="inlineStr">
        <is>
          <t>31</t>
        </is>
      </c>
      <c r="J349" s="222" t="inlineStr"/>
    </row>
    <row r="350">
      <c r="A350" s="222" t="inlineStr">
        <is>
          <t>719</t>
        </is>
      </c>
      <c r="B350" s="222" t="inlineStr">
        <is>
          <t>29155526</t>
        </is>
      </c>
      <c r="C350" s="222" t="inlineStr">
        <is>
          <t>EOD-320-31-00009-R00/INTRODUCE FDIMU H/W 2234320-02-02 FROM VENDOR TELEDYNE</t>
        </is>
      </c>
      <c r="D350" s="222" t="inlineStr">
        <is>
          <t>ACHK</t>
        </is>
      </c>
      <c r="E350" s="222" t="n">
        <v>2.5</v>
      </c>
      <c r="F350" s="222" t="n">
        <v>16</v>
      </c>
      <c r="G350" s="222" t="n">
        <v>67.8</v>
      </c>
      <c r="H350" s="222" t="inlineStr">
        <is>
          <t>Idle</t>
        </is>
      </c>
      <c r="I350" s="222" t="inlineStr">
        <is>
          <t>31</t>
        </is>
      </c>
      <c r="J350" s="222" t="inlineStr"/>
    </row>
    <row r="351">
      <c r="A351" s="222" t="inlineStr">
        <is>
          <t>721</t>
        </is>
      </c>
      <c r="B351" s="222" t="inlineStr">
        <is>
          <t>29155749</t>
        </is>
      </c>
      <c r="C351" s="222" t="inlineStr">
        <is>
          <t>EOD-320-31-00011-R00/FDIMU - TELEDYNE ETHERNET AND ADC ACTIVATION FOR FOMAX</t>
        </is>
      </c>
      <c r="D351" s="222" t="inlineStr">
        <is>
          <t>PJED</t>
        </is>
      </c>
      <c r="E351" s="222" t="n">
        <v>2.5</v>
      </c>
      <c r="F351" s="222" t="n"/>
      <c r="G351" s="222" t="n"/>
      <c r="H351" s="222" t="inlineStr">
        <is>
          <t>Not Started</t>
        </is>
      </c>
      <c r="I351" s="222" t="inlineStr">
        <is>
          <t>31</t>
        </is>
      </c>
      <c r="J351" s="222" t="inlineStr"/>
    </row>
    <row r="352">
      <c r="A352" s="222" t="inlineStr">
        <is>
          <t>723</t>
        </is>
      </c>
      <c r="B352" s="222" t="inlineStr">
        <is>
          <t>23732996</t>
        </is>
      </c>
      <c r="C352" s="222" t="inlineStr">
        <is>
          <t>EOD-320-32-00023-R00/A32S – LANDING GEAR - MLG - INSPECTION SLIDING TUBE / SLAVE LINK LUG C</t>
        </is>
      </c>
      <c r="D352" s="222" t="inlineStr">
        <is>
          <t>PJED</t>
        </is>
      </c>
      <c r="E352" s="222" t="n">
        <v>12.8</v>
      </c>
      <c r="F352" s="222" t="n"/>
      <c r="G352" s="222" t="n"/>
      <c r="H352" s="222" t="inlineStr">
        <is>
          <t>Not Started</t>
        </is>
      </c>
      <c r="I352" s="222" t="inlineStr">
        <is>
          <t>32</t>
        </is>
      </c>
      <c r="J352" s="222" t="inlineStr"/>
    </row>
    <row r="353">
      <c r="A353" s="222" t="inlineStr">
        <is>
          <t>724</t>
        </is>
      </c>
      <c r="B353" s="222" t="inlineStr">
        <is>
          <t>23745496</t>
        </is>
      </c>
      <c r="C353" s="222" t="inlineStr">
        <is>
          <t>EOD-320-32-00023-R00/A32S – LANDING GEAR - MLG - INSPECTION SLIDING TUBE / SLAVE LINK LUG C</t>
        </is>
      </c>
      <c r="D353" s="222" t="inlineStr">
        <is>
          <t>PJED</t>
        </is>
      </c>
      <c r="E353" s="222" t="n">
        <v>12.8</v>
      </c>
      <c r="F353" s="222" t="n"/>
      <c r="G353" s="222" t="n"/>
      <c r="H353" s="222" t="inlineStr">
        <is>
          <t>Not Started</t>
        </is>
      </c>
      <c r="I353" s="222" t="inlineStr">
        <is>
          <t>32</t>
        </is>
      </c>
      <c r="J353" s="222" t="inlineStr"/>
    </row>
    <row r="354">
      <c r="A354" s="222" t="inlineStr">
        <is>
          <t>725</t>
        </is>
      </c>
      <c r="B354" s="222" t="inlineStr">
        <is>
          <t>31990073</t>
        </is>
      </c>
      <c r="C354" s="222" t="inlineStr">
        <is>
          <t>EOD-320-32-00025-R00/A32S - LANDING GEAR – NLG - INTRODUCE A NEW IMPROVED</t>
        </is>
      </c>
      <c r="D354" s="222" t="inlineStr">
        <is>
          <t>LINE</t>
        </is>
      </c>
      <c r="E354" s="222" t="n">
        <v>54</v>
      </c>
      <c r="F354" s="222" t="n">
        <v>84.2</v>
      </c>
      <c r="G354" s="222" t="n">
        <v>163.6</v>
      </c>
      <c r="H354" s="222" t="inlineStr">
        <is>
          <t>Idle</t>
        </is>
      </c>
      <c r="I354" s="222" t="inlineStr">
        <is>
          <t>32</t>
        </is>
      </c>
      <c r="J354" s="222" t="inlineStr"/>
    </row>
    <row r="355">
      <c r="A355" s="222" t="inlineStr">
        <is>
          <t>726</t>
        </is>
      </c>
      <c r="B355" s="222" t="inlineStr">
        <is>
          <t>27685448</t>
        </is>
      </c>
      <c r="C355" s="222" t="inlineStr">
        <is>
          <t>EOD-320-36-00008-R00/A320 -PNEUMATIC - INSTALL DISCRETE SIGNAL WIRING BETWEEN BMC AND PACKS</t>
        </is>
      </c>
      <c r="D355" s="222" t="inlineStr">
        <is>
          <t>CCHK</t>
        </is>
      </c>
      <c r="E355" s="222" t="n">
        <v>16.2</v>
      </c>
      <c r="F355" s="222" t="n">
        <v>77</v>
      </c>
      <c r="G355" s="222" t="n">
        <v>46.8</v>
      </c>
      <c r="H355" s="222" t="inlineStr">
        <is>
          <t>Idle</t>
        </is>
      </c>
      <c r="I355" s="222" t="inlineStr">
        <is>
          <t>36</t>
        </is>
      </c>
      <c r="J355" s="222" t="inlineStr"/>
    </row>
    <row r="356">
      <c r="A356" s="222" t="inlineStr">
        <is>
          <t>727</t>
        </is>
      </c>
      <c r="B356" s="222" t="inlineStr">
        <is>
          <t>30817926</t>
        </is>
      </c>
      <c r="C356" s="222" t="inlineStr">
        <is>
          <t>EOD-320-44-00014-R00/ECLIPSE CONNECTIVITY MODIFICATION</t>
        </is>
      </c>
      <c r="D356" s="222" t="inlineStr">
        <is>
          <t>1</t>
        </is>
      </c>
      <c r="E356" s="222" t="n">
        <v>471</v>
      </c>
      <c r="F356" s="222" t="n">
        <v>29.1</v>
      </c>
      <c r="G356" s="222" t="n">
        <v>51.7</v>
      </c>
      <c r="H356" s="222" t="inlineStr">
        <is>
          <t>Idle</t>
        </is>
      </c>
      <c r="I356" s="222" t="inlineStr">
        <is>
          <t>44</t>
        </is>
      </c>
      <c r="J356" s="222" t="inlineStr"/>
    </row>
    <row r="357">
      <c r="A357" s="222" t="inlineStr">
        <is>
          <t>728</t>
        </is>
      </c>
      <c r="B357" s="222" t="inlineStr">
        <is>
          <t>31328631</t>
        </is>
      </c>
      <c r="C357" s="222" t="inlineStr">
        <is>
          <t>EOD-320-44-00028-R00/DE-MOD TAQNIA SYSTEM REMOVAL</t>
        </is>
      </c>
      <c r="D357" s="222" t="inlineStr">
        <is>
          <t>PJED</t>
        </is>
      </c>
      <c r="E357" s="222" t="n">
        <v>170</v>
      </c>
      <c r="F357" s="222" t="n"/>
      <c r="G357" s="222" t="n"/>
      <c r="H357" s="222" t="inlineStr">
        <is>
          <t>Not Started</t>
        </is>
      </c>
      <c r="I357" s="222" t="inlineStr">
        <is>
          <t>44</t>
        </is>
      </c>
      <c r="J357" s="222" t="inlineStr"/>
    </row>
    <row r="358">
      <c r="A358" s="222" t="inlineStr">
        <is>
          <t>729</t>
        </is>
      </c>
      <c r="B358" s="222" t="inlineStr">
        <is>
          <t>29155915</t>
        </is>
      </c>
      <c r="C358" s="222" t="inlineStr">
        <is>
          <t>EOD-320-46-00004-R00/INSTALL FOMAX SYSTEM PROVISIONS</t>
        </is>
      </c>
      <c r="D358" s="222" t="inlineStr">
        <is>
          <t>C</t>
        </is>
      </c>
      <c r="E358" s="222" t="n">
        <v>23.2</v>
      </c>
      <c r="F358" s="222" t="n">
        <v>2</v>
      </c>
      <c r="G358" s="222" t="n">
        <v>89.2</v>
      </c>
      <c r="H358" s="222" t="inlineStr">
        <is>
          <t>Idle</t>
        </is>
      </c>
      <c r="I358" s="222" t="inlineStr">
        <is>
          <t>46</t>
        </is>
      </c>
      <c r="J358" s="222" t="inlineStr"/>
    </row>
    <row r="359">
      <c r="A359" s="222" t="inlineStr">
        <is>
          <t>730</t>
        </is>
      </c>
      <c r="B359" s="222" t="inlineStr">
        <is>
          <t>29156039</t>
        </is>
      </c>
      <c r="C359" s="222" t="inlineStr">
        <is>
          <t>EOD-320-46-00005-R00/INSTALL INTERNAL GATELINK ANTENNA FOR FOMAX</t>
        </is>
      </c>
      <c r="D359" s="222" t="inlineStr">
        <is>
          <t>C</t>
        </is>
      </c>
      <c r="E359" s="222" t="n">
        <v>18</v>
      </c>
      <c r="F359" s="222" t="n">
        <v>25.7</v>
      </c>
      <c r="G359" s="222" t="n">
        <v>90.59999999999999</v>
      </c>
      <c r="H359" s="222" t="inlineStr">
        <is>
          <t>Idle</t>
        </is>
      </c>
      <c r="I359" s="222" t="inlineStr">
        <is>
          <t>46</t>
        </is>
      </c>
      <c r="J359" s="222" t="inlineStr"/>
    </row>
    <row r="360">
      <c r="A360" s="222" t="inlineStr">
        <is>
          <t>731</t>
        </is>
      </c>
      <c r="B360" s="222" t="inlineStr">
        <is>
          <t>29156133</t>
        </is>
      </c>
      <c r="C360" s="222" t="inlineStr">
        <is>
          <t>EOD-320-46-00006-R00/INSTALL COCKPIT WIFI ANTENNA FOR FOMAX</t>
        </is>
      </c>
      <c r="D360" s="222" t="inlineStr">
        <is>
          <t>C</t>
        </is>
      </c>
      <c r="E360" s="222" t="n">
        <v>18.5</v>
      </c>
      <c r="F360" s="222" t="n">
        <v>18</v>
      </c>
      <c r="G360" s="222" t="n">
        <v>70.09999999999999</v>
      </c>
      <c r="H360" s="222" t="inlineStr">
        <is>
          <t>Idle</t>
        </is>
      </c>
      <c r="I360" s="222" t="inlineStr">
        <is>
          <t>46</t>
        </is>
      </c>
      <c r="J360" s="222" t="inlineStr"/>
    </row>
    <row r="361">
      <c r="A361" s="222" t="inlineStr">
        <is>
          <t>732</t>
        </is>
      </c>
      <c r="B361" s="222" t="inlineStr">
        <is>
          <t>29156195</t>
        </is>
      </c>
      <c r="C361" s="222" t="inlineStr">
        <is>
          <t>EOD-320-46-00007-R00/CONNECT ETHERNET LINK BETWEEN FOMAX AND FDIMU</t>
        </is>
      </c>
      <c r="D361" s="222" t="inlineStr">
        <is>
          <t>C</t>
        </is>
      </c>
      <c r="E361" s="222" t="n">
        <v>2.5</v>
      </c>
      <c r="F361" s="222" t="n"/>
      <c r="G361" s="222" t="n"/>
      <c r="H361" s="222" t="inlineStr">
        <is>
          <t>Not Started</t>
        </is>
      </c>
      <c r="I361" s="222" t="inlineStr">
        <is>
          <t>46</t>
        </is>
      </c>
      <c r="J361" s="222" t="inlineStr"/>
    </row>
    <row r="362">
      <c r="A362" s="222" t="inlineStr">
        <is>
          <t>733</t>
        </is>
      </c>
      <c r="B362" s="222" t="inlineStr">
        <is>
          <t>29157165</t>
        </is>
      </c>
      <c r="C362" s="222" t="inlineStr">
        <is>
          <t>EOD-320-46-00008-R00/FOMAX 4 ACTIVATION</t>
        </is>
      </c>
      <c r="D362" s="222" t="inlineStr">
        <is>
          <t>ACHK</t>
        </is>
      </c>
      <c r="E362" s="222" t="n">
        <v>4</v>
      </c>
      <c r="F362" s="222" t="n"/>
      <c r="G362" s="222" t="n"/>
      <c r="H362" s="222" t="inlineStr">
        <is>
          <t>Not Started</t>
        </is>
      </c>
      <c r="I362" s="222" t="inlineStr">
        <is>
          <t>46</t>
        </is>
      </c>
      <c r="J362" s="222" t="inlineStr"/>
    </row>
    <row r="363">
      <c r="A363" s="222" t="inlineStr">
        <is>
          <t>734</t>
        </is>
      </c>
      <c r="B363" s="222" t="inlineStr">
        <is>
          <t>29156249</t>
        </is>
      </c>
      <c r="C363" s="222" t="inlineStr">
        <is>
          <t>EOD-320-46-00009-R00/ACTIVATE FOMAX OPTION 1</t>
        </is>
      </c>
      <c r="D363" s="222" t="inlineStr">
        <is>
          <t>ACHK</t>
        </is>
      </c>
      <c r="E363" s="222" t="n">
        <v>2.5</v>
      </c>
      <c r="F363" s="222" t="n"/>
      <c r="G363" s="222" t="n"/>
      <c r="H363" s="222" t="inlineStr">
        <is>
          <t>Not Started</t>
        </is>
      </c>
      <c r="I363" s="222" t="inlineStr">
        <is>
          <t>46</t>
        </is>
      </c>
      <c r="J363" s="222" t="inlineStr"/>
    </row>
    <row r="364">
      <c r="A364" s="222" t="inlineStr">
        <is>
          <t>735</t>
        </is>
      </c>
      <c r="B364" s="222" t="inlineStr">
        <is>
          <t>15777417</t>
        </is>
      </c>
      <c r="C364" s="222" t="inlineStr">
        <is>
          <t>EOD-320-53-00008-R00/AD-INSPECTION OF HORIZONTAL UPPER STIFFENER OF LATERAL WINDOW FRAME</t>
        </is>
      </c>
      <c r="D364" s="222" t="inlineStr">
        <is>
          <t>PJED</t>
        </is>
      </c>
      <c r="E364" s="222" t="n">
        <v>1.5</v>
      </c>
      <c r="F364" s="222" t="n"/>
      <c r="G364" s="222" t="n"/>
      <c r="H364" s="222" t="inlineStr">
        <is>
          <t>Not Started</t>
        </is>
      </c>
      <c r="I364" s="222" t="inlineStr">
        <is>
          <t>53</t>
        </is>
      </c>
      <c r="J364" s="222" t="inlineStr"/>
    </row>
    <row r="365">
      <c r="A365" s="222" t="inlineStr">
        <is>
          <t>736</t>
        </is>
      </c>
      <c r="B365" s="222" t="inlineStr">
        <is>
          <t>15777631</t>
        </is>
      </c>
      <c r="C365" s="222" t="inlineStr">
        <is>
          <t>EOD-320-53-00009-R00/AD-INSPECTION OF HORIZONTAL UPPER STIFFENER OF LATERAL WINDOW FRAME</t>
        </is>
      </c>
      <c r="D365" s="222" t="inlineStr">
        <is>
          <t>PJED</t>
        </is>
      </c>
      <c r="E365" s="222" t="n">
        <v>3</v>
      </c>
      <c r="F365" s="222" t="n"/>
      <c r="G365" s="222" t="n"/>
      <c r="H365" s="222" t="inlineStr">
        <is>
          <t>Not Started</t>
        </is>
      </c>
      <c r="I365" s="222" t="inlineStr">
        <is>
          <t>53</t>
        </is>
      </c>
      <c r="J365" s="222" t="inlineStr"/>
    </row>
    <row r="366">
      <c r="A366" s="222" t="inlineStr">
        <is>
          <t>737</t>
        </is>
      </c>
      <c r="B366" s="222" t="inlineStr">
        <is>
          <t>16152729</t>
        </is>
      </c>
      <c r="C366" s="222" t="inlineStr">
        <is>
          <t>EOD-320-53-00014-R00/INSPECTION OF VERTICAL STIFFENER OF LATERAL WINDOW FRAME AT FR 4 LHS</t>
        </is>
      </c>
      <c r="D366" s="222" t="inlineStr">
        <is>
          <t>1</t>
        </is>
      </c>
      <c r="E366" s="222" t="n">
        <v>8.300000000000001</v>
      </c>
      <c r="F366" s="222" t="n"/>
      <c r="G366" s="222" t="n"/>
      <c r="H366" s="222" t="inlineStr">
        <is>
          <t>Not Started</t>
        </is>
      </c>
      <c r="I366" s="222" t="inlineStr">
        <is>
          <t>53</t>
        </is>
      </c>
      <c r="J366" s="222" t="inlineStr"/>
    </row>
    <row r="367">
      <c r="A367" s="222" t="inlineStr">
        <is>
          <t>738</t>
        </is>
      </c>
      <c r="B367" s="222" t="inlineStr">
        <is>
          <t>16152761</t>
        </is>
      </c>
      <c r="C367" s="222" t="inlineStr">
        <is>
          <t>EOD-320-53-00015-R00/INSPECTION OF VERTICAL STIFFENER OF LATERAL WINDOW FRAME AT FR 4 RHS</t>
        </is>
      </c>
      <c r="D367" s="222" t="inlineStr">
        <is>
          <t>1</t>
        </is>
      </c>
      <c r="E367" s="222" t="n">
        <v>8.300000000000001</v>
      </c>
      <c r="F367" s="222" t="n"/>
      <c r="G367" s="222" t="n"/>
      <c r="H367" s="222" t="inlineStr">
        <is>
          <t>Not Started</t>
        </is>
      </c>
      <c r="I367" s="222" t="inlineStr">
        <is>
          <t>53</t>
        </is>
      </c>
      <c r="J367" s="222" t="inlineStr"/>
    </row>
    <row r="368">
      <c r="A368" s="222" t="inlineStr">
        <is>
          <t>739</t>
        </is>
      </c>
      <c r="B368" s="222" t="inlineStr">
        <is>
          <t>17837147</t>
        </is>
      </c>
      <c r="C368" s="222" t="inlineStr">
        <is>
          <t>EOD-320-53-00022-R00/CENTER FUSELAGE -INSPECTION OF FRAME FOOT AT FR43 RH/LH-</t>
        </is>
      </c>
      <c r="D368" s="222" t="inlineStr">
        <is>
          <t>1</t>
        </is>
      </c>
      <c r="E368" s="222" t="n">
        <v>25</v>
      </c>
      <c r="F368" s="222" t="n">
        <v>14.7</v>
      </c>
      <c r="G368" s="222" t="n">
        <v>74.59999999999999</v>
      </c>
      <c r="H368" s="222" t="inlineStr">
        <is>
          <t>Idle</t>
        </is>
      </c>
      <c r="I368" s="222" t="inlineStr">
        <is>
          <t>53</t>
        </is>
      </c>
      <c r="J368" s="222" t="inlineStr"/>
    </row>
    <row r="369">
      <c r="A369" s="222" t="inlineStr">
        <is>
          <t>740</t>
        </is>
      </c>
      <c r="B369" s="222" t="inlineStr">
        <is>
          <t>18607800</t>
        </is>
      </c>
      <c r="C369" s="222" t="inlineStr">
        <is>
          <t>EOD-320-53-00023-R00/CENTER FUSELAGE -MODIFY FASTENER HOLE OF FRAME FEET COUPLING</t>
        </is>
      </c>
      <c r="D369" s="222" t="inlineStr">
        <is>
          <t>1</t>
        </is>
      </c>
      <c r="E369" s="222" t="n">
        <v>62</v>
      </c>
      <c r="F369" s="222" t="n">
        <v>2.2</v>
      </c>
      <c r="G369" s="222" t="n">
        <v>2.7</v>
      </c>
      <c r="H369" s="222" t="inlineStr">
        <is>
          <t>Idle</t>
        </is>
      </c>
      <c r="I369" s="222" t="inlineStr">
        <is>
          <t>53</t>
        </is>
      </c>
      <c r="J369" s="222" t="inlineStr"/>
    </row>
    <row r="370">
      <c r="A370" s="222" t="inlineStr">
        <is>
          <t>741</t>
        </is>
      </c>
      <c r="B370" s="222" t="inlineStr">
        <is>
          <t>29441536</t>
        </is>
      </c>
      <c r="C370" s="222" t="inlineStr">
        <is>
          <t>EOD-320-53-00026-R01/A320- FUSELAGE - REAR FUSELAGE - INSPECTION FOR CRACKS AT FR68</t>
        </is>
      </c>
      <c r="D370" s="222" t="inlineStr">
        <is>
          <t>1</t>
        </is>
      </c>
      <c r="E370" s="222" t="n">
        <v>33.8</v>
      </c>
      <c r="F370" s="222" t="n">
        <v>18.1</v>
      </c>
      <c r="G370" s="222" t="n">
        <v>48.6</v>
      </c>
      <c r="H370" s="222" t="inlineStr">
        <is>
          <t>Idle</t>
        </is>
      </c>
      <c r="I370" s="222" t="inlineStr">
        <is>
          <t>53</t>
        </is>
      </c>
      <c r="J370" s="222" t="inlineStr"/>
    </row>
    <row r="371">
      <c r="A371" s="222" t="inlineStr">
        <is>
          <t>742</t>
        </is>
      </c>
      <c r="B371" s="222" t="inlineStr">
        <is>
          <t>28479751</t>
        </is>
      </c>
      <c r="C371" s="222" t="inlineStr">
        <is>
          <t>EOD-320-53-00039-R00/FUSELAGE - CENTER FUSELAGE - KEEL BEAM BOTTOM PANEL INSPECTION AT FR46</t>
        </is>
      </c>
      <c r="D371" s="222" t="inlineStr">
        <is>
          <t>1</t>
        </is>
      </c>
      <c r="E371" s="222" t="n">
        <v>19.8</v>
      </c>
      <c r="F371" s="222" t="n">
        <v>32.4</v>
      </c>
      <c r="G371" s="222" t="n">
        <v>50.6</v>
      </c>
      <c r="H371" s="222" t="inlineStr">
        <is>
          <t>Idle</t>
        </is>
      </c>
      <c r="I371" s="222" t="inlineStr">
        <is>
          <t>53</t>
        </is>
      </c>
      <c r="J371" s="222" t="inlineStr"/>
    </row>
    <row r="372">
      <c r="A372" s="222" t="inlineStr">
        <is>
          <t>743</t>
        </is>
      </c>
      <c r="B372" s="222" t="inlineStr">
        <is>
          <t>31381248</t>
        </is>
      </c>
      <c r="C372" s="222" t="inlineStr">
        <is>
          <t>EOD-320-53-00047-R00/AD-REAR FUSELAGE - EXCHANGE NYLON BUSHES REF SB 53-1542</t>
        </is>
      </c>
      <c r="D372" s="222" t="inlineStr">
        <is>
          <t>C</t>
        </is>
      </c>
      <c r="E372" s="222" t="n">
        <v>42.2</v>
      </c>
      <c r="F372" s="222" t="n"/>
      <c r="G372" s="222" t="n"/>
      <c r="H372" s="222" t="inlineStr">
        <is>
          <t>Not Started</t>
        </is>
      </c>
      <c r="I372" s="222" t="inlineStr">
        <is>
          <t>53</t>
        </is>
      </c>
      <c r="J372" s="222" t="inlineStr"/>
    </row>
    <row r="373">
      <c r="A373" s="222" t="inlineStr">
        <is>
          <t>744</t>
        </is>
      </c>
      <c r="B373" s="222" t="inlineStr">
        <is>
          <t>29399531</t>
        </is>
      </c>
      <c r="C373" s="222" t="inlineStr">
        <is>
          <t>EOD-320-55-00001-R00/STABILIZERS - VERTICAL STABILIZER - INTRODUCE IMPROVED RUDDER HINGE LI</t>
        </is>
      </c>
      <c r="D373" s="222" t="inlineStr">
        <is>
          <t>CCHK</t>
        </is>
      </c>
      <c r="E373" s="222" t="n">
        <v>28.2</v>
      </c>
      <c r="F373" s="222" t="n">
        <v>110.3</v>
      </c>
      <c r="G373" s="222" t="n">
        <v>90.59999999999999</v>
      </c>
      <c r="H373" s="222" t="inlineStr">
        <is>
          <t>Idle</t>
        </is>
      </c>
      <c r="I373" s="222" t="inlineStr">
        <is>
          <t>55</t>
        </is>
      </c>
      <c r="J373" s="222" t="inlineStr"/>
    </row>
    <row r="374">
      <c r="A374" s="222" t="inlineStr">
        <is>
          <t>745</t>
        </is>
      </c>
      <c r="B374" s="222" t="inlineStr">
        <is>
          <t>31053001</t>
        </is>
      </c>
      <c r="C374" s="222" t="inlineStr">
        <is>
          <t>EOD-333-25-00024-R00/AD- A330/A320- INSPECT EACH BUCKLE SCREW FOR CRACKED,LOOSE</t>
        </is>
      </c>
      <c r="D374" s="222" t="inlineStr">
        <is>
          <t>ACHK</t>
        </is>
      </c>
      <c r="E374" s="222" t="n">
        <v>1.7</v>
      </c>
      <c r="F374" s="222" t="n"/>
      <c r="G374" s="222" t="n"/>
      <c r="H374" s="222" t="inlineStr">
        <is>
          <t>Not Started</t>
        </is>
      </c>
      <c r="I374" s="222" t="inlineStr">
        <is>
          <t>25</t>
        </is>
      </c>
      <c r="J374" s="222" t="inlineStr"/>
    </row>
    <row r="375">
      <c r="A375" s="222" t="inlineStr">
        <is>
          <t>746</t>
        </is>
      </c>
      <c r="B375" s="222" t="inlineStr">
        <is>
          <t>31053051</t>
        </is>
      </c>
      <c r="C375" s="222" t="inlineStr">
        <is>
          <t>EOD-333-25-00024-R00/AD- A330/A320- INSPECT EACH BUCKLE SCREW FOR CRACKED,LOOSE</t>
        </is>
      </c>
      <c r="D375" s="222" t="inlineStr">
        <is>
          <t>ACHK</t>
        </is>
      </c>
      <c r="E375" s="222" t="n">
        <v>1.7</v>
      </c>
      <c r="F375" s="222" t="n"/>
      <c r="G375" s="222" t="n"/>
      <c r="H375" s="222" t="inlineStr">
        <is>
          <t>Not Started</t>
        </is>
      </c>
      <c r="I375" s="222" t="inlineStr">
        <is>
          <t>25</t>
        </is>
      </c>
      <c r="J375" s="222" t="inlineStr"/>
    </row>
    <row r="376">
      <c r="A376" s="222" t="inlineStr">
        <is>
          <t>747</t>
        </is>
      </c>
      <c r="B376" s="222" t="inlineStr">
        <is>
          <t>15969127</t>
        </is>
      </c>
      <c r="C376" s="222" t="inlineStr">
        <is>
          <t>EOD-A32S-53-00003-R03/INSPECTION OF THE SIDE BOX BEAM FLANGE AT LHS/RHS IN FR43 AREA.</t>
        </is>
      </c>
      <c r="D376" s="222" t="inlineStr">
        <is>
          <t>1</t>
        </is>
      </c>
      <c r="E376" s="222" t="n">
        <v>44.2</v>
      </c>
      <c r="F376" s="222" t="n">
        <v>45.1</v>
      </c>
      <c r="G376" s="222" t="n">
        <v>98.59999999999999</v>
      </c>
      <c r="H376" s="222" t="inlineStr">
        <is>
          <t>Idle</t>
        </is>
      </c>
      <c r="I376" s="222" t="inlineStr">
        <is>
          <t>53</t>
        </is>
      </c>
      <c r="J376" s="222" t="inlineStr"/>
    </row>
    <row r="377">
      <c r="A377" s="222" t="inlineStr">
        <is>
          <t>748</t>
        </is>
      </c>
      <c r="B377" s="222" t="inlineStr">
        <is>
          <t>10897096</t>
        </is>
      </c>
      <c r="C377" s="222" t="inlineStr">
        <is>
          <t>EOD-A32S-53-00019-R00/AD-A320/A321-FUSELAGE-DOOR STOP FITTING HOLES AT FR68-INSPECTION</t>
        </is>
      </c>
      <c r="D377" s="222" t="inlineStr">
        <is>
          <t>C</t>
        </is>
      </c>
      <c r="E377" s="222" t="n">
        <v>12.7</v>
      </c>
      <c r="F377" s="222" t="n">
        <v>1</v>
      </c>
      <c r="G377" s="222" t="n">
        <v>24.3</v>
      </c>
      <c r="H377" s="222" t="inlineStr">
        <is>
          <t>Idle</t>
        </is>
      </c>
      <c r="I377" s="222" t="inlineStr">
        <is>
          <t>53</t>
        </is>
      </c>
      <c r="J377" s="222" t="inlineStr"/>
    </row>
    <row r="378">
      <c r="A378" s="222" t="inlineStr">
        <is>
          <t>750</t>
        </is>
      </c>
      <c r="B378" s="222" t="inlineStr">
        <is>
          <t>31662556</t>
        </is>
      </c>
      <c r="C378" s="222" t="inlineStr">
        <is>
          <t>S29-R10107/A320 - HYDRULIC SYSTEM - ENGINE-PUMP PRESSURE SWITCH</t>
        </is>
      </c>
      <c r="D378" s="222" t="inlineStr">
        <is>
          <t>ACHK</t>
        </is>
      </c>
      <c r="E378" s="222" t="n">
        <v>2.7</v>
      </c>
      <c r="F378" s="222" t="n"/>
      <c r="G378" s="222" t="n"/>
      <c r="H378" s="222" t="inlineStr">
        <is>
          <t>Not Started</t>
        </is>
      </c>
      <c r="I378" s="222" t="inlineStr">
        <is>
          <t>29</t>
        </is>
      </c>
      <c r="J378" s="222" t="inlineStr"/>
    </row>
    <row r="379">
      <c r="A379" s="222" t="inlineStr">
        <is>
          <t>751</t>
        </is>
      </c>
      <c r="B379" s="222" t="inlineStr">
        <is>
          <t>30936889</t>
        </is>
      </c>
      <c r="C379" s="222" t="inlineStr">
        <is>
          <t>S32-R10370/A32S - LANDING GEAR - FLEET CAMPIAGN FOR FREE FALL MECHANISM</t>
        </is>
      </c>
      <c r="D379" s="222" t="inlineStr">
        <is>
          <t>CCHK</t>
        </is>
      </c>
      <c r="E379" s="222" t="n">
        <v>22.5</v>
      </c>
      <c r="F379" s="222" t="n">
        <v>16.3</v>
      </c>
      <c r="G379" s="222" t="n">
        <v>191.4</v>
      </c>
      <c r="H379" s="222" t="inlineStr">
        <is>
          <t>Idle</t>
        </is>
      </c>
      <c r="I379" s="222" t="inlineStr">
        <is>
          <t>32-33</t>
        </is>
      </c>
      <c r="J379" s="222" t="inlineStr">
        <is>
          <t>--, --, --, --, --, --, --, --, --, --, OPS/LK, --, --, --, CLOSE-UP</t>
        </is>
      </c>
    </row>
    <row r="380">
      <c r="A380" s="222" t="inlineStr">
        <is>
          <t>752</t>
        </is>
      </c>
      <c r="B380" s="222" t="inlineStr">
        <is>
          <t>30358131</t>
        </is>
      </c>
      <c r="C380" s="222" t="inlineStr">
        <is>
          <t>S36-R10080/A32S - PNUMATIC - MEASUREMENT OF THE CWR OF THE OHDS LOOPS</t>
        </is>
      </c>
      <c r="D380" s="222" t="inlineStr">
        <is>
          <t>RON</t>
        </is>
      </c>
      <c r="E380" s="222" t="n">
        <v>2</v>
      </c>
      <c r="F380" s="222" t="n"/>
      <c r="G380" s="222" t="n"/>
      <c r="H380" s="222" t="inlineStr">
        <is>
          <t>Not Started</t>
        </is>
      </c>
      <c r="I380" s="222" t="inlineStr">
        <is>
          <t>36</t>
        </is>
      </c>
      <c r="J380" s="222" t="inlineStr"/>
    </row>
    <row r="381">
      <c r="A381" s="222" t="inlineStr">
        <is>
          <t>753</t>
        </is>
      </c>
      <c r="B381" s="222" t="inlineStr">
        <is>
          <t>20038778</t>
        </is>
      </c>
      <c r="C381" s="222" t="inlineStr">
        <is>
          <t>S51-R10008/A320 FLEET // DENT AND BUCKLE CHART</t>
        </is>
      </c>
      <c r="D381" s="222" t="inlineStr">
        <is>
          <t>HNGR</t>
        </is>
      </c>
      <c r="E381" s="222" t="n">
        <v>33.5</v>
      </c>
      <c r="F381" s="222" t="n">
        <v>1.3</v>
      </c>
      <c r="G381" s="222" t="n">
        <v>280.1</v>
      </c>
      <c r="H381" s="222" t="inlineStr">
        <is>
          <t>Idle</t>
        </is>
      </c>
      <c r="I381" s="222" t="inlineStr">
        <is>
          <t>51</t>
        </is>
      </c>
      <c r="J381" s="222" t="inlineStr"/>
    </row>
    <row r="382">
      <c r="A382" s="222" t="inlineStr">
        <is>
          <t>754</t>
        </is>
      </c>
      <c r="B382" s="222" t="inlineStr">
        <is>
          <t>31978429</t>
        </is>
      </c>
      <c r="C382" s="222" t="inlineStr">
        <is>
          <t>S52-D10064/INSPECTION OF HINGES/LATCHES AND LOSS OF SERVICE DOORS 19(X) PANELS</t>
        </is>
      </c>
      <c r="D382" s="222" t="inlineStr">
        <is>
          <t>ACHK</t>
        </is>
      </c>
      <c r="E382" s="222" t="n">
        <v>2.2</v>
      </c>
      <c r="F382" s="222" t="n"/>
      <c r="G382" s="222" t="n"/>
      <c r="H382" s="222" t="inlineStr">
        <is>
          <t>Not Started</t>
        </is>
      </c>
      <c r="I382" s="222" t="inlineStr">
        <is>
          <t>52</t>
        </is>
      </c>
      <c r="J382" s="222" t="inlineStr"/>
    </row>
    <row r="383">
      <c r="A383" s="222" t="inlineStr">
        <is>
          <t>755</t>
        </is>
      </c>
      <c r="B383" s="222" t="inlineStr">
        <is>
          <t>31573583</t>
        </is>
      </c>
      <c r="C383" s="222" t="inlineStr">
        <is>
          <t>S53-D10054/INSPECTION FOR MISSING/LOOSE/DAMAGED FASTENERS</t>
        </is>
      </c>
      <c r="D383" s="222" t="inlineStr">
        <is>
          <t>CCHK</t>
        </is>
      </c>
      <c r="E383" s="222" t="n">
        <v>2.5</v>
      </c>
      <c r="F383" s="222" t="n"/>
      <c r="G383" s="222" t="n"/>
      <c r="H383" s="222" t="inlineStr">
        <is>
          <t>Not Started</t>
        </is>
      </c>
      <c r="I383" s="222" t="inlineStr">
        <is>
          <t>53</t>
        </is>
      </c>
      <c r="J383" s="222" t="inlineStr"/>
    </row>
    <row r="384">
      <c r="A384" s="222" t="inlineStr">
        <is>
          <t>756</t>
        </is>
      </c>
      <c r="B384" s="222" t="inlineStr">
        <is>
          <t>32832482</t>
        </is>
      </c>
      <c r="C384" s="222" t="inlineStr">
        <is>
          <t>S71-D10554/CMF56-5B BOTH ENGINES INLET COWLS LIP SKIN INSPECTION &amp; REPAIR</t>
        </is>
      </c>
      <c r="D384" s="222" t="inlineStr">
        <is>
          <t>1</t>
        </is>
      </c>
      <c r="E384" s="222" t="n"/>
      <c r="F384" s="222" t="n">
        <v>1.3</v>
      </c>
      <c r="G384" s="222" t="n">
        <v>259.2</v>
      </c>
      <c r="H384" s="222" t="inlineStr">
        <is>
          <t>Idle</t>
        </is>
      </c>
      <c r="I384" s="222" t="inlineStr">
        <is>
          <t>71</t>
        </is>
      </c>
      <c r="J384" s="222" t="inlineStr"/>
    </row>
    <row r="385">
      <c r="A385" s="222" t="inlineStr">
        <is>
          <t>757</t>
        </is>
      </c>
      <c r="B385" s="222" t="inlineStr">
        <is>
          <t>29294848</t>
        </is>
      </c>
      <c r="C385" s="222" t="inlineStr">
        <is>
          <t>S73-D10063/ENGINE FUEL FILTER REPLACEMENT</t>
        </is>
      </c>
      <c r="D385" s="222" t="inlineStr">
        <is>
          <t>ACHK</t>
        </is>
      </c>
      <c r="E385" s="222" t="n">
        <v>4.3</v>
      </c>
      <c r="F385" s="222" t="n"/>
      <c r="G385" s="222" t="n"/>
      <c r="H385" s="222" t="inlineStr">
        <is>
          <t>Not Started</t>
        </is>
      </c>
      <c r="I385" s="222" t="inlineStr">
        <is>
          <t>73</t>
        </is>
      </c>
      <c r="J385" s="222" t="inlineStr"/>
    </row>
    <row r="386">
      <c r="A386" s="222" t="inlineStr">
        <is>
          <t>758</t>
        </is>
      </c>
      <c r="B386" s="222" t="inlineStr">
        <is>
          <t>31958880</t>
        </is>
      </c>
      <c r="C386" s="222" t="inlineStr">
        <is>
          <t>REPLACE 3214-31/151653 (BATTERY, EMERGENCY)</t>
        </is>
      </c>
      <c r="D386" s="222" t="inlineStr">
        <is>
          <t>N</t>
        </is>
      </c>
      <c r="E386" s="222" t="n"/>
      <c r="F386" s="222" t="n"/>
      <c r="G386" s="222" t="n"/>
      <c r="H386" s="222" t="inlineStr">
        <is>
          <t>Not Started</t>
        </is>
      </c>
      <c r="I386" s="222" t="inlineStr">
        <is>
          <t>20-00</t>
        </is>
      </c>
      <c r="J386" s="222" t="inlineStr"/>
    </row>
    <row r="387">
      <c r="A387" s="222" t="inlineStr">
        <is>
          <t>759</t>
        </is>
      </c>
      <c r="B387" s="222" t="inlineStr">
        <is>
          <t>31958882</t>
        </is>
      </c>
      <c r="C387" s="222" t="inlineStr">
        <is>
          <t>REPLACE 3214-31/151671 (BATTERY, EMERGENCY)</t>
        </is>
      </c>
      <c r="D387" s="222" t="inlineStr">
        <is>
          <t>N</t>
        </is>
      </c>
      <c r="E387" s="222" t="n"/>
      <c r="F387" s="222" t="n"/>
      <c r="G387" s="222" t="n"/>
      <c r="H387" s="222" t="inlineStr">
        <is>
          <t>Not Started</t>
        </is>
      </c>
      <c r="I387" s="222" t="inlineStr">
        <is>
          <t>20-00</t>
        </is>
      </c>
      <c r="J387" s="222" t="inlineStr"/>
    </row>
    <row r="388">
      <c r="A388" s="222" t="inlineStr">
        <is>
          <t>760</t>
        </is>
      </c>
      <c r="B388" s="222" t="inlineStr">
        <is>
          <t>31958881</t>
        </is>
      </c>
      <c r="C388" s="222" t="inlineStr">
        <is>
          <t>REPLACE 3214-31/151674 (BATTERY, EMERGENCY)</t>
        </is>
      </c>
      <c r="D388" s="222" t="inlineStr">
        <is>
          <t>N</t>
        </is>
      </c>
      <c r="E388" s="222" t="n"/>
      <c r="F388" s="222" t="n"/>
      <c r="G388" s="222" t="n"/>
      <c r="H388" s="222" t="inlineStr">
        <is>
          <t>Not Started</t>
        </is>
      </c>
      <c r="I388" s="222" t="inlineStr">
        <is>
          <t>20-00</t>
        </is>
      </c>
      <c r="J388" s="222" t="inlineStr"/>
    </row>
    <row r="389">
      <c r="A389" s="222" t="inlineStr">
        <is>
          <t>761</t>
        </is>
      </c>
      <c r="B389" s="222" t="inlineStr">
        <is>
          <t>31958879</t>
        </is>
      </c>
      <c r="C389" s="222" t="inlineStr">
        <is>
          <t>REPLACE 3214-31/151687 (BATTERY, EMERGENCY)</t>
        </is>
      </c>
      <c r="D389" s="222" t="inlineStr">
        <is>
          <t>N</t>
        </is>
      </c>
      <c r="E389" s="222" t="n"/>
      <c r="F389" s="222" t="n"/>
      <c r="G389" s="222" t="n"/>
      <c r="H389" s="222" t="inlineStr">
        <is>
          <t>Not Started</t>
        </is>
      </c>
      <c r="I389" s="222" t="inlineStr">
        <is>
          <t>20-00</t>
        </is>
      </c>
      <c r="J389" s="222" t="inlineStr"/>
    </row>
    <row r="390">
      <c r="A390" s="222" t="inlineStr">
        <is>
          <t>762</t>
        </is>
      </c>
      <c r="B390" s="222" t="inlineStr">
        <is>
          <t>22959389</t>
        </is>
      </c>
      <c r="C390" s="222" t="inlineStr">
        <is>
          <t>REPLACE 47145-267/4527 (ACTUATOR-THS)</t>
        </is>
      </c>
      <c r="D390" s="222" t="inlineStr">
        <is>
          <t>N</t>
        </is>
      </c>
      <c r="E390" s="222" t="n">
        <v>6</v>
      </c>
      <c r="F390" s="222" t="n"/>
      <c r="G390" s="222" t="n"/>
      <c r="H390" s="222" t="inlineStr">
        <is>
          <t>Not Started</t>
        </is>
      </c>
      <c r="I390" s="222" t="inlineStr">
        <is>
          <t>27</t>
        </is>
      </c>
      <c r="J390" s="222" t="inlineStr"/>
    </row>
    <row r="391">
      <c r="A391" s="222" t="inlineStr">
        <is>
          <t>763</t>
        </is>
      </c>
      <c r="B391" s="222" t="inlineStr">
        <is>
          <t>31197928</t>
        </is>
      </c>
      <c r="C391" s="222" t="inlineStr">
        <is>
          <t>REPLACE MF20-534/B005068 (FULL FACE QUICK DONN MASK REGULATOR)</t>
        </is>
      </c>
      <c r="D391" s="222" t="inlineStr">
        <is>
          <t>N</t>
        </is>
      </c>
      <c r="E391" s="222" t="n"/>
      <c r="F391" s="222" t="n"/>
      <c r="G391" s="222" t="n"/>
      <c r="H391" s="222" t="inlineStr">
        <is>
          <t>Not Started</t>
        </is>
      </c>
      <c r="I391" s="222" t="inlineStr">
        <is>
          <t>20-00</t>
        </is>
      </c>
      <c r="J391" s="222" t="inlineStr"/>
    </row>
    <row r="392">
      <c r="A392" s="222" t="inlineStr">
        <is>
          <t>764</t>
        </is>
      </c>
      <c r="B392" s="222" t="inlineStr">
        <is>
          <t>26290429</t>
        </is>
      </c>
      <c r="C392" s="222" t="inlineStr">
        <is>
          <t>34100005-1/50325D1 WC(WEIGHT CHECK) / WEIGHT CHECK</t>
        </is>
      </c>
      <c r="D392" s="222" t="inlineStr">
        <is>
          <t>1</t>
        </is>
      </c>
      <c r="E392" s="222" t="n">
        <v>1.8</v>
      </c>
      <c r="F392" s="222" t="n">
        <v>2</v>
      </c>
      <c r="G392" s="222" t="n">
        <v>58.9</v>
      </c>
      <c r="H392" s="222" t="inlineStr">
        <is>
          <t>Idle</t>
        </is>
      </c>
      <c r="I392" s="222" t="inlineStr">
        <is>
          <t>26-23</t>
        </is>
      </c>
      <c r="J392" s="222" t="inlineStr"/>
    </row>
    <row r="393">
      <c r="A393" s="222" t="inlineStr">
        <is>
          <t>765</t>
        </is>
      </c>
      <c r="B393" s="222" t="inlineStr">
        <is>
          <t>28781470</t>
        </is>
      </c>
      <c r="C393" s="222" t="inlineStr">
        <is>
          <t>34100005-1/67427D1 WC(WEIGHT CHECK) / WEIGHT CHECK</t>
        </is>
      </c>
      <c r="D393" s="222" t="inlineStr">
        <is>
          <t>1</t>
        </is>
      </c>
      <c r="E393" s="222" t="n">
        <v>1.8</v>
      </c>
      <c r="F393" s="222" t="n">
        <v>2</v>
      </c>
      <c r="G393" s="222" t="n">
        <v>59</v>
      </c>
      <c r="H393" s="222" t="inlineStr">
        <is>
          <t>Idle</t>
        </is>
      </c>
      <c r="I393" s="222" t="inlineStr">
        <is>
          <t>26-23</t>
        </is>
      </c>
      <c r="J393" s="222" t="inlineStr"/>
    </row>
    <row r="394">
      <c r="A394" s="222" t="inlineStr">
        <is>
          <t>766</t>
        </is>
      </c>
      <c r="B394" s="222" t="inlineStr">
        <is>
          <t>28781472</t>
        </is>
      </c>
      <c r="C394" s="222" t="inlineStr">
        <is>
          <t>34100005-1/67765D1 WC(WEIGHT CHECK) / WEIGHT CHECK</t>
        </is>
      </c>
      <c r="D394" s="222" t="inlineStr">
        <is>
          <t>1</t>
        </is>
      </c>
      <c r="E394" s="222" t="n">
        <v>1.8</v>
      </c>
      <c r="F394" s="222" t="n"/>
      <c r="G394" s="222" t="n"/>
      <c r="H394" s="222" t="inlineStr">
        <is>
          <t>Not Started</t>
        </is>
      </c>
      <c r="I394" s="222" t="inlineStr">
        <is>
          <t>26-23</t>
        </is>
      </c>
      <c r="J394" s="222" t="inlineStr"/>
    </row>
    <row r="395">
      <c r="A395" s="222" t="inlineStr">
        <is>
          <t>767</t>
        </is>
      </c>
      <c r="B395" s="222" t="inlineStr">
        <is>
          <t>22574878</t>
        </is>
      </c>
      <c r="C395" s="222" t="inlineStr">
        <is>
          <t>34100005-1/E1800D1 WC(WEIGHT CHECK) / WEIGHT CHECK</t>
        </is>
      </c>
      <c r="D395" s="222" t="inlineStr">
        <is>
          <t>1</t>
        </is>
      </c>
      <c r="E395" s="222" t="n">
        <v>1.8</v>
      </c>
      <c r="F395" s="222" t="n">
        <v>2</v>
      </c>
      <c r="G395" s="222" t="n">
        <v>58.9</v>
      </c>
      <c r="H395" s="222" t="inlineStr">
        <is>
          <t>Idle</t>
        </is>
      </c>
      <c r="I395" s="222" t="inlineStr">
        <is>
          <t>26-23</t>
        </is>
      </c>
      <c r="J395" s="222" t="inlineStr"/>
    </row>
    <row r="396">
      <c r="A396" s="222" t="inlineStr">
        <is>
          <t>768</t>
        </is>
      </c>
      <c r="B396" s="222" t="inlineStr">
        <is>
          <t>23772081</t>
        </is>
      </c>
      <c r="C396" s="222" t="inlineStr">
        <is>
          <t>9024-15704-03/10115418 FC(FUNCTIONAL CHECK) / VALVE-SAFETY FUNCTIONAL CHECK</t>
        </is>
      </c>
      <c r="D396" s="222" t="inlineStr">
        <is>
          <t>CCHK</t>
        </is>
      </c>
      <c r="E396" s="222" t="n">
        <v>2.1</v>
      </c>
      <c r="F396" s="222" t="n"/>
      <c r="G396" s="222" t="n"/>
      <c r="H396" s="222" t="inlineStr">
        <is>
          <t>Not Started</t>
        </is>
      </c>
      <c r="I396" s="222" t="inlineStr">
        <is>
          <t>21-31</t>
        </is>
      </c>
      <c r="J396" s="222" t="inlineStr">
        <is>
          <t>JOB-SETUP, OPS/LK, JOB-CLOSEUP</t>
        </is>
      </c>
    </row>
    <row r="397">
      <c r="A397" s="222" t="inlineStr">
        <is>
          <t>769</t>
        </is>
      </c>
      <c r="B397" s="222" t="inlineStr">
        <is>
          <t>23772080</t>
        </is>
      </c>
      <c r="C397" s="222" t="inlineStr">
        <is>
          <t>9024-15704-03/10115442 FC(FUNCTIONAL CHECK) / VALVE-SAFETY FUNCTIONAL CHECK</t>
        </is>
      </c>
      <c r="D397" s="222" t="inlineStr">
        <is>
          <t>CCHK</t>
        </is>
      </c>
      <c r="E397" s="222" t="n">
        <v>2.1</v>
      </c>
      <c r="F397" s="222" t="n"/>
      <c r="G397" s="222" t="n"/>
      <c r="H397" s="222" t="inlineStr">
        <is>
          <t>Not Started</t>
        </is>
      </c>
      <c r="I397" s="222" t="inlineStr">
        <is>
          <t>21-31</t>
        </is>
      </c>
      <c r="J397" s="222" t="inlineStr">
        <is>
          <t>JOB-SETUP, OPS/LK, JOB-CLOSEUP</t>
        </is>
      </c>
    </row>
    <row r="398">
      <c r="A398" s="222" t="inlineStr">
        <is>
          <t>770</t>
        </is>
      </c>
      <c r="B398" s="222" t="inlineStr">
        <is>
          <t>31045000</t>
        </is>
      </c>
      <c r="C398" s="222" t="inlineStr">
        <is>
          <t>CFM56-5B3/3/643323 IN(INSPECTION) / EO 751107 CFM56-5B VBV RE-GREASING</t>
        </is>
      </c>
      <c r="D398" s="222" t="inlineStr">
        <is>
          <t>1</t>
        </is>
      </c>
      <c r="E398" s="222" t="n">
        <v>4.8</v>
      </c>
      <c r="F398" s="222" t="n"/>
      <c r="G398" s="222" t="n"/>
      <c r="H398" s="222" t="inlineStr">
        <is>
          <t>Not Started</t>
        </is>
      </c>
      <c r="I398" s="222" t="inlineStr">
        <is>
          <t>75</t>
        </is>
      </c>
      <c r="J398" s="222" t="inlineStr"/>
    </row>
    <row r="399">
      <c r="A399" s="222" t="inlineStr">
        <is>
          <t>771</t>
        </is>
      </c>
      <c r="B399" s="222" t="inlineStr">
        <is>
          <t>30304386</t>
        </is>
      </c>
      <c r="C399" s="222" t="inlineStr">
        <is>
          <t>CFM56-5B3/3/645205 IN(INSPECTION) / ENG FAN SECTION INSP &amp; LUB</t>
        </is>
      </c>
      <c r="D399" s="222" t="inlineStr">
        <is>
          <t>1</t>
        </is>
      </c>
      <c r="E399" s="222" t="n">
        <v>13.6</v>
      </c>
      <c r="F399" s="222" t="n">
        <v>125.5</v>
      </c>
      <c r="G399" s="222" t="n">
        <v>61.8</v>
      </c>
      <c r="H399" s="222" t="inlineStr">
        <is>
          <t>Idle</t>
        </is>
      </c>
      <c r="I399" s="222" t="inlineStr">
        <is>
          <t>72</t>
        </is>
      </c>
      <c r="J399" s="222" t="inlineStr">
        <is>
          <t>JOB-SETUP, JOB-SETUP, CLEAN-UP, INSPECTION, INSPECTION, JOB-SETUP, JOB-CLOSEUP</t>
        </is>
      </c>
    </row>
    <row r="400">
      <c r="A400" s="222" t="inlineStr">
        <is>
          <t>772</t>
        </is>
      </c>
      <c r="B400" s="222" t="inlineStr">
        <is>
          <t>80944787</t>
        </is>
      </c>
      <c r="C400" s="222" t="inlineStr">
        <is>
          <t>PANEL 41C CEILING PANEL FOUND DAMAGE</t>
        </is>
      </c>
      <c r="D400" s="222" t="inlineStr">
        <is>
          <t>PANT</t>
        </is>
      </c>
      <c r="E400" s="222" t="n"/>
      <c r="F400" s="222" t="n">
        <v>16.2</v>
      </c>
      <c r="G400" s="222" t="n">
        <v>6743.5</v>
      </c>
      <c r="H400" s="222" t="inlineStr">
        <is>
          <t>Idle</t>
        </is>
      </c>
      <c r="I400" s="222" t="inlineStr">
        <is>
          <t>25</t>
        </is>
      </c>
      <c r="J400" s="222" t="inlineStr"/>
    </row>
    <row r="401">
      <c r="A401" s="222" t="inlineStr">
        <is>
          <t>773</t>
        </is>
      </c>
      <c r="B401" s="222" t="inlineStr">
        <is>
          <t>81002632</t>
        </is>
      </c>
      <c r="C401" s="222" t="inlineStr">
        <is>
          <t>AFT GALLEY COMP COVERT ATTACHMENT FITTING S302 S303 S304 LOWER FLAP IS BROKEN AND DETACHED FROM FLOOR</t>
        </is>
      </c>
      <c r="D401" s="222" t="inlineStr">
        <is>
          <t>N</t>
        </is>
      </c>
      <c r="E401" s="222" t="n"/>
      <c r="F401" s="222" t="n">
        <v>15</v>
      </c>
      <c r="G401" s="222" t="n">
        <v>2236.1</v>
      </c>
      <c r="H401" s="222" t="inlineStr">
        <is>
          <t>Idle</t>
        </is>
      </c>
      <c r="I401" s="222" t="inlineStr">
        <is>
          <t>25</t>
        </is>
      </c>
      <c r="J401" s="222" t="inlineStr"/>
    </row>
    <row r="402">
      <c r="A402" s="222" t="inlineStr">
        <is>
          <t>774</t>
        </is>
      </c>
      <c r="B402" s="222" t="inlineStr">
        <is>
          <t>94493475</t>
        </is>
      </c>
      <c r="C402" s="222" t="inlineStr">
        <is>
          <t>DECAL #1 ENGINE OUTBOARD PIVOTING DOOR &amp; PIVOTING DOOR LOCKOUT PIN DECAL ARE TORN.</t>
        </is>
      </c>
      <c r="D402" s="222" t="inlineStr">
        <is>
          <t>N</t>
        </is>
      </c>
      <c r="E402" s="222" t="n"/>
      <c r="F402" s="222" t="n">
        <v>2</v>
      </c>
      <c r="G402" s="222" t="n">
        <v>1158.1</v>
      </c>
      <c r="H402" s="222" t="inlineStr">
        <is>
          <t>Idle</t>
        </is>
      </c>
      <c r="I402" s="222" t="inlineStr">
        <is>
          <t>11</t>
        </is>
      </c>
      <c r="J402" s="222" t="inlineStr"/>
    </row>
    <row r="403">
      <c r="A403" s="222" t="inlineStr">
        <is>
          <t>775</t>
        </is>
      </c>
      <c r="B403" s="222" t="inlineStr">
        <is>
          <t>94493476</t>
        </is>
      </c>
      <c r="C403" s="222" t="inlineStr">
        <is>
          <t>DECAL #1 ENGINE OUTBOARD DEPLOY SWITCH ACCESS DOOR DECAL TORN.</t>
        </is>
      </c>
      <c r="D403" s="222" t="inlineStr">
        <is>
          <t>N</t>
        </is>
      </c>
      <c r="E403" s="222" t="n"/>
      <c r="F403" s="222" t="n">
        <v>2</v>
      </c>
      <c r="G403" s="222" t="n">
        <v>1158.1</v>
      </c>
      <c r="H403" s="222" t="inlineStr">
        <is>
          <t>Idle</t>
        </is>
      </c>
      <c r="I403" s="222" t="inlineStr">
        <is>
          <t>11</t>
        </is>
      </c>
      <c r="J403" s="222" t="inlineStr"/>
    </row>
    <row r="404">
      <c r="A404" s="222" t="inlineStr">
        <is>
          <t>776</t>
        </is>
      </c>
      <c r="B404" s="222" t="inlineStr">
        <is>
          <t>94493487</t>
        </is>
      </c>
      <c r="C404" s="222" t="inlineStr">
        <is>
          <t>DECAL #2 ENGINE OUTBOARD NO PERSONEL &amp; 15FT AWAY DECAL FADED.</t>
        </is>
      </c>
      <c r="D404" s="222" t="inlineStr">
        <is>
          <t>N</t>
        </is>
      </c>
      <c r="E404" s="222" t="n"/>
      <c r="F404" s="222" t="n">
        <v>1</v>
      </c>
      <c r="G404" s="222" t="n">
        <v>1109.8</v>
      </c>
      <c r="H404" s="222" t="inlineStr">
        <is>
          <t>Idle</t>
        </is>
      </c>
      <c r="I404" s="222" t="inlineStr">
        <is>
          <t>11</t>
        </is>
      </c>
      <c r="J404" s="222" t="inlineStr"/>
    </row>
    <row r="405">
      <c r="A405" s="222" t="inlineStr">
        <is>
          <t>777</t>
        </is>
      </c>
      <c r="B405" s="222" t="inlineStr">
        <is>
          <t>94493488</t>
        </is>
      </c>
      <c r="C405" s="222" t="inlineStr">
        <is>
          <t>DECAL #2 ENGINE INBOARD 15FT AWAY &amp; WARNING DECAL ARE FADED.</t>
        </is>
      </c>
      <c r="D405" s="222" t="inlineStr">
        <is>
          <t>N</t>
        </is>
      </c>
      <c r="E405" s="222" t="n"/>
      <c r="F405" s="222" t="n">
        <v>1</v>
      </c>
      <c r="G405" s="222" t="n">
        <v>1109.8</v>
      </c>
      <c r="H405" s="222" t="inlineStr">
        <is>
          <t>Idle</t>
        </is>
      </c>
      <c r="I405" s="222" t="inlineStr">
        <is>
          <t>11</t>
        </is>
      </c>
      <c r="J405" s="222" t="inlineStr"/>
    </row>
    <row r="406">
      <c r="A406" s="222" t="inlineStr">
        <is>
          <t>778</t>
        </is>
      </c>
      <c r="B406" s="222" t="inlineStr">
        <is>
          <t>94493489</t>
        </is>
      </c>
      <c r="C406" s="222" t="inlineStr">
        <is>
          <t>DECAL LH MAIN LANDING GEAR INFLATE TYRES WITH NITROGEN DECAL FADED.</t>
        </is>
      </c>
      <c r="D406" s="222" t="inlineStr">
        <is>
          <t>N</t>
        </is>
      </c>
      <c r="E406" s="222" t="n"/>
      <c r="F406" s="222" t="n">
        <v>1</v>
      </c>
      <c r="G406" s="222" t="n">
        <v>1109.5</v>
      </c>
      <c r="H406" s="222" t="inlineStr">
        <is>
          <t>Idle</t>
        </is>
      </c>
      <c r="I406" s="222" t="inlineStr">
        <is>
          <t>11</t>
        </is>
      </c>
      <c r="J406" s="222" t="inlineStr"/>
    </row>
    <row r="407">
      <c r="A407" s="222" t="inlineStr">
        <is>
          <t>779</t>
        </is>
      </c>
      <c r="B407" s="222" t="inlineStr">
        <is>
          <t>94734250</t>
        </is>
      </c>
      <c r="C407" s="222" t="inlineStr">
        <is>
          <t>WING DURING WALK ARR FOUND (R) WING JACKING POINT  (C0VER) MISSING</t>
        </is>
      </c>
      <c r="D407" s="222" t="inlineStr">
        <is>
          <t>N</t>
        </is>
      </c>
      <c r="E407" s="222" t="n">
        <v>1</v>
      </c>
      <c r="F407" s="222" t="n">
        <v>1</v>
      </c>
      <c r="G407" s="222" t="n">
        <v>1807.3</v>
      </c>
      <c r="H407" s="222" t="inlineStr">
        <is>
          <t>Idle</t>
        </is>
      </c>
      <c r="I407" s="222" t="inlineStr">
        <is>
          <t>25</t>
        </is>
      </c>
      <c r="J407" s="222" t="inlineStr"/>
    </row>
    <row r="408">
      <c r="A408" s="222" t="inlineStr">
        <is>
          <t>780</t>
        </is>
      </c>
      <c r="B408" s="222" t="inlineStr">
        <is>
          <t>94740818</t>
        </is>
      </c>
      <c r="C408" s="222" t="inlineStr">
        <is>
          <t>BLANKING CAP L2 DOOR HOIST POINT EA 01 BLANKING CAP FOUND TORN</t>
        </is>
      </c>
      <c r="D408" s="222" t="inlineStr">
        <is>
          <t>N</t>
        </is>
      </c>
      <c r="E408" s="222" t="n">
        <v>2</v>
      </c>
      <c r="F408" s="222" t="n">
        <v>2</v>
      </c>
      <c r="G408" s="222" t="n">
        <v>2250.7</v>
      </c>
      <c r="H408" s="222" t="inlineStr">
        <is>
          <t>Idle</t>
        </is>
      </c>
      <c r="I408" s="222" t="inlineStr">
        <is>
          <t>25-00</t>
        </is>
      </c>
      <c r="J408" s="222" t="inlineStr"/>
    </row>
    <row r="409">
      <c r="A409" s="222" t="inlineStr">
        <is>
          <t>781</t>
        </is>
      </c>
      <c r="B409" s="222" t="inlineStr">
        <is>
          <t>94799712</t>
        </is>
      </c>
      <c r="C409" s="222" t="inlineStr">
        <is>
          <t>DECAL FWD CARGO DOOR SELECTOR PNL AUX OPS INSTRUCTIONS DECAL IS FADED</t>
        </is>
      </c>
      <c r="D409" s="222" t="inlineStr">
        <is>
          <t>N</t>
        </is>
      </c>
      <c r="E409" s="222" t="n">
        <v>1</v>
      </c>
      <c r="F409" s="222" t="n">
        <v>1</v>
      </c>
      <c r="G409" s="222" t="n">
        <v>1390.5</v>
      </c>
      <c r="H409" s="222" t="inlineStr">
        <is>
          <t>Idle</t>
        </is>
      </c>
      <c r="I409" s="222" t="inlineStr">
        <is>
          <t>11-00</t>
        </is>
      </c>
      <c r="J409" s="222" t="inlineStr"/>
    </row>
    <row r="410">
      <c r="A410" s="222" t="inlineStr">
        <is>
          <t>783</t>
        </is>
      </c>
      <c r="B410" s="222" t="inlineStr">
        <is>
          <t>STJC-20-00-00-03-GA-GO</t>
        </is>
      </c>
      <c r="C410" s="222" t="inlineStr">
        <is>
          <t>TOOL ACCOUNTABILITY PRIOR TO ACFT RELEASE</t>
        </is>
      </c>
      <c r="D410" s="222" t="inlineStr">
        <is>
          <t>N</t>
        </is>
      </c>
      <c r="E410" s="222" t="n">
        <v>1</v>
      </c>
      <c r="F410" s="222" t="n"/>
      <c r="G410" s="222" t="n"/>
      <c r="H410" s="222" t="inlineStr">
        <is>
          <t>Not Started</t>
        </is>
      </c>
      <c r="I410" s="222" t="inlineStr">
        <is>
          <t>20</t>
        </is>
      </c>
      <c r="J410" s="222" t="inlineStr">
        <is>
          <t>ACFT RELEASE</t>
        </is>
      </c>
    </row>
    <row r="411">
      <c r="A411" s="222" t="inlineStr">
        <is>
          <t>784</t>
        </is>
      </c>
      <c r="B411" s="222" t="inlineStr">
        <is>
          <t>STJC-20-00-00-04-GA-SV</t>
        </is>
      </c>
      <c r="C411" s="222" t="inlineStr">
        <is>
          <t>AIRCRAFT MAINTENANCE AND CABIN LOGBOOKS AUDIT</t>
        </is>
      </c>
      <c r="D411" s="222" t="inlineStr">
        <is>
          <t>N</t>
        </is>
      </c>
      <c r="E411" s="222" t="n">
        <v>1</v>
      </c>
      <c r="F411" s="222" t="n"/>
      <c r="G411" s="222" t="n"/>
      <c r="H411" s="222" t="inlineStr">
        <is>
          <t>Not Started</t>
        </is>
      </c>
      <c r="I411" s="222" t="inlineStr">
        <is>
          <t>20</t>
        </is>
      </c>
      <c r="J411" s="222" t="inlineStr">
        <is>
          <t>TC/P, TC/P</t>
        </is>
      </c>
    </row>
    <row r="412">
      <c r="A412" s="222" t="inlineStr">
        <is>
          <t>785</t>
        </is>
      </c>
      <c r="B412" s="222" t="inlineStr">
        <is>
          <t>STJC-20-00-00-05-GA-SV</t>
        </is>
      </c>
      <c r="C412" s="222" t="inlineStr">
        <is>
          <t>AIRCRAFT MAINTENANCE PACKAGE ACCOUNTABILITY CHECK</t>
        </is>
      </c>
      <c r="D412" s="222" t="inlineStr">
        <is>
          <t>N</t>
        </is>
      </c>
      <c r="E412" s="222" t="n">
        <v>5</v>
      </c>
      <c r="F412" s="222" t="n"/>
      <c r="G412" s="222" t="n"/>
      <c r="H412" s="222" t="inlineStr">
        <is>
          <t>Not Started</t>
        </is>
      </c>
      <c r="I412" s="222" t="inlineStr">
        <is>
          <t>20</t>
        </is>
      </c>
      <c r="J412" s="222" t="inlineStr">
        <is>
          <t>ACFT RELEASE, ACFT RELEASE, --</t>
        </is>
      </c>
    </row>
    <row r="413">
      <c r="A413" s="222" t="inlineStr">
        <is>
          <t>786</t>
        </is>
      </c>
      <c r="B413" s="222" t="inlineStr">
        <is>
          <t>STJC-20-00-00-06-A32S-SV</t>
        </is>
      </c>
      <c r="C413" s="222" t="inlineStr">
        <is>
          <t>HEAVEY CHECK PRE-HANGAR PREPARATION</t>
        </is>
      </c>
      <c r="D413" s="222" t="inlineStr">
        <is>
          <t>N</t>
        </is>
      </c>
      <c r="E413" s="222" t="n"/>
      <c r="F413" s="222" t="n"/>
      <c r="G413" s="222" t="n"/>
      <c r="H413" s="222" t="inlineStr">
        <is>
          <t>Idle</t>
        </is>
      </c>
      <c r="I413" s="222" t="inlineStr">
        <is>
          <t>20</t>
        </is>
      </c>
      <c r="J413" s="222" t="inlineStr">
        <is>
          <t>PRE HGR, PRE HGR, PRE HGR, PRE HGR, PRE HGR, PRE HGR, PRE HGR, PRE HGR, PRE HGR, PRE HGR, PRE HGR, PRE HGR, PRE HGR, PRE HGR, PRE HGR, PRE HGR, PRE HGR, PRE HGR, PRE HGR, PRE HGR</t>
        </is>
      </c>
    </row>
    <row r="414">
      <c r="A414" s="222" t="inlineStr">
        <is>
          <t>787</t>
        </is>
      </c>
      <c r="B414" s="222" t="inlineStr">
        <is>
          <t>STJC-20-00-00-07-A32S-SV</t>
        </is>
      </c>
      <c r="C414" s="222" t="inlineStr">
        <is>
          <t>HEAVEY CHECK DE-HANGARING PREPARATION</t>
        </is>
      </c>
      <c r="D414" s="222" t="inlineStr">
        <is>
          <t>N</t>
        </is>
      </c>
      <c r="E414" s="222" t="n">
        <v>22</v>
      </c>
      <c r="F414" s="222" t="n"/>
      <c r="G414" s="222" t="n"/>
      <c r="H414" s="222" t="inlineStr">
        <is>
          <t>Not Started</t>
        </is>
      </c>
      <c r="I414" s="222" t="inlineStr">
        <is>
          <t>20</t>
        </is>
      </c>
      <c r="J414" s="222" t="inlineStr">
        <is>
          <t>TC/P, TC/P, TC/P, TC/P, TC/P, TC/P, TC/P, TC/P, TC/P, TC/P, TC/P, TC/P, TC/P, TC/P, TC/P, TC/P, TC/P, TC/P</t>
        </is>
      </c>
    </row>
    <row r="415">
      <c r="A415" s="222" t="inlineStr">
        <is>
          <t>788</t>
        </is>
      </c>
      <c r="B415" s="222" t="inlineStr">
        <is>
          <t>STJC-20-00-00-08-A32S-SV</t>
        </is>
      </c>
      <c r="C415" s="222" t="inlineStr">
        <is>
          <t>CABIN DOORS SAFETY PINS INSTALLATION/REMOVAL</t>
        </is>
      </c>
      <c r="D415" s="222" t="inlineStr">
        <is>
          <t>N</t>
        </is>
      </c>
      <c r="E415" s="222" t="n">
        <v>2</v>
      </c>
      <c r="F415" s="222" t="n"/>
      <c r="G415" s="222" t="n"/>
      <c r="H415" s="222" t="inlineStr">
        <is>
          <t>Not Started</t>
        </is>
      </c>
      <c r="I415" s="222" t="inlineStr">
        <is>
          <t>20</t>
        </is>
      </c>
      <c r="J415" s="222" t="inlineStr">
        <is>
          <t>TC/P</t>
        </is>
      </c>
    </row>
    <row r="416">
      <c r="A416" s="222" t="inlineStr">
        <is>
          <t>789</t>
        </is>
      </c>
      <c r="B416" s="222" t="inlineStr">
        <is>
          <t>STJC-AREAS-FINAL-INSPECTION-01-GA-GO</t>
        </is>
      </c>
      <c r="C416" s="222" t="inlineStr">
        <is>
          <t>AIRCRAFT FINAL INSPECTION</t>
        </is>
      </c>
      <c r="D416" s="222" t="inlineStr">
        <is>
          <t>N</t>
        </is>
      </c>
      <c r="E416" s="222" t="n">
        <v>3</v>
      </c>
      <c r="F416" s="222" t="n"/>
      <c r="G416" s="222" t="n"/>
      <c r="H416" s="222" t="inlineStr">
        <is>
          <t>Not Started</t>
        </is>
      </c>
      <c r="I416" s="222" t="inlineStr">
        <is>
          <t>05-00</t>
        </is>
      </c>
      <c r="J416" s="222" t="inlineStr">
        <is>
          <t>FINAL INSP, FINAL INSP, FINAL INSP</t>
        </is>
      </c>
    </row>
    <row r="417">
      <c r="A417" s="222" t="inlineStr">
        <is>
          <t>790</t>
        </is>
      </c>
      <c r="B417" s="222" t="inlineStr">
        <is>
          <t>STJC-AREAS-FINAL-INSPECTION-02-GA-GO</t>
        </is>
      </c>
      <c r="C417" s="222" t="inlineStr">
        <is>
          <t>COCKPIT AND PAX CABIN FINAL INSPECTION</t>
        </is>
      </c>
      <c r="D417" s="222" t="inlineStr">
        <is>
          <t>N</t>
        </is>
      </c>
      <c r="E417" s="222" t="n">
        <v>2</v>
      </c>
      <c r="F417" s="222" t="n"/>
      <c r="G417" s="222" t="n"/>
      <c r="H417" s="222" t="inlineStr">
        <is>
          <t>Not Started</t>
        </is>
      </c>
      <c r="I417" s="222" t="inlineStr">
        <is>
          <t>05-00</t>
        </is>
      </c>
      <c r="J417" s="222" t="inlineStr">
        <is>
          <t>FINAL INSP</t>
        </is>
      </c>
    </row>
    <row r="418">
      <c r="A418" s="222" t="inlineStr">
        <is>
          <t>791</t>
        </is>
      </c>
      <c r="B418" s="222" t="inlineStr">
        <is>
          <t>STJC-AREAS-FINAL-INSPECTION-03-GA-GO</t>
        </is>
      </c>
      <c r="C418" s="222" t="inlineStr">
        <is>
          <t>AIRCRAFT UPPER/LOWER FUSELAGE FINAL INSPECTION</t>
        </is>
      </c>
      <c r="D418" s="222" t="inlineStr">
        <is>
          <t>N</t>
        </is>
      </c>
      <c r="E418" s="222" t="n">
        <v>2</v>
      </c>
      <c r="F418" s="222" t="n"/>
      <c r="G418" s="222" t="n"/>
      <c r="H418" s="222" t="inlineStr">
        <is>
          <t>Not Started</t>
        </is>
      </c>
      <c r="I418" s="222" t="inlineStr">
        <is>
          <t>05-00</t>
        </is>
      </c>
      <c r="J418" s="222" t="inlineStr">
        <is>
          <t>FINAL INSP</t>
        </is>
      </c>
    </row>
    <row r="419">
      <c r="A419" s="222" t="inlineStr">
        <is>
          <t>792</t>
        </is>
      </c>
      <c r="B419" s="222" t="inlineStr">
        <is>
          <t>STJC-AREAS-FINAL-INSPECTION-04-GA-GO</t>
        </is>
      </c>
      <c r="C419" s="222" t="inlineStr">
        <is>
          <t>EMPENNAGE FINAL INSPECTION</t>
        </is>
      </c>
      <c r="D419" s="222" t="inlineStr">
        <is>
          <t>N</t>
        </is>
      </c>
      <c r="E419" s="222" t="n">
        <v>2</v>
      </c>
      <c r="F419" s="222" t="n"/>
      <c r="G419" s="222" t="n"/>
      <c r="H419" s="222" t="inlineStr">
        <is>
          <t>Not Started</t>
        </is>
      </c>
      <c r="I419" s="222" t="inlineStr">
        <is>
          <t>05-00</t>
        </is>
      </c>
      <c r="J419" s="222" t="inlineStr">
        <is>
          <t>FINAL INSP</t>
        </is>
      </c>
    </row>
    <row r="420">
      <c r="A420" s="222" t="inlineStr">
        <is>
          <t>793</t>
        </is>
      </c>
      <c r="B420" s="222" t="inlineStr">
        <is>
          <t>STJC-AREAS-FINAL-INSPECTION-05-GA-GO</t>
        </is>
      </c>
      <c r="C420" s="222" t="inlineStr">
        <is>
          <t>AFT/BULK/FWD CARGO COMPARTMENT FINAL INSPECTION</t>
        </is>
      </c>
      <c r="D420" s="222" t="inlineStr">
        <is>
          <t>N</t>
        </is>
      </c>
      <c r="E420" s="222" t="n">
        <v>2</v>
      </c>
      <c r="F420" s="222" t="n"/>
      <c r="G420" s="222" t="n"/>
      <c r="H420" s="222" t="inlineStr">
        <is>
          <t>Not Started</t>
        </is>
      </c>
      <c r="I420" s="222" t="inlineStr">
        <is>
          <t>05-00</t>
        </is>
      </c>
      <c r="J420" s="222" t="inlineStr">
        <is>
          <t>FINAL INSP</t>
        </is>
      </c>
    </row>
    <row r="421">
      <c r="A421" s="222" t="inlineStr">
        <is>
          <t>794</t>
        </is>
      </c>
      <c r="B421" s="222" t="inlineStr">
        <is>
          <t>STJC-AREAS-FINAL-INSPECTION-06-GA-GO</t>
        </is>
      </c>
      <c r="C421" s="222" t="inlineStr">
        <is>
          <t>L/H AND R/H WINGS FINAL INSPECTION</t>
        </is>
      </c>
      <c r="D421" s="222" t="inlineStr">
        <is>
          <t>N</t>
        </is>
      </c>
      <c r="E421" s="222" t="n">
        <v>2</v>
      </c>
      <c r="F421" s="222" t="n"/>
      <c r="G421" s="222" t="n"/>
      <c r="H421" s="222" t="inlineStr">
        <is>
          <t>Not Started</t>
        </is>
      </c>
      <c r="I421" s="222" t="inlineStr">
        <is>
          <t>05-00</t>
        </is>
      </c>
      <c r="J421" s="222" t="inlineStr">
        <is>
          <t>FINAL INSP</t>
        </is>
      </c>
    </row>
    <row r="422">
      <c r="A422" s="222" t="inlineStr">
        <is>
          <t>795</t>
        </is>
      </c>
      <c r="B422" s="222" t="inlineStr">
        <is>
          <t>STJC-AREAS-FINAL-INSPECTION-07-GA-GO</t>
        </is>
      </c>
      <c r="C422" s="222" t="inlineStr">
        <is>
          <t>LDGS &amp; WHEEL WEEL FINAL INSPECTION (MLG &amp; NLG)</t>
        </is>
      </c>
      <c r="D422" s="222" t="inlineStr">
        <is>
          <t>N</t>
        </is>
      </c>
      <c r="E422" s="222" t="n">
        <v>1</v>
      </c>
      <c r="F422" s="222" t="n"/>
      <c r="G422" s="222" t="n"/>
      <c r="H422" s="222" t="inlineStr">
        <is>
          <t>Not Started</t>
        </is>
      </c>
      <c r="I422" s="222" t="inlineStr">
        <is>
          <t>05-00</t>
        </is>
      </c>
      <c r="J422" s="222" t="inlineStr">
        <is>
          <t>FINAL INSP</t>
        </is>
      </c>
    </row>
    <row r="423">
      <c r="A423" s="222" t="inlineStr">
        <is>
          <t>796</t>
        </is>
      </c>
      <c r="B423" s="222" t="inlineStr">
        <is>
          <t>STJC-AREAS-FINAL-INSPECTION-08-GA-GO</t>
        </is>
      </c>
      <c r="C423" s="222" t="inlineStr">
        <is>
          <t>ENGINE AND PYLON FINAL INSPECTION (L/H &amp; R/H)</t>
        </is>
      </c>
      <c r="D423" s="222" t="inlineStr">
        <is>
          <t>N</t>
        </is>
      </c>
      <c r="E423" s="222" t="n">
        <v>2</v>
      </c>
      <c r="F423" s="222" t="n"/>
      <c r="G423" s="222" t="n"/>
      <c r="H423" s="222" t="inlineStr">
        <is>
          <t>Not Started</t>
        </is>
      </c>
      <c r="I423" s="222" t="inlineStr">
        <is>
          <t>05-00</t>
        </is>
      </c>
      <c r="J423" s="222" t="inlineStr">
        <is>
          <t>FINAL INSP</t>
        </is>
      </c>
    </row>
    <row r="424">
      <c r="A424" s="222" t="inlineStr">
        <is>
          <t>797</t>
        </is>
      </c>
      <c r="B424" s="222" t="inlineStr">
        <is>
          <t>STJC-AREAS-FINAL-INSPECTION-09-GA-GO</t>
        </is>
      </c>
      <c r="C424" s="222" t="inlineStr">
        <is>
          <t>APU FINAL INSPECTION</t>
        </is>
      </c>
      <c r="D424" s="222" t="inlineStr">
        <is>
          <t>N</t>
        </is>
      </c>
      <c r="E424" s="222" t="n">
        <v>1</v>
      </c>
      <c r="F424" s="222" t="n"/>
      <c r="G424" s="222" t="n"/>
      <c r="H424" s="222" t="inlineStr">
        <is>
          <t>Not Started</t>
        </is>
      </c>
      <c r="I424" s="222" t="inlineStr">
        <is>
          <t>05-00</t>
        </is>
      </c>
      <c r="J424" s="222" t="inlineStr">
        <is>
          <t>FINAL INSP</t>
        </is>
      </c>
    </row>
    <row r="425">
      <c r="A425" s="222" t="inlineStr">
        <is>
          <t>798</t>
        </is>
      </c>
      <c r="B425" s="222" t="inlineStr">
        <is>
          <t>STJC-CRS-GA-SV</t>
        </is>
      </c>
      <c r="C425" s="222" t="inlineStr">
        <is>
          <t>CERTIFICATE OF RELEASE TO SERVICE (CRS)</t>
        </is>
      </c>
      <c r="D425" s="222" t="inlineStr">
        <is>
          <t>N</t>
        </is>
      </c>
      <c r="E425" s="222" t="n">
        <v>0.5</v>
      </c>
      <c r="F425" s="222" t="n"/>
      <c r="G425" s="222" t="n"/>
      <c r="H425" s="222" t="inlineStr">
        <is>
          <t>Not Started</t>
        </is>
      </c>
      <c r="I425" s="222" t="inlineStr">
        <is>
          <t>05-11</t>
        </is>
      </c>
      <c r="J425" s="222" t="inlineStr">
        <is>
          <t>ACFT RELEASE</t>
        </is>
      </c>
    </row>
    <row r="426">
      <c r="A426" s="222" t="inlineStr">
        <is>
          <t>799</t>
        </is>
      </c>
      <c r="B426" s="222" t="inlineStr">
        <is>
          <t>STJC-RTS-03-A32S-SV</t>
        </is>
      </c>
      <c r="C426" s="222" t="inlineStr">
        <is>
          <t>AIRCRAFT RETURN TO SERVICE FOR HEAVEY CHECK</t>
        </is>
      </c>
      <c r="D426" s="222" t="inlineStr">
        <is>
          <t>N</t>
        </is>
      </c>
      <c r="E426" s="222" t="n">
        <v>7</v>
      </c>
      <c r="F426" s="222" t="n"/>
      <c r="G426" s="222" t="n"/>
      <c r="H426" s="222" t="inlineStr">
        <is>
          <t>Not Started</t>
        </is>
      </c>
      <c r="I426" s="222" t="inlineStr">
        <is>
          <t>05-00</t>
        </is>
      </c>
      <c r="J426" s="222" t="inlineStr">
        <is>
          <t>FINAL INSP, FINAL INSP, FINAL INSP, FINAL INSP</t>
        </is>
      </c>
    </row>
    <row r="427">
      <c r="A427" s="222" t="inlineStr">
        <is>
          <t>800</t>
        </is>
      </c>
      <c r="B427" s="222" t="inlineStr">
        <is>
          <t>32596938</t>
        </is>
      </c>
      <c r="C427" s="222" t="inlineStr">
        <is>
          <t>22-70-00-01-0-A (03) / FMC DATA UPLOAD</t>
        </is>
      </c>
      <c r="D427" s="222" t="inlineStr">
        <is>
          <t>1</t>
        </is>
      </c>
      <c r="E427" s="222" t="n">
        <v>1</v>
      </c>
      <c r="F427" s="222" t="n"/>
      <c r="G427" s="222" t="n"/>
      <c r="H427" s="222" t="inlineStr">
        <is>
          <t>Not Started</t>
        </is>
      </c>
      <c r="I427" s="222" t="inlineStr">
        <is>
          <t>22-70</t>
        </is>
      </c>
      <c r="J427" s="222" t="inlineStr">
        <is>
          <t>TC/P</t>
        </is>
      </c>
    </row>
    <row r="428">
      <c r="A428" s="222" t="inlineStr">
        <is>
          <t>801</t>
        </is>
      </c>
      <c r="B428" s="222" t="inlineStr">
        <is>
          <t>242000-21-1-001</t>
        </is>
      </c>
      <c r="C428" s="222" t="inlineStr">
        <is>
          <t>242000-21-1-001 (04) / NO. 1 ENGINE AC GENERATION</t>
        </is>
      </c>
      <c r="D428" s="222" t="inlineStr">
        <is>
          <t>1</t>
        </is>
      </c>
      <c r="E428" s="222" t="n">
        <v>2.1</v>
      </c>
      <c r="F428" s="222" t="n"/>
      <c r="G428" s="222" t="n"/>
      <c r="H428" s="222" t="inlineStr">
        <is>
          <t>Not Started</t>
        </is>
      </c>
      <c r="I428" s="222" t="inlineStr">
        <is>
          <t>24-21</t>
        </is>
      </c>
      <c r="J428" s="222" t="inlineStr">
        <is>
          <t>--, TC/P, --</t>
        </is>
      </c>
    </row>
    <row r="429">
      <c r="A429" s="222" t="inlineStr">
        <is>
          <t>803</t>
        </is>
      </c>
      <c r="B429" s="222" t="inlineStr">
        <is>
          <t>381000-01-1</t>
        </is>
      </c>
      <c r="C429" s="222" t="inlineStr">
        <is>
          <t>381000-01-1 (3) / WATER TANK DISINFECTION</t>
        </is>
      </c>
      <c r="D429" s="222" t="inlineStr">
        <is>
          <t>1</t>
        </is>
      </c>
      <c r="E429" s="222" t="n">
        <v>16</v>
      </c>
      <c r="F429" s="222" t="n"/>
      <c r="G429" s="222" t="n"/>
      <c r="H429" s="222" t="inlineStr">
        <is>
          <t>Not Started</t>
        </is>
      </c>
      <c r="I429" s="222" t="inlineStr">
        <is>
          <t>38-10</t>
        </is>
      </c>
      <c r="J429" s="222" t="inlineStr">
        <is>
          <t>OPS/LK</t>
        </is>
      </c>
    </row>
    <row r="430">
      <c r="A430" s="222" t="inlineStr">
        <is>
          <t>804</t>
        </is>
      </c>
      <c r="B430" s="222" t="inlineStr">
        <is>
          <t>32840057</t>
        </is>
      </c>
      <c r="C430" s="222" t="inlineStr">
        <is>
          <t>DCC-32S (13) / DCC A32S DAILY CABIN CHECK</t>
        </is>
      </c>
      <c r="D430" s="222" t="inlineStr">
        <is>
          <t>1</t>
        </is>
      </c>
      <c r="E430" s="222" t="n">
        <v>10</v>
      </c>
      <c r="F430" s="222" t="n">
        <v>97</v>
      </c>
      <c r="G430" s="222" t="n">
        <v>25.8</v>
      </c>
      <c r="H430" s="222" t="inlineStr">
        <is>
          <t>Idle</t>
        </is>
      </c>
      <c r="I430" s="222" t="inlineStr">
        <is>
          <t>25-00</t>
        </is>
      </c>
      <c r="J430" s="222" t="inlineStr">
        <is>
          <t>JOB-SETUP, TC/P, TC/P, TC/P, --, --, --, --, --</t>
        </is>
      </c>
    </row>
    <row r="431">
      <c r="A431" s="222" t="inlineStr">
        <is>
          <t>810</t>
        </is>
      </c>
      <c r="B431" s="222" t="inlineStr">
        <is>
          <t>32913243</t>
        </is>
      </c>
      <c r="C431" s="222" t="inlineStr">
        <is>
          <t>CCC-32S (05) / A32S CABIN CRITICAL CHECK</t>
        </is>
      </c>
      <c r="D431" s="222" t="inlineStr">
        <is>
          <t>1</t>
        </is>
      </c>
      <c r="E431" s="222" t="n">
        <v>3.2</v>
      </c>
      <c r="F431" s="222" t="n"/>
      <c r="G431" s="222" t="n"/>
      <c r="H431" s="222" t="inlineStr">
        <is>
          <t>Not Started</t>
        </is>
      </c>
      <c r="I431" s="222" t="inlineStr">
        <is>
          <t>25-00</t>
        </is>
      </c>
      <c r="J431" s="222" t="inlineStr">
        <is>
          <t>JOB-SETUP, TC/P, TC/P, TC/P, TC/P, TC/P, TC/P, --</t>
        </is>
      </c>
    </row>
    <row r="432">
      <c r="A432" s="222" t="inlineStr">
        <is>
          <t>811</t>
        </is>
      </c>
      <c r="B432" s="222" t="inlineStr">
        <is>
          <t>94844878</t>
        </is>
      </c>
      <c r="C432" s="222" t="inlineStr">
        <is>
          <t>O.O.S AIRCRAFT TAKEN OUT OF SERVICE AT 23:59 Z  DATE 17 JULY 2026 FOR C2 + 6 YEARS CHECK. SCHEDULE 38 DAYS</t>
        </is>
      </c>
      <c r="D432" s="222" t="inlineStr">
        <is>
          <t>N</t>
        </is>
      </c>
      <c r="E432" s="222" t="n">
        <v>24</v>
      </c>
      <c r="F432" s="222" t="n"/>
      <c r="G432" s="222" t="n"/>
      <c r="H432" s="222" t="inlineStr">
        <is>
          <t>Not Started</t>
        </is>
      </c>
      <c r="I432" s="222" t="inlineStr">
        <is>
          <t>05-00</t>
        </is>
      </c>
      <c r="J432" s="222" t="inlineStr"/>
    </row>
    <row r="433">
      <c r="A433" s="222" t="inlineStr">
        <is>
          <t>812</t>
        </is>
      </c>
      <c r="B433" s="222" t="inlineStr">
        <is>
          <t>94844876</t>
        </is>
      </c>
      <c r="C433" s="222" t="inlineStr">
        <is>
          <t>L/G ALL L/G SAFETY PINS ARE INSTALLED. AS PER AMM 32-00-00-481-001-A  REV.69 DATE.01 MAY 2026</t>
        </is>
      </c>
      <c r="D433" s="222" t="inlineStr">
        <is>
          <t>N</t>
        </is>
      </c>
      <c r="E433" s="222" t="n">
        <v>2</v>
      </c>
      <c r="F433" s="222" t="n"/>
      <c r="G433" s="222" t="n"/>
      <c r="H433" s="222" t="inlineStr">
        <is>
          <t>Not Started</t>
        </is>
      </c>
      <c r="I433" s="222" t="inlineStr">
        <is>
          <t>32-00</t>
        </is>
      </c>
      <c r="J433" s="222" t="inlineStr"/>
    </row>
    <row r="434">
      <c r="A434" s="222" t="inlineStr">
        <is>
          <t>813</t>
        </is>
      </c>
      <c r="B434" s="222" t="inlineStr">
        <is>
          <t>32977683</t>
        </is>
      </c>
      <c r="C434" s="222" t="inlineStr">
        <is>
          <t>LOWER FUSELAGE---PNT---NO CALLBACK DURING INSP, FOUND THE FF DECALS TORN   1. APU FUEL-DRAIN VENT 2. FUEL LEAK MONITOR 3. LH/RH CAUTION INLET SWINGS INWARDS DECAL 4. YELLOW HYD BAY DECAL 5. AFT CARGO SELECTOR DECAL</t>
        </is>
      </c>
      <c r="D434" s="222" t="inlineStr">
        <is>
          <t>1</t>
        </is>
      </c>
      <c r="E434" s="222" t="n">
        <v>3</v>
      </c>
      <c r="F434" s="222" t="n">
        <v>4</v>
      </c>
      <c r="G434" s="222" t="n">
        <v>119.1</v>
      </c>
      <c r="H434" s="222" t="inlineStr">
        <is>
          <t>Idle</t>
        </is>
      </c>
      <c r="I434" s="222" t="inlineStr">
        <is>
          <t>05-21</t>
        </is>
      </c>
      <c r="J434" s="222" t="inlineStr"/>
    </row>
    <row r="435">
      <c r="A435" s="222" t="inlineStr">
        <is>
          <t>815</t>
        </is>
      </c>
      <c r="B435" s="222" t="inlineStr">
        <is>
          <t>32977685</t>
        </is>
      </c>
      <c r="C435" s="222" t="inlineStr">
        <is>
          <t>LOWER FUSELAGE---AVN---NO CALLBACK DURING INSP, FOUND TORN EROSION TAPE ON VHF 2 ANTENNA</t>
        </is>
      </c>
      <c r="D435" s="222" t="inlineStr">
        <is>
          <t>1</t>
        </is>
      </c>
      <c r="E435" s="222" t="n">
        <v>4</v>
      </c>
      <c r="F435" s="222" t="n"/>
      <c r="G435" s="222" t="n"/>
      <c r="H435" s="222" t="inlineStr">
        <is>
          <t>Not Started</t>
        </is>
      </c>
      <c r="I435" s="222" t="inlineStr">
        <is>
          <t>05-21</t>
        </is>
      </c>
      <c r="J435" s="222" t="inlineStr"/>
    </row>
    <row r="436">
      <c r="A436" s="222" t="inlineStr">
        <is>
          <t>816</t>
        </is>
      </c>
      <c r="B436" s="222" t="inlineStr">
        <is>
          <t>32977864</t>
        </is>
      </c>
      <c r="C436" s="222" t="inlineStr">
        <is>
          <t>PRE---UPPER FUSELAGE---NOCALLBACK---AV UPPER FUSELAGE GPS 1 ANTENNA, FWD AREA PAINT FOUND ERODED.</t>
        </is>
      </c>
      <c r="D436" s="222" t="inlineStr">
        <is>
          <t>1</t>
        </is>
      </c>
      <c r="E436" s="222" t="n">
        <v>4</v>
      </c>
      <c r="F436" s="222" t="n"/>
      <c r="G436" s="222" t="n"/>
      <c r="H436" s="222" t="inlineStr">
        <is>
          <t>Not Started</t>
        </is>
      </c>
      <c r="I436" s="222" t="inlineStr">
        <is>
          <t>05-21</t>
        </is>
      </c>
      <c r="J436" s="222" t="inlineStr"/>
    </row>
    <row r="437">
      <c r="A437" s="222" t="inlineStr">
        <is>
          <t>817</t>
        </is>
      </c>
      <c r="B437" s="222" t="inlineStr">
        <is>
          <t>32977871</t>
        </is>
      </c>
      <c r="C437" s="222" t="inlineStr">
        <is>
          <t>PRE---UPPER FUSELAGE---NOCALLBACK---AVN UPPER FUSELAGE VHF (1)  ANTENNA, LEADING EDGE INSULATION PROTECTION FOUND TORN AND WORNOUT.</t>
        </is>
      </c>
      <c r="D437" s="222" t="inlineStr">
        <is>
          <t>1</t>
        </is>
      </c>
      <c r="E437" s="222" t="n">
        <v>4</v>
      </c>
      <c r="F437" s="222" t="n"/>
      <c r="G437" s="222" t="n"/>
      <c r="H437" s="222" t="inlineStr">
        <is>
          <t>Not Started</t>
        </is>
      </c>
      <c r="I437" s="222" t="inlineStr">
        <is>
          <t>05-21</t>
        </is>
      </c>
      <c r="J437" s="222" t="inlineStr"/>
    </row>
    <row r="438">
      <c r="A438" s="222" t="inlineStr">
        <is>
          <t>818</t>
        </is>
      </c>
      <c r="B438" s="222" t="inlineStr">
        <is>
          <t>32977873</t>
        </is>
      </c>
      <c r="C438" s="222" t="inlineStr">
        <is>
          <t>PRE---UPPER FUSELAGE---NOCALLBACK---AVN UPPER FUSELAGE FWD SATCOM ANTENNA AFT AREA AROUND EDGE SEALANT FOUND WORNOUT AND MISSING.</t>
        </is>
      </c>
      <c r="D438" s="222" t="inlineStr">
        <is>
          <t>1</t>
        </is>
      </c>
      <c r="E438" s="222" t="n">
        <v>4</v>
      </c>
      <c r="F438" s="222" t="n"/>
      <c r="G438" s="222" t="n"/>
      <c r="H438" s="222" t="inlineStr">
        <is>
          <t>Not Started</t>
        </is>
      </c>
      <c r="I438" s="222" t="inlineStr">
        <is>
          <t>05-21</t>
        </is>
      </c>
      <c r="J438" s="222" t="inlineStr"/>
    </row>
    <row r="439">
      <c r="A439" s="222" t="inlineStr">
        <is>
          <t>819</t>
        </is>
      </c>
      <c r="B439" s="222" t="inlineStr">
        <is>
          <t>32977874</t>
        </is>
      </c>
      <c r="C439" s="222" t="inlineStr">
        <is>
          <t>PRE---UPPER FUSELAGE---NOCALLBACK---AVN UPPER FUSELAGE TCAS 1 ANTENNA, CAP SEALANT AROUND FASTENERS AND EDGES FOUND WORNOUT AND TORN.</t>
        </is>
      </c>
      <c r="D439" s="222" t="inlineStr">
        <is>
          <t>1</t>
        </is>
      </c>
      <c r="E439" s="222" t="n">
        <v>4</v>
      </c>
      <c r="F439" s="222" t="n"/>
      <c r="G439" s="222" t="n"/>
      <c r="H439" s="222" t="inlineStr">
        <is>
          <t>Not Started</t>
        </is>
      </c>
      <c r="I439" s="222" t="inlineStr">
        <is>
          <t>05-21</t>
        </is>
      </c>
      <c r="J439" s="222" t="inlineStr"/>
    </row>
    <row r="440">
      <c r="A440" s="222" t="inlineStr">
        <is>
          <t>821</t>
        </is>
      </c>
      <c r="B440" s="222" t="inlineStr">
        <is>
          <t>32977882</t>
        </is>
      </c>
      <c r="C440" s="222" t="inlineStr">
        <is>
          <t>PRE---UPPER FUSELAGE---NOCALLBACK---AVN AFT FUSELAGE UPPER SURFACE SATCOM ANTENNA L/E EXCESSIVE PAINT WORNOUT.</t>
        </is>
      </c>
      <c r="D440" s="222" t="inlineStr">
        <is>
          <t>1</t>
        </is>
      </c>
      <c r="E440" s="222" t="n">
        <v>4</v>
      </c>
      <c r="F440" s="222" t="n"/>
      <c r="G440" s="222" t="n"/>
      <c r="H440" s="222" t="inlineStr">
        <is>
          <t>Not Started</t>
        </is>
      </c>
      <c r="I440" s="222" t="inlineStr">
        <is>
          <t>05-21</t>
        </is>
      </c>
      <c r="J440" s="222" t="inlineStr"/>
    </row>
    <row r="441">
      <c r="A441" s="222" t="inlineStr">
        <is>
          <t>822</t>
        </is>
      </c>
      <c r="B441" s="222" t="inlineStr">
        <is>
          <t>32977883</t>
        </is>
      </c>
      <c r="C441" s="222" t="inlineStr">
        <is>
          <t>PRE---UPPER FUSELAGE---RII---SM R2 PASSENGER ENTRY DOOR, FLOOR SCUFF PALTE EDGE FOUND WITH MULTIPLE MINOR DENTS. MAX DIAMENTER= 0.2 INCH MAX DEPTH= 0.013 INCH</t>
        </is>
      </c>
      <c r="D441" s="222" t="inlineStr">
        <is>
          <t>1</t>
        </is>
      </c>
      <c r="E441" s="222" t="n"/>
      <c r="F441" s="222" t="n">
        <v>52.4</v>
      </c>
      <c r="G441" s="222" t="n">
        <v>265.9</v>
      </c>
      <c r="H441" s="222" t="inlineStr">
        <is>
          <t>Idle</t>
        </is>
      </c>
      <c r="I441" s="222" t="inlineStr">
        <is>
          <t>05-21</t>
        </is>
      </c>
      <c r="J441" s="222" t="inlineStr"/>
    </row>
    <row r="442">
      <c r="A442" s="222" t="inlineStr">
        <is>
          <t>823</t>
        </is>
      </c>
      <c r="B442" s="222" t="inlineStr">
        <is>
          <t>32977884</t>
        </is>
      </c>
      <c r="C442" s="222" t="inlineStr">
        <is>
          <t>PRE---UPPER FUSELAGE---RII---SM L2 PASSENGER ENTRY DOOR, FLOOR SCUFF PALTE EDGE FOUND WITH 01 EA DENTS.  L= 0.4 INCH W= 0.5 INCH D= 0.050 INCH</t>
        </is>
      </c>
      <c r="D442" s="222" t="inlineStr">
        <is>
          <t>1</t>
        </is>
      </c>
      <c r="E442" s="222" t="n"/>
      <c r="F442" s="222" t="n">
        <v>60.2</v>
      </c>
      <c r="G442" s="222" t="n">
        <v>265.8</v>
      </c>
      <c r="H442" s="222" t="inlineStr">
        <is>
          <t>Idle</t>
        </is>
      </c>
      <c r="I442" s="222" t="inlineStr">
        <is>
          <t>05-21</t>
        </is>
      </c>
      <c r="J442" s="222" t="inlineStr"/>
    </row>
    <row r="443">
      <c r="A443" s="222" t="inlineStr">
        <is>
          <t>825</t>
        </is>
      </c>
      <c r="B443" s="222" t="inlineStr">
        <is>
          <t>32977905</t>
        </is>
      </c>
      <c r="C443" s="222" t="inlineStr">
        <is>
          <t>PRE---L/H WING---NOCALLBACK---AP L/H WING ADJACENT TO SLAT NO#01 I/B SIDE FIXED LEADING EDGE, SEAL FOUND TORN AND WORNOUT.</t>
        </is>
      </c>
      <c r="D443" s="222" t="inlineStr">
        <is>
          <t>1</t>
        </is>
      </c>
      <c r="E443" s="222" t="n">
        <v>8</v>
      </c>
      <c r="F443" s="222" t="n"/>
      <c r="G443" s="222" t="n"/>
      <c r="H443" s="222" t="inlineStr">
        <is>
          <t>Not Started</t>
        </is>
      </c>
      <c r="I443" s="222" t="inlineStr">
        <is>
          <t>05-25</t>
        </is>
      </c>
      <c r="J443" s="222" t="inlineStr"/>
    </row>
    <row r="444">
      <c r="A444" s="222" t="inlineStr">
        <is>
          <t>826</t>
        </is>
      </c>
      <c r="B444" s="222" t="inlineStr">
        <is>
          <t>32977906</t>
        </is>
      </c>
      <c r="C444" s="222" t="inlineStr">
        <is>
          <t>PRE---R/H WING---NOCALLBACK---AP R/H WING ADJACENT TO SLAT NO#01 I/B SIDE FIXED LEADING EDGE, SEAL FOUND TORN AND WORNOUT.</t>
        </is>
      </c>
      <c r="D444" s="222" t="inlineStr">
        <is>
          <t>1</t>
        </is>
      </c>
      <c r="E444" s="222" t="n">
        <v>8</v>
      </c>
      <c r="F444" s="222" t="n"/>
      <c r="G444" s="222" t="n"/>
      <c r="H444" s="222" t="inlineStr">
        <is>
          <t>Not Started</t>
        </is>
      </c>
      <c r="I444" s="222" t="inlineStr">
        <is>
          <t>05-25</t>
        </is>
      </c>
      <c r="J444" s="222" t="inlineStr"/>
    </row>
    <row r="445">
      <c r="A445" s="222" t="inlineStr">
        <is>
          <t>827</t>
        </is>
      </c>
      <c r="B445" s="222" t="inlineStr">
        <is>
          <t>32977907</t>
        </is>
      </c>
      <c r="C445" s="222" t="inlineStr">
        <is>
          <t>PRE---R/H WING---RII---SM R/H WING UPPER SURFACE FWD OF SPOILER NO# 02 I/B SIDE, FWD AREA 01 EA RIVET HEAD FOUND SHEARED.</t>
        </is>
      </c>
      <c r="D445" s="222" t="inlineStr">
        <is>
          <t>1</t>
        </is>
      </c>
      <c r="E445" s="222" t="n">
        <v>2</v>
      </c>
      <c r="F445" s="222" t="n">
        <v>0.5</v>
      </c>
      <c r="G445" s="222" t="n">
        <v>193.6</v>
      </c>
      <c r="H445" s="222" t="inlineStr">
        <is>
          <t>Idle</t>
        </is>
      </c>
      <c r="I445" s="222" t="inlineStr">
        <is>
          <t>05-25</t>
        </is>
      </c>
      <c r="J445" s="222" t="inlineStr"/>
    </row>
    <row r="446">
      <c r="A446" s="222" t="inlineStr">
        <is>
          <t>828</t>
        </is>
      </c>
      <c r="B446" s="222" t="inlineStr">
        <is>
          <t>32977908</t>
        </is>
      </c>
      <c r="C446" s="222" t="inlineStr">
        <is>
          <t>PRE---UPPER FUSELAGE---NOCALLBACK---AVN UPPER FUSELAGE VHF (3)  ANTENNA, LEADING EDGE PAINT FOUND WORNOUT.</t>
        </is>
      </c>
      <c r="D446" s="222" t="inlineStr">
        <is>
          <t>1</t>
        </is>
      </c>
      <c r="E446" s="222" t="n">
        <v>4</v>
      </c>
      <c r="F446" s="222" t="n">
        <v>8</v>
      </c>
      <c r="G446" s="222" t="n">
        <v>42.4</v>
      </c>
      <c r="H446" s="222" t="inlineStr">
        <is>
          <t>Idle</t>
        </is>
      </c>
      <c r="I446" s="222" t="inlineStr">
        <is>
          <t>05-21</t>
        </is>
      </c>
      <c r="J446" s="222" t="inlineStr"/>
    </row>
    <row r="447">
      <c r="A447" s="222" t="inlineStr">
        <is>
          <t>830</t>
        </is>
      </c>
      <c r="B447" s="222" t="inlineStr">
        <is>
          <t>32977910</t>
        </is>
      </c>
      <c r="C447" s="222" t="inlineStr">
        <is>
          <t>PRE---UPPER FUSELAGE---NOCALLBACK---PNT UPPER FWD FUSELAGE AROUND COCKPIT WINDOW RETAINERS AND SCREW HEADS FOUND WITH PAINT CHIPPED OFF.</t>
        </is>
      </c>
      <c r="D447" s="222" t="inlineStr">
        <is>
          <t>1</t>
        </is>
      </c>
      <c r="E447" s="222" t="n">
        <v>4</v>
      </c>
      <c r="F447" s="222" t="n">
        <v>8.5</v>
      </c>
      <c r="G447" s="222" t="n">
        <v>136</v>
      </c>
      <c r="H447" s="222" t="inlineStr">
        <is>
          <t>Idle</t>
        </is>
      </c>
      <c r="I447" s="222" t="inlineStr">
        <is>
          <t>05-25</t>
        </is>
      </c>
      <c r="J447" s="222" t="inlineStr"/>
    </row>
    <row r="448">
      <c r="A448" s="222" t="inlineStr">
        <is>
          <t>832</t>
        </is>
      </c>
      <c r="B448" s="222" t="inlineStr">
        <is>
          <t>32978070</t>
        </is>
      </c>
      <c r="C448" s="222" t="inlineStr">
        <is>
          <t>FINDING (NRC) TASKCARD 282100-05-1-001  AP RII DURING GVI FUEL PIPE AT PYLON #1 FOUND 2 EA MINER DENT ON LH SIDE   MAIN FUEL FEED  PIPE UNDER PYLON PNL413  CL 1- DENT L = 0.02 IN     D= 0.009 IN 2- DENT L= 0.03 IN     D= 0.0010 IN</t>
        </is>
      </c>
      <c r="D448" s="222" t="inlineStr">
        <is>
          <t>1</t>
        </is>
      </c>
      <c r="E448" s="222" t="n"/>
      <c r="F448" s="222" t="n"/>
      <c r="G448" s="222" t="n"/>
      <c r="H448" s="222" t="inlineStr">
        <is>
          <t>Not Started</t>
        </is>
      </c>
      <c r="I448" s="222" t="inlineStr">
        <is>
          <t>28-21</t>
        </is>
      </c>
      <c r="J448" s="222" t="inlineStr"/>
    </row>
    <row r="449">
      <c r="A449" s="222" t="inlineStr">
        <is>
          <t>834</t>
        </is>
      </c>
      <c r="B449" s="222" t="inlineStr">
        <is>
          <t>32978238</t>
        </is>
      </c>
      <c r="C449" s="222" t="inlineStr">
        <is>
          <t>NLG DOOR---PNT---NO CALL BACK---- NLG LH AND RG AFT DOOR DATA PLATE DECAL TORN.</t>
        </is>
      </c>
      <c r="D449" s="222" t="inlineStr">
        <is>
          <t>1</t>
        </is>
      </c>
      <c r="E449" s="222" t="n">
        <v>2</v>
      </c>
      <c r="F449" s="222" t="n"/>
      <c r="G449" s="222" t="n"/>
      <c r="H449" s="222" t="inlineStr">
        <is>
          <t>Not Started</t>
        </is>
      </c>
      <c r="I449" s="222" t="inlineStr">
        <is>
          <t>05-21</t>
        </is>
      </c>
      <c r="J449" s="222" t="inlineStr"/>
    </row>
    <row r="450">
      <c r="A450" s="222" t="inlineStr">
        <is>
          <t>835</t>
        </is>
      </c>
      <c r="B450" s="222" t="inlineStr">
        <is>
          <t>32978240</t>
        </is>
      </c>
      <c r="C450" s="222" t="inlineStr">
        <is>
          <t>NLG DOOR---AP---NO CALL BACK---- NLG RH AFT DOOR AFT UPPER CORNER RUBBER SEAL WRINKLED.</t>
        </is>
      </c>
      <c r="D450" s="222" t="inlineStr">
        <is>
          <t>1</t>
        </is>
      </c>
      <c r="E450" s="222" t="n">
        <v>6</v>
      </c>
      <c r="F450" s="222" t="n"/>
      <c r="G450" s="222" t="n"/>
      <c r="H450" s="222" t="inlineStr">
        <is>
          <t>Not Started</t>
        </is>
      </c>
      <c r="I450" s="222" t="inlineStr">
        <is>
          <t>05-21</t>
        </is>
      </c>
      <c r="J450" s="222" t="inlineStr"/>
    </row>
    <row r="451">
      <c r="A451" s="222" t="inlineStr">
        <is>
          <t>837</t>
        </is>
      </c>
      <c r="B451" s="222" t="inlineStr">
        <is>
          <t>32978247</t>
        </is>
      </c>
      <c r="C451" s="222" t="inlineStr">
        <is>
          <t>NLG WHEEL----AP---NO CALL BACK--- BOTH NLG WHEEL TIRE TPIS MISSING.</t>
        </is>
      </c>
      <c r="D451" s="222" t="inlineStr">
        <is>
          <t>1</t>
        </is>
      </c>
      <c r="E451" s="222" t="n">
        <v>2</v>
      </c>
      <c r="F451" s="222" t="n"/>
      <c r="G451" s="222" t="n"/>
      <c r="H451" s="222" t="inlineStr">
        <is>
          <t>Not Started</t>
        </is>
      </c>
      <c r="I451" s="222" t="inlineStr">
        <is>
          <t>05-21</t>
        </is>
      </c>
      <c r="J451" s="222" t="inlineStr"/>
    </row>
    <row r="452">
      <c r="A452" s="222" t="inlineStr">
        <is>
          <t>840</t>
        </is>
      </c>
      <c r="B452" s="222" t="inlineStr">
        <is>
          <t>32978254</t>
        </is>
      </c>
      <c r="C452" s="222" t="inlineStr">
        <is>
          <t>LH MLG----AP---NO CALL BACK--- LH MLG BETWEEN FIXED AND HINGE FAIRING BONDING WIRE FRAYED.</t>
        </is>
      </c>
      <c r="D452" s="222" t="inlineStr">
        <is>
          <t>1</t>
        </is>
      </c>
      <c r="E452" s="222" t="n">
        <v>8</v>
      </c>
      <c r="F452" s="222" t="n"/>
      <c r="G452" s="222" t="n"/>
      <c r="H452" s="222" t="inlineStr">
        <is>
          <t>Not Started</t>
        </is>
      </c>
      <c r="I452" s="222" t="inlineStr">
        <is>
          <t>05-25</t>
        </is>
      </c>
      <c r="J452" s="222" t="inlineStr"/>
    </row>
    <row r="453">
      <c r="A453" s="222" t="inlineStr">
        <is>
          <t>841</t>
        </is>
      </c>
      <c r="B453" s="222" t="inlineStr">
        <is>
          <t>32978259</t>
        </is>
      </c>
      <c r="C453" s="222" t="inlineStr">
        <is>
          <t>LH MLG---PNT NO CALL BACK--- LH MLG FIXED FAIRING DATA PLATE DECAL MISSING.</t>
        </is>
      </c>
      <c r="D453" s="222" t="inlineStr">
        <is>
          <t>1</t>
        </is>
      </c>
      <c r="E453" s="222" t="n">
        <v>2</v>
      </c>
      <c r="F453" s="222" t="n"/>
      <c r="G453" s="222" t="n"/>
      <c r="H453" s="222" t="inlineStr">
        <is>
          <t>Not Started</t>
        </is>
      </c>
      <c r="I453" s="222" t="inlineStr">
        <is>
          <t>05-25</t>
        </is>
      </c>
      <c r="J453" s="222" t="inlineStr"/>
    </row>
    <row r="454">
      <c r="A454" s="222" t="inlineStr">
        <is>
          <t>842</t>
        </is>
      </c>
      <c r="B454" s="222" t="inlineStr">
        <is>
          <t>32978265</t>
        </is>
      </c>
      <c r="C454" s="222" t="inlineStr">
        <is>
          <t>LH MLG BAY----AP---NO CALL BACK--- LH MLG BAY FWD SIDE FUSELAGE LWR SEAL TORN AND WRINGKLED AND UPPER SIDE CORNER WITH CUT.</t>
        </is>
      </c>
      <c r="D454" s="222" t="inlineStr">
        <is>
          <t>1</t>
        </is>
      </c>
      <c r="E454" s="222" t="n">
        <v>8</v>
      </c>
      <c r="F454" s="222" t="n"/>
      <c r="G454" s="222" t="n"/>
      <c r="H454" s="222" t="inlineStr">
        <is>
          <t>Not Started</t>
        </is>
      </c>
      <c r="I454" s="222" t="inlineStr">
        <is>
          <t>05-25</t>
        </is>
      </c>
      <c r="J454" s="222" t="inlineStr"/>
    </row>
    <row r="455">
      <c r="A455" s="222" t="inlineStr">
        <is>
          <t>845</t>
        </is>
      </c>
      <c r="B455" s="222" t="inlineStr">
        <is>
          <t>32978280</t>
        </is>
      </c>
      <c r="C455" s="222" t="inlineStr">
        <is>
          <t>MLG----AP NO CALL BACK--- ALL MLG WHEEL TIRE MISSING TPIS.</t>
        </is>
      </c>
      <c r="D455" s="222" t="inlineStr">
        <is>
          <t>1</t>
        </is>
      </c>
      <c r="E455" s="222" t="n">
        <v>2</v>
      </c>
      <c r="F455" s="222" t="n"/>
      <c r="G455" s="222" t="n"/>
      <c r="H455" s="222" t="inlineStr">
        <is>
          <t>Not Started</t>
        </is>
      </c>
      <c r="I455" s="222" t="inlineStr">
        <is>
          <t>05-27</t>
        </is>
      </c>
      <c r="J455" s="222" t="inlineStr"/>
    </row>
    <row r="456">
      <c r="A456" s="222" t="inlineStr">
        <is>
          <t>846</t>
        </is>
      </c>
      <c r="B456" s="222" t="inlineStr">
        <is>
          <t>32978281</t>
        </is>
      </c>
      <c r="C456" s="222" t="inlineStr">
        <is>
          <t>RH MLG---AP---NO CALL BACK--- RH MLG BAY FWD FUSELAGE LWR RUBBER SEAL WRINGKLED AND TORN, AND UPPER CORNET WITH CUT.</t>
        </is>
      </c>
      <c r="D456" s="222" t="inlineStr">
        <is>
          <t>1</t>
        </is>
      </c>
      <c r="E456" s="222" t="n">
        <v>8</v>
      </c>
      <c r="F456" s="222" t="n"/>
      <c r="G456" s="222" t="n"/>
      <c r="H456" s="222" t="inlineStr">
        <is>
          <t>Not Started</t>
        </is>
      </c>
      <c r="I456" s="222" t="inlineStr">
        <is>
          <t>05-25</t>
        </is>
      </c>
      <c r="J456" s="222" t="inlineStr"/>
    </row>
    <row r="457">
      <c r="A457" s="222" t="inlineStr">
        <is>
          <t>847</t>
        </is>
      </c>
      <c r="B457" s="222" t="inlineStr">
        <is>
          <t>32978282</t>
        </is>
      </c>
      <c r="C457" s="222" t="inlineStr">
        <is>
          <t>RH MLG---SM---CALL BACK---- RH MLG DOOR ON AFT UPPER CORNER PNL148FB SHAVING WITH MISSING PIECE. L= 4" W= 0.187"</t>
        </is>
      </c>
      <c r="D457" s="222" t="inlineStr">
        <is>
          <t>1</t>
        </is>
      </c>
      <c r="E457" s="222" t="n">
        <v>3</v>
      </c>
      <c r="F457" s="222" t="n">
        <v>10.6</v>
      </c>
      <c r="G457" s="222" t="n">
        <v>210.6</v>
      </c>
      <c r="H457" s="222" t="inlineStr">
        <is>
          <t>Idle</t>
        </is>
      </c>
      <c r="I457" s="222" t="inlineStr">
        <is>
          <t>05-25</t>
        </is>
      </c>
      <c r="J457" s="222" t="inlineStr"/>
    </row>
    <row r="458">
      <c r="A458" s="222" t="inlineStr">
        <is>
          <t>851</t>
        </is>
      </c>
      <c r="B458" s="222" t="inlineStr">
        <is>
          <t>32978507</t>
        </is>
      </c>
      <c r="C458" s="222" t="inlineStr">
        <is>
          <t>FWD CARGO COMP----SM---CALL BACK---- FWD CARGO COMP ENTRY DOOR AT AFT SIDE PLATE BENDED.</t>
        </is>
      </c>
      <c r="D458" s="222" t="inlineStr">
        <is>
          <t>1</t>
        </is>
      </c>
      <c r="E458" s="222" t="n">
        <v>3</v>
      </c>
      <c r="F458" s="222" t="n">
        <v>0.3</v>
      </c>
      <c r="G458" s="222" t="n">
        <v>168.6</v>
      </c>
      <c r="H458" s="222" t="inlineStr">
        <is>
          <t>Idle</t>
        </is>
      </c>
      <c r="I458" s="222" t="inlineStr">
        <is>
          <t>25-50</t>
        </is>
      </c>
      <c r="J458" s="222" t="inlineStr"/>
    </row>
    <row r="459">
      <c r="A459" s="222" t="inlineStr">
        <is>
          <t>852</t>
        </is>
      </c>
      <c r="B459" s="222" t="inlineStr">
        <is>
          <t>32978509</t>
        </is>
      </c>
      <c r="C459" s="222" t="inlineStr">
        <is>
          <t>FWD CARGO COMP---AP---NO CALL BACK---- FWD CARGO COMP ENTRY DOOR FWD  DOOR NET TORN.</t>
        </is>
      </c>
      <c r="D459" s="222" t="inlineStr">
        <is>
          <t>1</t>
        </is>
      </c>
      <c r="E459" s="222" t="n">
        <v>6</v>
      </c>
      <c r="F459" s="222" t="n"/>
      <c r="G459" s="222" t="n"/>
      <c r="H459" s="222" t="inlineStr">
        <is>
          <t>Not Started</t>
        </is>
      </c>
      <c r="I459" s="222" t="inlineStr">
        <is>
          <t>25-50</t>
        </is>
      </c>
      <c r="J459" s="222" t="inlineStr"/>
    </row>
    <row r="460">
      <c r="A460" s="222" t="inlineStr">
        <is>
          <t>853</t>
        </is>
      </c>
      <c r="B460" s="222" t="inlineStr">
        <is>
          <t>32978510</t>
        </is>
      </c>
      <c r="C460" s="222" t="inlineStr">
        <is>
          <t>FWD CARGO COMP---SM---CALL BACK---- PNL 131CW LH DECOMPRESSION PNL COVER WITH  SKIN SEPARATION WITH MISSING PIECE OF HONEY COMB  AND RH WITH SKIN SEPARATION WITH CUT.</t>
        </is>
      </c>
      <c r="D460" s="222" t="inlineStr">
        <is>
          <t>1</t>
        </is>
      </c>
      <c r="E460" s="222" t="n"/>
      <c r="F460" s="222" t="n">
        <v>28.8</v>
      </c>
      <c r="G460" s="222" t="n">
        <v>258.6</v>
      </c>
      <c r="H460" s="222" t="inlineStr">
        <is>
          <t>Idle</t>
        </is>
      </c>
      <c r="I460" s="222" t="inlineStr">
        <is>
          <t>25-50</t>
        </is>
      </c>
      <c r="J460" s="222" t="inlineStr"/>
    </row>
    <row r="461">
      <c r="A461" s="222" t="inlineStr">
        <is>
          <t>854</t>
        </is>
      </c>
      <c r="B461" s="222" t="inlineStr">
        <is>
          <t>32978546</t>
        </is>
      </c>
      <c r="C461" s="222" t="inlineStr">
        <is>
          <t>FWD CARGO COMP---SM---CALL BACK---- FWD CARGO COMP PNL 131DW LH AND RH DECOMPRESSION COVER PNL WITH SKIN SEPARATION.</t>
        </is>
      </c>
      <c r="D461" s="222" t="inlineStr">
        <is>
          <t>1</t>
        </is>
      </c>
      <c r="E461" s="222" t="n">
        <v>3</v>
      </c>
      <c r="F461" s="222" t="n">
        <v>7.8</v>
      </c>
      <c r="G461" s="222" t="n">
        <v>50.3</v>
      </c>
      <c r="H461" s="222" t="inlineStr">
        <is>
          <t>Idle</t>
        </is>
      </c>
      <c r="I461" s="222" t="inlineStr">
        <is>
          <t>25-50</t>
        </is>
      </c>
      <c r="J461" s="222" t="inlineStr"/>
    </row>
    <row r="462">
      <c r="A462" s="222" t="inlineStr">
        <is>
          <t>855</t>
        </is>
      </c>
      <c r="B462" s="222" t="inlineStr">
        <is>
          <t>32978563</t>
        </is>
      </c>
      <c r="C462" s="222" t="inlineStr">
        <is>
          <t>FWD CARGO COMP---SM----CALL BACK---- PNL 131KFWITH PUNCTURED ON MID SIDE AND FWD LOW SIDE CORNER SKIN SEPARATION.</t>
        </is>
      </c>
      <c r="D462" s="222" t="inlineStr">
        <is>
          <t>1</t>
        </is>
      </c>
      <c r="E462" s="222" t="n">
        <v>4</v>
      </c>
      <c r="F462" s="222" t="n">
        <v>37.2</v>
      </c>
      <c r="G462" s="222" t="n">
        <v>75.59999999999999</v>
      </c>
      <c r="H462" s="222" t="inlineStr">
        <is>
          <t>Idle</t>
        </is>
      </c>
      <c r="I462" s="222" t="inlineStr">
        <is>
          <t>25-50</t>
        </is>
      </c>
      <c r="J462" s="222" t="inlineStr"/>
    </row>
    <row r="463">
      <c r="A463" s="222" t="inlineStr">
        <is>
          <t>856</t>
        </is>
      </c>
      <c r="B463" s="222" t="inlineStr">
        <is>
          <t>32978565</t>
        </is>
      </c>
      <c r="C463" s="222" t="inlineStr">
        <is>
          <t>FWD CARGO COMP---SM---CALL BACK---- PNL 132GF FWD SIDE PUNCTURED</t>
        </is>
      </c>
      <c r="D463" s="222" t="inlineStr">
        <is>
          <t>1</t>
        </is>
      </c>
      <c r="E463" s="222" t="n">
        <v>4</v>
      </c>
      <c r="F463" s="222" t="n">
        <v>18.1</v>
      </c>
      <c r="G463" s="222" t="n">
        <v>218.6</v>
      </c>
      <c r="H463" s="222" t="inlineStr">
        <is>
          <t>Idle</t>
        </is>
      </c>
      <c r="I463" s="222" t="inlineStr">
        <is>
          <t>25-50</t>
        </is>
      </c>
      <c r="J463" s="222" t="inlineStr"/>
    </row>
    <row r="464">
      <c r="A464" s="222" t="inlineStr">
        <is>
          <t>857</t>
        </is>
      </c>
      <c r="B464" s="222" t="inlineStr">
        <is>
          <t>32978566</t>
        </is>
      </c>
      <c r="C464" s="222" t="inlineStr">
        <is>
          <t>FWD CARGO COMP---SM---CALL BACK--- PNL 131EF WITH SEVERAL PUNCTURED.</t>
        </is>
      </c>
      <c r="D464" s="222" t="inlineStr">
        <is>
          <t>1</t>
        </is>
      </c>
      <c r="E464" s="222" t="n">
        <v>4</v>
      </c>
      <c r="F464" s="222" t="n">
        <v>12.7</v>
      </c>
      <c r="G464" s="222" t="n">
        <v>80.90000000000001</v>
      </c>
      <c r="H464" s="222" t="inlineStr">
        <is>
          <t>Idle</t>
        </is>
      </c>
      <c r="I464" s="222" t="inlineStr">
        <is>
          <t>25-50</t>
        </is>
      </c>
      <c r="J464" s="222" t="inlineStr"/>
    </row>
    <row r="465">
      <c r="A465" s="222" t="inlineStr">
        <is>
          <t>858</t>
        </is>
      </c>
      <c r="B465" s="222" t="inlineStr">
        <is>
          <t>32978568</t>
        </is>
      </c>
      <c r="C465" s="222" t="inlineStr">
        <is>
          <t>FWD CARGO COMP---PNT---NO CALL BACK---- PNL 132PW ACCES DECAL TORN.</t>
        </is>
      </c>
      <c r="D465" s="222" t="inlineStr">
        <is>
          <t>1</t>
        </is>
      </c>
      <c r="E465" s="222" t="n">
        <v>2</v>
      </c>
      <c r="F465" s="222" t="n"/>
      <c r="G465" s="222" t="n"/>
      <c r="H465" s="222" t="inlineStr">
        <is>
          <t>Not Started</t>
        </is>
      </c>
      <c r="I465" s="222" t="inlineStr">
        <is>
          <t>25-50</t>
        </is>
      </c>
      <c r="J465" s="222" t="inlineStr"/>
    </row>
    <row r="466">
      <c r="A466" s="222" t="inlineStr">
        <is>
          <t>861</t>
        </is>
      </c>
      <c r="B466" s="222" t="inlineStr">
        <is>
          <t>32978585</t>
        </is>
      </c>
      <c r="C466" s="222" t="inlineStr">
        <is>
          <t>FWD CARGO DOOR---AP---CALL BACK---- FWD CARGO DOOR BOTH ACTUATOR SIGN OF HYD LEAK.</t>
        </is>
      </c>
      <c r="D466" s="222" t="inlineStr">
        <is>
          <t>1</t>
        </is>
      </c>
      <c r="E466" s="222" t="n">
        <v>4</v>
      </c>
      <c r="F466" s="222" t="n"/>
      <c r="G466" s="222" t="n"/>
      <c r="H466" s="222" t="inlineStr">
        <is>
          <t>Not Started</t>
        </is>
      </c>
      <c r="I466" s="222" t="inlineStr">
        <is>
          <t>05-28</t>
        </is>
      </c>
      <c r="J466" s="222" t="inlineStr"/>
    </row>
    <row r="467">
      <c r="A467" s="222" t="inlineStr">
        <is>
          <t>863</t>
        </is>
      </c>
      <c r="B467" s="222" t="inlineStr">
        <is>
          <t>32978591</t>
        </is>
      </c>
      <c r="C467" s="222" t="inlineStr">
        <is>
          <t>FWD CARGO DOOR---PNT---NO CALL BACK---- FWD CARGO DOOR DATA PLATE  TORN.</t>
        </is>
      </c>
      <c r="D467" s="222" t="inlineStr">
        <is>
          <t>1</t>
        </is>
      </c>
      <c r="E467" s="222" t="n">
        <v>2</v>
      </c>
      <c r="F467" s="222" t="n"/>
      <c r="G467" s="222" t="n"/>
      <c r="H467" s="222" t="inlineStr">
        <is>
          <t>Not Started</t>
        </is>
      </c>
      <c r="I467" s="222" t="inlineStr">
        <is>
          <t>05-28</t>
        </is>
      </c>
      <c r="J467" s="222" t="inlineStr"/>
    </row>
    <row r="468">
      <c r="A468" s="222" t="inlineStr">
        <is>
          <t>864</t>
        </is>
      </c>
      <c r="B468" s="222" t="inlineStr">
        <is>
          <t>32978593</t>
        </is>
      </c>
      <c r="C468" s="222" t="inlineStr">
        <is>
          <t>FWD CARGO DOOR---AP---CALL BACK--- FWD CARGO DOOR AFT LWR SIDE RUBBER SEAL WITH CUT</t>
        </is>
      </c>
      <c r="D468" s="222" t="inlineStr">
        <is>
          <t>1</t>
        </is>
      </c>
      <c r="E468" s="222" t="n">
        <v>4</v>
      </c>
      <c r="F468" s="222" t="n"/>
      <c r="G468" s="222" t="n"/>
      <c r="H468" s="222" t="inlineStr">
        <is>
          <t>Not Started</t>
        </is>
      </c>
      <c r="I468" s="222" t="inlineStr">
        <is>
          <t>05-28</t>
        </is>
      </c>
      <c r="J468" s="222" t="inlineStr"/>
    </row>
    <row r="469">
      <c r="A469" s="222" t="inlineStr">
        <is>
          <t>865</t>
        </is>
      </c>
      <c r="B469" s="222" t="inlineStr">
        <is>
          <t>32978600</t>
        </is>
      </c>
      <c r="C469" s="222" t="inlineStr">
        <is>
          <t>FWD CARGO DOOR---SM---CALL BACK--- FWD CARGO DOOR LINING CRACK ON LWR  FWD SIDE.</t>
        </is>
      </c>
      <c r="D469" s="222" t="inlineStr">
        <is>
          <t>1</t>
        </is>
      </c>
      <c r="E469" s="222" t="n">
        <v>4</v>
      </c>
      <c r="F469" s="222" t="n">
        <v>25.5</v>
      </c>
      <c r="G469" s="222" t="n">
        <v>49.6</v>
      </c>
      <c r="H469" s="222" t="inlineStr">
        <is>
          <t>Idle</t>
        </is>
      </c>
      <c r="I469" s="222" t="inlineStr">
        <is>
          <t>05-28</t>
        </is>
      </c>
      <c r="J469" s="222" t="inlineStr"/>
    </row>
    <row r="470">
      <c r="A470" s="222" t="inlineStr">
        <is>
          <t>866</t>
        </is>
      </c>
      <c r="B470" s="222" t="inlineStr">
        <is>
          <t>32978626</t>
        </is>
      </c>
      <c r="C470" s="222" t="inlineStr">
        <is>
          <t>FWD CARGO DOOR---PNT---NO ALL BACK--- FWD CARGO DOOR LINING SEVERAL PNT CRACK.</t>
        </is>
      </c>
      <c r="D470" s="222" t="inlineStr">
        <is>
          <t>1</t>
        </is>
      </c>
      <c r="E470" s="222" t="n">
        <v>4</v>
      </c>
      <c r="F470" s="222" t="n"/>
      <c r="G470" s="222" t="n"/>
      <c r="H470" s="222" t="inlineStr">
        <is>
          <t>Not Started</t>
        </is>
      </c>
      <c r="I470" s="222" t="inlineStr">
        <is>
          <t>05-28</t>
        </is>
      </c>
      <c r="J470" s="222" t="inlineStr"/>
    </row>
    <row r="471">
      <c r="A471" s="222" t="inlineStr">
        <is>
          <t>867</t>
        </is>
      </c>
      <c r="B471" s="222" t="inlineStr">
        <is>
          <t>32978634</t>
        </is>
      </c>
      <c r="C471" s="222" t="inlineStr">
        <is>
          <t>AFT CARGO COMP----SM---CALL BACK---- AFT CARGO COMP AFT DOOR NET STANCHION TUBE WTIH DENT ON MID SIDE L=1" W=0.5" D=0.125"</t>
        </is>
      </c>
      <c r="D471" s="222" t="inlineStr">
        <is>
          <t>1</t>
        </is>
      </c>
      <c r="E471" s="222" t="n">
        <v>4</v>
      </c>
      <c r="F471" s="222" t="n">
        <v>0.3</v>
      </c>
      <c r="G471" s="222" t="n">
        <v>193.5</v>
      </c>
      <c r="H471" s="222" t="inlineStr">
        <is>
          <t>Idle</t>
        </is>
      </c>
      <c r="I471" s="222" t="inlineStr">
        <is>
          <t>05-21</t>
        </is>
      </c>
      <c r="J471" s="222" t="inlineStr"/>
    </row>
    <row r="472">
      <c r="A472" s="222" t="inlineStr">
        <is>
          <t>868</t>
        </is>
      </c>
      <c r="B472" s="222" t="inlineStr">
        <is>
          <t>32978638</t>
        </is>
      </c>
      <c r="C472" s="222" t="inlineStr">
        <is>
          <t>AFT CARGO COMP---SM---CALL BACK---- AFT CARGO COMP CIELING PNL 151DC  DAMAGE WITH MISSING HONEY COMB  L=1" W=0.5"</t>
        </is>
      </c>
      <c r="D472" s="222" t="inlineStr">
        <is>
          <t>1</t>
        </is>
      </c>
      <c r="E472" s="222" t="n">
        <v>6</v>
      </c>
      <c r="F472" s="222" t="n"/>
      <c r="G472" s="222" t="n"/>
      <c r="H472" s="222" t="inlineStr">
        <is>
          <t>Not Started</t>
        </is>
      </c>
      <c r="I472" s="222" t="inlineStr">
        <is>
          <t>05-21</t>
        </is>
      </c>
      <c r="J472" s="222" t="inlineStr"/>
    </row>
    <row r="473">
      <c r="A473" s="222" t="inlineStr">
        <is>
          <t>869</t>
        </is>
      </c>
      <c r="B473" s="222" t="inlineStr">
        <is>
          <t>32978643</t>
        </is>
      </c>
      <c r="C473" s="222" t="inlineStr">
        <is>
          <t>AFT CARGO COMP----AP---NO CALL BACK--- AFT CARGO COMP SEVERAL PNL WITH MISSING SCREW AND DETACHED GAP SEAL.</t>
        </is>
      </c>
      <c r="D473" s="222" t="inlineStr">
        <is>
          <t>1</t>
        </is>
      </c>
      <c r="E473" s="222" t="n">
        <v>6</v>
      </c>
      <c r="F473" s="222" t="n"/>
      <c r="G473" s="222" t="n"/>
      <c r="H473" s="222" t="inlineStr">
        <is>
          <t>Not Started</t>
        </is>
      </c>
      <c r="I473" s="222" t="inlineStr">
        <is>
          <t>05-21</t>
        </is>
      </c>
      <c r="J473" s="222" t="inlineStr"/>
    </row>
    <row r="474">
      <c r="A474" s="222" t="inlineStr">
        <is>
          <t>873</t>
        </is>
      </c>
      <c r="B474" s="222" t="inlineStr">
        <is>
          <t>32978651</t>
        </is>
      </c>
      <c r="C474" s="222" t="inlineStr">
        <is>
          <t>AFT CARGO DOOR---PNT---NO CALL BACK---- AFT CARGO DOOR DATA PLATE TORN.</t>
        </is>
      </c>
      <c r="D474" s="222" t="inlineStr">
        <is>
          <t>1</t>
        </is>
      </c>
      <c r="E474" s="222" t="n">
        <v>2</v>
      </c>
      <c r="F474" s="222" t="n"/>
      <c r="G474" s="222" t="n"/>
      <c r="H474" s="222" t="inlineStr">
        <is>
          <t>Not Started</t>
        </is>
      </c>
      <c r="I474" s="222" t="inlineStr">
        <is>
          <t>05-28</t>
        </is>
      </c>
      <c r="J474" s="222" t="inlineStr"/>
    </row>
    <row r="475">
      <c r="A475" s="222" t="inlineStr">
        <is>
          <t>876</t>
        </is>
      </c>
      <c r="B475" s="222" t="inlineStr">
        <is>
          <t>32978879</t>
        </is>
      </c>
      <c r="C475" s="222" t="inlineStr">
        <is>
          <t>FINDING (NRC) TASKCARD 25-SVA-03 (01) / ITEM ONE ALL B/C SEAT BELT DIRTY</t>
        </is>
      </c>
      <c r="D475" s="222" t="inlineStr">
        <is>
          <t>1</t>
        </is>
      </c>
      <c r="E475" s="222" t="n">
        <v>2</v>
      </c>
      <c r="F475" s="222" t="n"/>
      <c r="G475" s="222" t="n"/>
      <c r="H475" s="222" t="inlineStr">
        <is>
          <t>Not Started</t>
        </is>
      </c>
      <c r="I475" s="222" t="inlineStr">
        <is>
          <t>25-21</t>
        </is>
      </c>
      <c r="J475" s="222" t="inlineStr"/>
    </row>
    <row r="476">
      <c r="A476" s="222" t="inlineStr">
        <is>
          <t>886</t>
        </is>
      </c>
      <c r="B476" s="222" t="inlineStr">
        <is>
          <t>32979256</t>
        </is>
      </c>
      <c r="C476" s="222" t="inlineStr">
        <is>
          <t>FINDING (NRC) TASKCARD ZL-500-02-1-002 (05) RH WING  AP--RII RH WING FLAP LWR KICK SEAL WITH CUT 0.5 IN.</t>
        </is>
      </c>
      <c r="D476" s="222" t="inlineStr">
        <is>
          <t>1</t>
        </is>
      </c>
      <c r="E476" s="222" t="n"/>
      <c r="F476" s="222" t="n"/>
      <c r="G476" s="222" t="n"/>
      <c r="H476" s="222" t="inlineStr">
        <is>
          <t>Not Started</t>
        </is>
      </c>
      <c r="I476" s="222" t="inlineStr">
        <is>
          <t>05-25</t>
        </is>
      </c>
      <c r="J476" s="222" t="inlineStr"/>
    </row>
    <row r="477">
      <c r="A477" s="222" t="inlineStr">
        <is>
          <t>887</t>
        </is>
      </c>
      <c r="B477" s="222" t="inlineStr">
        <is>
          <t>32979285</t>
        </is>
      </c>
      <c r="C477" s="222" t="inlineStr">
        <is>
          <t>FINDING (NRC) TASKCARD ZL-500-02-1-002 (05) RH WING AP--NO CALLBACK RH WING FLAP MOV. TRACK NO#3  DRAINED WITH SIGN OF OIL LEAKAGE.</t>
        </is>
      </c>
      <c r="D477" s="222" t="inlineStr">
        <is>
          <t>1</t>
        </is>
      </c>
      <c r="E477" s="222" t="n"/>
      <c r="F477" s="222" t="n"/>
      <c r="G477" s="222" t="n"/>
      <c r="H477" s="222" t="inlineStr">
        <is>
          <t>Not Started</t>
        </is>
      </c>
      <c r="I477" s="222" t="inlineStr">
        <is>
          <t>05-25</t>
        </is>
      </c>
      <c r="J477" s="222" t="inlineStr"/>
    </row>
    <row r="478">
      <c r="A478" s="222" t="inlineStr">
        <is>
          <t>888</t>
        </is>
      </c>
      <c r="B478" s="222" t="inlineStr">
        <is>
          <t>32979304</t>
        </is>
      </c>
      <c r="C478" s="222" t="inlineStr">
        <is>
          <t>FINDING (NRC) TASKCARD ZL-500-02-1-002 (05) / RH WING AP-- CALLBACK RH WING FLAP TRACK NO#3 O/B AFT UPPER SEAL WITH CUT.</t>
        </is>
      </c>
      <c r="D478" s="222" t="inlineStr">
        <is>
          <t>1</t>
        </is>
      </c>
      <c r="E478" s="222" t="n">
        <v>8</v>
      </c>
      <c r="F478" s="222" t="n"/>
      <c r="G478" s="222" t="n"/>
      <c r="H478" s="222" t="inlineStr">
        <is>
          <t>Not Started</t>
        </is>
      </c>
      <c r="I478" s="222" t="inlineStr">
        <is>
          <t>05-25</t>
        </is>
      </c>
      <c r="J478" s="222" t="inlineStr"/>
    </row>
    <row r="479">
      <c r="A479" s="222" t="inlineStr">
        <is>
          <t>889</t>
        </is>
      </c>
      <c r="B479" s="222" t="inlineStr">
        <is>
          <t>32979322</t>
        </is>
      </c>
      <c r="C479" s="222" t="inlineStr">
        <is>
          <t>FINDING (NRC) TASKCARD ZL-500-02-1-002 (05) RH WING  SM--RII RH WING SLAT NO#2  MID SIDE WITH SCRACH DIM. L=1 IN W=0.12 IN D=0.003 IN</t>
        </is>
      </c>
      <c r="D479" s="222" t="inlineStr">
        <is>
          <t>1</t>
        </is>
      </c>
      <c r="E479" s="222" t="n">
        <v>4</v>
      </c>
      <c r="F479" s="222" t="n">
        <v>2.5</v>
      </c>
      <c r="G479" s="222" t="n">
        <v>180.6</v>
      </c>
      <c r="H479" s="222" t="inlineStr">
        <is>
          <t>Idle</t>
        </is>
      </c>
      <c r="I479" s="222" t="inlineStr">
        <is>
          <t>05-25</t>
        </is>
      </c>
      <c r="J479" s="222" t="inlineStr"/>
    </row>
    <row r="480">
      <c r="A480" s="222" t="inlineStr">
        <is>
          <t>890</t>
        </is>
      </c>
      <c r="B480" s="222" t="inlineStr">
        <is>
          <t>32979401</t>
        </is>
      </c>
      <c r="C480" s="222" t="inlineStr">
        <is>
          <t>FINDING (NRC) TASKCARD ZL-433-01-1-002 (02) ENG#2  SM--RII ENG#2 AIR INTAKE LIP WITH SURFACE CORROSION ALL AROUND.</t>
        </is>
      </c>
      <c r="D480" s="222" t="inlineStr">
        <is>
          <t>1</t>
        </is>
      </c>
      <c r="E480" s="222" t="n">
        <v>12</v>
      </c>
      <c r="F480" s="222" t="n">
        <v>14.5</v>
      </c>
      <c r="G480" s="222" t="n">
        <v>226.6</v>
      </c>
      <c r="H480" s="222" t="inlineStr">
        <is>
          <t>Idle</t>
        </is>
      </c>
      <c r="I480" s="222" t="inlineStr">
        <is>
          <t>05-24</t>
        </is>
      </c>
      <c r="J480" s="222" t="inlineStr"/>
    </row>
    <row r="481">
      <c r="A481" s="222" t="inlineStr">
        <is>
          <t>891</t>
        </is>
      </c>
      <c r="B481" s="222" t="inlineStr">
        <is>
          <t>32979406</t>
        </is>
      </c>
      <c r="C481" s="222" t="inlineStr">
        <is>
          <t>FINDING (NRC) TASKCARD ZL-433-01-1-001 (02) / ENG#1  SM--RII ENG#1 AIR INTAKE LIP WITH SURFACE CORROSION ALL AROUND.</t>
        </is>
      </c>
      <c r="D481" s="222" t="inlineStr">
        <is>
          <t>1</t>
        </is>
      </c>
      <c r="E481" s="222" t="n">
        <v>8</v>
      </c>
      <c r="F481" s="222" t="n">
        <v>5</v>
      </c>
      <c r="G481" s="222" t="n">
        <v>226.6</v>
      </c>
      <c r="H481" s="222" t="inlineStr">
        <is>
          <t>Idle</t>
        </is>
      </c>
      <c r="I481" s="222" t="inlineStr">
        <is>
          <t>05-24</t>
        </is>
      </c>
      <c r="J481" s="222" t="inlineStr"/>
    </row>
    <row r="482">
      <c r="A482" s="222" t="inlineStr">
        <is>
          <t>892</t>
        </is>
      </c>
      <c r="B482" s="222" t="inlineStr">
        <is>
          <t>32979530</t>
        </is>
      </c>
      <c r="C482" s="222" t="inlineStr">
        <is>
          <t>FINDING (NRC) TASKCARD 25-65-00-01-0-SVA (02) / RII/AVN AFT MEGAPHONE P/N A12SA S/N 1142984 WILL EXPIRE 09 /10/ 2026 LESS THAN 80 DAYS</t>
        </is>
      </c>
      <c r="D482" s="222" t="inlineStr">
        <is>
          <t>1</t>
        </is>
      </c>
      <c r="E482" s="222" t="n"/>
      <c r="F482" s="222" t="n">
        <v>12.5</v>
      </c>
      <c r="G482" s="222" t="n">
        <v>114.1</v>
      </c>
      <c r="H482" s="222" t="inlineStr">
        <is>
          <t>Idle</t>
        </is>
      </c>
      <c r="I482" s="222" t="inlineStr">
        <is>
          <t>25-65</t>
        </is>
      </c>
      <c r="J482" s="222" t="inlineStr"/>
    </row>
    <row r="483">
      <c r="A483" s="222" t="inlineStr">
        <is>
          <t>893</t>
        </is>
      </c>
      <c r="B483" s="222" t="inlineStr">
        <is>
          <t>32979557</t>
        </is>
      </c>
      <c r="C483" s="222" t="inlineStr">
        <is>
          <t>FINDING (NRC) TASKCARD 25-65-00-01-0-SVA-001 /RII/CABIN AFT BOTH FIRST  AID KIT WILL EXPIRE ON 06/2026 LESS THAN 6 MONTH</t>
        </is>
      </c>
      <c r="D483" s="222" t="inlineStr">
        <is>
          <t>1</t>
        </is>
      </c>
      <c r="E483" s="222" t="n">
        <v>1</v>
      </c>
      <c r="F483" s="222" t="n"/>
      <c r="G483" s="222" t="n"/>
      <c r="H483" s="222" t="inlineStr">
        <is>
          <t>Not Started</t>
        </is>
      </c>
      <c r="I483" s="222" t="inlineStr">
        <is>
          <t>25-65</t>
        </is>
      </c>
      <c r="J483" s="222" t="inlineStr"/>
    </row>
    <row r="484">
      <c r="A484" s="222" t="inlineStr">
        <is>
          <t>894</t>
        </is>
      </c>
      <c r="B484" s="222" t="inlineStr">
        <is>
          <t>32979661</t>
        </is>
      </c>
      <c r="C484" s="222" t="inlineStr">
        <is>
          <t>FINDING (NRC) TASKCARD 353000-07-1 /CABIN/ NO CALLBACK PORTABLE OXYGEN MASK BEHIND SEAT 5 J WILL EXPIRE ON 09/2026</t>
        </is>
      </c>
      <c r="D484" s="222" t="inlineStr">
        <is>
          <t>1</t>
        </is>
      </c>
      <c r="E484" s="222" t="n"/>
      <c r="F484" s="222" t="n"/>
      <c r="G484" s="222" t="n"/>
      <c r="H484" s="222" t="inlineStr">
        <is>
          <t>Not Started</t>
        </is>
      </c>
      <c r="I484" s="222" t="inlineStr">
        <is>
          <t>35-30</t>
        </is>
      </c>
      <c r="J484" s="222" t="inlineStr"/>
    </row>
    <row r="485">
      <c r="A485" s="222" t="inlineStr">
        <is>
          <t>900</t>
        </is>
      </c>
      <c r="B485" s="222" t="inlineStr">
        <is>
          <t>32980022</t>
        </is>
      </c>
      <c r="C485" s="222" t="inlineStr">
        <is>
          <t>FINDING (NRC) TASKCARD 25-SVA-05 (01) / ITEM ONE ALL G/C SEAT HEADREST REQUIRE REMOVE FOR ACCESS</t>
        </is>
      </c>
      <c r="D485" s="222" t="inlineStr">
        <is>
          <t>1</t>
        </is>
      </c>
      <c r="E485" s="222" t="n">
        <v>6.5</v>
      </c>
      <c r="F485" s="222" t="n">
        <v>6.5</v>
      </c>
      <c r="G485" s="222" t="n">
        <v>169.3</v>
      </c>
      <c r="H485" s="222" t="inlineStr">
        <is>
          <t>Idle</t>
        </is>
      </c>
      <c r="I485" s="222" t="inlineStr">
        <is>
          <t>25-21</t>
        </is>
      </c>
      <c r="J485" s="222" t="inlineStr"/>
    </row>
    <row r="486">
      <c r="A486" s="222" t="inlineStr">
        <is>
          <t>901</t>
        </is>
      </c>
      <c r="B486" s="222" t="inlineStr">
        <is>
          <t>32391506</t>
        </is>
      </c>
      <c r="C486" s="222" t="inlineStr">
        <is>
          <t>114122014/CH1016136 LB(LUBRICATION) / LUB OF MLG AND DOORS</t>
        </is>
      </c>
      <c r="D486" s="222" t="inlineStr">
        <is>
          <t>1</t>
        </is>
      </c>
      <c r="E486" s="222" t="n">
        <v>2</v>
      </c>
      <c r="F486" s="222" t="n"/>
      <c r="G486" s="222" t="n"/>
      <c r="H486" s="222" t="inlineStr">
        <is>
          <t>Not Started</t>
        </is>
      </c>
      <c r="I486" s="222" t="inlineStr">
        <is>
          <t>12-22</t>
        </is>
      </c>
      <c r="J486" s="222" t="inlineStr">
        <is>
          <t>JOB-SETUP, TC/P, TC/P</t>
        </is>
      </c>
    </row>
    <row r="487">
      <c r="A487" s="222" t="inlineStr">
        <is>
          <t>902</t>
        </is>
      </c>
      <c r="B487" s="222" t="inlineStr">
        <is>
          <t>32439904</t>
        </is>
      </c>
      <c r="C487" s="222" t="inlineStr">
        <is>
          <t>114122015/CH1009957 LB(LUBRICATION) / LUB OF MLG AND DOORS</t>
        </is>
      </c>
      <c r="D487" s="222" t="inlineStr">
        <is>
          <t>1</t>
        </is>
      </c>
      <c r="E487" s="222" t="n">
        <v>2</v>
      </c>
      <c r="F487" s="222" t="n"/>
      <c r="G487" s="222" t="n"/>
      <c r="H487" s="222" t="inlineStr">
        <is>
          <t>Not Started</t>
        </is>
      </c>
      <c r="I487" s="222" t="inlineStr">
        <is>
          <t>12-22</t>
        </is>
      </c>
      <c r="J487" s="222" t="inlineStr">
        <is>
          <t>JOB-SETUP, TC/P, TC/P</t>
        </is>
      </c>
    </row>
    <row r="488">
      <c r="A488" s="222" t="inlineStr">
        <is>
          <t>903</t>
        </is>
      </c>
      <c r="B488" s="222" t="inlineStr">
        <is>
          <t>32163655</t>
        </is>
      </c>
      <c r="C488" s="222" t="inlineStr">
        <is>
          <t>342B050000/06787 RS(RESTORATION) / CLN THERMOSTAT - FAN AIR VALVE CTRL</t>
        </is>
      </c>
      <c r="D488" s="222" t="inlineStr">
        <is>
          <t>1</t>
        </is>
      </c>
      <c r="E488" s="222" t="n">
        <v>2.2</v>
      </c>
      <c r="F488" s="222" t="n"/>
      <c r="G488" s="222" t="n"/>
      <c r="H488" s="222" t="inlineStr">
        <is>
          <t>Not Started</t>
        </is>
      </c>
      <c r="I488" s="222" t="inlineStr">
        <is>
          <t>36-11</t>
        </is>
      </c>
      <c r="J488" s="222" t="inlineStr">
        <is>
          <t>JOB-SETUP, TC/P, TC/P, JOB-CLOSEUP</t>
        </is>
      </c>
    </row>
    <row r="489">
      <c r="A489" s="222" t="inlineStr">
        <is>
          <t>904</t>
        </is>
      </c>
      <c r="B489" s="222" t="inlineStr">
        <is>
          <t>32163652</t>
        </is>
      </c>
      <c r="C489" s="222" t="inlineStr">
        <is>
          <t>342B050000/10718 RS(RESTORATION) / CLN THERMOSTAT - FAN AIR VALVE CTRL</t>
        </is>
      </c>
      <c r="D489" s="222" t="inlineStr">
        <is>
          <t>1</t>
        </is>
      </c>
      <c r="E489" s="222" t="n">
        <v>2.2</v>
      </c>
      <c r="F489" s="222" t="n"/>
      <c r="G489" s="222" t="n"/>
      <c r="H489" s="222" t="inlineStr">
        <is>
          <t>Not Started</t>
        </is>
      </c>
      <c r="I489" s="222" t="inlineStr">
        <is>
          <t>36-11</t>
        </is>
      </c>
      <c r="J489" s="222" t="inlineStr">
        <is>
          <t>JOB-SETUP, TC/P, TC/P, JOB-CLOSEUP</t>
        </is>
      </c>
    </row>
    <row r="490">
      <c r="A490" s="222" t="inlineStr">
        <is>
          <t>905</t>
        </is>
      </c>
      <c r="B490" s="222" t="inlineStr">
        <is>
          <t>81172702</t>
        </is>
      </c>
      <c r="C490" s="222" t="inlineStr">
        <is>
          <t>IFE REMOTE CONTROL VHS REMOTE CONTROL FOR 1L IS BROKEN  BY CREW: 11013005</t>
        </is>
      </c>
      <c r="D490" s="222" t="inlineStr">
        <is>
          <t>N</t>
        </is>
      </c>
      <c r="E490" s="222" t="n"/>
      <c r="F490" s="222" t="n">
        <v>3.5</v>
      </c>
      <c r="G490" s="222" t="n">
        <v>645.2</v>
      </c>
      <c r="H490" s="222" t="inlineStr">
        <is>
          <t>Idle</t>
        </is>
      </c>
      <c r="I490" s="222" t="inlineStr">
        <is>
          <t>44-26-00</t>
        </is>
      </c>
      <c r="J490" s="222" t="inlineStr"/>
    </row>
    <row r="491">
      <c r="A491" s="222" t="inlineStr">
        <is>
          <t>906</t>
        </is>
      </c>
      <c r="B491" s="222" t="inlineStr">
        <is>
          <t>94844831</t>
        </is>
      </c>
      <c r="C491" s="222" t="inlineStr">
        <is>
          <t>DECAL BELLY LH LANDING GEAR ON GROUND AND YELLOW HYD BAY DECAL FOUND WORN</t>
        </is>
      </c>
      <c r="D491" s="222" t="inlineStr">
        <is>
          <t>N</t>
        </is>
      </c>
      <c r="E491" s="222" t="n"/>
      <c r="F491" s="222" t="n"/>
      <c r="G491" s="222" t="n">
        <v>429.2</v>
      </c>
      <c r="H491" s="222" t="inlineStr">
        <is>
          <t>Idle</t>
        </is>
      </c>
      <c r="I491" s="222" t="inlineStr">
        <is>
          <t>11</t>
        </is>
      </c>
      <c r="J491" s="222" t="inlineStr"/>
    </row>
    <row r="492">
      <c r="A492" s="222" t="inlineStr">
        <is>
          <t>907</t>
        </is>
      </c>
      <c r="B492" s="222" t="inlineStr">
        <is>
          <t>94844832</t>
        </is>
      </c>
      <c r="C492" s="222" t="inlineStr">
        <is>
          <t>DECAL AFT BELLY WATER DRAIN VALVE AND FUEL LEAK MONITOR DECAL FOUND FADED</t>
        </is>
      </c>
      <c r="D492" s="222" t="inlineStr">
        <is>
          <t>N</t>
        </is>
      </c>
      <c r="E492" s="222" t="n"/>
      <c r="F492" s="222" t="n"/>
      <c r="G492" s="222" t="n">
        <v>429.3</v>
      </c>
      <c r="H492" s="222" t="inlineStr">
        <is>
          <t>Idle</t>
        </is>
      </c>
      <c r="I492" s="222" t="inlineStr">
        <is>
          <t>11</t>
        </is>
      </c>
      <c r="J492" s="222" t="inlineStr"/>
    </row>
    <row r="493">
      <c r="A493" s="222" t="inlineStr">
        <is>
          <t>908</t>
        </is>
      </c>
      <c r="B493" s="222" t="inlineStr">
        <is>
          <t>94844833</t>
        </is>
      </c>
      <c r="C493" s="222" t="inlineStr">
        <is>
          <t>DECAL BELLY AIR CONDITIONING AND GROUND HYD CONNECTION BLUE DECAL FOUND FADED</t>
        </is>
      </c>
      <c r="D493" s="222" t="inlineStr">
        <is>
          <t>N</t>
        </is>
      </c>
      <c r="E493" s="222" t="n"/>
      <c r="F493" s="222" t="n"/>
      <c r="G493" s="222" t="n">
        <v>429.4</v>
      </c>
      <c r="H493" s="222" t="inlineStr">
        <is>
          <t>Idle</t>
        </is>
      </c>
      <c r="I493" s="222" t="inlineStr">
        <is>
          <t>11</t>
        </is>
      </c>
      <c r="J493" s="222" t="inlineStr"/>
    </row>
    <row r="494">
      <c r="A494" s="222" t="inlineStr">
        <is>
          <t>909</t>
        </is>
      </c>
      <c r="B494" s="222" t="inlineStr">
        <is>
          <t>94844834</t>
        </is>
      </c>
      <c r="C494" s="222" t="inlineStr">
        <is>
          <t>DECAL AFT CARGO SELECTOR PANEL AUX OPS INSTRUCTIONS DECAL FOUND WORN</t>
        </is>
      </c>
      <c r="D494" s="222" t="inlineStr">
        <is>
          <t>N</t>
        </is>
      </c>
      <c r="E494" s="222" t="n"/>
      <c r="F494" s="222" t="n">
        <v>1</v>
      </c>
      <c r="G494" s="222" t="n">
        <v>430.5</v>
      </c>
      <c r="H494" s="222" t="inlineStr">
        <is>
          <t>Idle</t>
        </is>
      </c>
      <c r="I494" s="222" t="inlineStr">
        <is>
          <t>11</t>
        </is>
      </c>
      <c r="J494" s="222" t="inlineStr"/>
    </row>
    <row r="495">
      <c r="A495" s="222" t="inlineStr">
        <is>
          <t>910</t>
        </is>
      </c>
      <c r="B495" s="222" t="inlineStr">
        <is>
          <t>94844835</t>
        </is>
      </c>
      <c r="C495" s="222" t="inlineStr">
        <is>
          <t>DECAL AFT BELLY APU CTR AND FUEL-DRAIN VENT DECAL FOUND TORN</t>
        </is>
      </c>
      <c r="D495" s="222" t="inlineStr">
        <is>
          <t>N</t>
        </is>
      </c>
      <c r="E495" s="222" t="n"/>
      <c r="F495" s="222" t="n">
        <v>1</v>
      </c>
      <c r="G495" s="222" t="n">
        <v>430.6</v>
      </c>
      <c r="H495" s="222" t="inlineStr">
        <is>
          <t>Idle</t>
        </is>
      </c>
      <c r="I495" s="222" t="inlineStr">
        <is>
          <t>11</t>
        </is>
      </c>
      <c r="J495" s="222" t="inlineStr"/>
    </row>
    <row r="496">
      <c r="A496" s="222" t="inlineStr">
        <is>
          <t>911</t>
        </is>
      </c>
      <c r="B496" s="222" t="inlineStr">
        <is>
          <t>94844836</t>
        </is>
      </c>
      <c r="C496" s="222" t="inlineStr">
        <is>
          <t>RADIO ALTIMETER AFT BELLY RADIO ALTIMETER MARKINGS FOUND FADED</t>
        </is>
      </c>
      <c r="D496" s="222" t="inlineStr">
        <is>
          <t>N</t>
        </is>
      </c>
      <c r="E496" s="222" t="n"/>
      <c r="F496" s="222" t="n">
        <v>1</v>
      </c>
      <c r="G496" s="222" t="n">
        <v>429.8</v>
      </c>
      <c r="H496" s="222" t="inlineStr">
        <is>
          <t>Idle</t>
        </is>
      </c>
      <c r="I496" s="222" t="inlineStr">
        <is>
          <t>11</t>
        </is>
      </c>
      <c r="J496" s="222" t="inlineStr"/>
    </row>
    <row r="497">
      <c r="A497" s="222" t="inlineStr">
        <is>
          <t>912</t>
        </is>
      </c>
      <c r="B497" s="222" t="inlineStr">
        <is>
          <t>94844837</t>
        </is>
      </c>
      <c r="C497" s="222" t="inlineStr">
        <is>
          <t>DECAL AFT CARGO DOOR ARROW, PULL, PUSH AND WARNING DECAL FOUND WORN</t>
        </is>
      </c>
      <c r="D497" s="222" t="inlineStr">
        <is>
          <t>N</t>
        </is>
      </c>
      <c r="E497" s="222" t="n"/>
      <c r="F497" s="222" t="n">
        <v>1</v>
      </c>
      <c r="G497" s="222" t="n">
        <v>430.8</v>
      </c>
      <c r="H497" s="222" t="inlineStr">
        <is>
          <t>Idle</t>
        </is>
      </c>
      <c r="I497" s="222" t="inlineStr">
        <is>
          <t>11</t>
        </is>
      </c>
      <c r="J497" s="222" t="inlineStr"/>
    </row>
    <row r="498">
      <c r="A498" s="222" t="inlineStr">
        <is>
          <t>913</t>
        </is>
      </c>
      <c r="B498" s="222" t="inlineStr">
        <is>
          <t>32345876</t>
        </is>
      </c>
      <c r="C498" s="222" t="inlineStr">
        <is>
          <t>EOD-320-11-00001-R00/ADD MARKING ON AVIONICS DOORS 811 AND 824</t>
        </is>
      </c>
      <c r="D498" s="222" t="inlineStr">
        <is>
          <t>ACHK</t>
        </is>
      </c>
      <c r="E498" s="222" t="n">
        <v>2.5</v>
      </c>
      <c r="F498" s="222" t="n"/>
      <c r="G498" s="222" t="n"/>
      <c r="H498" s="222" t="inlineStr">
        <is>
          <t>Not Started</t>
        </is>
      </c>
      <c r="I498" s="222" t="inlineStr">
        <is>
          <t>11</t>
        </is>
      </c>
      <c r="J498" s="222" t="inlineStr"/>
    </row>
    <row r="499">
      <c r="A499" s="222" t="inlineStr">
        <is>
          <t>914</t>
        </is>
      </c>
      <c r="B499" s="222" t="inlineStr">
        <is>
          <t>32850432</t>
        </is>
      </c>
      <c r="C499" s="222" t="inlineStr">
        <is>
          <t>EOD-320-21-00005-R00/A320 - AIR CONDITIONING - INTRODUCE NEW CONTACTOR FOR BLOWER AND EXTRA</t>
        </is>
      </c>
      <c r="D499" s="222" t="inlineStr">
        <is>
          <t>RON</t>
        </is>
      </c>
      <c r="E499" s="222" t="n">
        <v>2</v>
      </c>
      <c r="F499" s="222" t="n"/>
      <c r="G499" s="222" t="n"/>
      <c r="H499" s="222" t="inlineStr">
        <is>
          <t>Not Started</t>
        </is>
      </c>
      <c r="I499" s="222" t="inlineStr">
        <is>
          <t>21</t>
        </is>
      </c>
      <c r="J499" s="222" t="inlineStr"/>
    </row>
    <row r="500">
      <c r="A500" s="222" t="inlineStr">
        <is>
          <t>915</t>
        </is>
      </c>
      <c r="B500" s="222" t="inlineStr">
        <is>
          <t>15777708</t>
        </is>
      </c>
      <c r="C500" s="222" t="inlineStr">
        <is>
          <t>EOD-320-53-00010-R00/FUSELAGE - MAIN STRUCTURE - APPLY A CUT ON STIFFENER ON</t>
        </is>
      </c>
      <c r="D500" s="222" t="inlineStr">
        <is>
          <t>C</t>
        </is>
      </c>
      <c r="E500" s="222" t="n">
        <v>4.3</v>
      </c>
      <c r="F500" s="222" t="n">
        <v>5.1</v>
      </c>
      <c r="G500" s="222" t="n">
        <v>22.9</v>
      </c>
      <c r="H500" s="222" t="inlineStr">
        <is>
          <t>Idle</t>
        </is>
      </c>
      <c r="I500" s="222" t="inlineStr">
        <is>
          <t>53</t>
        </is>
      </c>
      <c r="J500" s="222" t="inlineStr"/>
    </row>
    <row r="501">
      <c r="A501" s="222" t="inlineStr">
        <is>
          <t>916</t>
        </is>
      </c>
      <c r="B501" s="222" t="inlineStr">
        <is>
          <t>15777769</t>
        </is>
      </c>
      <c r="C501" s="222" t="inlineStr">
        <is>
          <t>EOD-320-53-00011-R00/FUSELAGE - MAIN STRUCTURE - APPLY A CUT ON STIFFENER ON</t>
        </is>
      </c>
      <c r="D501" s="222" t="inlineStr">
        <is>
          <t>C</t>
        </is>
      </c>
      <c r="E501" s="222" t="n">
        <v>4.7</v>
      </c>
      <c r="F501" s="222" t="n">
        <v>2.8</v>
      </c>
      <c r="G501" s="222" t="n">
        <v>68.59999999999999</v>
      </c>
      <c r="H501" s="222" t="inlineStr">
        <is>
          <t>Idle</t>
        </is>
      </c>
      <c r="I501" s="222" t="inlineStr">
        <is>
          <t>53</t>
        </is>
      </c>
      <c r="J501" s="222" t="inlineStr"/>
    </row>
    <row r="502">
      <c r="A502" s="222" t="inlineStr">
        <is>
          <t>917</t>
        </is>
      </c>
      <c r="B502" s="222" t="inlineStr">
        <is>
          <t>28372303</t>
        </is>
      </c>
      <c r="C502" s="222" t="inlineStr">
        <is>
          <t>REPLACE DVE90-07/7369 (VALVE-SOLENOID)</t>
        </is>
      </c>
      <c r="D502" s="222" t="inlineStr">
        <is>
          <t>N</t>
        </is>
      </c>
      <c r="E502" s="222" t="n"/>
      <c r="F502" s="222" t="n"/>
      <c r="G502" s="222" t="n"/>
      <c r="H502" s="222" t="inlineStr">
        <is>
          <t>Not Started</t>
        </is>
      </c>
      <c r="I502" s="222" t="inlineStr">
        <is>
          <t>35-00</t>
        </is>
      </c>
      <c r="J502" s="222" t="inlineStr"/>
    </row>
    <row r="503">
      <c r="A503" s="222" t="inlineStr">
        <is>
          <t>918</t>
        </is>
      </c>
      <c r="B503" s="222" t="inlineStr">
        <is>
          <t>28611923</t>
        </is>
      </c>
      <c r="C503" s="222" t="inlineStr">
        <is>
          <t>S25-R10381/HZ-ASD - FWD GALLEY COMP 104 WORKDECK BULGING REPEAT INSPECTION</t>
        </is>
      </c>
      <c r="D503" s="222" t="inlineStr">
        <is>
          <t>RON</t>
        </is>
      </c>
      <c r="E503" s="222" t="n">
        <v>1.5</v>
      </c>
      <c r="F503" s="222" t="n">
        <v>0.4</v>
      </c>
      <c r="G503" s="222" t="n">
        <v>69.59999999999999</v>
      </c>
      <c r="H503" s="222" t="inlineStr">
        <is>
          <t>Idle</t>
        </is>
      </c>
      <c r="I503" s="222" t="inlineStr">
        <is>
          <t>25-30</t>
        </is>
      </c>
      <c r="J503" s="222" t="inlineStr"/>
    </row>
    <row r="504">
      <c r="A504" s="222" t="inlineStr">
        <is>
          <t>919</t>
        </is>
      </c>
      <c r="B504" s="222" t="inlineStr">
        <is>
          <t>32822269</t>
        </is>
      </c>
      <c r="C504" s="222" t="inlineStr">
        <is>
          <t>S26-R10173/A320/A321 - FIRE PROTECTION - INSTALLATION OF PLACARD IN LAVATORY</t>
        </is>
      </c>
      <c r="D504" s="222" t="inlineStr">
        <is>
          <t>ACHK</t>
        </is>
      </c>
      <c r="E504" s="222" t="n">
        <v>0.5</v>
      </c>
      <c r="F504" s="222" t="n"/>
      <c r="G504" s="222" t="n"/>
      <c r="H504" s="222" t="inlineStr">
        <is>
          <t>Not Started</t>
        </is>
      </c>
      <c r="I504" s="222" t="inlineStr">
        <is>
          <t>26</t>
        </is>
      </c>
      <c r="J504" s="222" t="inlineStr"/>
    </row>
    <row r="505">
      <c r="A505" s="222" t="inlineStr">
        <is>
          <t>920</t>
        </is>
      </c>
      <c r="B505" s="222" t="inlineStr">
        <is>
          <t>32822529</t>
        </is>
      </c>
      <c r="C505" s="222" t="inlineStr">
        <is>
          <t>S31-D10211/(REPETITIVE) A320/321: ACARS OUTPUT RULE SETTING CHANGE.</t>
        </is>
      </c>
      <c r="D505" s="222" t="inlineStr">
        <is>
          <t>RON</t>
        </is>
      </c>
      <c r="E505" s="222" t="n">
        <v>1</v>
      </c>
      <c r="F505" s="222" t="n"/>
      <c r="G505" s="222" t="n"/>
      <c r="H505" s="222" t="inlineStr">
        <is>
          <t>Not Started</t>
        </is>
      </c>
      <c r="I505" s="222" t="inlineStr">
        <is>
          <t>31</t>
        </is>
      </c>
      <c r="J505" s="222" t="inlineStr"/>
    </row>
    <row r="506">
      <c r="A506" s="222" t="inlineStr">
        <is>
          <t>922</t>
        </is>
      </c>
      <c r="B506" s="222" t="inlineStr">
        <is>
          <t>30262642</t>
        </is>
      </c>
      <c r="C506" s="222" t="inlineStr">
        <is>
          <t>S32-R10324/A320 - LANDING GEAR - OPERATIONAL CHECK OF PBCV TO VERIFY ELECTRICAL</t>
        </is>
      </c>
      <c r="D506" s="222" t="inlineStr">
        <is>
          <t>ACHK</t>
        </is>
      </c>
      <c r="E506" s="222" t="n">
        <v>1.7</v>
      </c>
      <c r="F506" s="222" t="n"/>
      <c r="G506" s="222" t="n"/>
      <c r="H506" s="222" t="inlineStr">
        <is>
          <t>Not Started</t>
        </is>
      </c>
      <c r="I506" s="222" t="inlineStr">
        <is>
          <t>32</t>
        </is>
      </c>
      <c r="J506" s="222" t="inlineStr"/>
    </row>
    <row r="507">
      <c r="A507" s="222" t="inlineStr">
        <is>
          <t>923</t>
        </is>
      </c>
      <c r="B507" s="222" t="inlineStr">
        <is>
          <t>32800094</t>
        </is>
      </c>
      <c r="C507" s="222" t="inlineStr">
        <is>
          <t>S36-R10202/EBAS ENHANCEMENT TASKS - BLEED HEALTH CHECK</t>
        </is>
      </c>
      <c r="D507" s="222" t="inlineStr">
        <is>
          <t>CCHK</t>
        </is>
      </c>
      <c r="E507" s="222" t="n">
        <v>31</v>
      </c>
      <c r="F507" s="222" t="n"/>
      <c r="G507" s="222" t="n"/>
      <c r="H507" s="222" t="inlineStr">
        <is>
          <t>Not Started</t>
        </is>
      </c>
      <c r="I507" s="222" t="inlineStr">
        <is>
          <t>36</t>
        </is>
      </c>
      <c r="J507" s="222" t="inlineStr"/>
    </row>
    <row r="508">
      <c r="A508" s="222" t="inlineStr">
        <is>
          <t>924</t>
        </is>
      </c>
      <c r="B508" s="222" t="inlineStr">
        <is>
          <t>32872501</t>
        </is>
      </c>
      <c r="C508" s="222" t="inlineStr">
        <is>
          <t>S36-R10216/A32S - LEAK CHECK IN PACK BAY AREA COMPONENTS</t>
        </is>
      </c>
      <c r="D508" s="222" t="inlineStr">
        <is>
          <t>LINE</t>
        </is>
      </c>
      <c r="E508" s="222" t="n">
        <v>4</v>
      </c>
      <c r="F508" s="222" t="n"/>
      <c r="G508" s="222" t="n"/>
      <c r="H508" s="222" t="inlineStr">
        <is>
          <t>Not Started</t>
        </is>
      </c>
      <c r="I508" s="222" t="inlineStr">
        <is>
          <t>36</t>
        </is>
      </c>
      <c r="J508" s="222" t="inlineStr"/>
    </row>
    <row r="509">
      <c r="A509" s="222" t="inlineStr">
        <is>
          <t>926</t>
        </is>
      </c>
      <c r="B509" s="222" t="inlineStr">
        <is>
          <t>32980026</t>
        </is>
      </c>
      <c r="C509" s="222" t="inlineStr">
        <is>
          <t>FINDING (NRC) TASKCARD 25-SVA-05 (01) / ITEM ONE ALL G/C SEATS FOODTRAY DIRTY</t>
        </is>
      </c>
      <c r="D509" s="222" t="inlineStr">
        <is>
          <t>1</t>
        </is>
      </c>
      <c r="E509" s="222" t="n">
        <v>24</v>
      </c>
      <c r="F509" s="222" t="n"/>
      <c r="G509" s="222" t="n"/>
      <c r="H509" s="222" t="inlineStr">
        <is>
          <t>Not Started</t>
        </is>
      </c>
      <c r="I509" s="222" t="inlineStr">
        <is>
          <t>25-21</t>
        </is>
      </c>
      <c r="J509" s="222" t="inlineStr"/>
    </row>
    <row r="510">
      <c r="A510" s="222" t="inlineStr">
        <is>
          <t>928</t>
        </is>
      </c>
      <c r="B510" s="222" t="inlineStr">
        <is>
          <t>32980047</t>
        </is>
      </c>
      <c r="C510" s="222" t="inlineStr">
        <is>
          <t>LATERAL AVIO COMPT---STR---RII 2EA CRACK ON BRACKET ATTACHED TO CLAMP ALONG FR16 OF TOILET PIPE ASSY (ACCESS FROM AVN DOOR 812, DIMENSION (L= 0.47IN)</t>
        </is>
      </c>
      <c r="D510" s="222" t="inlineStr">
        <is>
          <t>1</t>
        </is>
      </c>
      <c r="E510" s="222" t="n">
        <v>8</v>
      </c>
      <c r="F510" s="222" t="n">
        <v>8.5</v>
      </c>
      <c r="G510" s="222" t="n">
        <v>207.1</v>
      </c>
      <c r="H510" s="222" t="inlineStr">
        <is>
          <t>Idle</t>
        </is>
      </c>
      <c r="I510" s="222" t="inlineStr">
        <is>
          <t>24-92</t>
        </is>
      </c>
      <c r="J510" s="222" t="inlineStr"/>
    </row>
    <row r="511">
      <c r="A511" s="222" t="inlineStr">
        <is>
          <t>929</t>
        </is>
      </c>
      <c r="B511" s="222" t="inlineStr">
        <is>
          <t>32980064</t>
        </is>
      </c>
      <c r="C511" s="222" t="inlineStr">
        <is>
          <t>LATERAL AVIO COMPT---STR---RII 1EA CRACK ON BRACKET ATTACHED TO CLAMP ALONG FR17 OF TOILET PIPE ASSY (ACCESS FROM AVN DOOR 812, DIMENSION (L= 0.45IN)</t>
        </is>
      </c>
      <c r="D511" s="222" t="inlineStr">
        <is>
          <t>1</t>
        </is>
      </c>
      <c r="E511" s="222" t="n">
        <v>8</v>
      </c>
      <c r="F511" s="222" t="n">
        <v>5</v>
      </c>
      <c r="G511" s="222" t="n">
        <v>210.6</v>
      </c>
      <c r="H511" s="222" t="inlineStr">
        <is>
          <t>Idle</t>
        </is>
      </c>
      <c r="I511" s="222" t="inlineStr">
        <is>
          <t>24-92</t>
        </is>
      </c>
      <c r="J511" s="222" t="inlineStr"/>
    </row>
    <row r="512">
      <c r="A512" s="222" t="inlineStr">
        <is>
          <t>930</t>
        </is>
      </c>
      <c r="B512" s="222" t="inlineStr">
        <is>
          <t>32980065</t>
        </is>
      </c>
      <c r="C512" s="222" t="inlineStr">
        <is>
          <t>LATERAL AVIO COMPT---STR---RII 1EA BROKEN BRACKET WITH CLAMP ATTACHED ALONG FR19 OF TOILET PIPE ASSY ACCESS FROM AVN DOOR 812</t>
        </is>
      </c>
      <c r="D512" s="222" t="inlineStr">
        <is>
          <t>1</t>
        </is>
      </c>
      <c r="E512" s="222" t="n"/>
      <c r="F512" s="222" t="n"/>
      <c r="G512" s="222" t="n"/>
      <c r="H512" s="222" t="inlineStr">
        <is>
          <t>Not Started</t>
        </is>
      </c>
      <c r="I512" s="222" t="inlineStr">
        <is>
          <t>24-92</t>
        </is>
      </c>
      <c r="J512" s="222" t="inlineStr"/>
    </row>
    <row r="513">
      <c r="A513" s="222" t="inlineStr">
        <is>
          <t>931</t>
        </is>
      </c>
      <c r="B513" s="222" t="inlineStr">
        <is>
          <t>32980071</t>
        </is>
      </c>
      <c r="C513" s="222" t="inlineStr">
        <is>
          <t>LATERAL AVIO COMPT---AP---NO CALLBACK VALVE-BUTTERFLY,AIR (P/N:V2T152D) UPPER ATTACHMENT DETACHED (ACCESS FROM AVN DOOR 812)</t>
        </is>
      </c>
      <c r="D513" s="222" t="inlineStr">
        <is>
          <t>1</t>
        </is>
      </c>
      <c r="E513" s="222" t="n">
        <v>4</v>
      </c>
      <c r="F513" s="222" t="n"/>
      <c r="G513" s="222" t="n"/>
      <c r="H513" s="222" t="inlineStr">
        <is>
          <t>Not Started</t>
        </is>
      </c>
      <c r="I513" s="222" t="inlineStr">
        <is>
          <t>24-92</t>
        </is>
      </c>
      <c r="J513" s="222" t="inlineStr"/>
    </row>
    <row r="514">
      <c r="A514" s="222" t="inlineStr">
        <is>
          <t>932</t>
        </is>
      </c>
      <c r="B514" s="222" t="inlineStr">
        <is>
          <t>32980080</t>
        </is>
      </c>
      <c r="C514" s="222" t="inlineStr">
        <is>
          <t>LATERAL AVIO COMPT---AP---NO CALLBACK 1EA BROKEN UPPER CLAMP ON TOILET PIPE ASSY (ACCESS FROM AVN DOOR 812)</t>
        </is>
      </c>
      <c r="D514" s="222" t="inlineStr">
        <is>
          <t>1</t>
        </is>
      </c>
      <c r="E514" s="222" t="n">
        <v>4</v>
      </c>
      <c r="F514" s="222" t="n"/>
      <c r="G514" s="222" t="n"/>
      <c r="H514" s="222" t="inlineStr">
        <is>
          <t>Not Started</t>
        </is>
      </c>
      <c r="I514" s="222" t="inlineStr">
        <is>
          <t>24-92</t>
        </is>
      </c>
      <c r="J514" s="222" t="inlineStr"/>
    </row>
    <row r="515">
      <c r="A515" s="222" t="inlineStr">
        <is>
          <t>934</t>
        </is>
      </c>
      <c r="B515" s="222" t="inlineStr">
        <is>
          <t>32980077</t>
        </is>
      </c>
      <c r="C515" s="222" t="inlineStr">
        <is>
          <t>FINDING (NRC) TASKCARD ZL-500-02-1-001 (05) LH WING  AV--CALLBACK LH WING NAVIGATION TIP LIGHT WITH MISSING SEAL.</t>
        </is>
      </c>
      <c r="D515" s="222" t="inlineStr">
        <is>
          <t>1</t>
        </is>
      </c>
      <c r="E515" s="222" t="n">
        <v>8</v>
      </c>
      <c r="F515" s="222" t="n">
        <v>12.5</v>
      </c>
      <c r="G515" s="222" t="n">
        <v>114.5</v>
      </c>
      <c r="H515" s="222" t="inlineStr">
        <is>
          <t>Idle</t>
        </is>
      </c>
      <c r="I515" s="222" t="inlineStr">
        <is>
          <t>05-25</t>
        </is>
      </c>
      <c r="J515" s="222" t="inlineStr"/>
    </row>
    <row r="516">
      <c r="A516" s="222" t="inlineStr">
        <is>
          <t>935</t>
        </is>
      </c>
      <c r="B516" s="222" t="inlineStr">
        <is>
          <t>523300-01-1</t>
        </is>
      </c>
      <c r="C516" s="222" t="inlineStr">
        <is>
          <t>523300-01-1 (4) / BULK CARGO DOOR HANDLE AND HINGE LUB</t>
        </is>
      </c>
      <c r="D516" s="222" t="inlineStr">
        <is>
          <t>1</t>
        </is>
      </c>
      <c r="E516" s="222" t="n">
        <v>0.2</v>
      </c>
      <c r="F516" s="222" t="n"/>
      <c r="G516" s="222" t="n"/>
      <c r="H516" s="222" t="inlineStr">
        <is>
          <t>Not Started</t>
        </is>
      </c>
      <c r="I516" s="222" t="inlineStr">
        <is>
          <t>12-22</t>
        </is>
      </c>
      <c r="J516" s="222" t="inlineStr">
        <is>
          <t>TC/P</t>
        </is>
      </c>
    </row>
    <row r="517">
      <c r="A517" s="222" t="inlineStr">
        <is>
          <t>936</t>
        </is>
      </c>
      <c r="B517" s="222" t="inlineStr">
        <is>
          <t>32980091</t>
        </is>
      </c>
      <c r="C517" s="222" t="inlineStr">
        <is>
          <t>FINDING (NRC) TASKCARD ZL-500-02-1-001 (05) LH WING-- AP--CALLBACK LH WING AROUND NAVIGATION TIP LIGHT WITH MISSING SEALANT.</t>
        </is>
      </c>
      <c r="D517" s="222" t="inlineStr">
        <is>
          <t>1</t>
        </is>
      </c>
      <c r="E517" s="222" t="n">
        <v>8</v>
      </c>
      <c r="F517" s="222" t="n"/>
      <c r="G517" s="222" t="n"/>
      <c r="H517" s="222" t="inlineStr">
        <is>
          <t>Not Started</t>
        </is>
      </c>
      <c r="I517" s="222" t="inlineStr">
        <is>
          <t>05-25</t>
        </is>
      </c>
      <c r="J517" s="222" t="inlineStr"/>
    </row>
    <row r="518">
      <c r="A518" s="222" t="inlineStr">
        <is>
          <t>937</t>
        </is>
      </c>
      <c r="B518" s="222" t="inlineStr">
        <is>
          <t>32980104</t>
        </is>
      </c>
      <c r="C518" s="222" t="inlineStr">
        <is>
          <t>FINDING (NRC) TASKCARD ZL-500-02-1-001 (05) LH WING AP--CALLBACK LH WING FLAP TRACK FAIRING NO#4 O/B AFT UPPER SEAL WITH CUT.</t>
        </is>
      </c>
      <c r="D518" s="222" t="inlineStr">
        <is>
          <t>1</t>
        </is>
      </c>
      <c r="E518" s="222" t="n">
        <v>8</v>
      </c>
      <c r="F518" s="222" t="n"/>
      <c r="G518" s="222" t="n"/>
      <c r="H518" s="222" t="inlineStr">
        <is>
          <t>Not Started</t>
        </is>
      </c>
      <c r="I518" s="222" t="inlineStr">
        <is>
          <t>05-25</t>
        </is>
      </c>
      <c r="J518" s="222" t="inlineStr"/>
    </row>
    <row r="519">
      <c r="A519" s="222" t="inlineStr">
        <is>
          <t>938</t>
        </is>
      </c>
      <c r="B519" s="222" t="inlineStr">
        <is>
          <t>32980083</t>
        </is>
      </c>
      <c r="C519" s="222" t="inlineStr">
        <is>
          <t>LATERAL AVIO COMPT---AVN---NO CALLBACK MISSING LOCKWIRE  BETWEEN THE KNURLED NUT AND THE ELECTRICAL CONNECTOR ON BAT2</t>
        </is>
      </c>
      <c r="D519" s="222" t="inlineStr">
        <is>
          <t>1</t>
        </is>
      </c>
      <c r="E519" s="222" t="n"/>
      <c r="F519" s="222" t="n"/>
      <c r="G519" s="222" t="n"/>
      <c r="H519" s="222" t="inlineStr">
        <is>
          <t>Not Started</t>
        </is>
      </c>
      <c r="I519" s="222" t="inlineStr">
        <is>
          <t>24-92</t>
        </is>
      </c>
      <c r="J519" s="222" t="inlineStr"/>
    </row>
    <row r="520">
      <c r="A520" s="222" t="inlineStr">
        <is>
          <t>939</t>
        </is>
      </c>
      <c r="B520" s="222" t="inlineStr">
        <is>
          <t>32980111</t>
        </is>
      </c>
      <c r="C520" s="222" t="inlineStr">
        <is>
          <t>FINDING (NRC) TASKCARD ZL-500-02-1-001 (05) / LH WING FT--RII LH WING FLAP FAIRING #4 DRAINED WITH FUEL LEAKAGE</t>
        </is>
      </c>
      <c r="D520" s="222" t="inlineStr">
        <is>
          <t>1</t>
        </is>
      </c>
      <c r="E520" s="222" t="n"/>
      <c r="F520" s="222" t="n">
        <v>3</v>
      </c>
      <c r="G520" s="222" t="n">
        <v>194.6</v>
      </c>
      <c r="H520" s="222" t="inlineStr">
        <is>
          <t>Idle</t>
        </is>
      </c>
      <c r="I520" s="222" t="inlineStr">
        <is>
          <t>05-25</t>
        </is>
      </c>
      <c r="J520" s="222" t="inlineStr"/>
    </row>
    <row r="521">
      <c r="A521" s="222" t="inlineStr">
        <is>
          <t>941</t>
        </is>
      </c>
      <c r="B521" s="222" t="inlineStr">
        <is>
          <t>32980118</t>
        </is>
      </c>
      <c r="C521" s="222" t="inlineStr">
        <is>
          <t>FINDING (NRC) TASKCARD ZL-500-02-1-001 (05) / LH WING AP--RII LH WING SLAT TRACK COVER NO#2 WITH CRACK DIM: L= 2 IN</t>
        </is>
      </c>
      <c r="D521" s="222" t="inlineStr">
        <is>
          <t>1</t>
        </is>
      </c>
      <c r="E521" s="222" t="n">
        <v>8</v>
      </c>
      <c r="F521" s="222" t="n"/>
      <c r="G521" s="222" t="n"/>
      <c r="H521" s="222" t="inlineStr">
        <is>
          <t>Not Started</t>
        </is>
      </c>
      <c r="I521" s="222" t="inlineStr">
        <is>
          <t>05-25</t>
        </is>
      </c>
      <c r="J521" s="222" t="inlineStr"/>
    </row>
    <row r="522">
      <c r="A522" s="222" t="inlineStr">
        <is>
          <t>943</t>
        </is>
      </c>
      <c r="B522" s="222" t="inlineStr">
        <is>
          <t>44-SVA-01</t>
        </is>
      </c>
      <c r="C522" s="222" t="inlineStr">
        <is>
          <t>44-SVA-01 (01) / PANASONIC LEVEL 1 CHECK</t>
        </is>
      </c>
      <c r="D522" s="222" t="inlineStr">
        <is>
          <t>1</t>
        </is>
      </c>
      <c r="E522" s="222" t="n">
        <v>1.5</v>
      </c>
      <c r="F522" s="222" t="n"/>
      <c r="G522" s="222" t="n"/>
      <c r="H522" s="222" t="inlineStr">
        <is>
          <t>Not Started</t>
        </is>
      </c>
      <c r="I522" s="222" t="inlineStr">
        <is>
          <t>44-21</t>
        </is>
      </c>
      <c r="J522" s="222" t="inlineStr"/>
    </row>
    <row r="523">
      <c r="A523" s="222" t="inlineStr">
        <is>
          <t>944</t>
        </is>
      </c>
      <c r="B523" s="222" t="inlineStr">
        <is>
          <t>32917899</t>
        </is>
      </c>
      <c r="C523" s="222" t="inlineStr">
        <is>
          <t>ISC/IN SERVCE CHECK_N</t>
        </is>
      </c>
      <c r="D523" s="222" t="inlineStr">
        <is>
          <t>N</t>
        </is>
      </c>
      <c r="E523" s="222" t="n"/>
      <c r="F523" s="222" t="n"/>
      <c r="G523" s="222" t="n"/>
      <c r="H523" s="222" t="inlineStr">
        <is>
          <t>Not Started</t>
        </is>
      </c>
      <c r="I523" s="222" t="inlineStr">
        <is>
          <t>20-00</t>
        </is>
      </c>
      <c r="J523" s="222" t="inlineStr"/>
    </row>
    <row r="524">
      <c r="A524" s="222" t="inlineStr">
        <is>
          <t>945</t>
        </is>
      </c>
      <c r="B524" s="222" t="inlineStr">
        <is>
          <t>32420054</t>
        </is>
      </c>
      <c r="C524" s="222" t="inlineStr">
        <is>
          <t>W_N/WEEKLY CHECK</t>
        </is>
      </c>
      <c r="D524" s="222" t="inlineStr">
        <is>
          <t>N</t>
        </is>
      </c>
      <c r="E524" s="222" t="n"/>
      <c r="F524" s="222" t="n"/>
      <c r="G524" s="222" t="n"/>
      <c r="H524" s="222" t="inlineStr">
        <is>
          <t>Not Started</t>
        </is>
      </c>
      <c r="I524" s="222" t="inlineStr">
        <is>
          <t>20-00</t>
        </is>
      </c>
      <c r="J524" s="222" t="inlineStr"/>
    </row>
    <row r="525">
      <c r="A525" s="222" t="inlineStr">
        <is>
          <t>947</t>
        </is>
      </c>
      <c r="B525" s="222" t="inlineStr">
        <is>
          <t>ISC-32S</t>
        </is>
      </c>
      <c r="C525" s="222" t="inlineStr">
        <is>
          <t>ISC-32S (14) / 32S IN-SERVEICE-CHECK (ISC)</t>
        </is>
      </c>
      <c r="D525" s="222" t="inlineStr">
        <is>
          <t>1</t>
        </is>
      </c>
      <c r="E525" s="222" t="n">
        <v>2.8</v>
      </c>
      <c r="F525" s="222" t="n"/>
      <c r="G525" s="222" t="n"/>
      <c r="H525" s="222" t="inlineStr">
        <is>
          <t>Not Started</t>
        </is>
      </c>
      <c r="I525" s="222" t="inlineStr">
        <is>
          <t>12</t>
        </is>
      </c>
      <c r="J525" s="222" t="inlineStr">
        <is>
          <t>TC/P, --, --, --</t>
        </is>
      </c>
    </row>
    <row r="526">
      <c r="A526" s="222" t="inlineStr">
        <is>
          <t>948</t>
        </is>
      </c>
      <c r="B526" s="222" t="inlineStr">
        <is>
          <t>WEEKLY-32S</t>
        </is>
      </c>
      <c r="C526" s="222" t="inlineStr">
        <is>
          <t>WEEKLY-32S (05) / WEEKLY 32S CHECK</t>
        </is>
      </c>
      <c r="D526" s="222" t="inlineStr">
        <is>
          <t>1</t>
        </is>
      </c>
      <c r="E526" s="222" t="n">
        <v>5.9</v>
      </c>
      <c r="F526" s="222" t="n"/>
      <c r="G526" s="222" t="n"/>
      <c r="H526" s="222" t="inlineStr">
        <is>
          <t>Not Started</t>
        </is>
      </c>
      <c r="I526" s="222" t="inlineStr">
        <is>
          <t>12</t>
        </is>
      </c>
      <c r="J526" s="222" t="inlineStr">
        <is>
          <t>TC/P, --, --, --, --, --, --, --</t>
        </is>
      </c>
    </row>
    <row r="527">
      <c r="A527" s="222" t="inlineStr">
        <is>
          <t>949</t>
        </is>
      </c>
      <c r="B527" s="222" t="inlineStr">
        <is>
          <t>32980140</t>
        </is>
      </c>
      <c r="C527" s="222" t="inlineStr">
        <is>
          <t>FINDING (NRC) TASKCARD ZL-500-02-1-001 (05)  LH WING   AP--NO CALLBACK LH WING SLAT NO.#3 IN/B SIGN OF OIL LEAKAGE.</t>
        </is>
      </c>
      <c r="D527" s="222" t="inlineStr">
        <is>
          <t>1</t>
        </is>
      </c>
      <c r="E527" s="222" t="n">
        <v>6</v>
      </c>
      <c r="F527" s="222" t="n"/>
      <c r="G527" s="222" t="n"/>
      <c r="H527" s="222" t="inlineStr">
        <is>
          <t>Not Started</t>
        </is>
      </c>
      <c r="I527" s="222" t="inlineStr">
        <is>
          <t>05-25</t>
        </is>
      </c>
      <c r="J527" s="222" t="inlineStr"/>
    </row>
    <row r="528">
      <c r="A528" s="222" t="inlineStr">
        <is>
          <t>950</t>
        </is>
      </c>
      <c r="B528" s="222" t="inlineStr">
        <is>
          <t>32980164</t>
        </is>
      </c>
      <c r="C528" s="222" t="inlineStr">
        <is>
          <t>FINDING (NRC) TASKCARD ZL-500-02-1-001 (05) / LH WING AP--NO CALLBACK LH WING FLAP TRACK NO.#3 SIGN OF OIL LEAKAGE.</t>
        </is>
      </c>
      <c r="D528" s="222" t="inlineStr">
        <is>
          <t>1</t>
        </is>
      </c>
      <c r="E528" s="222" t="n">
        <v>6</v>
      </c>
      <c r="F528" s="222" t="n"/>
      <c r="G528" s="222" t="n"/>
      <c r="H528" s="222" t="inlineStr">
        <is>
          <t>Not Started</t>
        </is>
      </c>
      <c r="I528" s="222" t="inlineStr">
        <is>
          <t>05-25</t>
        </is>
      </c>
      <c r="J528" s="222" t="inlineStr"/>
    </row>
    <row r="529">
      <c r="A529" s="222" t="inlineStr">
        <is>
          <t>951</t>
        </is>
      </c>
      <c r="B529" s="222" t="inlineStr">
        <is>
          <t>32980175</t>
        </is>
      </c>
      <c r="C529" s="222" t="inlineStr">
        <is>
          <t>FINDING (NRC) TASKCARD ZL-500-02-1-001 (05) LH WING  AP--RII LH WING FLAP LWR KICK SEAL WITH CUT DIM: L=1 IN</t>
        </is>
      </c>
      <c r="D529" s="222" t="inlineStr">
        <is>
          <t>1</t>
        </is>
      </c>
      <c r="E529" s="222" t="n">
        <v>8</v>
      </c>
      <c r="F529" s="222" t="n"/>
      <c r="G529" s="222" t="n"/>
      <c r="H529" s="222" t="inlineStr">
        <is>
          <t>Not Started</t>
        </is>
      </c>
      <c r="I529" s="222" t="inlineStr">
        <is>
          <t>05-25</t>
        </is>
      </c>
      <c r="J529" s="222" t="inlineStr"/>
    </row>
    <row r="530">
      <c r="A530" s="222" t="inlineStr">
        <is>
          <t>953</t>
        </is>
      </c>
      <c r="B530" s="222" t="inlineStr">
        <is>
          <t>32980186</t>
        </is>
      </c>
      <c r="C530" s="222" t="inlineStr">
        <is>
          <t>FINDING (NRC) TASKCARD ZL-500-02-1-001 (05) LH WING  AP--NO CALLBACK LH WING FLAP TRACK MOV. FAIRING WITH SIGN OF OIL LEAKAGE.</t>
        </is>
      </c>
      <c r="D530" s="222" t="inlineStr">
        <is>
          <t>1</t>
        </is>
      </c>
      <c r="E530" s="222" t="n">
        <v>6</v>
      </c>
      <c r="F530" s="222" t="n"/>
      <c r="G530" s="222" t="n"/>
      <c r="H530" s="222" t="inlineStr">
        <is>
          <t>Not Started</t>
        </is>
      </c>
      <c r="I530" s="222" t="inlineStr">
        <is>
          <t>05-25</t>
        </is>
      </c>
      <c r="J530" s="222" t="inlineStr"/>
    </row>
    <row r="531">
      <c r="A531" s="222" t="inlineStr">
        <is>
          <t>954</t>
        </is>
      </c>
      <c r="B531" s="222" t="inlineStr">
        <is>
          <t>32980176</t>
        </is>
      </c>
      <c r="C531" s="222" t="inlineStr">
        <is>
          <t>REAR AVIONIC COMPARTMENT DOOR---AP---NO CALLBACK OLD CORROSION INHIBITING COMP (CIC) FLAKING ON REAR AVIONIC COMPARTMENT DOOR  (AFT DOOR 824)</t>
        </is>
      </c>
      <c r="D531" s="222" t="inlineStr">
        <is>
          <t>1</t>
        </is>
      </c>
      <c r="E531" s="222" t="n">
        <v>8</v>
      </c>
      <c r="F531" s="222" t="n"/>
      <c r="G531" s="222" t="n"/>
      <c r="H531" s="222" t="inlineStr">
        <is>
          <t>Not Started</t>
        </is>
      </c>
      <c r="I531" s="222" t="inlineStr">
        <is>
          <t>05-28</t>
        </is>
      </c>
      <c r="J531" s="222" t="inlineStr"/>
    </row>
    <row r="532">
      <c r="A532" s="222" t="inlineStr">
        <is>
          <t>955</t>
        </is>
      </c>
      <c r="B532" s="222" t="inlineStr">
        <is>
          <t>32980920</t>
        </is>
      </c>
      <c r="C532" s="222" t="inlineStr">
        <is>
          <t>FINDING S71-D10554 (INLET COWL LIP)---STR---RII DURING INSP, FOUND BOTH ENGINES INLET COWL LIP SKIN WITH ALL AROUND SURFARCE DISCOLORATION.</t>
        </is>
      </c>
      <c r="D532" s="222" t="inlineStr">
        <is>
          <t>1</t>
        </is>
      </c>
      <c r="E532" s="222" t="n">
        <v>8</v>
      </c>
      <c r="F532" s="222" t="n">
        <v>0.3</v>
      </c>
      <c r="G532" s="222" t="n">
        <v>168.9</v>
      </c>
      <c r="H532" s="222" t="inlineStr">
        <is>
          <t>Idle</t>
        </is>
      </c>
      <c r="I532" s="222" t="inlineStr">
        <is>
          <t>71</t>
        </is>
      </c>
      <c r="J532" s="222" t="inlineStr"/>
    </row>
    <row r="533">
      <c r="A533" s="222" t="inlineStr">
        <is>
          <t>956</t>
        </is>
      </c>
      <c r="B533" s="222" t="inlineStr">
        <is>
          <t>32981647</t>
        </is>
      </c>
      <c r="C533" s="222" t="inlineStr">
        <is>
          <t>AFT R/H PAX/CREW DOOR---CAB---NO CALLBACK DURING INSP, FOUND AFT R/H PAX/CREW DOOR SEAL DUSTY</t>
        </is>
      </c>
      <c r="D533" s="222" t="inlineStr">
        <is>
          <t>1</t>
        </is>
      </c>
      <c r="E533" s="222" t="n"/>
      <c r="F533" s="222" t="n">
        <v>14</v>
      </c>
      <c r="G533" s="222" t="n">
        <v>18.4</v>
      </c>
      <c r="H533" s="222" t="inlineStr">
        <is>
          <t>Idle</t>
        </is>
      </c>
      <c r="I533" s="222" t="inlineStr">
        <is>
          <t>05-28</t>
        </is>
      </c>
      <c r="J533" s="222" t="inlineStr"/>
    </row>
    <row r="534">
      <c r="A534" s="222" t="inlineStr">
        <is>
          <t>957</t>
        </is>
      </c>
      <c r="B534" s="222" t="inlineStr">
        <is>
          <t>32981683</t>
        </is>
      </c>
      <c r="C534" s="222" t="inlineStr">
        <is>
          <t>FINDING (NRC) TASKCARD 25-SVA-03 (01) / ITEM ONE B/C SEAT#1A,L, AND 4A, SHROUD/VELCRO ASSEMBLY DAMAGED.</t>
        </is>
      </c>
      <c r="D534" s="222" t="inlineStr">
        <is>
          <t>1</t>
        </is>
      </c>
      <c r="E534" s="222" t="n">
        <v>3</v>
      </c>
      <c r="F534" s="222" t="n"/>
      <c r="G534" s="222" t="n"/>
      <c r="H534" s="222" t="inlineStr">
        <is>
          <t>Not Started</t>
        </is>
      </c>
      <c r="I534" s="222" t="inlineStr">
        <is>
          <t>25-21</t>
        </is>
      </c>
      <c r="J534" s="222" t="inlineStr"/>
    </row>
    <row r="535">
      <c r="A535" s="222" t="inlineStr">
        <is>
          <t>960</t>
        </is>
      </c>
      <c r="B535" s="222" t="inlineStr">
        <is>
          <t>32981726</t>
        </is>
      </c>
      <c r="C535" s="222" t="inlineStr">
        <is>
          <t>FINDING (NRC) TASKCARD 25-SVA-03 (01) / ITEM ONE B/C SEAT# 1J, 2J, 3C, 4A,C,  5A,C,J,  LATCH - BACK MISSING</t>
        </is>
      </c>
      <c r="D535" s="222" t="inlineStr">
        <is>
          <t>1</t>
        </is>
      </c>
      <c r="E535" s="222" t="n">
        <v>6</v>
      </c>
      <c r="F535" s="222" t="n"/>
      <c r="G535" s="222" t="n"/>
      <c r="H535" s="222" t="inlineStr">
        <is>
          <t>Not Started</t>
        </is>
      </c>
      <c r="I535" s="222" t="inlineStr">
        <is>
          <t>25-21</t>
        </is>
      </c>
      <c r="J535" s="222" t="inlineStr"/>
    </row>
    <row r="536">
      <c r="A536" s="222" t="inlineStr">
        <is>
          <t>964</t>
        </is>
      </c>
      <c r="B536" s="222" t="inlineStr">
        <is>
          <t>32981816</t>
        </is>
      </c>
      <c r="C536" s="222" t="inlineStr">
        <is>
          <t>FINDING (NRC) TASKCARD 25-SVA-03 (01) / ITEM ONE B/C SEAT#1J, 2A,L, 4A, 5J, SHROUD - CONSOLE SIDE DAMAGED.</t>
        </is>
      </c>
      <c r="D536" s="222" t="inlineStr">
        <is>
          <t>1</t>
        </is>
      </c>
      <c r="E536" s="222" t="n">
        <v>15</v>
      </c>
      <c r="F536" s="222" t="n"/>
      <c r="G536" s="222" t="n"/>
      <c r="H536" s="222" t="inlineStr">
        <is>
          <t>Not Started</t>
        </is>
      </c>
      <c r="I536" s="222" t="inlineStr">
        <is>
          <t>25-21</t>
        </is>
      </c>
      <c r="J536" s="222" t="inlineStr"/>
    </row>
    <row r="537">
      <c r="A537" s="222" t="inlineStr">
        <is>
          <t>966</t>
        </is>
      </c>
      <c r="B537" s="222" t="inlineStr">
        <is>
          <t>32982172</t>
        </is>
      </c>
      <c r="C537" s="222" t="inlineStr">
        <is>
          <t>AFT GALLY  SM--CALL BACK AFT GALLEY LOWER ATTACHMENT POINTS  FITTING WITH 3 EA PLAT RUSTY</t>
        </is>
      </c>
      <c r="D537" s="222" t="inlineStr">
        <is>
          <t>1</t>
        </is>
      </c>
      <c r="E537" s="222" t="n">
        <v>8</v>
      </c>
      <c r="F537" s="222" t="n">
        <v>0.5</v>
      </c>
      <c r="G537" s="222" t="n">
        <v>68.8</v>
      </c>
      <c r="H537" s="222" t="inlineStr">
        <is>
          <t>Idle</t>
        </is>
      </c>
      <c r="I537" s="222" t="inlineStr">
        <is>
          <t>25-30</t>
        </is>
      </c>
      <c r="J537" s="222" t="inlineStr"/>
    </row>
    <row r="538">
      <c r="A538" s="222" t="inlineStr">
        <is>
          <t>968</t>
        </is>
      </c>
      <c r="B538" s="222" t="inlineStr">
        <is>
          <t>32982194</t>
        </is>
      </c>
      <c r="C538" s="222" t="inlineStr">
        <is>
          <t>CAB-CALLBACK L2 STOWAGE REMOVAL FOR ACCESS</t>
        </is>
      </c>
      <c r="D538" s="222" t="inlineStr">
        <is>
          <t>1</t>
        </is>
      </c>
      <c r="E538" s="222" t="n"/>
      <c r="F538" s="222" t="n">
        <v>7.5</v>
      </c>
      <c r="G538" s="222" t="n">
        <v>229.6</v>
      </c>
      <c r="H538" s="222" t="inlineStr">
        <is>
          <t>Idle</t>
        </is>
      </c>
      <c r="I538" s="222" t="inlineStr">
        <is>
          <t>25-30</t>
        </is>
      </c>
      <c r="J538" s="222" t="inlineStr"/>
    </row>
    <row r="539">
      <c r="A539" s="222" t="inlineStr">
        <is>
          <t>969</t>
        </is>
      </c>
      <c r="B539" s="222" t="inlineStr">
        <is>
          <t>32982195</t>
        </is>
      </c>
      <c r="C539" s="222" t="inlineStr">
        <is>
          <t>S/M NO CALLBACK L2 STOWAGE RAMP ASSY FOUND ALL INSERTS REMOVED</t>
        </is>
      </c>
      <c r="D539" s="222" t="inlineStr">
        <is>
          <t>1</t>
        </is>
      </c>
      <c r="E539" s="222" t="n"/>
      <c r="F539" s="222" t="n"/>
      <c r="G539" s="222" t="n"/>
      <c r="H539" s="222" t="inlineStr">
        <is>
          <t>Not Started</t>
        </is>
      </c>
      <c r="I539" s="222" t="inlineStr">
        <is>
          <t>25-30</t>
        </is>
      </c>
      <c r="J539" s="222" t="inlineStr"/>
    </row>
    <row r="540">
      <c r="A540" s="222" t="inlineStr">
        <is>
          <t>970</t>
        </is>
      </c>
      <c r="B540" s="222" t="inlineStr">
        <is>
          <t>32982197</t>
        </is>
      </c>
      <c r="C540" s="222" t="inlineStr">
        <is>
          <t>CAB-CALLBACK R2 STOWAGE REMOVED FOR ACCESS</t>
        </is>
      </c>
      <c r="D540" s="222" t="inlineStr">
        <is>
          <t>1</t>
        </is>
      </c>
      <c r="E540" s="222" t="n"/>
      <c r="F540" s="222" t="n">
        <v>9.5</v>
      </c>
      <c r="G540" s="222" t="n">
        <v>254.7</v>
      </c>
      <c r="H540" s="222" t="inlineStr">
        <is>
          <t>Idle</t>
        </is>
      </c>
      <c r="I540" s="222" t="inlineStr">
        <is>
          <t>25-30</t>
        </is>
      </c>
      <c r="J540" s="222" t="inlineStr"/>
    </row>
    <row r="541">
      <c r="A541" s="222" t="inlineStr">
        <is>
          <t>971</t>
        </is>
      </c>
      <c r="B541" s="222" t="inlineStr">
        <is>
          <t>32982199</t>
        </is>
      </c>
      <c r="C541" s="222" t="inlineStr">
        <is>
          <t>RII-CAB-L1 INBOARD AND OUTBOARD L1 INBOARD AND OUTBOARD WALL-MOUNTED FLIGHT ATTENDANT SEAT REQUIRE REMOVAL FOR ACCESS.</t>
        </is>
      </c>
      <c r="D541" s="222" t="inlineStr">
        <is>
          <t>1</t>
        </is>
      </c>
      <c r="E541" s="222" t="n"/>
      <c r="F541" s="222" t="n">
        <v>1.5</v>
      </c>
      <c r="G541" s="222" t="n">
        <v>252.4</v>
      </c>
      <c r="H541" s="222" t="inlineStr">
        <is>
          <t>Idle</t>
        </is>
      </c>
      <c r="I541" s="222" t="inlineStr">
        <is>
          <t>25-40</t>
        </is>
      </c>
      <c r="J541" s="222" t="inlineStr"/>
    </row>
    <row r="542">
      <c r="A542" s="222" t="inlineStr">
        <is>
          <t>972</t>
        </is>
      </c>
      <c r="B542" s="222" t="inlineStr">
        <is>
          <t>32982200</t>
        </is>
      </c>
      <c r="C542" s="222" t="inlineStr">
        <is>
          <t>RII-CAB-SWIVEL SWIVEL FLIGHT ATTENDANT SEAT REQUIRE REMOVAL FOR ACCESS</t>
        </is>
      </c>
      <c r="D542" s="222" t="inlineStr">
        <is>
          <t>1</t>
        </is>
      </c>
      <c r="E542" s="222" t="n"/>
      <c r="F542" s="222" t="n">
        <v>2</v>
      </c>
      <c r="G542" s="222" t="n">
        <v>252.6</v>
      </c>
      <c r="H542" s="222" t="inlineStr">
        <is>
          <t>Idle</t>
        </is>
      </c>
      <c r="I542" s="222" t="inlineStr">
        <is>
          <t>25-40</t>
        </is>
      </c>
      <c r="J542" s="222" t="inlineStr"/>
    </row>
    <row r="543">
      <c r="A543" s="222" t="inlineStr">
        <is>
          <t>973</t>
        </is>
      </c>
      <c r="B543" s="222" t="inlineStr">
        <is>
          <t>32982202</t>
        </is>
      </c>
      <c r="C543" s="222" t="inlineStr">
        <is>
          <t>RII-CALLBACK-R2 DOUBLE WALL-MOUNTED R2 DOUBLE WALL-MOUNTED FLIGHT ATTENDANT SEAT REQUIRE REMOVAL FOR ACCESS</t>
        </is>
      </c>
      <c r="D543" s="222" t="inlineStr">
        <is>
          <t>1</t>
        </is>
      </c>
      <c r="E543" s="222" t="n"/>
      <c r="F543" s="222" t="n"/>
      <c r="G543" s="222" t="n"/>
      <c r="H543" s="222" t="inlineStr">
        <is>
          <t>Not Started</t>
        </is>
      </c>
      <c r="I543" s="222" t="inlineStr">
        <is>
          <t>25-40</t>
        </is>
      </c>
      <c r="J543" s="222" t="inlineStr"/>
    </row>
    <row r="544">
      <c r="A544" s="222" t="inlineStr">
        <is>
          <t>974</t>
        </is>
      </c>
      <c r="B544" s="222" t="inlineStr">
        <is>
          <t>32982203</t>
        </is>
      </c>
      <c r="C544" s="222" t="inlineStr">
        <is>
          <t>RII-CALLBACK L1 INBOARD AND OUTBOARD WALL-MOUNTED FLIGHT ATTENDANT SEAT REQUIRE REMOVAL FOR ACCESS.</t>
        </is>
      </c>
      <c r="D544" s="222" t="inlineStr">
        <is>
          <t>1</t>
        </is>
      </c>
      <c r="E544" s="222" t="n"/>
      <c r="F544" s="222" t="n">
        <v>4</v>
      </c>
      <c r="G544" s="222" t="n">
        <v>252.9</v>
      </c>
      <c r="H544" s="222" t="inlineStr">
        <is>
          <t>Idle</t>
        </is>
      </c>
      <c r="I544" s="222" t="inlineStr">
        <is>
          <t>25-40</t>
        </is>
      </c>
      <c r="J544" s="222" t="inlineStr"/>
    </row>
    <row r="545">
      <c r="A545" s="222" t="inlineStr">
        <is>
          <t>978</t>
        </is>
      </c>
      <c r="B545" s="222" t="inlineStr">
        <is>
          <t>32983857</t>
        </is>
      </c>
      <c r="C545" s="222" t="inlineStr">
        <is>
          <t>PRE---ENG NO#02---RII---SM ENG NO#02 R/H FAN COWL FWD SIDE NEAR IDG OIL LEVEL ACCESS DOOR, EDGE PROTECTOR FOUND DETACHED WITH SHEARED RIVETS.</t>
        </is>
      </c>
      <c r="D545" s="222" t="inlineStr">
        <is>
          <t>1</t>
        </is>
      </c>
      <c r="E545" s="222" t="n">
        <v>4</v>
      </c>
      <c r="F545" s="222" t="n">
        <v>1</v>
      </c>
      <c r="G545" s="222" t="n">
        <v>161.6</v>
      </c>
      <c r="H545" s="222" t="inlineStr">
        <is>
          <t>Idle</t>
        </is>
      </c>
      <c r="I545" s="222" t="inlineStr">
        <is>
          <t>05-24</t>
        </is>
      </c>
      <c r="J545" s="222" t="inlineStr"/>
    </row>
    <row r="546">
      <c r="A546" s="222" t="inlineStr">
        <is>
          <t>979</t>
        </is>
      </c>
      <c r="B546" s="222" t="inlineStr">
        <is>
          <t>32983861</t>
        </is>
      </c>
      <c r="C546" s="222" t="inlineStr">
        <is>
          <t>PRE---R/H AIR COND---NOCALLBACK---AP R/H AIR CONDITION PACK COMPT AFT AREA EXHAUST ASSY, INSIDE COMPT, I/B UPPER  ATTACHMENT NUT FOUND MISSING.</t>
        </is>
      </c>
      <c r="D546" s="222" t="inlineStr">
        <is>
          <t>1</t>
        </is>
      </c>
      <c r="E546" s="222" t="n">
        <v>8</v>
      </c>
      <c r="F546" s="222" t="n"/>
      <c r="G546" s="222" t="n"/>
      <c r="H546" s="222" t="inlineStr">
        <is>
          <t>Not Started</t>
        </is>
      </c>
      <c r="I546" s="222" t="inlineStr">
        <is>
          <t>05-21</t>
        </is>
      </c>
      <c r="J546" s="222" t="inlineStr"/>
    </row>
    <row r="547">
      <c r="A547" s="222" t="inlineStr">
        <is>
          <t>981</t>
        </is>
      </c>
      <c r="B547" s="222" t="inlineStr">
        <is>
          <t>32983876</t>
        </is>
      </c>
      <c r="C547" s="222" t="inlineStr">
        <is>
          <t>PRE--MLG W/W---NOCALLBACK---FS L/H AND R/H MLG WHEEL WELL FWD CUTOUT EDGE SEAL FOUND WORNOUT, TORN WITH CUTS.</t>
        </is>
      </c>
      <c r="D547" s="222" t="inlineStr">
        <is>
          <t>1</t>
        </is>
      </c>
      <c r="E547" s="222" t="n">
        <v>12</v>
      </c>
      <c r="F547" s="222" t="n"/>
      <c r="G547" s="222" t="n"/>
      <c r="H547" s="222" t="inlineStr">
        <is>
          <t>Not Started</t>
        </is>
      </c>
      <c r="I547" s="222" t="inlineStr">
        <is>
          <t>05-21</t>
        </is>
      </c>
      <c r="J547" s="222" t="inlineStr"/>
    </row>
    <row r="548">
      <c r="A548" s="222" t="inlineStr">
        <is>
          <t>984</t>
        </is>
      </c>
      <c r="B548" s="222" t="inlineStr">
        <is>
          <t>32983896</t>
        </is>
      </c>
      <c r="C548" s="222" t="inlineStr">
        <is>
          <t>LH WING INBORAD/OUTBOARD FIXED L/E---AP---CALLBACK REQ CLEANING OF  INBOARD/OUTBOARD FIXED LEADING EDGE STRUCTURE TO FACILITATE INSPECTION</t>
        </is>
      </c>
      <c r="D548" s="222" t="inlineStr">
        <is>
          <t>1</t>
        </is>
      </c>
      <c r="E548" s="222" t="n">
        <v>8</v>
      </c>
      <c r="F548" s="222" t="n"/>
      <c r="G548" s="222" t="n"/>
      <c r="H548" s="222" t="inlineStr">
        <is>
          <t>Not Started</t>
        </is>
      </c>
      <c r="I548" s="222" t="inlineStr">
        <is>
          <t>05-25</t>
        </is>
      </c>
      <c r="J548" s="222" t="inlineStr"/>
    </row>
    <row r="549">
      <c r="A549" s="222" t="inlineStr">
        <is>
          <t>985</t>
        </is>
      </c>
      <c r="B549" s="222" t="inlineStr">
        <is>
          <t>32983897</t>
        </is>
      </c>
      <c r="C549" s="222" t="inlineStr">
        <is>
          <t>PRE---HYD COMPT---NOCALLBACK---AP L/H AND R/H HYD COMPT PANELS 195 BB AND 196 BB INNER AREA EDGE SEAL FOUND MISSING AND DETACHED WITH CUTS.</t>
        </is>
      </c>
      <c r="D549" s="222" t="inlineStr">
        <is>
          <t>1</t>
        </is>
      </c>
      <c r="E549" s="222" t="n">
        <v>8</v>
      </c>
      <c r="F549" s="222" t="n"/>
      <c r="G549" s="222" t="n"/>
      <c r="H549" s="222" t="inlineStr">
        <is>
          <t>Not Started</t>
        </is>
      </c>
      <c r="I549" s="222" t="inlineStr">
        <is>
          <t>05-21</t>
        </is>
      </c>
      <c r="J549" s="222" t="inlineStr"/>
    </row>
    <row r="550">
      <c r="A550" s="222" t="inlineStr">
        <is>
          <t>986</t>
        </is>
      </c>
      <c r="B550" s="222" t="inlineStr">
        <is>
          <t>32983910</t>
        </is>
      </c>
      <c r="C550" s="222" t="inlineStr">
        <is>
          <t>PRE---HYD COMPT---NOCALLBACK---AVN L/H AND R/H HYD COMPT ACCESS THROUGH PANELS 195 BB AND 196 BB INNER AREA, 02 EA CEILING LIGHT LAMPS FOUND BUSTED.</t>
        </is>
      </c>
      <c r="D550" s="222" t="inlineStr">
        <is>
          <t>1</t>
        </is>
      </c>
      <c r="E550" s="222" t="n"/>
      <c r="F550" s="222" t="n">
        <v>5</v>
      </c>
      <c r="G550" s="222" t="n">
        <v>125.8</v>
      </c>
      <c r="H550" s="222" t="inlineStr">
        <is>
          <t>Idle</t>
        </is>
      </c>
      <c r="I550" s="222" t="inlineStr">
        <is>
          <t>05-21</t>
        </is>
      </c>
      <c r="J550" s="222" t="inlineStr"/>
    </row>
    <row r="551">
      <c r="A551" s="222" t="inlineStr">
        <is>
          <t>987</t>
        </is>
      </c>
      <c r="B551" s="222" t="inlineStr">
        <is>
          <t>32983929</t>
        </is>
      </c>
      <c r="C551" s="222" t="inlineStr">
        <is>
          <t>PRE---HYD COMPT---NOCALLBACK---AP LOWER FUSELAGE R/H HYD COMPT ACCESS THROUG PANEL 196 BB, YELLOW ELECTRIC PUMP LOWER AREA FOUND WITH SIGN OF HYD LEAK.</t>
        </is>
      </c>
      <c r="D551" s="222" t="inlineStr">
        <is>
          <t>1</t>
        </is>
      </c>
      <c r="E551" s="222" t="n">
        <v>6</v>
      </c>
      <c r="F551" s="222" t="n"/>
      <c r="G551" s="222" t="n"/>
      <c r="H551" s="222" t="inlineStr">
        <is>
          <t>Not Started</t>
        </is>
      </c>
      <c r="I551" s="222" t="inlineStr">
        <is>
          <t>05-21</t>
        </is>
      </c>
      <c r="J551" s="222" t="inlineStr"/>
    </row>
    <row r="552">
      <c r="A552" s="222" t="inlineStr">
        <is>
          <t>988</t>
        </is>
      </c>
      <c r="B552" s="222" t="inlineStr">
        <is>
          <t>32983937</t>
        </is>
      </c>
      <c r="C552" s="222" t="inlineStr">
        <is>
          <t>PRE---HYD COMPT---RII---FT LOWER FUSELAGE L/H HYD COMPT ACCESS THROUG PANEL 195 BB, WATER DRAIN VALVE FOUND WITH SIGN OF LEAK.</t>
        </is>
      </c>
      <c r="D552" s="222" t="inlineStr">
        <is>
          <t>1</t>
        </is>
      </c>
      <c r="E552" s="222" t="n">
        <v>8</v>
      </c>
      <c r="F552" s="222" t="n">
        <v>0.5</v>
      </c>
      <c r="G552" s="222" t="n">
        <v>230.1</v>
      </c>
      <c r="H552" s="222" t="inlineStr">
        <is>
          <t>Idle</t>
        </is>
      </c>
      <c r="I552" s="222" t="inlineStr">
        <is>
          <t>05-21</t>
        </is>
      </c>
      <c r="J552" s="222" t="inlineStr"/>
    </row>
    <row r="553">
      <c r="A553" s="222" t="inlineStr">
        <is>
          <t>989</t>
        </is>
      </c>
      <c r="B553" s="222" t="inlineStr">
        <is>
          <t>32983944</t>
        </is>
      </c>
      <c r="C553" s="222" t="inlineStr">
        <is>
          <t>PRE---HYD COMPT---NOCALLBACK---AP LOWER FUSELAGE L/H HYD COMPT ACCESS THROUG PANEL 195 BB, FWD WALL R/H SIDE AIR COND PACK EXHAUST FITTING, 02 EA BOLTS FOUND LOOSE.</t>
        </is>
      </c>
      <c r="D553" s="222" t="inlineStr">
        <is>
          <t>1</t>
        </is>
      </c>
      <c r="E553" s="222" t="n">
        <v>6</v>
      </c>
      <c r="F553" s="222" t="n"/>
      <c r="G553" s="222" t="n"/>
      <c r="H553" s="222" t="inlineStr">
        <is>
          <t>Not Started</t>
        </is>
      </c>
      <c r="I553" s="222" t="inlineStr">
        <is>
          <t>05-21</t>
        </is>
      </c>
      <c r="J553" s="222" t="inlineStr"/>
    </row>
    <row r="554">
      <c r="A554" s="222" t="inlineStr">
        <is>
          <t>991</t>
        </is>
      </c>
      <c r="B554" s="222" t="inlineStr">
        <is>
          <t>32983948</t>
        </is>
      </c>
      <c r="C554" s="222" t="inlineStr">
        <is>
          <t>OUTBOARD FIXED TRAILING EDGE STR---PNT---NO CALLBACK CHIPPED  PAINT ON THE LOWER SURFACE OF ALL SPOILERS</t>
        </is>
      </c>
      <c r="D554" s="222" t="inlineStr">
        <is>
          <t>1</t>
        </is>
      </c>
      <c r="E554" s="222" t="n">
        <v>6</v>
      </c>
      <c r="F554" s="222" t="n">
        <v>12.5</v>
      </c>
      <c r="G554" s="222" t="n">
        <v>168.2</v>
      </c>
      <c r="H554" s="222" t="inlineStr">
        <is>
          <t>Idle</t>
        </is>
      </c>
      <c r="I554" s="222" t="inlineStr">
        <is>
          <t>05-25</t>
        </is>
      </c>
      <c r="J554" s="222" t="inlineStr"/>
    </row>
    <row r="555">
      <c r="A555" s="222" t="inlineStr">
        <is>
          <t>992</t>
        </is>
      </c>
      <c r="B555" s="222" t="inlineStr">
        <is>
          <t>32983996</t>
        </is>
      </c>
      <c r="C555" s="222" t="inlineStr">
        <is>
          <t>CAB - NO CALLBACK - LIFE VESTS ALL LIFE VESTS WILL EXPIRE WITHIN 3 YEARS.</t>
        </is>
      </c>
      <c r="D555" s="222" t="inlineStr">
        <is>
          <t>1</t>
        </is>
      </c>
      <c r="E555" s="222" t="n">
        <v>8.5</v>
      </c>
      <c r="F555" s="222" t="n"/>
      <c r="G555" s="222" t="n"/>
      <c r="H555" s="222" t="inlineStr">
        <is>
          <t>Not Started</t>
        </is>
      </c>
      <c r="I555" s="222" t="inlineStr">
        <is>
          <t>25</t>
        </is>
      </c>
      <c r="J555" s="222" t="inlineStr"/>
    </row>
    <row r="556">
      <c r="A556" s="222" t="inlineStr">
        <is>
          <t>993</t>
        </is>
      </c>
      <c r="B556" s="222" t="inlineStr">
        <is>
          <t>32984016</t>
        </is>
      </c>
      <c r="C556" s="222" t="inlineStr">
        <is>
          <t>OUTBOARD FIXED TRAILING EDGE STR---AP---NO CALLBACK 1EA BROKEN BONDING STRAP ON SPOILER 4 (INBOARD SIDE)</t>
        </is>
      </c>
      <c r="D556" s="222" t="inlineStr">
        <is>
          <t>1</t>
        </is>
      </c>
      <c r="E556" s="222" t="n">
        <v>3</v>
      </c>
      <c r="F556" s="222" t="n">
        <v>3.3</v>
      </c>
      <c r="G556" s="222" t="n">
        <v>45.6</v>
      </c>
      <c r="H556" s="222" t="inlineStr">
        <is>
          <t>Idle</t>
        </is>
      </c>
      <c r="I556" s="222" t="inlineStr">
        <is>
          <t>05-25</t>
        </is>
      </c>
      <c r="J556" s="222" t="inlineStr"/>
    </row>
    <row r="557">
      <c r="A557" s="222" t="inlineStr">
        <is>
          <t>994</t>
        </is>
      </c>
      <c r="B557" s="222" t="inlineStr">
        <is>
          <t>32984140</t>
        </is>
      </c>
      <c r="C557" s="222" t="inlineStr">
        <is>
          <t>AP---CALLBACK---RH ENG RH ENG I/B FAN COWL FWD LATCH CENTERING PIN CHAFFED</t>
        </is>
      </c>
      <c r="D557" s="222" t="inlineStr">
        <is>
          <t>1</t>
        </is>
      </c>
      <c r="E557" s="222" t="n">
        <v>6</v>
      </c>
      <c r="F557" s="222" t="n"/>
      <c r="G557" s="222" t="n"/>
      <c r="H557" s="222" t="inlineStr">
        <is>
          <t>Not Started</t>
        </is>
      </c>
      <c r="I557" s="222" t="inlineStr">
        <is>
          <t>71-13</t>
        </is>
      </c>
      <c r="J557" s="222" t="inlineStr"/>
    </row>
    <row r="558">
      <c r="A558" s="222" t="inlineStr">
        <is>
          <t>996</t>
        </is>
      </c>
      <c r="B558" s="222" t="inlineStr">
        <is>
          <t>32984174</t>
        </is>
      </c>
      <c r="C558" s="222" t="inlineStr">
        <is>
          <t>PRE---L/H WHEEL WELL---NOCALLBACK---AVN L/H MLG WHEEL WELL CEILING LIGHT 01 EA LAMP FOUND BUSTED.</t>
        </is>
      </c>
      <c r="D558" s="222" t="inlineStr">
        <is>
          <t>1</t>
        </is>
      </c>
      <c r="E558" s="222" t="n">
        <v>2</v>
      </c>
      <c r="F558" s="222" t="n"/>
      <c r="G558" s="222" t="n"/>
      <c r="H558" s="222" t="inlineStr">
        <is>
          <t>Not Started</t>
        </is>
      </c>
      <c r="I558" s="222" t="inlineStr">
        <is>
          <t>05-21</t>
        </is>
      </c>
      <c r="J558" s="222" t="inlineStr"/>
    </row>
    <row r="559">
      <c r="A559" s="222" t="inlineStr">
        <is>
          <t>997</t>
        </is>
      </c>
      <c r="B559" s="222" t="inlineStr">
        <is>
          <t>32984360</t>
        </is>
      </c>
      <c r="C559" s="222" t="inlineStr">
        <is>
          <t>FLAP TRACK NO. 4 AND FAIRINGS---AP---NO CALLBACK 2EA AFT BONDING STRAP BROKEN ON FLAP TRACK NO. 4</t>
        </is>
      </c>
      <c r="D559" s="222" t="inlineStr">
        <is>
          <t>1</t>
        </is>
      </c>
      <c r="E559" s="222" t="n">
        <v>6</v>
      </c>
      <c r="F559" s="222" t="n"/>
      <c r="G559" s="222" t="n"/>
      <c r="H559" s="222" t="inlineStr">
        <is>
          <t>Not Started</t>
        </is>
      </c>
      <c r="I559" s="222" t="inlineStr">
        <is>
          <t>05-25</t>
        </is>
      </c>
      <c r="J559" s="222" t="inlineStr"/>
    </row>
    <row r="560">
      <c r="A560" s="222" t="inlineStr">
        <is>
          <t>999</t>
        </is>
      </c>
      <c r="B560" s="222" t="inlineStr">
        <is>
          <t>32984263</t>
        </is>
      </c>
      <c r="C560" s="222" t="inlineStr">
        <is>
          <t>FINDING (NRC) TASKCARD 25-SVA-03 (01) / ITEM ONE ALL B/C SEAT FOOTWELL ASSEMBLY REQUIRE REMOVE FOR ACCESS</t>
        </is>
      </c>
      <c r="D560" s="222" t="inlineStr">
        <is>
          <t>1</t>
        </is>
      </c>
      <c r="E560" s="222" t="n">
        <v>10</v>
      </c>
      <c r="F560" s="222" t="n">
        <v>9.5</v>
      </c>
      <c r="G560" s="222" t="n">
        <v>191.4</v>
      </c>
      <c r="H560" s="222" t="inlineStr">
        <is>
          <t>Idle</t>
        </is>
      </c>
      <c r="I560" s="222" t="inlineStr">
        <is>
          <t>25-21</t>
        </is>
      </c>
      <c r="J560" s="222" t="inlineStr"/>
    </row>
    <row r="561">
      <c r="A561" s="222" t="inlineStr">
        <is>
          <t>1001</t>
        </is>
      </c>
      <c r="B561" s="222" t="inlineStr">
        <is>
          <t>32984513</t>
        </is>
      </c>
      <c r="C561" s="222" t="inlineStr">
        <is>
          <t>R/H INBOARD/OUTBOARD FIXED L/E STRUCTURE---FS---CALLBACK REQ CLEANING OF R/H INBOARD/OUTBOARD FIXED L/E STRUCTURE TO FACILITATE INSPECTION</t>
        </is>
      </c>
      <c r="D561" s="222" t="inlineStr">
        <is>
          <t>1</t>
        </is>
      </c>
      <c r="E561" s="222" t="n">
        <v>18</v>
      </c>
      <c r="F561" s="222" t="n">
        <v>18</v>
      </c>
      <c r="G561" s="222" t="n">
        <v>18.6</v>
      </c>
      <c r="H561" s="222" t="inlineStr">
        <is>
          <t>Idle</t>
        </is>
      </c>
      <c r="I561" s="222" t="inlineStr">
        <is>
          <t>05-25</t>
        </is>
      </c>
      <c r="J561" s="222" t="inlineStr"/>
    </row>
    <row r="562">
      <c r="A562" s="222" t="inlineStr">
        <is>
          <t>1003</t>
        </is>
      </c>
      <c r="B562" s="222" t="inlineStr">
        <is>
          <t>32984585</t>
        </is>
      </c>
      <c r="C562" s="222" t="inlineStr">
        <is>
          <t>FINDING (NRC) TASKCARD 25-SVA-03 (01) / ITEM ONE ALL B/C SEAT PANEL ASSEMBLY - ACCESS REQUIRE REMOVE FOR ACCESS</t>
        </is>
      </c>
      <c r="D562" s="222" t="inlineStr">
        <is>
          <t>1</t>
        </is>
      </c>
      <c r="E562" s="222" t="n">
        <v>12</v>
      </c>
      <c r="F562" s="222" t="n">
        <v>11.5</v>
      </c>
      <c r="G562" s="222" t="n">
        <v>219.9</v>
      </c>
      <c r="H562" s="222" t="inlineStr">
        <is>
          <t>Idle</t>
        </is>
      </c>
      <c r="I562" s="222" t="inlineStr">
        <is>
          <t>25-21</t>
        </is>
      </c>
      <c r="J562" s="222" t="inlineStr"/>
    </row>
    <row r="563">
      <c r="A563" s="222" t="inlineStr">
        <is>
          <t>1004</t>
        </is>
      </c>
      <c r="B563" s="222" t="inlineStr">
        <is>
          <t>32984729</t>
        </is>
      </c>
      <c r="C563" s="222" t="inlineStr">
        <is>
          <t>CAB - NO CALLBACK - AFT GALLEY AFT GALLEY COUNTERTOP SEALANT DETERIORATED.</t>
        </is>
      </c>
      <c r="D563" s="222" t="inlineStr">
        <is>
          <t>1</t>
        </is>
      </c>
      <c r="E563" s="222" t="n">
        <v>3</v>
      </c>
      <c r="F563" s="222" t="n"/>
      <c r="G563" s="222" t="n"/>
      <c r="H563" s="222" t="inlineStr">
        <is>
          <t>Not Started</t>
        </is>
      </c>
      <c r="I563" s="222" t="inlineStr">
        <is>
          <t>25</t>
        </is>
      </c>
      <c r="J563" s="222" t="inlineStr"/>
    </row>
    <row r="564">
      <c r="A564" s="222" t="inlineStr">
        <is>
          <t>1005</t>
        </is>
      </c>
      <c r="B564" s="222" t="inlineStr">
        <is>
          <t>32984742</t>
        </is>
      </c>
      <c r="C564" s="222" t="inlineStr">
        <is>
          <t>CAB - NO CALLBACK - AFT GALLEY AFT 7 EA LONG AND 7 EA SHORT CART TURN CATCHES PAINT DETERIORATED.</t>
        </is>
      </c>
      <c r="D564" s="222" t="inlineStr">
        <is>
          <t>1</t>
        </is>
      </c>
      <c r="E564" s="222" t="n">
        <v>2</v>
      </c>
      <c r="F564" s="222" t="n"/>
      <c r="G564" s="222" t="n"/>
      <c r="H564" s="222" t="inlineStr">
        <is>
          <t>Not Started</t>
        </is>
      </c>
      <c r="I564" s="222" t="inlineStr">
        <is>
          <t>25</t>
        </is>
      </c>
      <c r="J564" s="222" t="inlineStr"/>
    </row>
    <row r="565">
      <c r="A565" s="222" t="inlineStr">
        <is>
          <t>1006</t>
        </is>
      </c>
      <c r="B565" s="222" t="inlineStr">
        <is>
          <t>32984765</t>
        </is>
      </c>
      <c r="C565" s="222" t="inlineStr">
        <is>
          <t>CAB - NO CALLBACK - AFT GALLEY AFT GALLEY COMPT. 517 UPPER COVER IS MISSING.</t>
        </is>
      </c>
      <c r="D565" s="222" t="inlineStr">
        <is>
          <t>1</t>
        </is>
      </c>
      <c r="E565" s="222" t="n">
        <v>2</v>
      </c>
      <c r="F565" s="222" t="n"/>
      <c r="G565" s="222" t="n"/>
      <c r="H565" s="222" t="inlineStr">
        <is>
          <t>Not Started</t>
        </is>
      </c>
      <c r="I565" s="222" t="inlineStr">
        <is>
          <t>25</t>
        </is>
      </c>
      <c r="J565" s="222" t="inlineStr"/>
    </row>
    <row r="566">
      <c r="A566" s="222" t="inlineStr">
        <is>
          <t>1007</t>
        </is>
      </c>
      <c r="B566" s="222" t="inlineStr">
        <is>
          <t>32984781</t>
        </is>
      </c>
      <c r="C566" s="222" t="inlineStr">
        <is>
          <t>CAB - NO CALLBACK - FWD GALLEY G1 GALLEY 4 EA LONG AND 4 EA SMALL CART TURN CATCHES PAINT DETERIORATED.</t>
        </is>
      </c>
      <c r="D566" s="222" t="inlineStr">
        <is>
          <t>1</t>
        </is>
      </c>
      <c r="E566" s="222" t="n">
        <v>2</v>
      </c>
      <c r="F566" s="222" t="n"/>
      <c r="G566" s="222" t="n"/>
      <c r="H566" s="222" t="inlineStr">
        <is>
          <t>Not Started</t>
        </is>
      </c>
      <c r="I566" s="222" t="inlineStr">
        <is>
          <t>25</t>
        </is>
      </c>
      <c r="J566" s="222" t="inlineStr"/>
    </row>
    <row r="567">
      <c r="A567" s="222" t="inlineStr">
        <is>
          <t>1008</t>
        </is>
      </c>
      <c r="B567" s="222" t="inlineStr">
        <is>
          <t>32984766</t>
        </is>
      </c>
      <c r="C567" s="222" t="inlineStr">
        <is>
          <t>CABIN AREA -AV -NO CALL BACK (NRC) TASKCARD 25-SVA-02 (01) / ITEM ONE PSU LIGTH COVER NOT SECUERD ABOVE SEAT 32C,38L</t>
        </is>
      </c>
      <c r="D567" s="222" t="inlineStr">
        <is>
          <t>1</t>
        </is>
      </c>
      <c r="E567" s="222" t="n"/>
      <c r="F567" s="222" t="n"/>
      <c r="G567" s="222" t="n"/>
      <c r="H567" s="222" t="inlineStr">
        <is>
          <t>Not Started</t>
        </is>
      </c>
      <c r="I567" s="222" t="inlineStr">
        <is>
          <t>25</t>
        </is>
      </c>
      <c r="J567" s="222" t="inlineStr"/>
    </row>
    <row r="568">
      <c r="A568" s="222" t="inlineStr">
        <is>
          <t>1010</t>
        </is>
      </c>
      <c r="B568" s="222" t="inlineStr">
        <is>
          <t>32984820</t>
        </is>
      </c>
      <c r="C568" s="222" t="inlineStr">
        <is>
          <t>CABIN AREA -AV -NO CALL BACK (NRC) TASKCARD 25-SVA-02 (01) / ITEM ONE PSU SEAT BELT LIGTH INOP AT ABOVE SEAT NO 43K</t>
        </is>
      </c>
      <c r="D568" s="222" t="inlineStr">
        <is>
          <t>1</t>
        </is>
      </c>
      <c r="E568" s="222" t="n"/>
      <c r="F568" s="222" t="n"/>
      <c r="G568" s="222" t="n"/>
      <c r="H568" s="222" t="inlineStr">
        <is>
          <t>Not Started</t>
        </is>
      </c>
      <c r="I568" s="222" t="inlineStr">
        <is>
          <t>25</t>
        </is>
      </c>
      <c r="J568" s="222" t="inlineStr"/>
    </row>
    <row r="569">
      <c r="A569" s="222" t="inlineStr">
        <is>
          <t>1011</t>
        </is>
      </c>
      <c r="B569" s="222" t="inlineStr">
        <is>
          <t>32984829</t>
        </is>
      </c>
      <c r="C569" s="222" t="inlineStr">
        <is>
          <t>CAB - NO CALLBACK - G2 GALLEY G2 GALLEY 4 EA LONG AND 4 EA SMALL CART TURN CATCHES PAINT DETERIORATED.</t>
        </is>
      </c>
      <c r="D569" s="222" t="inlineStr">
        <is>
          <t>1</t>
        </is>
      </c>
      <c r="E569" s="222" t="n">
        <v>2</v>
      </c>
      <c r="F569" s="222" t="n"/>
      <c r="G569" s="222" t="n"/>
      <c r="H569" s="222" t="inlineStr">
        <is>
          <t>Not Started</t>
        </is>
      </c>
      <c r="I569" s="222" t="inlineStr">
        <is>
          <t>25</t>
        </is>
      </c>
      <c r="J569" s="222" t="inlineStr"/>
    </row>
    <row r="570">
      <c r="A570" s="222" t="inlineStr">
        <is>
          <t>1012</t>
        </is>
      </c>
      <c r="B570" s="222" t="inlineStr">
        <is>
          <t>32984848</t>
        </is>
      </c>
      <c r="C570" s="222" t="inlineStr">
        <is>
          <t>SM - NO CALLBACK - GALLEY G2 G2 GALLEY COMP.  205, 202, AND 209 MISSING STRIKER.</t>
        </is>
      </c>
      <c r="D570" s="222" t="inlineStr">
        <is>
          <t>1</t>
        </is>
      </c>
      <c r="E570" s="222" t="n"/>
      <c r="F570" s="222" t="n">
        <v>14.3</v>
      </c>
      <c r="G570" s="222" t="n">
        <v>81.3</v>
      </c>
      <c r="H570" s="222" t="inlineStr">
        <is>
          <t>Idle</t>
        </is>
      </c>
      <c r="I570" s="222" t="inlineStr">
        <is>
          <t>25-10</t>
        </is>
      </c>
      <c r="J570" s="222" t="inlineStr"/>
    </row>
    <row r="571">
      <c r="A571" s="222" t="inlineStr">
        <is>
          <t>1014</t>
        </is>
      </c>
      <c r="B571" s="222" t="inlineStr">
        <is>
          <t>32984906</t>
        </is>
      </c>
      <c r="C571" s="222" t="inlineStr">
        <is>
          <t>CAB - RII - OXYGEN GENERATORS OXYGEN GENERATORS AT ROW 30 LH AND 34 LH WILL EXPIRE ON 05/2027 ROW 30 LH PN: E63440-00 SN: BEDE-F012-020  ROW 34 LH PN: E63440-00 SN: BEDE-F019-109</t>
        </is>
      </c>
      <c r="D571" s="222" t="inlineStr">
        <is>
          <t>1</t>
        </is>
      </c>
      <c r="E571" s="222" t="n">
        <v>6</v>
      </c>
      <c r="F571" s="222" t="n">
        <v>6.5</v>
      </c>
      <c r="G571" s="222" t="n">
        <v>217.6</v>
      </c>
      <c r="H571" s="222" t="inlineStr">
        <is>
          <t>Idle</t>
        </is>
      </c>
      <c r="I571" s="222" t="inlineStr">
        <is>
          <t>38</t>
        </is>
      </c>
      <c r="J571" s="222" t="inlineStr"/>
    </row>
    <row r="572">
      <c r="A572" s="222" t="inlineStr">
        <is>
          <t>1019</t>
        </is>
      </c>
      <c r="B572" s="222" t="inlineStr">
        <is>
          <t>32984986</t>
        </is>
      </c>
      <c r="C572" s="222" t="inlineStr">
        <is>
          <t>AP---CALLBACK---ENG. 1 EGT THERMOCOUPLE CHAFFED AT ENG. 1 AT 12 O`CLOCK</t>
        </is>
      </c>
      <c r="D572" s="222" t="inlineStr">
        <is>
          <t>1</t>
        </is>
      </c>
      <c r="E572" s="222" t="n">
        <v>8</v>
      </c>
      <c r="F572" s="222" t="n"/>
      <c r="G572" s="222" t="n"/>
      <c r="H572" s="222" t="inlineStr">
        <is>
          <t>Not Started</t>
        </is>
      </c>
      <c r="I572" s="222" t="inlineStr">
        <is>
          <t>05-24</t>
        </is>
      </c>
      <c r="J572" s="222" t="inlineStr"/>
    </row>
    <row r="573">
      <c r="A573" s="222" t="inlineStr">
        <is>
          <t>1020</t>
        </is>
      </c>
      <c r="B573" s="222" t="inlineStr">
        <is>
          <t>32984983</t>
        </is>
      </c>
      <c r="C573" s="222" t="inlineStr">
        <is>
          <t>PRE---APU COMPT---RII---AP APU COMPT, AFT WALL LOWER AREA, 02 EA POINTS FIRE SEAL FOUND WITH CUT AND PUNCTURE.</t>
        </is>
      </c>
      <c r="D573" s="222" t="inlineStr">
        <is>
          <t>1</t>
        </is>
      </c>
      <c r="E573" s="222" t="n">
        <v>8</v>
      </c>
      <c r="F573" s="222" t="n"/>
      <c r="G573" s="222" t="n"/>
      <c r="H573" s="222" t="inlineStr">
        <is>
          <t>Not Started</t>
        </is>
      </c>
      <c r="I573" s="222" t="inlineStr">
        <is>
          <t>05-23</t>
        </is>
      </c>
      <c r="J573" s="222" t="inlineStr"/>
    </row>
    <row r="574">
      <c r="A574" s="222" t="inlineStr">
        <is>
          <t>1021</t>
        </is>
      </c>
      <c r="B574" s="222" t="inlineStr">
        <is>
          <t>32985000</t>
        </is>
      </c>
      <c r="C574" s="222" t="inlineStr">
        <is>
          <t>AP---CALLBACK---ENG. 1 HP DUCT PRESSURE SENSE LINE AT 12 O`CLOCK CHAFFED OVER EGT THERMOCOUPLE</t>
        </is>
      </c>
      <c r="D574" s="222" t="inlineStr">
        <is>
          <t>1</t>
        </is>
      </c>
      <c r="E574" s="222" t="n">
        <v>8</v>
      </c>
      <c r="F574" s="222" t="n"/>
      <c r="G574" s="222" t="n"/>
      <c r="H574" s="222" t="inlineStr">
        <is>
          <t>Not Started</t>
        </is>
      </c>
      <c r="I574" s="222" t="inlineStr">
        <is>
          <t>05-24</t>
        </is>
      </c>
      <c r="J574" s="222" t="inlineStr"/>
    </row>
    <row r="575">
      <c r="A575" s="222" t="inlineStr">
        <is>
          <t>1022</t>
        </is>
      </c>
      <c r="B575" s="222" t="inlineStr">
        <is>
          <t>32985009</t>
        </is>
      </c>
      <c r="C575" s="222" t="inlineStr">
        <is>
          <t>PRE---APU COMPT---NOCALLBACK---AVN APU COMPT, FWD WALL ILLUMINATION LIGHT, 02 EA LAMPS FOUND BUSTED.</t>
        </is>
      </c>
      <c r="D575" s="222" t="inlineStr">
        <is>
          <t>1</t>
        </is>
      </c>
      <c r="E575" s="222" t="n"/>
      <c r="F575" s="222" t="n">
        <v>4</v>
      </c>
      <c r="G575" s="222" t="n">
        <v>124.8</v>
      </c>
      <c r="H575" s="222" t="inlineStr">
        <is>
          <t>Idle</t>
        </is>
      </c>
      <c r="I575" s="222" t="inlineStr">
        <is>
          <t>05-23</t>
        </is>
      </c>
      <c r="J575" s="222" t="inlineStr"/>
    </row>
    <row r="576">
      <c r="A576" s="222" t="inlineStr">
        <is>
          <t>1023</t>
        </is>
      </c>
      <c r="B576" s="222" t="inlineStr">
        <is>
          <t>32984981</t>
        </is>
      </c>
      <c r="C576" s="222" t="inlineStr">
        <is>
          <t>DBC/DOCUMENT S51-R10008- RH WING --RII--SM REF TO WO#22`044`538  DURING DBC REVIEW FOUND THE FOLLOWING  RH WING INBOARD T/EDGE FLAP ASSY T/EDGE WEDGE LOWER EXTERIOR SURFACE ZONE 2 WITH 5 EACH SMALL DENTS LOCATED BETWEEN FLAP RIB STATION 3 TO 6. DE...</t>
        </is>
      </c>
      <c r="D576" s="222" t="inlineStr">
        <is>
          <t>1</t>
        </is>
      </c>
      <c r="E576" s="222" t="n">
        <v>4</v>
      </c>
      <c r="F576" s="222" t="n">
        <v>4.3</v>
      </c>
      <c r="G576" s="222" t="n">
        <v>193.1</v>
      </c>
      <c r="H576" s="222" t="inlineStr">
        <is>
          <t>Idle</t>
        </is>
      </c>
      <c r="I576" s="222" t="inlineStr">
        <is>
          <t>51</t>
        </is>
      </c>
      <c r="J576" s="222" t="inlineStr"/>
    </row>
    <row r="577">
      <c r="A577" s="222" t="inlineStr">
        <is>
          <t>1025</t>
        </is>
      </c>
      <c r="B577" s="222" t="inlineStr">
        <is>
          <t>32985033</t>
        </is>
      </c>
      <c r="C577" s="222" t="inlineStr">
        <is>
          <t>PRE---APU COMPT---NOCALLBACK---AP APU COMPT, R/H DOOR FWD INNER EDGE SEALANT FOUND DETACHED.</t>
        </is>
      </c>
      <c r="D577" s="222" t="inlineStr">
        <is>
          <t>1</t>
        </is>
      </c>
      <c r="E577" s="222" t="n">
        <v>8</v>
      </c>
      <c r="F577" s="222" t="n"/>
      <c r="G577" s="222" t="n"/>
      <c r="H577" s="222" t="inlineStr">
        <is>
          <t>Not Started</t>
        </is>
      </c>
      <c r="I577" s="222" t="inlineStr">
        <is>
          <t>05-23</t>
        </is>
      </c>
      <c r="J577" s="222" t="inlineStr"/>
    </row>
    <row r="578">
      <c r="A578" s="222" t="inlineStr">
        <is>
          <t>1027</t>
        </is>
      </c>
      <c r="B578" s="222" t="inlineStr">
        <is>
          <t>32985067</t>
        </is>
      </c>
      <c r="C578" s="222" t="inlineStr">
        <is>
          <t>CAB - NO CALLBACK - G1 GALLEY G1 GALLEY WORK SLIDING TABLE STUCK.</t>
        </is>
      </c>
      <c r="D578" s="222" t="inlineStr">
        <is>
          <t>1</t>
        </is>
      </c>
      <c r="E578" s="222" t="n">
        <v>2</v>
      </c>
      <c r="F578" s="222" t="n"/>
      <c r="G578" s="222" t="n"/>
      <c r="H578" s="222" t="inlineStr">
        <is>
          <t>Not Started</t>
        </is>
      </c>
      <c r="I578" s="222" t="inlineStr">
        <is>
          <t>25</t>
        </is>
      </c>
      <c r="J578" s="222" t="inlineStr"/>
    </row>
    <row r="579">
      <c r="A579" s="222" t="inlineStr">
        <is>
          <t>1028</t>
        </is>
      </c>
      <c r="B579" s="222" t="inlineStr">
        <is>
          <t>32985066</t>
        </is>
      </c>
      <c r="C579" s="222" t="inlineStr">
        <is>
          <t>PRE---TAIL SECTION---NOCALLBACK---AVN AFT FUSELAGE TAIL SECTION, STROBE LIGHT LENSE FOUND FOGGY AND DIRTY.</t>
        </is>
      </c>
      <c r="D579" s="222" t="inlineStr">
        <is>
          <t>1</t>
        </is>
      </c>
      <c r="E579" s="222" t="n">
        <v>4</v>
      </c>
      <c r="F579" s="222" t="n">
        <v>9</v>
      </c>
      <c r="G579" s="222" t="n">
        <v>151.2</v>
      </c>
      <c r="H579" s="222" t="inlineStr">
        <is>
          <t>Idle</t>
        </is>
      </c>
      <c r="I579" s="222" t="inlineStr">
        <is>
          <t>05-23</t>
        </is>
      </c>
      <c r="J579" s="222" t="inlineStr"/>
    </row>
    <row r="580">
      <c r="A580" s="222" t="inlineStr">
        <is>
          <t>1029</t>
        </is>
      </c>
      <c r="B580" s="222" t="inlineStr">
        <is>
          <t>32985072</t>
        </is>
      </c>
      <c r="C580" s="222" t="inlineStr">
        <is>
          <t>PRE---TAIL SECTION---NOCALLBACK---PNT AFT FUSELAGE TAIL SECTION, TAIL CONE IDENTIFICATION DECAL FOUND FADED AND WORNOUT.</t>
        </is>
      </c>
      <c r="D580" s="222" t="inlineStr">
        <is>
          <t>1</t>
        </is>
      </c>
      <c r="E580" s="222" t="n">
        <v>2</v>
      </c>
      <c r="F580" s="222" t="n">
        <v>2</v>
      </c>
      <c r="G580" s="222" t="n">
        <v>119.6</v>
      </c>
      <c r="H580" s="222" t="inlineStr">
        <is>
          <t>Idle</t>
        </is>
      </c>
      <c r="I580" s="222" t="inlineStr">
        <is>
          <t>05-23</t>
        </is>
      </c>
      <c r="J580" s="222" t="inlineStr"/>
    </row>
    <row r="581">
      <c r="A581" s="222" t="inlineStr">
        <is>
          <t>1030</t>
        </is>
      </c>
      <c r="B581" s="222" t="inlineStr">
        <is>
          <t>32985083</t>
        </is>
      </c>
      <c r="C581" s="222" t="inlineStr">
        <is>
          <t>CAB - NO CALLBACK - G1 GALLEY G1 GALLEY COUNTERTOP SEALANT DETERIORATED.</t>
        </is>
      </c>
      <c r="D581" s="222" t="inlineStr">
        <is>
          <t>1</t>
        </is>
      </c>
      <c r="E581" s="222" t="n">
        <v>2</v>
      </c>
      <c r="F581" s="222" t="n"/>
      <c r="G581" s="222" t="n"/>
      <c r="H581" s="222" t="inlineStr">
        <is>
          <t>Not Started</t>
        </is>
      </c>
      <c r="I581" s="222" t="inlineStr">
        <is>
          <t>25</t>
        </is>
      </c>
      <c r="J581" s="222" t="inlineStr"/>
    </row>
    <row r="582">
      <c r="A582" s="222" t="inlineStr">
        <is>
          <t>1031</t>
        </is>
      </c>
      <c r="B582" s="222" t="inlineStr">
        <is>
          <t>32985088</t>
        </is>
      </c>
      <c r="C582" s="222" t="inlineStr">
        <is>
          <t>CAB - NO CALLBACK - G2 GALLEY G2 GALLEY COUNTERTOP SEALANT DETERIORATED.</t>
        </is>
      </c>
      <c r="D582" s="222" t="inlineStr">
        <is>
          <t>1</t>
        </is>
      </c>
      <c r="E582" s="222" t="n">
        <v>2</v>
      </c>
      <c r="F582" s="222" t="n"/>
      <c r="G582" s="222" t="n"/>
      <c r="H582" s="222" t="inlineStr">
        <is>
          <t>Not Started</t>
        </is>
      </c>
      <c r="I582" s="222" t="inlineStr">
        <is>
          <t>25</t>
        </is>
      </c>
      <c r="J582" s="222" t="inlineStr"/>
    </row>
    <row r="583">
      <c r="A583" s="222" t="inlineStr">
        <is>
          <t>1034</t>
        </is>
      </c>
      <c r="B583" s="222" t="inlineStr">
        <is>
          <t>32985127</t>
        </is>
      </c>
      <c r="C583" s="222" t="inlineStr">
        <is>
          <t>CAB - NO CALLBACK - DESCENT DEVICE FLIGHT DECK FIRST OFFICER EMERGENCY DESCENT DEVICE COVER DETACHED.</t>
        </is>
      </c>
      <c r="D583" s="222" t="inlineStr">
        <is>
          <t>1</t>
        </is>
      </c>
      <c r="E583" s="222" t="n">
        <v>2</v>
      </c>
      <c r="F583" s="222" t="n"/>
      <c r="G583" s="222" t="n"/>
      <c r="H583" s="222" t="inlineStr">
        <is>
          <t>Not Started</t>
        </is>
      </c>
      <c r="I583" s="222" t="inlineStr">
        <is>
          <t>25-61</t>
        </is>
      </c>
      <c r="J583" s="222" t="inlineStr"/>
    </row>
    <row r="584">
      <c r="A584" s="222" t="inlineStr">
        <is>
          <t>1035</t>
        </is>
      </c>
      <c r="B584" s="222" t="inlineStr">
        <is>
          <t>32985290</t>
        </is>
      </c>
      <c r="C584" s="222" t="inlineStr">
        <is>
          <t>CAB - NO CALLBACK L1 DOOR INBOARD F/A SEAT UPPER BACK CUSHION WORN OUT</t>
        </is>
      </c>
      <c r="D584" s="222" t="inlineStr">
        <is>
          <t>1</t>
        </is>
      </c>
      <c r="E584" s="222" t="n"/>
      <c r="F584" s="222" t="n"/>
      <c r="G584" s="222" t="n"/>
      <c r="H584" s="222" t="inlineStr">
        <is>
          <t>Not Started</t>
        </is>
      </c>
      <c r="I584" s="222" t="inlineStr">
        <is>
          <t>25</t>
        </is>
      </c>
      <c r="J584" s="222" t="inlineStr"/>
    </row>
    <row r="585">
      <c r="A585" s="222" t="inlineStr">
        <is>
          <t>1036</t>
        </is>
      </c>
      <c r="B585" s="222" t="inlineStr">
        <is>
          <t>32985304</t>
        </is>
      </c>
      <c r="C585" s="222" t="inlineStr">
        <is>
          <t>CAB - NO CALLBACK L1 DOOR INBOARD F/A SEAT BACK CUSHION WORN OUT</t>
        </is>
      </c>
      <c r="D585" s="222" t="inlineStr">
        <is>
          <t>1</t>
        </is>
      </c>
      <c r="E585" s="222" t="n"/>
      <c r="F585" s="222" t="n"/>
      <c r="G585" s="222" t="n"/>
      <c r="H585" s="222" t="inlineStr">
        <is>
          <t>Not Started</t>
        </is>
      </c>
      <c r="I585" s="222" t="inlineStr">
        <is>
          <t>25</t>
        </is>
      </c>
      <c r="J585" s="222" t="inlineStr"/>
    </row>
    <row r="586">
      <c r="A586" s="222" t="inlineStr">
        <is>
          <t>1037</t>
        </is>
      </c>
      <c r="B586" s="222" t="inlineStr">
        <is>
          <t>32985321</t>
        </is>
      </c>
      <c r="C586" s="222" t="inlineStr">
        <is>
          <t>CAB - NO CALLBACK L1 DOOR INBOARD F/A SEAT BOTTOM CUSHION WORN OUT</t>
        </is>
      </c>
      <c r="D586" s="222" t="inlineStr">
        <is>
          <t>1</t>
        </is>
      </c>
      <c r="E586" s="222" t="n"/>
      <c r="F586" s="222" t="n"/>
      <c r="G586" s="222" t="n"/>
      <c r="H586" s="222" t="inlineStr">
        <is>
          <t>Not Started</t>
        </is>
      </c>
      <c r="I586" s="222" t="inlineStr">
        <is>
          <t>25</t>
        </is>
      </c>
      <c r="J586" s="222" t="inlineStr"/>
    </row>
    <row r="587">
      <c r="A587" s="222" t="inlineStr">
        <is>
          <t>1038</t>
        </is>
      </c>
      <c r="B587" s="222" t="inlineStr">
        <is>
          <t>32985332</t>
        </is>
      </c>
      <c r="C587" s="222" t="inlineStr">
        <is>
          <t>CAB - NO CALL BACK L1 DOOR INBOARD F/A SEAT BELT DIRTY</t>
        </is>
      </c>
      <c r="D587" s="222" t="inlineStr">
        <is>
          <t>1</t>
        </is>
      </c>
      <c r="E587" s="222" t="n"/>
      <c r="F587" s="222" t="n"/>
      <c r="G587" s="222" t="n"/>
      <c r="H587" s="222" t="inlineStr">
        <is>
          <t>Not Started</t>
        </is>
      </c>
      <c r="I587" s="222" t="inlineStr">
        <is>
          <t>25</t>
        </is>
      </c>
      <c r="J587" s="222" t="inlineStr"/>
    </row>
    <row r="588">
      <c r="A588" s="222" t="inlineStr">
        <is>
          <t>1041</t>
        </is>
      </c>
      <c r="B588" s="222" t="inlineStr">
        <is>
          <t>32985337</t>
        </is>
      </c>
      <c r="C588" s="222" t="inlineStr">
        <is>
          <t>CAB - NO CALLBACK R2 DOOR F/A SWIVEL SEAT BOTTOM CUSHION WORN OUT</t>
        </is>
      </c>
      <c r="D588" s="222" t="inlineStr">
        <is>
          <t>1</t>
        </is>
      </c>
      <c r="E588" s="222" t="n"/>
      <c r="F588" s="222" t="n"/>
      <c r="G588" s="222" t="n"/>
      <c r="H588" s="222" t="inlineStr">
        <is>
          <t>Not Started</t>
        </is>
      </c>
      <c r="I588" s="222" t="inlineStr">
        <is>
          <t>25</t>
        </is>
      </c>
      <c r="J588" s="222" t="inlineStr"/>
    </row>
    <row r="589">
      <c r="A589" s="222" t="inlineStr">
        <is>
          <t>1045</t>
        </is>
      </c>
      <c r="B589" s="222" t="inlineStr">
        <is>
          <t>32985343</t>
        </is>
      </c>
      <c r="C589" s="222" t="inlineStr">
        <is>
          <t>CAB - NO CALLBACK L1 DOOR OUTBOARD F/A SEAT BELT DIRTY</t>
        </is>
      </c>
      <c r="D589" s="222" t="inlineStr">
        <is>
          <t>1</t>
        </is>
      </c>
      <c r="E589" s="222" t="n"/>
      <c r="F589" s="222" t="n"/>
      <c r="G589" s="222" t="n"/>
      <c r="H589" s="222" t="inlineStr">
        <is>
          <t>Not Started</t>
        </is>
      </c>
      <c r="I589" s="222" t="inlineStr">
        <is>
          <t>25</t>
        </is>
      </c>
      <c r="J589" s="222" t="inlineStr"/>
    </row>
    <row r="590">
      <c r="A590" s="222" t="inlineStr">
        <is>
          <t>1046</t>
        </is>
      </c>
      <c r="B590" s="222" t="inlineStr">
        <is>
          <t>32985344</t>
        </is>
      </c>
      <c r="C590" s="222" t="inlineStr">
        <is>
          <t>CAB - NO CALLBACK L1 DOOR OUTBOARD F/A SEAT UPPER BUMPER DAMAGED</t>
        </is>
      </c>
      <c r="D590" s="222" t="inlineStr">
        <is>
          <t>1</t>
        </is>
      </c>
      <c r="E590" s="222" t="n"/>
      <c r="F590" s="222" t="n"/>
      <c r="G590" s="222" t="n"/>
      <c r="H590" s="222" t="inlineStr">
        <is>
          <t>Not Started</t>
        </is>
      </c>
      <c r="I590" s="222" t="inlineStr">
        <is>
          <t>25</t>
        </is>
      </c>
      <c r="J590" s="222" t="inlineStr"/>
    </row>
    <row r="591">
      <c r="A591" s="222" t="inlineStr">
        <is>
          <t>1048</t>
        </is>
      </c>
      <c r="B591" s="222" t="inlineStr">
        <is>
          <t>32985349</t>
        </is>
      </c>
      <c r="C591" s="222" t="inlineStr">
        <is>
          <t>CAB - NO CALLBACK L1 DOOR OUTBOARD F/A SEAT BOTTOM CUSHION WORN OUT</t>
        </is>
      </c>
      <c r="D591" s="222" t="inlineStr">
        <is>
          <t>1</t>
        </is>
      </c>
      <c r="E591" s="222" t="n"/>
      <c r="F591" s="222" t="n"/>
      <c r="G591" s="222" t="n"/>
      <c r="H591" s="222" t="inlineStr">
        <is>
          <t>Not Started</t>
        </is>
      </c>
      <c r="I591" s="222" t="inlineStr">
        <is>
          <t>25</t>
        </is>
      </c>
      <c r="J591" s="222" t="inlineStr"/>
    </row>
    <row r="592">
      <c r="A592" s="222" t="inlineStr">
        <is>
          <t>1049</t>
        </is>
      </c>
      <c r="B592" s="222" t="inlineStr">
        <is>
          <t>32985350</t>
        </is>
      </c>
      <c r="C592" s="222" t="inlineStr">
        <is>
          <t>CAB - NO CALLBACK L1 DOOR OUTBOARD F/A SEAT LOWER BACK CUSHION WORN OUT</t>
        </is>
      </c>
      <c r="D592" s="222" t="inlineStr">
        <is>
          <t>1</t>
        </is>
      </c>
      <c r="E592" s="222" t="n"/>
      <c r="F592" s="222" t="n"/>
      <c r="G592" s="222" t="n"/>
      <c r="H592" s="222" t="inlineStr">
        <is>
          <t>Not Started</t>
        </is>
      </c>
      <c r="I592" s="222" t="inlineStr">
        <is>
          <t>25</t>
        </is>
      </c>
      <c r="J592" s="222" t="inlineStr"/>
    </row>
    <row r="593">
      <c r="A593" s="222" t="inlineStr">
        <is>
          <t>1052</t>
        </is>
      </c>
      <c r="B593" s="222" t="inlineStr">
        <is>
          <t>32985353</t>
        </is>
      </c>
      <c r="C593" s="222" t="inlineStr">
        <is>
          <t>CAB - NO CALLBACK L2 DOOR F/A SEAT BOTTOM CUSHION WORN OUT</t>
        </is>
      </c>
      <c r="D593" s="222" t="inlineStr">
        <is>
          <t>1</t>
        </is>
      </c>
      <c r="E593" s="222" t="n"/>
      <c r="F593" s="222" t="n"/>
      <c r="G593" s="222" t="n"/>
      <c r="H593" s="222" t="inlineStr">
        <is>
          <t>Not Started</t>
        </is>
      </c>
      <c r="I593" s="222" t="inlineStr">
        <is>
          <t>25</t>
        </is>
      </c>
      <c r="J593" s="222" t="inlineStr"/>
    </row>
    <row r="594">
      <c r="A594" s="222" t="inlineStr">
        <is>
          <t>1053</t>
        </is>
      </c>
      <c r="B594" s="222" t="inlineStr">
        <is>
          <t>32985354</t>
        </is>
      </c>
      <c r="C594" s="222" t="inlineStr">
        <is>
          <t>CAB - NO CALLBACK L2 DOOR F/A SEAT LOWER BACK CUSHION WORN OUT</t>
        </is>
      </c>
      <c r="D594" s="222" t="inlineStr">
        <is>
          <t>1</t>
        </is>
      </c>
      <c r="E594" s="222" t="n"/>
      <c r="F594" s="222" t="n"/>
      <c r="G594" s="222" t="n"/>
      <c r="H594" s="222" t="inlineStr">
        <is>
          <t>Not Started</t>
        </is>
      </c>
      <c r="I594" s="222" t="inlineStr">
        <is>
          <t>25</t>
        </is>
      </c>
      <c r="J594" s="222" t="inlineStr"/>
    </row>
    <row r="595">
      <c r="A595" s="222" t="inlineStr">
        <is>
          <t>1055</t>
        </is>
      </c>
      <c r="B595" s="222" t="inlineStr">
        <is>
          <t>32985357</t>
        </is>
      </c>
      <c r="C595" s="222" t="inlineStr">
        <is>
          <t>CAB - NO CALLBACK R2 DOOR F/A SEAT BOTTOM CUSHION WORN OUT</t>
        </is>
      </c>
      <c r="D595" s="222" t="inlineStr">
        <is>
          <t>1</t>
        </is>
      </c>
      <c r="E595" s="222" t="n"/>
      <c r="F595" s="222" t="n"/>
      <c r="G595" s="222" t="n"/>
      <c r="H595" s="222" t="inlineStr">
        <is>
          <t>Not Started</t>
        </is>
      </c>
      <c r="I595" s="222" t="inlineStr">
        <is>
          <t>25</t>
        </is>
      </c>
      <c r="J595" s="222" t="inlineStr"/>
    </row>
    <row r="596">
      <c r="A596" s="222" t="inlineStr">
        <is>
          <t>1061</t>
        </is>
      </c>
      <c r="B596" s="222" t="inlineStr">
        <is>
          <t>32985832</t>
        </is>
      </c>
      <c r="C596" s="222" t="inlineStr">
        <is>
          <t>CAB -RII DURING OXYGEN GENERATOR CHECK FOUND GREEN LANYARD MISSING AND  BRIDLE ASSY  AT SEAT# 1 AC,2AC ,4AC,5AC,30ABC,31ABC,32ABC,34ABC,35ABC,36ABC,37ABC,38ABC,40ABC,41ABC,42ABC,43ABC,44ABC,</t>
        </is>
      </c>
      <c r="D596" s="222" t="inlineStr">
        <is>
          <t>1</t>
        </is>
      </c>
      <c r="E596" s="222" t="n"/>
      <c r="F596" s="222" t="n"/>
      <c r="G596" s="222" t="n"/>
      <c r="H596" s="222" t="inlineStr">
        <is>
          <t>Not Started</t>
        </is>
      </c>
      <c r="I596" s="222" t="inlineStr">
        <is>
          <t>35-23</t>
        </is>
      </c>
      <c r="J596" s="222" t="inlineStr"/>
    </row>
    <row r="597">
      <c r="A597" s="222" t="inlineStr">
        <is>
          <t>1062</t>
        </is>
      </c>
      <c r="B597" s="222" t="inlineStr">
        <is>
          <t>32985833</t>
        </is>
      </c>
      <c r="C597" s="222" t="inlineStr">
        <is>
          <t>CAB -RII DURING OXYGEN GENERATOR CHECK FOUND GREEN LANYARD MISSING AND  BRIDLE ASSY  AT SEAT# 2JL,4JL,30JKL,31JKL32JKL,34JKL,36JKL,37JKL,38JKL,39JKL,40JKL,41JKL,42JKL,43JKL,44JKL.</t>
        </is>
      </c>
      <c r="D597" s="222" t="inlineStr">
        <is>
          <t>1</t>
        </is>
      </c>
      <c r="E597" s="222" t="n"/>
      <c r="F597" s="222" t="n"/>
      <c r="G597" s="222" t="n"/>
      <c r="H597" s="222" t="inlineStr">
        <is>
          <t>Not Started</t>
        </is>
      </c>
      <c r="I597" s="222" t="inlineStr">
        <is>
          <t>35-23</t>
        </is>
      </c>
      <c r="J597" s="222" t="inlineStr"/>
    </row>
    <row r="598">
      <c r="A598" s="222" t="inlineStr">
        <is>
          <t>1063</t>
        </is>
      </c>
      <c r="B598" s="222" t="inlineStr">
        <is>
          <t>32985836</t>
        </is>
      </c>
      <c r="C598" s="222" t="inlineStr">
        <is>
          <t>RH THS TRAILING EDGE---AP---NO CALL BACK R/H THS TRAILING EDGE  HING FITTINGS/ ACTUATOR ATTACHMENT 06EA BOINGING JUMPER BROKEN/FRAYED</t>
        </is>
      </c>
      <c r="D598" s="222" t="inlineStr">
        <is>
          <t>1</t>
        </is>
      </c>
      <c r="E598" s="222" t="n">
        <v>6</v>
      </c>
      <c r="F598" s="222" t="n">
        <v>2</v>
      </c>
      <c r="G598" s="222" t="n">
        <v>67.40000000000001</v>
      </c>
      <c r="H598" s="222" t="inlineStr">
        <is>
          <t>Idle</t>
        </is>
      </c>
      <c r="I598" s="222" t="inlineStr">
        <is>
          <t>05-23</t>
        </is>
      </c>
      <c r="J598" s="222" t="inlineStr"/>
    </row>
    <row r="599">
      <c r="A599" s="222" t="inlineStr">
        <is>
          <t>1064</t>
        </is>
      </c>
      <c r="B599" s="222" t="inlineStr">
        <is>
          <t>32985860</t>
        </is>
      </c>
      <c r="C599" s="222" t="inlineStr">
        <is>
          <t>L/H THS TRAILING EDGE---AP---NO CALL BACK L/H THS TRAILING EDGE  HING FITTINGS/ ACT ATTACHMENT 05EA BONDING JUMPER BROKEN/FRAYED</t>
        </is>
      </c>
      <c r="D599" s="222" t="inlineStr">
        <is>
          <t>1</t>
        </is>
      </c>
      <c r="E599" s="222" t="n">
        <v>8</v>
      </c>
      <c r="F599" s="222" t="n">
        <v>2</v>
      </c>
      <c r="G599" s="222" t="n">
        <v>67.40000000000001</v>
      </c>
      <c r="H599" s="222" t="inlineStr">
        <is>
          <t>Idle</t>
        </is>
      </c>
      <c r="I599" s="222" t="inlineStr">
        <is>
          <t>05-23</t>
        </is>
      </c>
      <c r="J599" s="222" t="inlineStr"/>
    </row>
    <row r="600">
      <c r="A600" s="222" t="inlineStr">
        <is>
          <t>1068</t>
        </is>
      </c>
      <c r="B600" s="222" t="inlineStr">
        <is>
          <t>32985870</t>
        </is>
      </c>
      <c r="C600" s="222" t="inlineStr">
        <is>
          <t>L/H THS ---SM--RII LH THS TRAILING EDGE HINGE FITTING NO 6, INBOARD SIDE WITH CHAFING MARKS  DIMENSION  L= 0.5 INCH W=0.3 INCH D= 0.1 INCH</t>
        </is>
      </c>
      <c r="D600" s="222" t="inlineStr">
        <is>
          <t>1</t>
        </is>
      </c>
      <c r="E600" s="222" t="n"/>
      <c r="F600" s="222" t="n">
        <v>1</v>
      </c>
      <c r="G600" s="222" t="n">
        <v>66.59999999999999</v>
      </c>
      <c r="H600" s="222" t="inlineStr">
        <is>
          <t>Idle</t>
        </is>
      </c>
      <c r="I600" s="222" t="inlineStr">
        <is>
          <t>05-23</t>
        </is>
      </c>
      <c r="J600" s="222" t="inlineStr"/>
    </row>
    <row r="601">
      <c r="A601" s="222" t="inlineStr">
        <is>
          <t>1072</t>
        </is>
      </c>
      <c r="B601" s="222" t="inlineStr">
        <is>
          <t>32986985</t>
        </is>
      </c>
      <c r="C601" s="222" t="inlineStr">
        <is>
          <t>PRE---REAR AVIONICS COMPT---CALLBACK---AVN REAR AVIONICS COMPT 63VU, 80VU, 187 VU AND 188 VU ELECTRICAL CONNECTIONS AND LOWER ATTACHMETS REQ CLEANING TO FACILITATE THE INSPECTION.</t>
        </is>
      </c>
      <c r="D601" s="222" t="inlineStr">
        <is>
          <t>1</t>
        </is>
      </c>
      <c r="E601" s="222" t="n">
        <v>6</v>
      </c>
      <c r="F601" s="222" t="n"/>
      <c r="G601" s="222" t="n"/>
      <c r="H601" s="222" t="inlineStr">
        <is>
          <t>Not Started</t>
        </is>
      </c>
      <c r="I601" s="222" t="inlineStr">
        <is>
          <t>24-92</t>
        </is>
      </c>
      <c r="J601" s="222" t="inlineStr"/>
    </row>
    <row r="602">
      <c r="A602" s="222" t="inlineStr">
        <is>
          <t>1073</t>
        </is>
      </c>
      <c r="B602" s="222" t="inlineStr">
        <is>
          <t>32987001</t>
        </is>
      </c>
      <c r="C602" s="222" t="inlineStr">
        <is>
          <t>DBC/DOCUMENT S51-R10008- LH WING --RII--SM REF TO WO#26`191`406 DURING DBC REVIEW FOUND THE FOLLOWING  DURING COMPLIANCE OF LH WING DBC SCANNING FOUND LH WING INBOARD FLAPS LOWER SKIN SURFACE AT THE TRAILING EDGE AT FLAP RIB STATION 4 WITH MULTIPL...</t>
        </is>
      </c>
      <c r="D602" s="222" t="inlineStr">
        <is>
          <t>1</t>
        </is>
      </c>
      <c r="E602" s="222" t="n"/>
      <c r="F602" s="222" t="n">
        <v>10.8</v>
      </c>
      <c r="G602" s="222" t="n">
        <v>192.8</v>
      </c>
      <c r="H602" s="222" t="inlineStr">
        <is>
          <t>Idle</t>
        </is>
      </c>
      <c r="I602" s="222" t="inlineStr">
        <is>
          <t>51</t>
        </is>
      </c>
      <c r="J602" s="222" t="inlineStr"/>
    </row>
    <row r="603">
      <c r="A603" s="222" t="inlineStr">
        <is>
          <t>1074</t>
        </is>
      </c>
      <c r="B603" s="222" t="inlineStr">
        <is>
          <t>32987040</t>
        </is>
      </c>
      <c r="C603" s="222" t="inlineStr">
        <is>
          <t>DBC/DOCUMENT S51-R10008- LH WING --RII--SM REF TO WO# 26191411  DURING DBC REVIEW FOUND THE FOLLOWING   DURING COMPLIANCE OF LH WING DBC SCANNING FOUND LH WING INBOARD FLAPS UPPER SKIN SURFACE 9 INCHES FROM THE TRAILING EDGE OF THE INBOARD FLAP AT...</t>
        </is>
      </c>
      <c r="D603" s="222" t="inlineStr">
        <is>
          <t>1</t>
        </is>
      </c>
      <c r="E603" s="222" t="n"/>
      <c r="F603" s="222" t="n">
        <v>3.5</v>
      </c>
      <c r="G603" s="222" t="n">
        <v>192.5</v>
      </c>
      <c r="H603" s="222" t="inlineStr">
        <is>
          <t>Idle</t>
        </is>
      </c>
      <c r="I603" s="222" t="inlineStr">
        <is>
          <t>51</t>
        </is>
      </c>
      <c r="J603" s="222" t="inlineStr"/>
    </row>
    <row r="604">
      <c r="A604" s="222" t="inlineStr">
        <is>
          <t>1075</t>
        </is>
      </c>
      <c r="B604" s="222" t="inlineStr">
        <is>
          <t>32987066</t>
        </is>
      </c>
      <c r="C604" s="222" t="inlineStr">
        <is>
          <t>FINDING (NRC) TASKCARD 25-SVA-05 (01) / ITEM ONE ALL G/C SEAT BELT DIRTY</t>
        </is>
      </c>
      <c r="D604" s="222" t="inlineStr">
        <is>
          <t>1</t>
        </is>
      </c>
      <c r="E604" s="222" t="n">
        <v>6</v>
      </c>
      <c r="F604" s="222" t="n"/>
      <c r="G604" s="222" t="n"/>
      <c r="H604" s="222" t="inlineStr">
        <is>
          <t>Not Started</t>
        </is>
      </c>
      <c r="I604" s="222" t="inlineStr">
        <is>
          <t>25-21</t>
        </is>
      </c>
      <c r="J604" s="222" t="inlineStr"/>
    </row>
    <row r="605">
      <c r="A605" s="222" t="inlineStr">
        <is>
          <t>1077</t>
        </is>
      </c>
      <c r="B605" s="222" t="inlineStr">
        <is>
          <t>32987097</t>
        </is>
      </c>
      <c r="C605" s="222" t="inlineStr">
        <is>
          <t>CABIN FLOOR PANELS - CAB -CALLBACK COCKPIT PANEL # 211FF AND CABIN FLOOR PANEL NO: 232WF, 241EF, 241KF, 241LF,  242FF, 242KF, AND 242LF REQUIRES REMOVAL FOR ACCESS.</t>
        </is>
      </c>
      <c r="D605" s="222" t="inlineStr">
        <is>
          <t>1</t>
        </is>
      </c>
      <c r="E605" s="222" t="n"/>
      <c r="F605" s="222" t="n">
        <v>29.5</v>
      </c>
      <c r="G605" s="222" t="n">
        <v>185.8</v>
      </c>
      <c r="H605" s="222" t="inlineStr">
        <is>
          <t>Idle</t>
        </is>
      </c>
      <c r="I605" s="222" t="inlineStr">
        <is>
          <t>32-33</t>
        </is>
      </c>
      <c r="J605" s="222" t="inlineStr"/>
    </row>
    <row r="606">
      <c r="A606" s="222" t="inlineStr">
        <is>
          <t>1078</t>
        </is>
      </c>
      <c r="B606" s="222" t="inlineStr">
        <is>
          <t>32987238</t>
        </is>
      </c>
      <c r="C606" s="222" t="inlineStr">
        <is>
          <t>LOWER FUSELAGE PANELS - FS -NO CALLBACK LOWER FUSELAGE PANEL # 197BB, 198BB,198GB, 197GB, 192KB, 191KB, 191BB, 197AB, 191GB, 192FB, 192EB, 191HB AND 191AB REQUIRES CLEANING.</t>
        </is>
      </c>
      <c r="D606" s="222" t="inlineStr">
        <is>
          <t>1</t>
        </is>
      </c>
      <c r="E606" s="222" t="n"/>
      <c r="F606" s="222" t="n">
        <v>1</v>
      </c>
      <c r="G606" s="222" t="n">
        <v>156.7</v>
      </c>
      <c r="H606" s="222" t="inlineStr">
        <is>
          <t>Idle</t>
        </is>
      </c>
      <c r="I606" s="222" t="inlineStr">
        <is>
          <t>53-41</t>
        </is>
      </c>
      <c r="J606" s="222" t="inlineStr"/>
    </row>
    <row r="607">
      <c r="A607" s="222" t="inlineStr">
        <is>
          <t>1079</t>
        </is>
      </c>
      <c r="B607" s="222" t="inlineStr">
        <is>
          <t>32987295</t>
        </is>
      </c>
      <c r="C607" s="222" t="inlineStr">
        <is>
          <t>PRE---F/O FIXED WINDOW---RII---AP R/H SIDE F/O FIXED WINDOW WEATHER SEAL UPPER AREA FOUND WITH MISSING MATERIAL/WORNOUT AND AFT LOWER AREA FOUND WITH OLD IMPROPER REPAIR.</t>
        </is>
      </c>
      <c r="D607" s="222" t="inlineStr">
        <is>
          <t>1</t>
        </is>
      </c>
      <c r="E607" s="222" t="n">
        <v>8</v>
      </c>
      <c r="F607" s="222" t="n">
        <v>1</v>
      </c>
      <c r="G607" s="222" t="n">
        <v>165.3</v>
      </c>
      <c r="H607" s="222" t="inlineStr">
        <is>
          <t>Idle</t>
        </is>
      </c>
      <c r="I607" s="222" t="inlineStr">
        <is>
          <t>56-10</t>
        </is>
      </c>
      <c r="J607" s="222" t="inlineStr"/>
    </row>
    <row r="608">
      <c r="A608" s="222" t="inlineStr">
        <is>
          <t>1081</t>
        </is>
      </c>
      <c r="B608" s="222" t="inlineStr">
        <is>
          <t>32987455</t>
        </is>
      </c>
      <c r="C608" s="222" t="inlineStr">
        <is>
          <t>PRE---F/O SLIDING WINDOW---RII---AP R/H SIDE F/O SLIDING WINDOW OUTER SURFACE AFT UPPER AND LOWER WEATHER SEAL FOUND DAMAGE.</t>
        </is>
      </c>
      <c r="D608" s="222" t="inlineStr">
        <is>
          <t>1</t>
        </is>
      </c>
      <c r="E608" s="222" t="n">
        <v>8</v>
      </c>
      <c r="F608" s="222" t="n"/>
      <c r="G608" s="222" t="n"/>
      <c r="H608" s="222" t="inlineStr">
        <is>
          <t>Not Started</t>
        </is>
      </c>
      <c r="I608" s="222" t="inlineStr">
        <is>
          <t>56-10</t>
        </is>
      </c>
      <c r="J608" s="222" t="inlineStr"/>
    </row>
    <row r="609">
      <c r="A609" s="222" t="inlineStr">
        <is>
          <t>1082</t>
        </is>
      </c>
      <c r="B609" s="222" t="inlineStr">
        <is>
          <t>94844868</t>
        </is>
      </c>
      <c r="C609" s="222" t="inlineStr">
        <is>
          <t>L2 PAX DOOR REF. TO W/O: 94844866 LH-AFT PASSENGER DOOR SEAL RETAINER WITH DENT ON LOWER EDGE. L= 1.3"IN. W= 0.3"IN. D= 0.284"IN.</t>
        </is>
      </c>
      <c r="D609" s="222" t="inlineStr">
        <is>
          <t>N</t>
        </is>
      </c>
      <c r="E609" s="222" t="n"/>
      <c r="F609" s="222" t="n">
        <v>35</v>
      </c>
      <c r="G609" s="222" t="n">
        <v>348.3</v>
      </c>
      <c r="H609" s="222" t="inlineStr">
        <is>
          <t>Idle</t>
        </is>
      </c>
      <c r="I609" s="222" t="inlineStr">
        <is>
          <t>52</t>
        </is>
      </c>
      <c r="J609" s="222" t="inlineStr"/>
    </row>
    <row r="610">
      <c r="A610" s="222" t="inlineStr">
        <is>
          <t>1083</t>
        </is>
      </c>
      <c r="B610" s="222" t="inlineStr">
        <is>
          <t>32968390</t>
        </is>
      </c>
      <c r="C610" s="222" t="inlineStr">
        <is>
          <t>S25-D10305/A320 - PORTABLE (ELT) UNIT AND PROGRAMMING DONGLE (AIM)</t>
        </is>
      </c>
      <c r="D610" s="222" t="inlineStr">
        <is>
          <t>RON</t>
        </is>
      </c>
      <c r="E610" s="222" t="n">
        <v>0.6</v>
      </c>
      <c r="F610" s="222" t="n"/>
      <c r="G610" s="222" t="n"/>
      <c r="H610" s="222" t="inlineStr">
        <is>
          <t>Not Started</t>
        </is>
      </c>
      <c r="I610" s="222" t="inlineStr">
        <is>
          <t>25-60</t>
        </is>
      </c>
      <c r="J610" s="222" t="inlineStr"/>
    </row>
    <row r="611">
      <c r="A611" s="222" t="inlineStr">
        <is>
          <t>1084</t>
        </is>
      </c>
      <c r="B611" s="222" t="inlineStr">
        <is>
          <t>32913240</t>
        </is>
      </c>
      <c r="C611" s="222" t="inlineStr">
        <is>
          <t>S28-R10083/A320,321 REPETITIVE FUEL SUMP AND DRAIN - WATER REMOVAL</t>
        </is>
      </c>
      <c r="D611" s="222" t="inlineStr">
        <is>
          <t>RON</t>
        </is>
      </c>
      <c r="E611" s="222" t="n">
        <v>2</v>
      </c>
      <c r="F611" s="222" t="n">
        <v>3.5</v>
      </c>
      <c r="G611" s="222" t="n">
        <v>184.7</v>
      </c>
      <c r="H611" s="222" t="inlineStr">
        <is>
          <t>Idle</t>
        </is>
      </c>
      <c r="I611" s="222" t="inlineStr">
        <is>
          <t>28</t>
        </is>
      </c>
      <c r="J611" s="222" t="inlineStr"/>
    </row>
    <row r="612">
      <c r="A612" s="222" t="inlineStr">
        <is>
          <t>1085</t>
        </is>
      </c>
      <c r="B612" s="222" t="inlineStr">
        <is>
          <t>32984296</t>
        </is>
      </c>
      <c r="C612" s="222" t="inlineStr">
        <is>
          <t>S34-R10187/A320/A321 - T2CAS - UPDATE OF TERRAIN DATABASE INTO VERSION 227</t>
        </is>
      </c>
      <c r="D612" s="222" t="inlineStr">
        <is>
          <t>PJED</t>
        </is>
      </c>
      <c r="E612" s="222" t="n">
        <v>1.3</v>
      </c>
      <c r="F612" s="222" t="n"/>
      <c r="G612" s="222" t="n"/>
      <c r="H612" s="222" t="inlineStr">
        <is>
          <t>Not Started</t>
        </is>
      </c>
      <c r="I612" s="222" t="inlineStr">
        <is>
          <t>34</t>
        </is>
      </c>
      <c r="J612" s="222" t="inlineStr"/>
    </row>
    <row r="613">
      <c r="A613" s="222" t="inlineStr">
        <is>
          <t>1086</t>
        </is>
      </c>
      <c r="B613" s="222" t="inlineStr">
        <is>
          <t>32974165</t>
        </is>
      </c>
      <c r="C613" s="222" t="inlineStr">
        <is>
          <t>S52-R10175/ASD // L2 PAX DOOR SEAL RETAINER WITH DENT &amp; GOUGE</t>
        </is>
      </c>
      <c r="D613" s="222" t="inlineStr">
        <is>
          <t>1</t>
        </is>
      </c>
      <c r="E613" s="222" t="n">
        <v>0.2</v>
      </c>
      <c r="F613" s="222" t="n"/>
      <c r="G613" s="222" t="n"/>
      <c r="H613" s="222" t="inlineStr">
        <is>
          <t>Not Started</t>
        </is>
      </c>
      <c r="I613" s="222" t="inlineStr">
        <is>
          <t>53</t>
        </is>
      </c>
      <c r="J613" s="222" t="inlineStr"/>
    </row>
    <row r="614">
      <c r="A614" s="222" t="inlineStr">
        <is>
          <t>1088</t>
        </is>
      </c>
      <c r="B614" s="222" t="inlineStr">
        <is>
          <t>32987715</t>
        </is>
      </c>
      <c r="C614" s="222" t="inlineStr">
        <is>
          <t>PRE---F/O WIND SHIELD---RII---AP R/H SIDE F/O WINDSHIELD OUTER SURFACE UPPER SURFACE WEATHER SEAL FOUND WITH IMPROPER REPAIR APPLICATION AND R/H SIDE WEATHER SEAL FOUND WITH ROUGH REPAIR.</t>
        </is>
      </c>
      <c r="D614" s="222" t="inlineStr">
        <is>
          <t>1</t>
        </is>
      </c>
      <c r="E614" s="222" t="n">
        <v>8</v>
      </c>
      <c r="F614" s="222" t="n"/>
      <c r="G614" s="222" t="n"/>
      <c r="H614" s="222" t="inlineStr">
        <is>
          <t>Not Started</t>
        </is>
      </c>
      <c r="I614" s="222" t="inlineStr">
        <is>
          <t>56-10</t>
        </is>
      </c>
      <c r="J614" s="222" t="inlineStr"/>
    </row>
    <row r="615">
      <c r="A615" s="222" t="inlineStr">
        <is>
          <t>1091</t>
        </is>
      </c>
      <c r="B615" s="222" t="inlineStr">
        <is>
          <t>32987890</t>
        </is>
      </c>
      <c r="C615" s="222" t="inlineStr">
        <is>
          <t>DBC/DOCUMENT S51-R10008- LH HORIZONTAL STABILIZER LE --RII--SM REF TO WO#26`191`424 DURING DBC REVIEW FOUND THE FOLLOWING  DURING COMPLIANCE OF EMPENNAGE DBC SCANNING FOUND LH HORIZONTAL STABILIZER LEADING EDGE LOWER SKIN SURFACE SECTION BETWEEN T...</t>
        </is>
      </c>
      <c r="D615" s="222" t="inlineStr">
        <is>
          <t>1</t>
        </is>
      </c>
      <c r="E615" s="222" t="n"/>
      <c r="F615" s="222" t="n">
        <v>1.3</v>
      </c>
      <c r="G615" s="222" t="n">
        <v>192.1</v>
      </c>
      <c r="H615" s="222" t="inlineStr">
        <is>
          <t>Idle</t>
        </is>
      </c>
      <c r="I615" s="222" t="inlineStr">
        <is>
          <t>51</t>
        </is>
      </c>
      <c r="J615" s="222" t="inlineStr"/>
    </row>
    <row r="616">
      <c r="A616" s="222" t="inlineStr">
        <is>
          <t>1092</t>
        </is>
      </c>
      <c r="B616" s="222" t="inlineStr">
        <is>
          <t>32987935</t>
        </is>
      </c>
      <c r="C616" s="222" t="inlineStr">
        <is>
          <t>DBC/DOCUMENT S51-R10008- LH HORIZONTAL STABILIZER LE --RII--SM REF TO WO#26`191`432 DURING DBC REVIEW FOUND THE FOLLOWING  DURING COMPLIANCE OF EMPENNAGE DBC SCANNING FOUND LH HORIZONTAL STABILIZER LEADING EDGE LOWER SKIN SURFACE SECTION BETWEEN T...</t>
        </is>
      </c>
      <c r="D616" s="222" t="inlineStr">
        <is>
          <t>1</t>
        </is>
      </c>
      <c r="E616" s="222" t="n"/>
      <c r="F616" s="222" t="n">
        <v>1.2</v>
      </c>
      <c r="G616" s="222" t="n">
        <v>169.1</v>
      </c>
      <c r="H616" s="222" t="inlineStr">
        <is>
          <t>Idle</t>
        </is>
      </c>
      <c r="I616" s="222" t="inlineStr">
        <is>
          <t>51</t>
        </is>
      </c>
      <c r="J616" s="222" t="inlineStr"/>
    </row>
    <row r="617">
      <c r="A617" s="222" t="inlineStr">
        <is>
          <t>1094</t>
        </is>
      </c>
      <c r="B617" s="222" t="inlineStr">
        <is>
          <t>32987951</t>
        </is>
      </c>
      <c r="C617" s="222" t="inlineStr">
        <is>
          <t>PRE---CPT SLIDING WINDOW---RII---AP L/H SIDE CPT SLIDING WINDOW OUTER SURFACE AFT AND LOWER SIDE WEATHER SEAL FOUND WITH ROUGH REPAIR APPLICATION.</t>
        </is>
      </c>
      <c r="D617" s="222" t="inlineStr">
        <is>
          <t>1</t>
        </is>
      </c>
      <c r="E617" s="222" t="n">
        <v>8</v>
      </c>
      <c r="F617" s="222" t="n"/>
      <c r="G617" s="222" t="n"/>
      <c r="H617" s="222" t="inlineStr">
        <is>
          <t>Not Started</t>
        </is>
      </c>
      <c r="I617" s="222" t="inlineStr">
        <is>
          <t>56-10</t>
        </is>
      </c>
      <c r="J617" s="222" t="inlineStr"/>
    </row>
    <row r="618">
      <c r="A618" s="222" t="inlineStr">
        <is>
          <t>1095</t>
        </is>
      </c>
      <c r="B618" s="222" t="inlineStr">
        <is>
          <t>32987959</t>
        </is>
      </c>
      <c r="C618" s="222" t="inlineStr">
        <is>
          <t>PRE---CAPT FIXED WINDOW---RII---AP L/H SIDE CAPT FIXED WINDOW WEATHER SEAL AFT LOWER CORNER AREA FOUND  DAMAGE.</t>
        </is>
      </c>
      <c r="D618" s="222" t="inlineStr">
        <is>
          <t>1</t>
        </is>
      </c>
      <c r="E618" s="222" t="n">
        <v>8</v>
      </c>
      <c r="F618" s="222" t="n"/>
      <c r="G618" s="222" t="n"/>
      <c r="H618" s="222" t="inlineStr">
        <is>
          <t>Not Started</t>
        </is>
      </c>
      <c r="I618" s="222" t="inlineStr">
        <is>
          <t>56-10</t>
        </is>
      </c>
      <c r="J618" s="222" t="inlineStr"/>
    </row>
    <row r="619">
      <c r="A619" s="222" t="inlineStr">
        <is>
          <t>1096</t>
        </is>
      </c>
      <c r="B619" s="222" t="inlineStr">
        <is>
          <t>32987947</t>
        </is>
      </c>
      <c r="C619" s="222" t="inlineStr">
        <is>
          <t>DBC/DOCUMENT S51-R10008- LH WING--RII--SM REF TO WO#26191340  DURING COMPLIANCE OF LH WING DBC SCANNING FOUND LH WING INBOARD FLAPS LOWER SKIN SURFACE AT THE TRAILING EDGE BETWEEN FLAP RIB STATION 6 TO 7 WITH MULTIPLE SMALL DENTS  LARGEST DIMENSIO...</t>
        </is>
      </c>
      <c r="D619" s="222" t="inlineStr">
        <is>
          <t>1</t>
        </is>
      </c>
      <c r="E619" s="222" t="n"/>
      <c r="F619" s="222" t="n">
        <v>0.2</v>
      </c>
      <c r="G619" s="222" t="n">
        <v>169.3</v>
      </c>
      <c r="H619" s="222" t="inlineStr">
        <is>
          <t>Idle</t>
        </is>
      </c>
      <c r="I619" s="222" t="inlineStr">
        <is>
          <t>51</t>
        </is>
      </c>
      <c r="J619" s="222" t="inlineStr"/>
    </row>
    <row r="620">
      <c r="A620" s="222" t="inlineStr">
        <is>
          <t>1099</t>
        </is>
      </c>
      <c r="B620" s="222" t="inlineStr">
        <is>
          <t>32987973</t>
        </is>
      </c>
      <c r="C620" s="222" t="inlineStr">
        <is>
          <t>DBC/DOCUMENT S51-R10008- RH WING--RII--SM REF TO WO#26`191`414  DURING COMPLIANCE OF RH WING DBC SCANNING FOUND RH WING INBOARD FLAPS LOWER SKIN SURFACE AT THE TRAILING EDGE SECTION BETWEEN FLAP RIB STATION 4 TO 5 WITH MULTIPLE SMALL DENTS  LARGES...</t>
        </is>
      </c>
      <c r="D620" s="222" t="inlineStr">
        <is>
          <t>1</t>
        </is>
      </c>
      <c r="E620" s="222" t="n"/>
      <c r="F620" s="222" t="n">
        <v>5.2</v>
      </c>
      <c r="G620" s="222" t="n">
        <v>169.4</v>
      </c>
      <c r="H620" s="222" t="inlineStr">
        <is>
          <t>Idle</t>
        </is>
      </c>
      <c r="I620" s="222" t="inlineStr">
        <is>
          <t>51</t>
        </is>
      </c>
      <c r="J620" s="222" t="inlineStr"/>
    </row>
    <row r="621">
      <c r="A621" s="222" t="inlineStr">
        <is>
          <t>1100</t>
        </is>
      </c>
      <c r="B621" s="222" t="inlineStr">
        <is>
          <t>32987976</t>
        </is>
      </c>
      <c r="C621" s="222" t="inlineStr">
        <is>
          <t>PRE---AFT CARGO---NOCALLBACK---AP AFT AND BULK CARGO COMPT DOOR NET IDENTIFICATION LABEL FOUND TORN AND NET STRIPS FOUND DETACHED.</t>
        </is>
      </c>
      <c r="D621" s="222" t="inlineStr">
        <is>
          <t>1</t>
        </is>
      </c>
      <c r="E621" s="222" t="n">
        <v>6</v>
      </c>
      <c r="F621" s="222" t="n"/>
      <c r="G621" s="222" t="n"/>
      <c r="H621" s="222" t="inlineStr">
        <is>
          <t>Not Started</t>
        </is>
      </c>
      <c r="I621" s="222" t="inlineStr">
        <is>
          <t>25-50</t>
        </is>
      </c>
      <c r="J621" s="222" t="inlineStr"/>
    </row>
    <row r="622">
      <c r="A622" s="222" t="inlineStr">
        <is>
          <t>1101</t>
        </is>
      </c>
      <c r="B622" s="222" t="inlineStr">
        <is>
          <t>32987983</t>
        </is>
      </c>
      <c r="C622" s="222" t="inlineStr">
        <is>
          <t>PRE---AFT CARGO---NOCALLBACK---AP AFT AND BULK CARGO COMPT DOOR NET,  IDENTIFICATION LABEL AND DIVIDER NET FOUND EXCESSIVE DIRTY WITH STAIN MARKS.</t>
        </is>
      </c>
      <c r="D622" s="222" t="inlineStr">
        <is>
          <t>1</t>
        </is>
      </c>
      <c r="E622" s="222" t="n">
        <v>6</v>
      </c>
      <c r="F622" s="222" t="n"/>
      <c r="G622" s="222" t="n"/>
      <c r="H622" s="222" t="inlineStr">
        <is>
          <t>Not Started</t>
        </is>
      </c>
      <c r="I622" s="222" t="inlineStr">
        <is>
          <t>25-50</t>
        </is>
      </c>
      <c r="J622" s="222" t="inlineStr"/>
    </row>
    <row r="623">
      <c r="A623" s="222" t="inlineStr">
        <is>
          <t>1102</t>
        </is>
      </c>
      <c r="B623" s="222" t="inlineStr">
        <is>
          <t>32987979</t>
        </is>
      </c>
      <c r="C623" s="222" t="inlineStr">
        <is>
          <t>DBC/DOCUMENT S51-R10008-RH HORIZONTAL STABILIZER LE- RII--SM REF TO WO#26`191`479  DURING COMPLIANCE OF EMPENNAGE DBC SCANNING FOUND RH HORIZONTAL STABILIZER LEADING EDGE LOWER SKIN SURFACE SECTION BETWEEN THS RIB STATION 9 WITH MULTIPLE SMALL DEN...</t>
        </is>
      </c>
      <c r="D623" s="222" t="inlineStr">
        <is>
          <t>1</t>
        </is>
      </c>
      <c r="E623" s="222" t="n"/>
      <c r="F623" s="222" t="n">
        <v>0.2</v>
      </c>
      <c r="G623" s="222" t="n">
        <v>169.6</v>
      </c>
      <c r="H623" s="222" t="inlineStr">
        <is>
          <t>Idle</t>
        </is>
      </c>
      <c r="I623" s="222" t="inlineStr">
        <is>
          <t>51</t>
        </is>
      </c>
      <c r="J623" s="222" t="inlineStr"/>
    </row>
    <row r="624">
      <c r="A624" s="222" t="inlineStr">
        <is>
          <t>1103</t>
        </is>
      </c>
      <c r="B624" s="222" t="inlineStr">
        <is>
          <t>32988009</t>
        </is>
      </c>
      <c r="C624" s="222" t="inlineStr">
        <is>
          <t>PRE---L/H WING FIXED L/E---NOCALLBACK---AP L/H WING FIXED LEADING EDGE (FROM ROOT TO TIP) INNER STRUCTURE,  SURFACE PROTECTION FOUND CHIPPED AND MISSING.</t>
        </is>
      </c>
      <c r="D624" s="222" t="inlineStr">
        <is>
          <t>1</t>
        </is>
      </c>
      <c r="E624" s="222" t="n">
        <v>8</v>
      </c>
      <c r="F624" s="222" t="n"/>
      <c r="G624" s="222" t="n"/>
      <c r="H624" s="222" t="inlineStr">
        <is>
          <t>Not Started</t>
        </is>
      </c>
      <c r="I624" s="222" t="inlineStr">
        <is>
          <t>05-25</t>
        </is>
      </c>
      <c r="J624" s="222" t="inlineStr"/>
    </row>
    <row r="625">
      <c r="A625" s="222" t="inlineStr">
        <is>
          <t>1104</t>
        </is>
      </c>
      <c r="B625" s="222" t="inlineStr">
        <is>
          <t>32988013</t>
        </is>
      </c>
      <c r="C625" s="222" t="inlineStr">
        <is>
          <t>PRE---R/H WING FIXED L/E---NOCALLBACK---AP R/H WING FIXED LEADING EDGE (FROM ROOT TO TIP) INNER STRUCTURE,  SURFACE PROTECTION FOUND CHIPPED AND MISSING.</t>
        </is>
      </c>
      <c r="D625" s="222" t="inlineStr">
        <is>
          <t>1</t>
        </is>
      </c>
      <c r="E625" s="222" t="n">
        <v>8</v>
      </c>
      <c r="F625" s="222" t="n"/>
      <c r="G625" s="222" t="n"/>
      <c r="H625" s="222" t="inlineStr">
        <is>
          <t>Not Started</t>
        </is>
      </c>
      <c r="I625" s="222" t="inlineStr">
        <is>
          <t>05-25</t>
        </is>
      </c>
      <c r="J625" s="222" t="inlineStr"/>
    </row>
    <row r="626">
      <c r="A626" s="222" t="inlineStr">
        <is>
          <t>1106</t>
        </is>
      </c>
      <c r="B626" s="222" t="inlineStr">
        <is>
          <t>32988202</t>
        </is>
      </c>
      <c r="C626" s="222" t="inlineStr">
        <is>
          <t>RUDDER ACTUATOR-AP-RII DURING RUDDER SERVO CONTROL FUNCTIONAL CHECK FOUND YELLOW RUDDER SERVO ACTUATOR OUT OF LIMITS</t>
        </is>
      </c>
      <c r="D626" s="222" t="inlineStr">
        <is>
          <t>1</t>
        </is>
      </c>
      <c r="E626" s="222" t="n">
        <v>16</v>
      </c>
      <c r="F626" s="222" t="n"/>
      <c r="G626" s="222" t="n"/>
      <c r="H626" s="222" t="inlineStr">
        <is>
          <t>Not Started</t>
        </is>
      </c>
      <c r="I626" s="222" t="inlineStr">
        <is>
          <t>27-24</t>
        </is>
      </c>
      <c r="J626" s="222" t="inlineStr"/>
    </row>
    <row r="627">
      <c r="A627" s="222" t="inlineStr">
        <is>
          <t>1107</t>
        </is>
      </c>
      <c r="B627" s="222" t="inlineStr">
        <is>
          <t>32988329</t>
        </is>
      </c>
      <c r="C627" s="222" t="inlineStr">
        <is>
          <t>PAINT - NO CALL BACK - CEILING PANEL CEILING PANEL FOUND DAMAGED ABOVE 4LJ</t>
        </is>
      </c>
      <c r="D627" s="222" t="inlineStr">
        <is>
          <t>1</t>
        </is>
      </c>
      <c r="E627" s="222" t="n">
        <v>2</v>
      </c>
      <c r="F627" s="222" t="n"/>
      <c r="G627" s="222" t="n"/>
      <c r="H627" s="222" t="inlineStr">
        <is>
          <t>Not Started</t>
        </is>
      </c>
      <c r="I627" s="222" t="inlineStr">
        <is>
          <t>25-10</t>
        </is>
      </c>
      <c r="J627" s="222" t="inlineStr"/>
    </row>
    <row r="628">
      <c r="A628" s="222" t="inlineStr">
        <is>
          <t>1108</t>
        </is>
      </c>
      <c r="B628" s="222" t="inlineStr">
        <is>
          <t>32988444</t>
        </is>
      </c>
      <c r="C628" s="222" t="inlineStr">
        <is>
          <t>PAINT - NO CALL BACK - CEILING PANEL CHIPPED CEILING PANEL CRACKED/CHIPPED AT 41CBA</t>
        </is>
      </c>
      <c r="D628" s="222" t="inlineStr">
        <is>
          <t>1</t>
        </is>
      </c>
      <c r="E628" s="222" t="n">
        <v>4</v>
      </c>
      <c r="F628" s="222" t="n"/>
      <c r="G628" s="222" t="n"/>
      <c r="H628" s="222" t="inlineStr">
        <is>
          <t>Not Started</t>
        </is>
      </c>
      <c r="I628" s="222" t="inlineStr">
        <is>
          <t>25-10</t>
        </is>
      </c>
      <c r="J628" s="222" t="inlineStr"/>
    </row>
    <row r="629">
      <c r="A629" s="222" t="inlineStr">
        <is>
          <t>1110</t>
        </is>
      </c>
      <c r="B629" s="222" t="inlineStr">
        <is>
          <t>32988479</t>
        </is>
      </c>
      <c r="C629" s="222" t="inlineStr">
        <is>
          <t>CAB - NO CALL BACK - OSB OSB UPPER TRIM BROKEN AT 44 LKJ</t>
        </is>
      </c>
      <c r="D629" s="222" t="inlineStr">
        <is>
          <t>1</t>
        </is>
      </c>
      <c r="E629" s="222" t="n">
        <v>1.5</v>
      </c>
      <c r="F629" s="222" t="n"/>
      <c r="G629" s="222" t="n"/>
      <c r="H629" s="222" t="inlineStr">
        <is>
          <t>Not Started</t>
        </is>
      </c>
      <c r="I629" s="222" t="inlineStr">
        <is>
          <t>25-10</t>
        </is>
      </c>
      <c r="J629" s="222" t="inlineStr"/>
    </row>
    <row r="630">
      <c r="A630" s="222" t="inlineStr">
        <is>
          <t>1111</t>
        </is>
      </c>
      <c r="B630" s="222" t="inlineStr">
        <is>
          <t>32988506</t>
        </is>
      </c>
      <c r="C630" s="222" t="inlineStr">
        <is>
          <t>CAB - NO CALL BACK - GLLY SLIDING TABLE 2EA RETAINER FADED</t>
        </is>
      </c>
      <c r="D630" s="222" t="inlineStr">
        <is>
          <t>1</t>
        </is>
      </c>
      <c r="E630" s="222" t="n"/>
      <c r="F630" s="222" t="n"/>
      <c r="G630" s="222" t="n"/>
      <c r="H630" s="222" t="inlineStr">
        <is>
          <t>Not Started</t>
        </is>
      </c>
      <c r="I630" s="222" t="inlineStr">
        <is>
          <t>25-10</t>
        </is>
      </c>
      <c r="J630" s="222" t="inlineStr"/>
    </row>
    <row r="631">
      <c r="A631" s="222" t="inlineStr">
        <is>
          <t>1112</t>
        </is>
      </c>
      <c r="B631" s="222" t="inlineStr">
        <is>
          <t>32988660</t>
        </is>
      </c>
      <c r="C631" s="222" t="inlineStr">
        <is>
          <t>PANT - NO CALL BACK - OSB OSB AT 44 CBA PAINT CHIPPED &amp; INNER DENTS</t>
        </is>
      </c>
      <c r="D631" s="222" t="inlineStr">
        <is>
          <t>1</t>
        </is>
      </c>
      <c r="E631" s="222" t="n">
        <v>4</v>
      </c>
      <c r="F631" s="222" t="n"/>
      <c r="G631" s="222" t="n"/>
      <c r="H631" s="222" t="inlineStr">
        <is>
          <t>Not Started</t>
        </is>
      </c>
      <c r="I631" s="222" t="inlineStr">
        <is>
          <t>25-10</t>
        </is>
      </c>
      <c r="J631" s="222" t="inlineStr"/>
    </row>
    <row r="632">
      <c r="A632" s="222" t="inlineStr">
        <is>
          <t>1113</t>
        </is>
      </c>
      <c r="B632" s="222" t="inlineStr">
        <is>
          <t>32988687</t>
        </is>
      </c>
      <c r="C632" s="222" t="inlineStr">
        <is>
          <t>CAB - NO CALL BACK - OSB OSB DEVIDER DAMAGED AT 32LKJ</t>
        </is>
      </c>
      <c r="D632" s="222" t="inlineStr">
        <is>
          <t>1</t>
        </is>
      </c>
      <c r="E632" s="222" t="n">
        <v>2</v>
      </c>
      <c r="F632" s="222" t="n"/>
      <c r="G632" s="222" t="n"/>
      <c r="H632" s="222" t="inlineStr">
        <is>
          <t>Not Started</t>
        </is>
      </c>
      <c r="I632" s="222" t="inlineStr">
        <is>
          <t>25-10</t>
        </is>
      </c>
      <c r="J632" s="222" t="inlineStr"/>
    </row>
    <row r="633">
      <c r="A633" s="222" t="inlineStr">
        <is>
          <t>1114</t>
        </is>
      </c>
      <c r="B633" s="222" t="inlineStr">
        <is>
          <t>32988706</t>
        </is>
      </c>
      <c r="C633" s="222" t="inlineStr">
        <is>
          <t>CAB - NO CALL BACK - EMERGENCY CHART EMERGENCY CHART HOLDER FOUND DAMAGED</t>
        </is>
      </c>
      <c r="D633" s="222" t="inlineStr">
        <is>
          <t>1</t>
        </is>
      </c>
      <c r="E633" s="222" t="n">
        <v>1</v>
      </c>
      <c r="F633" s="222" t="n"/>
      <c r="G633" s="222" t="n"/>
      <c r="H633" s="222" t="inlineStr">
        <is>
          <t>Not Started</t>
        </is>
      </c>
      <c r="I633" s="222" t="inlineStr">
        <is>
          <t>25-10</t>
        </is>
      </c>
      <c r="J633" s="222" t="inlineStr"/>
    </row>
    <row r="634">
      <c r="A634" s="222" t="inlineStr">
        <is>
          <t>1115</t>
        </is>
      </c>
      <c r="B634" s="222" t="inlineStr">
        <is>
          <t>32988779</t>
        </is>
      </c>
      <c r="C634" s="222" t="inlineStr">
        <is>
          <t>CAB - NO CALL BACK - OSB OSB UPPER LINER BROKEN AT 3 CA</t>
        </is>
      </c>
      <c r="D634" s="222" t="inlineStr">
        <is>
          <t>1</t>
        </is>
      </c>
      <c r="E634" s="222" t="n">
        <v>1.5</v>
      </c>
      <c r="F634" s="222" t="n"/>
      <c r="G634" s="222" t="n"/>
      <c r="H634" s="222" t="inlineStr">
        <is>
          <t>Not Started</t>
        </is>
      </c>
      <c r="I634" s="222" t="inlineStr">
        <is>
          <t>25-10</t>
        </is>
      </c>
      <c r="J634" s="222" t="inlineStr"/>
    </row>
    <row r="635">
      <c r="A635" s="222" t="inlineStr">
        <is>
          <t>1116</t>
        </is>
      </c>
      <c r="B635" s="222" t="inlineStr">
        <is>
          <t>32988786</t>
        </is>
      </c>
      <c r="C635" s="222" t="inlineStr">
        <is>
          <t>PAINT - NO CALL BACK - OSB OSB PAINT FOUND CHIPPED AT 1 CA</t>
        </is>
      </c>
      <c r="D635" s="222" t="inlineStr">
        <is>
          <t>1</t>
        </is>
      </c>
      <c r="E635" s="222" t="n">
        <v>1</v>
      </c>
      <c r="F635" s="222" t="n"/>
      <c r="G635" s="222" t="n"/>
      <c r="H635" s="222" t="inlineStr">
        <is>
          <t>Not Started</t>
        </is>
      </c>
      <c r="I635" s="222" t="inlineStr">
        <is>
          <t>25-10</t>
        </is>
      </c>
      <c r="J635" s="222" t="inlineStr"/>
    </row>
    <row r="636">
      <c r="A636" s="222" t="inlineStr">
        <is>
          <t>1118</t>
        </is>
      </c>
      <c r="B636" s="222" t="inlineStr">
        <is>
          <t>32988998</t>
        </is>
      </c>
      <c r="C636" s="222" t="inlineStr">
        <is>
          <t>PRE---FWD CARGO---NOCALLBACK---AP FWD CARGO COMPT CNTR TANK FWD BKHD INSULATION BLANKET FOUND DUSTY AND DIRTY.</t>
        </is>
      </c>
      <c r="D636" s="222" t="inlineStr">
        <is>
          <t>1</t>
        </is>
      </c>
      <c r="E636" s="222" t="n">
        <v>8</v>
      </c>
      <c r="F636" s="222" t="n"/>
      <c r="G636" s="222" t="n"/>
      <c r="H636" s="222" t="inlineStr">
        <is>
          <t>Not Started</t>
        </is>
      </c>
      <c r="I636" s="222" t="inlineStr">
        <is>
          <t>28-18</t>
        </is>
      </c>
      <c r="J636" s="222" t="inlineStr"/>
    </row>
    <row r="637">
      <c r="A637" s="222" t="inlineStr">
        <is>
          <t>1120</t>
        </is>
      </c>
      <c r="B637" s="222" t="inlineStr">
        <is>
          <t>32989039</t>
        </is>
      </c>
      <c r="C637" s="222" t="inlineStr">
        <is>
          <t>PRE---VERTICAL STAB---NOCALLBACK---FS VERTICAL STAB TIP AREA ELEMENT FIT ON HARNES 4202VB AND 4204VB SURROUNDING AREA FOUND DUSTY AND DIRTY.</t>
        </is>
      </c>
      <c r="D637" s="222" t="inlineStr">
        <is>
          <t>1</t>
        </is>
      </c>
      <c r="E637" s="222" t="n"/>
      <c r="F637" s="222" t="n">
        <v>11</v>
      </c>
      <c r="G637" s="222" t="n">
        <v>130.4</v>
      </c>
      <c r="H637" s="222" t="inlineStr">
        <is>
          <t>Idle</t>
        </is>
      </c>
      <c r="I637" s="222" t="inlineStr">
        <is>
          <t>24-92</t>
        </is>
      </c>
      <c r="J637" s="222" t="inlineStr"/>
    </row>
    <row r="638">
      <c r="A638" s="222" t="inlineStr">
        <is>
          <t>1121</t>
        </is>
      </c>
      <c r="B638" s="222" t="inlineStr">
        <is>
          <t>32988850</t>
        </is>
      </c>
      <c r="C638" s="222" t="inlineStr">
        <is>
          <t>CAB - NO CALLBACK - FWD GALLEY FWD GALLEY 8 EA AIR FLAP SEAL DETERIORATED.</t>
        </is>
      </c>
      <c r="D638" s="222" t="inlineStr">
        <is>
          <t>1</t>
        </is>
      </c>
      <c r="E638" s="222" t="n"/>
      <c r="F638" s="222" t="n"/>
      <c r="G638" s="222" t="n"/>
      <c r="H638" s="222" t="inlineStr">
        <is>
          <t>Not Started</t>
        </is>
      </c>
      <c r="I638" s="222" t="inlineStr">
        <is>
          <t>25-10</t>
        </is>
      </c>
      <c r="J638" s="222" t="inlineStr"/>
    </row>
    <row r="639">
      <c r="A639" s="222" t="inlineStr">
        <is>
          <t>1122</t>
        </is>
      </c>
      <c r="B639" s="222" t="inlineStr">
        <is>
          <t>32989105</t>
        </is>
      </c>
      <c r="C639" s="222" t="inlineStr">
        <is>
          <t>PRE---L/H THS---NOCALLBACK---AP L/H HORIZONTAL STAB TRAILING EDGE ACCESS THROUGH PANELS  ( 334 FB,  01 EA ), ( 334 DB,  02 EA ) AND  ( 334 BB,  01 EA ) BONDING WIRES FOUND BROKEN.</t>
        </is>
      </c>
      <c r="D639" s="222" t="inlineStr">
        <is>
          <t>1</t>
        </is>
      </c>
      <c r="E639" s="222" t="n">
        <v>8</v>
      </c>
      <c r="F639" s="222" t="n"/>
      <c r="G639" s="222" t="n"/>
      <c r="H639" s="222" t="inlineStr">
        <is>
          <t>Not Started</t>
        </is>
      </c>
      <c r="I639" s="222" t="inlineStr">
        <is>
          <t>24-92</t>
        </is>
      </c>
      <c r="J639" s="222" t="inlineStr"/>
    </row>
    <row r="640">
      <c r="A640" s="222" t="inlineStr">
        <is>
          <t>1123</t>
        </is>
      </c>
      <c r="B640" s="222" t="inlineStr">
        <is>
          <t>32989125</t>
        </is>
      </c>
      <c r="C640" s="222" t="inlineStr">
        <is>
          <t>PRE---R/H THS---NOCALLBACK---AP R/H HORIZONTAL STAB TRAILING EDGE ACCESS THROUGH PANELS ( 334 BB,334 CB AND 334 DB ) 05 EA BONDING WIRES FOUND BROKEN.</t>
        </is>
      </c>
      <c r="D640" s="222" t="inlineStr">
        <is>
          <t>1</t>
        </is>
      </c>
      <c r="E640" s="222" t="n">
        <v>8</v>
      </c>
      <c r="F640" s="222" t="n"/>
      <c r="G640" s="222" t="n"/>
      <c r="H640" s="222" t="inlineStr">
        <is>
          <t>Not Started</t>
        </is>
      </c>
      <c r="I640" s="222" t="inlineStr">
        <is>
          <t>24-92</t>
        </is>
      </c>
      <c r="J640" s="222" t="inlineStr"/>
    </row>
    <row r="641">
      <c r="A641" s="222" t="inlineStr">
        <is>
          <t>1124</t>
        </is>
      </c>
      <c r="B641" s="222" t="inlineStr">
        <is>
          <t>32989133</t>
        </is>
      </c>
      <c r="C641" s="222" t="inlineStr">
        <is>
          <t>CAB - NO CALL BACK - GLLY G2 GALLEY SEVERAL RUB STRIP FADED</t>
        </is>
      </c>
      <c r="D641" s="222" t="inlineStr">
        <is>
          <t>1</t>
        </is>
      </c>
      <c r="E641" s="222" t="n"/>
      <c r="F641" s="222" t="n"/>
      <c r="G641" s="222" t="n"/>
      <c r="H641" s="222" t="inlineStr">
        <is>
          <t>Not Started</t>
        </is>
      </c>
      <c r="I641" s="222" t="inlineStr">
        <is>
          <t>25-10</t>
        </is>
      </c>
      <c r="J641" s="222" t="inlineStr"/>
    </row>
    <row r="642">
      <c r="A642" s="222" t="inlineStr">
        <is>
          <t>1126</t>
        </is>
      </c>
      <c r="B642" s="222" t="inlineStr">
        <is>
          <t>32989457</t>
        </is>
      </c>
      <c r="C642" s="222" t="inlineStr">
        <is>
          <t>CABIN FLOOR PANELS - CAB - CALLBACK COCKPIT/CABIN FLOOR PANELS 211FF REQUIRE REMOVAL FOR ACCESS.</t>
        </is>
      </c>
      <c r="D642" s="222" t="inlineStr">
        <is>
          <t>1</t>
        </is>
      </c>
      <c r="E642" s="222" t="n"/>
      <c r="F642" s="222" t="n">
        <v>2.5</v>
      </c>
      <c r="G642" s="222" t="n">
        <v>169.1</v>
      </c>
      <c r="H642" s="222" t="inlineStr">
        <is>
          <t>Idle</t>
        </is>
      </c>
      <c r="I642" s="222" t="inlineStr">
        <is>
          <t>25</t>
        </is>
      </c>
      <c r="J642" s="222" t="inlineStr"/>
    </row>
    <row r="643">
      <c r="A643" s="222" t="inlineStr">
        <is>
          <t>1127</t>
        </is>
      </c>
      <c r="B643" s="222" t="inlineStr">
        <is>
          <t>32989455</t>
        </is>
      </c>
      <c r="C643" s="222" t="inlineStr">
        <is>
          <t>CAB - NO CALL BACK - AFT GALLEY 502 AFT GALLEY COMPARTMENT 502 SLAM LATCH INOP</t>
        </is>
      </c>
      <c r="D643" s="222" t="inlineStr">
        <is>
          <t>1</t>
        </is>
      </c>
      <c r="E643" s="222" t="n"/>
      <c r="F643" s="222" t="n"/>
      <c r="G643" s="222" t="n"/>
      <c r="H643" s="222" t="inlineStr">
        <is>
          <t>Not Started</t>
        </is>
      </c>
      <c r="I643" s="222" t="inlineStr">
        <is>
          <t>25-00</t>
        </is>
      </c>
      <c r="J643" s="222" t="inlineStr"/>
    </row>
    <row r="644">
      <c r="A644" s="222" t="inlineStr">
        <is>
          <t>1128</t>
        </is>
      </c>
      <c r="B644" s="222" t="inlineStr">
        <is>
          <t>32989472</t>
        </is>
      </c>
      <c r="C644" s="222" t="inlineStr">
        <is>
          <t>CAB - NO CALL BACK - B/C HOUSEKEEPING B/C 1A AND 2C REQUIRE HOUSEKEEPING</t>
        </is>
      </c>
      <c r="D644" s="222" t="inlineStr">
        <is>
          <t>1</t>
        </is>
      </c>
      <c r="E644" s="222" t="n"/>
      <c r="F644" s="222" t="n"/>
      <c r="G644" s="222" t="n"/>
      <c r="H644" s="222" t="inlineStr">
        <is>
          <t>Not Started</t>
        </is>
      </c>
      <c r="I644" s="222" t="inlineStr">
        <is>
          <t>25-00</t>
        </is>
      </c>
      <c r="J644" s="222" t="inlineStr"/>
    </row>
    <row r="645">
      <c r="A645" s="222" t="inlineStr">
        <is>
          <t>1129</t>
        </is>
      </c>
      <c r="B645" s="222" t="inlineStr">
        <is>
          <t>32989475</t>
        </is>
      </c>
      <c r="C645" s="222" t="inlineStr">
        <is>
          <t>AV - RII SEATS AT 30ABC TO 34 ABC REQUIRED TO REMOVED ELECTRICAL WIRE FOR ACCESS.</t>
        </is>
      </c>
      <c r="D645" s="222" t="inlineStr">
        <is>
          <t>1</t>
        </is>
      </c>
      <c r="E645" s="222" t="n">
        <v>8</v>
      </c>
      <c r="F645" s="222" t="n">
        <v>4</v>
      </c>
      <c r="G645" s="222" t="n">
        <v>190</v>
      </c>
      <c r="H645" s="222" t="inlineStr">
        <is>
          <t>Idle</t>
        </is>
      </c>
      <c r="I645" s="222" t="inlineStr">
        <is>
          <t>25</t>
        </is>
      </c>
      <c r="J645" s="222" t="inlineStr"/>
    </row>
    <row r="646">
      <c r="A646" s="222" t="inlineStr">
        <is>
          <t>1130</t>
        </is>
      </c>
      <c r="B646" s="222" t="inlineStr">
        <is>
          <t>32989476</t>
        </is>
      </c>
      <c r="C646" s="222" t="inlineStr">
        <is>
          <t>CAB - NO CALL BACK - B/C 4C SHELF GLUE RESIDUE B/C 4C SHELF GLUE RESIDUE</t>
        </is>
      </c>
      <c r="D646" s="222" t="inlineStr">
        <is>
          <t>1</t>
        </is>
      </c>
      <c r="E646" s="222" t="n"/>
      <c r="F646" s="222" t="n"/>
      <c r="G646" s="222" t="n"/>
      <c r="H646" s="222" t="inlineStr">
        <is>
          <t>Not Started</t>
        </is>
      </c>
      <c r="I646" s="222" t="inlineStr">
        <is>
          <t>25-00</t>
        </is>
      </c>
      <c r="J646" s="222" t="inlineStr"/>
    </row>
    <row r="647">
      <c r="A647" s="222" t="inlineStr">
        <is>
          <t>1131</t>
        </is>
      </c>
      <c r="B647" s="222" t="inlineStr">
        <is>
          <t>32989482</t>
        </is>
      </c>
      <c r="C647" s="222" t="inlineStr">
        <is>
          <t>CAB - NO CALL BACK - COMPT. 108 FWD GALLEY COMPT. 108 CARTS COOLING RUBBER WORN OUT</t>
        </is>
      </c>
      <c r="D647" s="222" t="inlineStr">
        <is>
          <t>1</t>
        </is>
      </c>
      <c r="E647" s="222" t="n"/>
      <c r="F647" s="222" t="n"/>
      <c r="G647" s="222" t="n"/>
      <c r="H647" s="222" t="inlineStr">
        <is>
          <t>Not Started</t>
        </is>
      </c>
      <c r="I647" s="222" t="inlineStr">
        <is>
          <t>25</t>
        </is>
      </c>
      <c r="J647" s="222" t="inlineStr"/>
    </row>
    <row r="648">
      <c r="A648" s="222" t="inlineStr">
        <is>
          <t>1132</t>
        </is>
      </c>
      <c r="B648" s="222" t="inlineStr">
        <is>
          <t>32989491</t>
        </is>
      </c>
      <c r="C648" s="222" t="inlineStr">
        <is>
          <t>CAB - NO CALL BACK - GALLEY COMPT. 108 BUMPERS GALLEY COMPT. 108 BUMPERS DEATTACHED.</t>
        </is>
      </c>
      <c r="D648" s="222" t="inlineStr">
        <is>
          <t>1</t>
        </is>
      </c>
      <c r="E648" s="222" t="n"/>
      <c r="F648" s="222" t="n"/>
      <c r="G648" s="222" t="n"/>
      <c r="H648" s="222" t="inlineStr">
        <is>
          <t>Not Started</t>
        </is>
      </c>
      <c r="I648" s="222" t="inlineStr">
        <is>
          <t>25</t>
        </is>
      </c>
      <c r="J648" s="222" t="inlineStr"/>
    </row>
    <row r="649">
      <c r="A649" s="222" t="inlineStr">
        <is>
          <t>1133</t>
        </is>
      </c>
      <c r="B649" s="222" t="inlineStr">
        <is>
          <t>32989492</t>
        </is>
      </c>
      <c r="C649" s="222" t="inlineStr">
        <is>
          <t>CAB - NO CALL BACK - COMPT. 111 FWD GALLEY COMPT. 111 CARTS COOLING RUBBER WORN OUT</t>
        </is>
      </c>
      <c r="D649" s="222" t="inlineStr">
        <is>
          <t>1</t>
        </is>
      </c>
      <c r="E649" s="222" t="n"/>
      <c r="F649" s="222" t="n"/>
      <c r="G649" s="222" t="n"/>
      <c r="H649" s="222" t="inlineStr">
        <is>
          <t>Not Started</t>
        </is>
      </c>
      <c r="I649" s="222" t="inlineStr">
        <is>
          <t>25</t>
        </is>
      </c>
      <c r="J649" s="222" t="inlineStr"/>
    </row>
    <row r="650">
      <c r="A650" s="222" t="inlineStr">
        <is>
          <t>1134</t>
        </is>
      </c>
      <c r="B650" s="222" t="inlineStr">
        <is>
          <t>32989497</t>
        </is>
      </c>
      <c r="C650" s="222" t="inlineStr">
        <is>
          <t>CAB - NO CALL BACK - GALLEY 201 DAMAGED FWD GALLEY COMPT. 201 DOOR TRIM DAMAGED</t>
        </is>
      </c>
      <c r="D650" s="222" t="inlineStr">
        <is>
          <t>1</t>
        </is>
      </c>
      <c r="E650" s="222" t="n"/>
      <c r="F650" s="222" t="n"/>
      <c r="G650" s="222" t="n"/>
      <c r="H650" s="222" t="inlineStr">
        <is>
          <t>Not Started</t>
        </is>
      </c>
      <c r="I650" s="222" t="inlineStr">
        <is>
          <t>25</t>
        </is>
      </c>
      <c r="J650" s="222" t="inlineStr"/>
    </row>
    <row r="651">
      <c r="A651" s="222" t="inlineStr">
        <is>
          <t>1135</t>
        </is>
      </c>
      <c r="B651" s="222" t="inlineStr">
        <is>
          <t>32989529</t>
        </is>
      </c>
      <c r="C651" s="222" t="inlineStr">
        <is>
          <t>FWD GARGO COMPT=====FS=====NO CALL BACK FWD CARGO COMPARTMENT CEILING, SIDE WALL AND SLOPY AREA DIRTY WITH ACCUMULATED DUST</t>
        </is>
      </c>
      <c r="D651" s="222" t="inlineStr">
        <is>
          <t>1</t>
        </is>
      </c>
      <c r="E651" s="222" t="n">
        <v>30</v>
      </c>
      <c r="F651" s="222" t="n"/>
      <c r="G651" s="222" t="n"/>
      <c r="H651" s="222" t="inlineStr">
        <is>
          <t>Not Started</t>
        </is>
      </c>
      <c r="I651" s="222" t="inlineStr">
        <is>
          <t>05-21</t>
        </is>
      </c>
      <c r="J651" s="222" t="inlineStr"/>
    </row>
    <row r="652">
      <c r="A652" s="222" t="inlineStr">
        <is>
          <t>1136</t>
        </is>
      </c>
      <c r="B652" s="222" t="inlineStr">
        <is>
          <t>32989545</t>
        </is>
      </c>
      <c r="C652" s="222" t="inlineStr">
        <is>
          <t>L/H WING--FS--CALL BACK REF TO TASK CARD NO :ZL-531-02-1-001, L/H FLAP TRACK NO2 AND FAIRINGS REQ CLEANING TO FACILITATE THE INSP.</t>
        </is>
      </c>
      <c r="D652" s="222" t="inlineStr">
        <is>
          <t>1</t>
        </is>
      </c>
      <c r="E652" s="222" t="n">
        <v>13</v>
      </c>
      <c r="F652" s="222" t="n">
        <v>13.6</v>
      </c>
      <c r="G652" s="222" t="n">
        <v>138.6</v>
      </c>
      <c r="H652" s="222" t="inlineStr">
        <is>
          <t>Idle</t>
        </is>
      </c>
      <c r="I652" s="222" t="inlineStr">
        <is>
          <t>05-25</t>
        </is>
      </c>
      <c r="J652" s="222" t="inlineStr"/>
    </row>
    <row r="653">
      <c r="A653" s="222" t="inlineStr">
        <is>
          <t>1137</t>
        </is>
      </c>
      <c r="B653" s="222" t="inlineStr">
        <is>
          <t>32989556</t>
        </is>
      </c>
      <c r="C653" s="222" t="inlineStr">
        <is>
          <t>R/H WING--FS--CALL BACK REF TO TASK CARD NO :ZL-531-02-1-002, ZL-532-01-1-002, , ZL-532-02-1-002 AND , ZL-533-01-1-002  R/H FLAP TRACK AND FAIRINGS NO 2,  R/H FLAP TRACK AND FAIRINGS NO 3   R/H FLAP TRACK AND FAIRINGS NO 4  REQ CLEANING TO FACILIT...</t>
        </is>
      </c>
      <c r="D653" s="222" t="inlineStr">
        <is>
          <t>1</t>
        </is>
      </c>
      <c r="E653" s="222" t="n">
        <v>30</v>
      </c>
      <c r="F653" s="222" t="n">
        <v>31</v>
      </c>
      <c r="G653" s="222" t="n">
        <v>162.6</v>
      </c>
      <c r="H653" s="222" t="inlineStr">
        <is>
          <t>Idle</t>
        </is>
      </c>
      <c r="I653" s="222" t="inlineStr">
        <is>
          <t>05-25</t>
        </is>
      </c>
      <c r="J653" s="222" t="inlineStr"/>
    </row>
    <row r="654">
      <c r="A654" s="222" t="inlineStr">
        <is>
          <t>1140</t>
        </is>
      </c>
      <c r="B654" s="222" t="inlineStr">
        <is>
          <t>32989579</t>
        </is>
      </c>
      <c r="C654" s="222" t="inlineStr">
        <is>
          <t>AFT CAB UNDERFLOOR COMP--FS--CALL BACK REF TO TASK CARD NO: ZL-171-01-2 AFT CAB UNDER FLOOR COMPT REQ CLEANING TO FACILITATE THE INSPECTION.</t>
        </is>
      </c>
      <c r="D654" s="222" t="inlineStr">
        <is>
          <t>1</t>
        </is>
      </c>
      <c r="E654" s="222" t="n">
        <v>15</v>
      </c>
      <c r="F654" s="222" t="n"/>
      <c r="G654" s="222" t="n"/>
      <c r="H654" s="222" t="inlineStr">
        <is>
          <t>Not Started</t>
        </is>
      </c>
      <c r="I654" s="222" t="inlineStr">
        <is>
          <t>05-21</t>
        </is>
      </c>
      <c r="J654" s="222" t="inlineStr"/>
    </row>
    <row r="655">
      <c r="A655" s="222" t="inlineStr">
        <is>
          <t>1141</t>
        </is>
      </c>
      <c r="B655" s="222" t="inlineStr">
        <is>
          <t>32989728</t>
        </is>
      </c>
      <c r="C655" s="222" t="inlineStr">
        <is>
          <t>CAB - NO CALLBACK - LAV E LAV E SHROUD SCREW MISSING</t>
        </is>
      </c>
      <c r="D655" s="222" t="inlineStr">
        <is>
          <t>1</t>
        </is>
      </c>
      <c r="E655" s="222" t="n"/>
      <c r="F655" s="222" t="n"/>
      <c r="G655" s="222" t="n"/>
      <c r="H655" s="222" t="inlineStr">
        <is>
          <t>Not Started</t>
        </is>
      </c>
      <c r="I655" s="222" t="inlineStr">
        <is>
          <t>25</t>
        </is>
      </c>
      <c r="J655" s="222" t="inlineStr"/>
    </row>
    <row r="656">
      <c r="A656" s="222" t="inlineStr">
        <is>
          <t>1142</t>
        </is>
      </c>
      <c r="B656" s="222" t="inlineStr">
        <is>
          <t>32989743</t>
        </is>
      </c>
      <c r="C656" s="222" t="inlineStr">
        <is>
          <t>CAB - NO CALLBACK - LAV E LAV E BABY BASSINET LOWER STOPPER  MISSING</t>
        </is>
      </c>
      <c r="D656" s="222" t="inlineStr">
        <is>
          <t>1</t>
        </is>
      </c>
      <c r="E656" s="222" t="n"/>
      <c r="F656" s="222" t="n"/>
      <c r="G656" s="222" t="n"/>
      <c r="H656" s="222" t="inlineStr">
        <is>
          <t>Not Started</t>
        </is>
      </c>
      <c r="I656" s="222" t="inlineStr">
        <is>
          <t>25</t>
        </is>
      </c>
      <c r="J656" s="222" t="inlineStr"/>
    </row>
    <row r="657">
      <c r="A657" s="222" t="inlineStr">
        <is>
          <t>1143</t>
        </is>
      </c>
      <c r="B657" s="222" t="inlineStr">
        <is>
          <t>32989796</t>
        </is>
      </c>
      <c r="C657" s="222" t="inlineStr">
        <is>
          <t>CAB - NO CALL BACK - AIR VENTILATION ALL LAV AIR VENTILATION FILTERS DIRTY</t>
        </is>
      </c>
      <c r="D657" s="222" t="inlineStr">
        <is>
          <t>1</t>
        </is>
      </c>
      <c r="E657" s="222" t="n"/>
      <c r="F657" s="222" t="n"/>
      <c r="G657" s="222" t="n"/>
      <c r="H657" s="222" t="inlineStr">
        <is>
          <t>Not Started</t>
        </is>
      </c>
      <c r="I657" s="222" t="inlineStr">
        <is>
          <t>25</t>
        </is>
      </c>
      <c r="J657" s="222" t="inlineStr"/>
    </row>
    <row r="658">
      <c r="A658" s="222" t="inlineStr">
        <is>
          <t>1144</t>
        </is>
      </c>
      <c r="B658" s="222" t="inlineStr">
        <is>
          <t>32989797</t>
        </is>
      </c>
      <c r="C658" s="222" t="inlineStr">
        <is>
          <t>S/M - NO CALL BACK - C101 STOWAGE FWD COMPARTMENT C101 FRAME DAMAGE</t>
        </is>
      </c>
      <c r="D658" s="222" t="inlineStr">
        <is>
          <t>1</t>
        </is>
      </c>
      <c r="E658" s="222" t="n"/>
      <c r="F658" s="222" t="n">
        <v>4.3</v>
      </c>
      <c r="G658" s="222" t="n">
        <v>81.59999999999999</v>
      </c>
      <c r="H658" s="222" t="inlineStr">
        <is>
          <t>Idle</t>
        </is>
      </c>
      <c r="I658" s="222" t="inlineStr">
        <is>
          <t>25</t>
        </is>
      </c>
      <c r="J658" s="222" t="inlineStr"/>
    </row>
    <row r="659">
      <c r="A659" s="222" t="inlineStr">
        <is>
          <t>1145</t>
        </is>
      </c>
      <c r="B659" s="222" t="inlineStr">
        <is>
          <t>32989800</t>
        </is>
      </c>
      <c r="C659" s="222" t="inlineStr">
        <is>
          <t>CAB - NO CALLBACK - LAV E LAV E DOOR WASHBASIN SCREW MISSING</t>
        </is>
      </c>
      <c r="D659" s="222" t="inlineStr">
        <is>
          <t>1</t>
        </is>
      </c>
      <c r="E659" s="222" t="n"/>
      <c r="F659" s="222" t="n"/>
      <c r="G659" s="222" t="n"/>
      <c r="H659" s="222" t="inlineStr">
        <is>
          <t>Not Started</t>
        </is>
      </c>
      <c r="I659" s="222" t="inlineStr">
        <is>
          <t>25</t>
        </is>
      </c>
      <c r="J659" s="222" t="inlineStr"/>
    </row>
    <row r="660">
      <c r="A660" s="222" t="inlineStr">
        <is>
          <t>1146</t>
        </is>
      </c>
      <c r="B660" s="222" t="inlineStr">
        <is>
          <t>32989825</t>
        </is>
      </c>
      <c r="C660" s="222" t="inlineStr">
        <is>
          <t>CAB - NO CALL BACK - KICK STRIP KICK STRIP IN FRONT OF 1LJ SEALANT MISSING</t>
        </is>
      </c>
      <c r="D660" s="222" t="inlineStr">
        <is>
          <t>1</t>
        </is>
      </c>
      <c r="E660" s="222" t="n"/>
      <c r="F660" s="222" t="n"/>
      <c r="G660" s="222" t="n"/>
      <c r="H660" s="222" t="inlineStr">
        <is>
          <t>Not Started</t>
        </is>
      </c>
      <c r="I660" s="222" t="inlineStr">
        <is>
          <t>25</t>
        </is>
      </c>
      <c r="J660" s="222" t="inlineStr"/>
    </row>
    <row r="661">
      <c r="A661" s="222" t="inlineStr">
        <is>
          <t>1147</t>
        </is>
      </c>
      <c r="B661" s="222" t="inlineStr">
        <is>
          <t>32989853</t>
        </is>
      </c>
      <c r="C661" s="222" t="inlineStr">
        <is>
          <t>CAB - NO CALL BACK - ICE BOX FWD GALLEY COMPT. 208 ICE BOX FULL OF WATER</t>
        </is>
      </c>
      <c r="D661" s="222" t="inlineStr">
        <is>
          <t>1</t>
        </is>
      </c>
      <c r="E661" s="222" t="n">
        <v>1</v>
      </c>
      <c r="F661" s="222" t="n">
        <v>2</v>
      </c>
      <c r="G661" s="222" t="n">
        <v>170.1</v>
      </c>
      <c r="H661" s="222" t="inlineStr">
        <is>
          <t>Idle</t>
        </is>
      </c>
      <c r="I661" s="222" t="inlineStr">
        <is>
          <t>25</t>
        </is>
      </c>
      <c r="J661" s="222" t="inlineStr"/>
    </row>
    <row r="662">
      <c r="A662" s="222" t="inlineStr">
        <is>
          <t>1148</t>
        </is>
      </c>
      <c r="B662" s="222" t="inlineStr">
        <is>
          <t>32989854</t>
        </is>
      </c>
      <c r="C662" s="222" t="inlineStr">
        <is>
          <t>CAB - NO CALL BACK - FWD GALLEY COMPT. 209 DOOR TEDLAR DAMAGE</t>
        </is>
      </c>
      <c r="D662" s="222" t="inlineStr">
        <is>
          <t>1</t>
        </is>
      </c>
      <c r="E662" s="222" t="n"/>
      <c r="F662" s="222" t="n"/>
      <c r="G662" s="222" t="n"/>
      <c r="H662" s="222" t="inlineStr">
        <is>
          <t>Not Started</t>
        </is>
      </c>
      <c r="I662" s="222" t="inlineStr">
        <is>
          <t>25</t>
        </is>
      </c>
      <c r="J662" s="222" t="inlineStr"/>
    </row>
    <row r="663">
      <c r="A663" s="222" t="inlineStr">
        <is>
          <t>1149</t>
        </is>
      </c>
      <c r="B663" s="222" t="inlineStr">
        <is>
          <t>32989860</t>
        </is>
      </c>
      <c r="C663" s="222" t="inlineStr">
        <is>
          <t>CAB - NO CALL BACK - LAV A SEALANT LAV A ABOVE TOILET SEAT SEALANT MISSING</t>
        </is>
      </c>
      <c r="D663" s="222" t="inlineStr">
        <is>
          <t>1</t>
        </is>
      </c>
      <c r="E663" s="222" t="n"/>
      <c r="F663" s="222" t="n"/>
      <c r="G663" s="222" t="n"/>
      <c r="H663" s="222" t="inlineStr">
        <is>
          <t>Not Started</t>
        </is>
      </c>
      <c r="I663" s="222" t="inlineStr">
        <is>
          <t>25</t>
        </is>
      </c>
      <c r="J663" s="222" t="inlineStr"/>
    </row>
    <row r="664">
      <c r="A664" s="222" t="inlineStr">
        <is>
          <t>1150</t>
        </is>
      </c>
      <c r="B664" s="222" t="inlineStr">
        <is>
          <t>32989874</t>
        </is>
      </c>
      <c r="C664" s="222" t="inlineStr">
        <is>
          <t>CAB - NO CALLBACK-LAV E LAV E PAN FLOOR STRIP SCREW MISSING</t>
        </is>
      </c>
      <c r="D664" s="222" t="inlineStr">
        <is>
          <t>1</t>
        </is>
      </c>
      <c r="E664" s="222" t="n"/>
      <c r="F664" s="222" t="n"/>
      <c r="G664" s="222" t="n"/>
      <c r="H664" s="222" t="inlineStr">
        <is>
          <t>Not Started</t>
        </is>
      </c>
      <c r="I664" s="222" t="inlineStr">
        <is>
          <t>25</t>
        </is>
      </c>
      <c r="J664" s="222" t="inlineStr"/>
    </row>
    <row r="665">
      <c r="A665" s="222" t="inlineStr">
        <is>
          <t>1154</t>
        </is>
      </c>
      <c r="B665" s="222" t="inlineStr">
        <is>
          <t>32989943</t>
        </is>
      </c>
      <c r="C665" s="222" t="inlineStr">
        <is>
          <t>CAB-NO CALL BACK (LAV E) LAV E DOOR HINGE  WITH MISSING SCREW 1EA.</t>
        </is>
      </c>
      <c r="D665" s="222" t="inlineStr">
        <is>
          <t>1</t>
        </is>
      </c>
      <c r="E665" s="222" t="n"/>
      <c r="F665" s="222" t="n"/>
      <c r="G665" s="222" t="n"/>
      <c r="H665" s="222" t="inlineStr">
        <is>
          <t>Not Started</t>
        </is>
      </c>
      <c r="I665" s="222" t="inlineStr">
        <is>
          <t>25-10</t>
        </is>
      </c>
      <c r="J665" s="222" t="inlineStr"/>
    </row>
    <row r="666">
      <c r="A666" s="222" t="inlineStr">
        <is>
          <t>1155</t>
        </is>
      </c>
      <c r="B666" s="222" t="inlineStr">
        <is>
          <t>32989944</t>
        </is>
      </c>
      <c r="C666" s="222" t="inlineStr">
        <is>
          <t>#2 ENG - L/H FAN COWL - GUIDE PIN - AP - NO CALL BACK #2 ENG L/H FAN COWL FOUND FWD GUIDE PIN (AFT OF #1 LATCH) WITH DEEP CHAFFING . DISTANCE TO NEAREST EDGE :- 0 INCH.  DIM:-    L=0.46 INCH.                ,W=0.25 INCH.                  ,D= 0.03...</t>
        </is>
      </c>
      <c r="D666" s="222" t="inlineStr">
        <is>
          <t>1</t>
        </is>
      </c>
      <c r="E666" s="222" t="n">
        <v>8</v>
      </c>
      <c r="F666" s="222" t="n"/>
      <c r="G666" s="222" t="n"/>
      <c r="H666" s="222" t="inlineStr">
        <is>
          <t>Not Started</t>
        </is>
      </c>
      <c r="I666" s="222" t="inlineStr">
        <is>
          <t>71-13</t>
        </is>
      </c>
      <c r="J666" s="222" t="inlineStr"/>
    </row>
    <row r="667">
      <c r="A667" s="222" t="inlineStr">
        <is>
          <t>1156</t>
        </is>
      </c>
      <c r="B667" s="222" t="inlineStr">
        <is>
          <t>32989952</t>
        </is>
      </c>
      <c r="C667" s="222" t="inlineStr">
        <is>
          <t>CAB - NO CALLBACK - (LAV E) LAV E DOOR LOCK VACANT IS FADED.</t>
        </is>
      </c>
      <c r="D667" s="222" t="inlineStr">
        <is>
          <t>1</t>
        </is>
      </c>
      <c r="E667" s="222" t="n"/>
      <c r="F667" s="222" t="n"/>
      <c r="G667" s="222" t="n"/>
      <c r="H667" s="222" t="inlineStr">
        <is>
          <t>Not Started</t>
        </is>
      </c>
      <c r="I667" s="222" t="inlineStr">
        <is>
          <t>25-10</t>
        </is>
      </c>
      <c r="J667" s="222" t="inlineStr"/>
    </row>
    <row r="668">
      <c r="A668" s="222" t="inlineStr">
        <is>
          <t>1157</t>
        </is>
      </c>
      <c r="B668" s="222" t="inlineStr">
        <is>
          <t>32989954</t>
        </is>
      </c>
      <c r="C668" s="222" t="inlineStr">
        <is>
          <t>#2 ENG - R/H FAN COWL - CLEVIS DECAL - PNT - NO CALL BACK #2 ENG - R/H FAN COWL INNER SIDE FOUND " NEVER TURN CLEVIS" DECAL FADED AND EDGES PEELED-OFF .</t>
        </is>
      </c>
      <c r="D668" s="222" t="inlineStr">
        <is>
          <t>1</t>
        </is>
      </c>
      <c r="E668" s="222" t="n">
        <v>2</v>
      </c>
      <c r="F668" s="222" t="n"/>
      <c r="G668" s="222" t="n"/>
      <c r="H668" s="222" t="inlineStr">
        <is>
          <t>Not Started</t>
        </is>
      </c>
      <c r="I668" s="222" t="inlineStr">
        <is>
          <t>71-13</t>
        </is>
      </c>
      <c r="J668" s="222" t="inlineStr"/>
    </row>
    <row r="669">
      <c r="A669" s="222" t="inlineStr">
        <is>
          <t>1158</t>
        </is>
      </c>
      <c r="B669" s="222" t="inlineStr">
        <is>
          <t>32989962</t>
        </is>
      </c>
      <c r="C669" s="222" t="inlineStr">
        <is>
          <t>#2 ENG - R/H FAN COWL - AFT EDGE PROTEC - SM - RII #2 ENG R/H FAN COWL FOUND AFT EDGE PROTECTOR AND LWER AFT EDGE PROTECTOR WITH PITTING CORROSION AT LOWER SIDE .   AFT EDGE PROTECTOR CORROSION DISTANCE TO NEAREST EDGE :- 0 INCH . (CORROSION REACH...</t>
        </is>
      </c>
      <c r="D669" s="222" t="inlineStr">
        <is>
          <t>1</t>
        </is>
      </c>
      <c r="E669" s="222" t="n"/>
      <c r="F669" s="222" t="n">
        <v>10</v>
      </c>
      <c r="G669" s="222" t="n">
        <v>186.6</v>
      </c>
      <c r="H669" s="222" t="inlineStr">
        <is>
          <t>Idle</t>
        </is>
      </c>
      <c r="I669" s="222" t="inlineStr">
        <is>
          <t>71-13</t>
        </is>
      </c>
      <c r="J669" s="222" t="inlineStr"/>
    </row>
    <row r="670">
      <c r="A670" s="222" t="inlineStr">
        <is>
          <t>1160</t>
        </is>
      </c>
      <c r="B670" s="222" t="inlineStr">
        <is>
          <t>32989963</t>
        </is>
      </c>
      <c r="C670" s="222" t="inlineStr">
        <is>
          <t>#2 ENG - L/H AND R/H FAN COWL - HAZARD DECAL - PNT - NO CALL BACK #2 ENG L/H AND R/H FAN COWLS EXTIROIR SURFACE FOUND ALL "STAY CLEAR OF HAZARD AREA DURING ENGINE RUNNING" DECALS FADED AND EDGES PEELED-OFF.</t>
        </is>
      </c>
      <c r="D670" s="222" t="inlineStr">
        <is>
          <t>1</t>
        </is>
      </c>
      <c r="E670" s="222" t="n">
        <v>6</v>
      </c>
      <c r="F670" s="222" t="n">
        <v>6</v>
      </c>
      <c r="G670" s="222" t="n">
        <v>136.1</v>
      </c>
      <c r="H670" s="222" t="inlineStr">
        <is>
          <t>Idle</t>
        </is>
      </c>
      <c r="I670" s="222" t="inlineStr">
        <is>
          <t>71-13</t>
        </is>
      </c>
      <c r="J670" s="222" t="inlineStr"/>
    </row>
    <row r="671">
      <c r="A671" s="222" t="inlineStr">
        <is>
          <t>1162</t>
        </is>
      </c>
      <c r="B671" s="222" t="inlineStr">
        <is>
          <t>32989965</t>
        </is>
      </c>
      <c r="C671" s="222" t="inlineStr">
        <is>
          <t>#2 ENG - FWD ANTI ICE DUCT - MUSCLE LINE - AP - NO CALL BACK #2 ENG FAN FRAME ASSEMBLY AT 04:00 O`CLOCK POSTION FOUND FWD ANTI-ICE DUCT MUSCLE LINE JAM NUT INSTALLED WRONG POSITION (JAM NUT SECURED AT HOSE END NOT ON BRACKET).</t>
        </is>
      </c>
      <c r="D671" s="222" t="inlineStr">
        <is>
          <t>1</t>
        </is>
      </c>
      <c r="E671" s="222" t="n">
        <v>3</v>
      </c>
      <c r="F671" s="222" t="n"/>
      <c r="G671" s="222" t="n"/>
      <c r="H671" s="222" t="inlineStr">
        <is>
          <t>Not Started</t>
        </is>
      </c>
      <c r="I671" s="222" t="inlineStr">
        <is>
          <t>30-21</t>
        </is>
      </c>
      <c r="J671" s="222" t="inlineStr"/>
    </row>
    <row r="672">
      <c r="A672" s="222" t="inlineStr">
        <is>
          <t>1163</t>
        </is>
      </c>
      <c r="B672" s="222" t="inlineStr">
        <is>
          <t>32989966</t>
        </is>
      </c>
      <c r="C672" s="222" t="inlineStr">
        <is>
          <t>#2 ENG - FAN FR ASSY - HMU LINES CLAMPS - AP - RII #2 ENG FAN FRAME ASSEMBLY AT 06:00 O`CLOCK POSTION FOUND HYDROMECHANICAL UNIT (HMU) SOV FUEL LINES (ROD AND HEAD LINES) CLAMPS CORRODED .</t>
        </is>
      </c>
      <c r="D672" s="222" t="inlineStr">
        <is>
          <t>1</t>
        </is>
      </c>
      <c r="E672" s="222" t="n">
        <v>4</v>
      </c>
      <c r="F672" s="222" t="n"/>
      <c r="G672" s="222" t="n"/>
      <c r="H672" s="222" t="inlineStr">
        <is>
          <t>Not Started</t>
        </is>
      </c>
      <c r="I672" s="222" t="inlineStr">
        <is>
          <t>24-92</t>
        </is>
      </c>
      <c r="J672" s="222" t="inlineStr"/>
    </row>
    <row r="673">
      <c r="A673" s="222" t="inlineStr">
        <is>
          <t>1164</t>
        </is>
      </c>
      <c r="B673" s="222" t="inlineStr">
        <is>
          <t>32989967</t>
        </is>
      </c>
      <c r="C673" s="222" t="inlineStr">
        <is>
          <t>#2 ENG - IDG FEEDER CABLES CONNECTOR - AVN - NO CALL BACK #2 ENG AT ELECTRICAL CONNECTION JUNCTION BOX FOUND IDG FEEDER CABLE CONNECTOR WITH MISSING SAFTEY WIRE.</t>
        </is>
      </c>
      <c r="D673" s="222" t="inlineStr">
        <is>
          <t>1</t>
        </is>
      </c>
      <c r="E673" s="222" t="n">
        <v>4</v>
      </c>
      <c r="F673" s="222" t="n"/>
      <c r="G673" s="222" t="n"/>
      <c r="H673" s="222" t="inlineStr">
        <is>
          <t>Not Started</t>
        </is>
      </c>
      <c r="I673" s="222" t="inlineStr">
        <is>
          <t>24-92</t>
        </is>
      </c>
      <c r="J673" s="222" t="inlineStr"/>
    </row>
    <row r="674">
      <c r="A674" s="222" t="inlineStr">
        <is>
          <t>1165</t>
        </is>
      </c>
      <c r="B674" s="222" t="inlineStr">
        <is>
          <t>32989971</t>
        </is>
      </c>
      <c r="C674" s="222" t="inlineStr">
        <is>
          <t>#2 ENG - L/H AND R/H T/REV - TEFLON SEAL - SM - RII #2 ENG L/H AND R/H THRUST REVERSERS AT FWD SIDE FOUND FAN COWLS RUB TEFLON SEAL DETERIORATED AND DETACHED.</t>
        </is>
      </c>
      <c r="D674" s="222" t="inlineStr">
        <is>
          <t>1</t>
        </is>
      </c>
      <c r="E674" s="222" t="n"/>
      <c r="F674" s="222" t="n">
        <v>0.2</v>
      </c>
      <c r="G674" s="222" t="n">
        <v>68.90000000000001</v>
      </c>
      <c r="H674" s="222" t="inlineStr">
        <is>
          <t>Idle</t>
        </is>
      </c>
      <c r="I674" s="222" t="inlineStr">
        <is>
          <t>05-24</t>
        </is>
      </c>
      <c r="J674" s="222" t="inlineStr"/>
    </row>
    <row r="675">
      <c r="A675" s="222" t="inlineStr">
        <is>
          <t>1166</t>
        </is>
      </c>
      <c r="B675" s="222" t="inlineStr">
        <is>
          <t>32989973</t>
        </is>
      </c>
      <c r="C675" s="222" t="inlineStr">
        <is>
          <t>#2 ENG - R/H T/REV - HCU - AP - NO CALL BACK #2 ENG R/H THRUST REVERSER FWD FACE FOUND HYDRAULIC CONTROL UNIT (HCU) LEAKING .</t>
        </is>
      </c>
      <c r="D675" s="222" t="inlineStr">
        <is>
          <t>1</t>
        </is>
      </c>
      <c r="E675" s="222" t="n">
        <v>4</v>
      </c>
      <c r="F675" s="222" t="n"/>
      <c r="G675" s="222" t="n"/>
      <c r="H675" s="222" t="inlineStr">
        <is>
          <t>Not Started</t>
        </is>
      </c>
      <c r="I675" s="222" t="inlineStr">
        <is>
          <t>05-24</t>
        </is>
      </c>
      <c r="J675" s="222" t="inlineStr"/>
    </row>
    <row r="676">
      <c r="A676" s="222" t="inlineStr">
        <is>
          <t>1167</t>
        </is>
      </c>
      <c r="B676" s="222" t="inlineStr">
        <is>
          <t>32989975</t>
        </is>
      </c>
      <c r="C676" s="222" t="inlineStr">
        <is>
          <t>#2 ENG - L/H AND R/H T/REV - COOLING HOSE - AP - NO CALL BACK #2 ENG L/H AND R/H THRUST REVERSERS INNER SIDE FOUND THRUST REVERSER OPENING ACTUATORS COOLING HOSES DETERIORATED .</t>
        </is>
      </c>
      <c r="D676" s="222" t="inlineStr">
        <is>
          <t>1</t>
        </is>
      </c>
      <c r="E676" s="222" t="n">
        <v>4</v>
      </c>
      <c r="F676" s="222" t="n"/>
      <c r="G676" s="222" t="n"/>
      <c r="H676" s="222" t="inlineStr">
        <is>
          <t>Not Started</t>
        </is>
      </c>
      <c r="I676" s="222" t="inlineStr">
        <is>
          <t>05-24</t>
        </is>
      </c>
      <c r="J676" s="222" t="inlineStr"/>
    </row>
    <row r="677">
      <c r="A677" s="222" t="inlineStr">
        <is>
          <t>1168</t>
        </is>
      </c>
      <c r="B677" s="222" t="inlineStr">
        <is>
          <t>32989976</t>
        </is>
      </c>
      <c r="C677" s="222" t="inlineStr">
        <is>
          <t>#2 ENG - R/H T/REV - OPENING ACT - AP - NO CALL BACK #2 ENG R/H THRUST REVERSER FOUND  THRUST REVERSER OPENING ACTUATOR WITH HEAVY LEAK .</t>
        </is>
      </c>
      <c r="D677" s="222" t="inlineStr">
        <is>
          <t>1</t>
        </is>
      </c>
      <c r="E677" s="222" t="n">
        <v>4</v>
      </c>
      <c r="F677" s="222" t="n"/>
      <c r="G677" s="222" t="n"/>
      <c r="H677" s="222" t="inlineStr">
        <is>
          <t>Not Started</t>
        </is>
      </c>
      <c r="I677" s="222" t="inlineStr">
        <is>
          <t>05-24</t>
        </is>
      </c>
      <c r="J677" s="222" t="inlineStr"/>
    </row>
    <row r="678">
      <c r="A678" s="222" t="inlineStr">
        <is>
          <t>1169</t>
        </is>
      </c>
      <c r="B678" s="222" t="inlineStr">
        <is>
          <t>32989982</t>
        </is>
      </c>
      <c r="C678" s="222" t="inlineStr">
        <is>
          <t>#2 ENG - R/H T/REV - HEAT SHIELD - SM - RII #2 ENG R/H THRUST REVERSER AT INNER  FWD SIDE FOUND HEAT SHILED WITH 8 CHAFFING MARKS (T/REV CHAFFING AGAINST ANI-ICE MUSCLE LINE AND ITS BRACKETS).   #1 CHAFFING DISTANCE TO NEAREST EDGE :- 4 INCH.  DIM...</t>
        </is>
      </c>
      <c r="D678" s="222" t="inlineStr">
        <is>
          <t>1</t>
        </is>
      </c>
      <c r="E678" s="222" t="n"/>
      <c r="F678" s="222" t="n">
        <v>1.2</v>
      </c>
      <c r="G678" s="222" t="n">
        <v>60.6</v>
      </c>
      <c r="H678" s="222" t="inlineStr">
        <is>
          <t>Idle</t>
        </is>
      </c>
      <c r="I678" s="222" t="inlineStr">
        <is>
          <t>05-24</t>
        </is>
      </c>
      <c r="J678" s="222" t="inlineStr"/>
    </row>
    <row r="679">
      <c r="A679" s="222" t="inlineStr">
        <is>
          <t>1170</t>
        </is>
      </c>
      <c r="B679" s="222" t="inlineStr">
        <is>
          <t>32989993</t>
        </is>
      </c>
      <c r="C679" s="222" t="inlineStr">
        <is>
          <t>#2 ENG - L/H TREV - THERMAL BLANKET - SM - RII #2 ENG L/H THRUST REVERSER INNER SIDE FOUND THERMAL BLANKET TORN ( T/REV CHAFFING AGAINST T495 THERMOCOUPLE HARNESS AT 08:00 OCLOCK POSITION) DISTANCE TO NEAREST EDGE :- 2.5 INCH.  DIM:- L= 2.31 INCH....</t>
        </is>
      </c>
      <c r="D679" s="222" t="inlineStr">
        <is>
          <t>1</t>
        </is>
      </c>
      <c r="E679" s="222" t="n"/>
      <c r="F679" s="222" t="n">
        <v>0.2</v>
      </c>
      <c r="G679" s="222" t="n">
        <v>59.4</v>
      </c>
      <c r="H679" s="222" t="inlineStr">
        <is>
          <t>Idle</t>
        </is>
      </c>
      <c r="I679" s="222" t="inlineStr">
        <is>
          <t>05-24</t>
        </is>
      </c>
      <c r="J679" s="222" t="inlineStr"/>
    </row>
    <row r="680">
      <c r="A680" s="222" t="inlineStr">
        <is>
          <t>1171</t>
        </is>
      </c>
      <c r="B680" s="222" t="inlineStr">
        <is>
          <t>32989995</t>
        </is>
      </c>
      <c r="C680" s="222" t="inlineStr">
        <is>
          <t>RII-CAB SEAT# 30ABC, 31ABC, 32ABC, 33ABC AND 30JKL,31JKL, 32JKL ,33JKL REQUIRE REMOVAL  SEAT`S FOR ACCESS.</t>
        </is>
      </c>
      <c r="D680" s="222" t="inlineStr">
        <is>
          <t>1</t>
        </is>
      </c>
      <c r="E680" s="222" t="n"/>
      <c r="F680" s="222" t="n">
        <v>35.5</v>
      </c>
      <c r="G680" s="222" t="n">
        <v>193.9</v>
      </c>
      <c r="H680" s="222" t="inlineStr">
        <is>
          <t>Idle</t>
        </is>
      </c>
      <c r="I680" s="222" t="inlineStr">
        <is>
          <t>25</t>
        </is>
      </c>
      <c r="J680" s="222" t="inlineStr"/>
    </row>
    <row r="681">
      <c r="A681" s="222" t="inlineStr">
        <is>
          <t>1172</t>
        </is>
      </c>
      <c r="B681" s="222" t="inlineStr">
        <is>
          <t>32989994</t>
        </is>
      </c>
      <c r="C681" s="222" t="inlineStr">
        <is>
          <t>#2 ENG - L/H T/REV - HEAT SHIELD - SM - RII #2 ENG L/H THRUST REVERSER INNER FWD SIDE FOUND HEAT SHIELD WITH 5 CHAFFING MARKS ( T/REV CHAFFING AGAINST DRIAN LINE AND CONNECTOR JUNCTION BOX).   #1 CHAFFING DISTANCE TO NEAREST EDGE :- 0 INCH. (CHAFF...</t>
        </is>
      </c>
      <c r="D681" s="222" t="inlineStr">
        <is>
          <t>1</t>
        </is>
      </c>
      <c r="E681" s="222" t="n"/>
      <c r="F681" s="222" t="n">
        <v>2</v>
      </c>
      <c r="G681" s="222" t="n">
        <v>66.59999999999999</v>
      </c>
      <c r="H681" s="222" t="inlineStr">
        <is>
          <t>Idle</t>
        </is>
      </c>
      <c r="I681" s="222" t="inlineStr">
        <is>
          <t>05-24</t>
        </is>
      </c>
      <c r="J681" s="222" t="inlineStr"/>
    </row>
    <row r="682">
      <c r="A682" s="222" t="inlineStr">
        <is>
          <t>1174</t>
        </is>
      </c>
      <c r="B682" s="222" t="inlineStr">
        <is>
          <t>32990008</t>
        </is>
      </c>
      <c r="C682" s="222" t="inlineStr">
        <is>
          <t>CAB RII - F/A L2 F/A SEAT REQUIRE REMOVAL FOR ACCESS</t>
        </is>
      </c>
      <c r="D682" s="222" t="inlineStr">
        <is>
          <t>1</t>
        </is>
      </c>
      <c r="E682" s="222" t="n"/>
      <c r="F682" s="222" t="n"/>
      <c r="G682" s="222" t="n"/>
      <c r="H682" s="222" t="inlineStr">
        <is>
          <t>Not Started</t>
        </is>
      </c>
      <c r="I682" s="222" t="inlineStr">
        <is>
          <t>25-40</t>
        </is>
      </c>
      <c r="J682" s="222" t="inlineStr"/>
    </row>
    <row r="683">
      <c r="A683" s="222" t="inlineStr">
        <is>
          <t>1175</t>
        </is>
      </c>
      <c r="B683" s="222" t="inlineStr">
        <is>
          <t>32990007</t>
        </is>
      </c>
      <c r="C683" s="222" t="inlineStr">
        <is>
          <t>PAX SEAT--- AV-- NO CALL BACK PAX SEAT , POWER SOCKET SHROUD BROKEN SEAT NO:33L,34JL,35K,37JL</t>
        </is>
      </c>
      <c r="D683" s="222" t="inlineStr">
        <is>
          <t>1</t>
        </is>
      </c>
      <c r="E683" s="222" t="n"/>
      <c r="F683" s="222" t="n"/>
      <c r="G683" s="222" t="n"/>
      <c r="H683" s="222" t="inlineStr">
        <is>
          <t>Not Started</t>
        </is>
      </c>
      <c r="I683" s="222" t="inlineStr">
        <is>
          <t>25-21</t>
        </is>
      </c>
      <c r="J683" s="222" t="inlineStr"/>
    </row>
    <row r="684">
      <c r="A684" s="222" t="inlineStr">
        <is>
          <t>1176</t>
        </is>
      </c>
      <c r="B684" s="222" t="inlineStr">
        <is>
          <t>32990011</t>
        </is>
      </c>
      <c r="C684" s="222" t="inlineStr">
        <is>
          <t>PAX SEAT--- AV-- NO CALL BACK PAX SEAT , POWER SOCKET SHROUD BROKEN SEAT NO: 38J,K   39J,K,L   40 J,K,L    41 J,K,L  42J,K  43 J,K,L</t>
        </is>
      </c>
      <c r="D684" s="222" t="inlineStr">
        <is>
          <t>1</t>
        </is>
      </c>
      <c r="E684" s="222" t="n"/>
      <c r="F684" s="222" t="n"/>
      <c r="G684" s="222" t="n"/>
      <c r="H684" s="222" t="inlineStr">
        <is>
          <t>Not Started</t>
        </is>
      </c>
      <c r="I684" s="222" t="inlineStr">
        <is>
          <t>25-21</t>
        </is>
      </c>
      <c r="J684" s="222" t="inlineStr"/>
    </row>
    <row r="685">
      <c r="A685" s="222" t="inlineStr">
        <is>
          <t>1177</t>
        </is>
      </c>
      <c r="B685" s="222" t="inlineStr">
        <is>
          <t>32990012</t>
        </is>
      </c>
      <c r="C685" s="222" t="inlineStr">
        <is>
          <t>PAX SEAT--- AV-- NO CALL BACK PAX SEAT , POWER SOCKET SHROUD BROKEN SEAT NO:  43 A,C   42 B,C    40A,C   39A,C AND  38A,B,C</t>
        </is>
      </c>
      <c r="D685" s="222" t="inlineStr">
        <is>
          <t>1</t>
        </is>
      </c>
      <c r="E685" s="222" t="n"/>
      <c r="F685" s="222" t="n"/>
      <c r="G685" s="222" t="n"/>
      <c r="H685" s="222" t="inlineStr">
        <is>
          <t>Not Started</t>
        </is>
      </c>
      <c r="I685" s="222" t="inlineStr">
        <is>
          <t>25-21</t>
        </is>
      </c>
      <c r="J685" s="222" t="inlineStr"/>
    </row>
    <row r="686">
      <c r="A686" s="222" t="inlineStr">
        <is>
          <t>1178</t>
        </is>
      </c>
      <c r="B686" s="222" t="inlineStr">
        <is>
          <t>32990013</t>
        </is>
      </c>
      <c r="C686" s="222" t="inlineStr">
        <is>
          <t>PAX SEAT--- AV-- NO CALL BACK PAX SEAT , POWER SOCKET SHROUD BROKEN SEAT NO: 37A,B,C  36A,B,C  35C  34A,B,C</t>
        </is>
      </c>
      <c r="D686" s="222" t="inlineStr">
        <is>
          <t>1</t>
        </is>
      </c>
      <c r="E686" s="222" t="n"/>
      <c r="F686" s="222" t="n"/>
      <c r="G686" s="222" t="n"/>
      <c r="H686" s="222" t="inlineStr">
        <is>
          <t>Not Started</t>
        </is>
      </c>
      <c r="I686" s="222" t="inlineStr">
        <is>
          <t>25-21</t>
        </is>
      </c>
      <c r="J686" s="222" t="inlineStr"/>
    </row>
    <row r="687">
      <c r="A687" s="222" t="inlineStr">
        <is>
          <t>1179</t>
        </is>
      </c>
      <c r="B687" s="222" t="inlineStr">
        <is>
          <t>32990020</t>
        </is>
      </c>
      <c r="C687" s="222" t="inlineStr">
        <is>
          <t>PAX SEAT--- AV-- NO CALL BACK PAX SEAT , POWER SOCKET SHROUD BROKEN SEAT NO: 33B,C   32A,B,C  AND 31A,B</t>
        </is>
      </c>
      <c r="D687" s="222" t="inlineStr">
        <is>
          <t>1</t>
        </is>
      </c>
      <c r="E687" s="222" t="n"/>
      <c r="F687" s="222" t="n"/>
      <c r="G687" s="222" t="n"/>
      <c r="H687" s="222" t="inlineStr">
        <is>
          <t>Not Started</t>
        </is>
      </c>
      <c r="I687" s="222" t="inlineStr">
        <is>
          <t>25-21</t>
        </is>
      </c>
      <c r="J687" s="222" t="inlineStr"/>
    </row>
    <row r="688">
      <c r="A688" s="222" t="inlineStr">
        <is>
          <t>1186</t>
        </is>
      </c>
      <c r="B688" s="222" t="inlineStr">
        <is>
          <t>32990048</t>
        </is>
      </c>
      <c r="C688" s="222" t="inlineStr">
        <is>
          <t>#1 ENG - L/H FAN COWL - SM - RII #1 ENG L/H FAN COWL INNER SURFACE FOUND WITH GOUGE BETWEEN #2 LATCH AND #3 LATCH (ZONE D1) DISTANCE TO NEAREST EDGE :- 3.97 INCH.  DIM:-      L=0.5 INCH.                            ,W=0.12 INCH....</t>
        </is>
      </c>
      <c r="D688" s="222" t="inlineStr">
        <is>
          <t>1</t>
        </is>
      </c>
      <c r="E688" s="222" t="n">
        <v>8</v>
      </c>
      <c r="F688" s="222" t="n">
        <v>3</v>
      </c>
      <c r="G688" s="222" t="n">
        <v>72.59999999999999</v>
      </c>
      <c r="H688" s="222" t="inlineStr">
        <is>
          <t>Idle</t>
        </is>
      </c>
      <c r="I688" s="222" t="inlineStr">
        <is>
          <t>71-13</t>
        </is>
      </c>
      <c r="J688" s="222" t="inlineStr"/>
    </row>
    <row r="689">
      <c r="A689" s="222" t="inlineStr">
        <is>
          <t>1187</t>
        </is>
      </c>
      <c r="B689" s="222" t="inlineStr">
        <is>
          <t>32990053</t>
        </is>
      </c>
      <c r="C689" s="222" t="inlineStr">
        <is>
          <t>#1 ENG - L/H FAN COWLS - DENT - SM - RII #1 ENG L/H FAN COWL INNER SURFACE FOUND WITH DENT AT THE  MIDDLE  (ZONE D3) DISTANCE TO NEAREST EDGE :- 5.75 INCH.  DIM:-      L=0.61 INCH.                            ,W=0.5  INCH.                       D=0...</t>
        </is>
      </c>
      <c r="D689" s="222" t="inlineStr">
        <is>
          <t>1</t>
        </is>
      </c>
      <c r="E689" s="222" t="n">
        <v>8</v>
      </c>
      <c r="F689" s="222" t="n">
        <v>0.8</v>
      </c>
      <c r="G689" s="222" t="n">
        <v>69.59999999999999</v>
      </c>
      <c r="H689" s="222" t="inlineStr">
        <is>
          <t>Idle</t>
        </is>
      </c>
      <c r="I689" s="222" t="inlineStr">
        <is>
          <t>71-13</t>
        </is>
      </c>
      <c r="J689" s="222" t="inlineStr"/>
    </row>
    <row r="690">
      <c r="A690" s="222" t="inlineStr">
        <is>
          <t>1188</t>
        </is>
      </c>
      <c r="B690" s="222" t="inlineStr">
        <is>
          <t>32990054</t>
        </is>
      </c>
      <c r="C690" s="222" t="inlineStr">
        <is>
          <t>#1 ENG - L/H FAN COWL - AFT EDGE PROTEC - SM - RII #1 ENG L/H FAN COWL FOUND AFT EDGE PROTECTOR  WITH PITTING CORROSION AT LOWER SIDE DISTANCE TO NEARST EDGE :- 0 INCH . (CORROSION REACHED EDGE)  AFT EDGE PROTECTOR CORROSION DISTANCE TO NEAREST ED...</t>
        </is>
      </c>
      <c r="D690" s="222" t="inlineStr">
        <is>
          <t>1</t>
        </is>
      </c>
      <c r="E690" s="222" t="n"/>
      <c r="F690" s="222" t="n">
        <v>10</v>
      </c>
      <c r="G690" s="222" t="n">
        <v>186.6</v>
      </c>
      <c r="H690" s="222" t="inlineStr">
        <is>
          <t>Idle</t>
        </is>
      </c>
      <c r="I690" s="222" t="inlineStr">
        <is>
          <t>71-13</t>
        </is>
      </c>
      <c r="J690" s="222" t="inlineStr"/>
    </row>
    <row r="691">
      <c r="A691" s="222" t="inlineStr">
        <is>
          <t>1189</t>
        </is>
      </c>
      <c r="B691" s="222" t="inlineStr">
        <is>
          <t>32990067</t>
        </is>
      </c>
      <c r="C691" s="222" t="inlineStr">
        <is>
          <t>#1 ENG - R/H FAN COWL - AFT EDGE PROTEC - SM - RII #1 ENG R/H FAN COWL FOUND AFT EDGE PROTECTOR AND LWER AFT EDGE PROTECTOR WITH PITTING CORROSION AT LOWER SIDE .   AFT EDGE PROTECTOR CORROSION DISTANCE TO NEAREST EDGE :- 0 INCH . (CORROSION REACH...</t>
        </is>
      </c>
      <c r="D691" s="222" t="inlineStr">
        <is>
          <t>1</t>
        </is>
      </c>
      <c r="E691" s="222" t="n"/>
      <c r="F691" s="222" t="n">
        <v>17.8</v>
      </c>
      <c r="G691" s="222" t="n">
        <v>182.6</v>
      </c>
      <c r="H691" s="222" t="inlineStr">
        <is>
          <t>Idle</t>
        </is>
      </c>
      <c r="I691" s="222" t="inlineStr">
        <is>
          <t>71-13</t>
        </is>
      </c>
      <c r="J691" s="222" t="inlineStr"/>
    </row>
    <row r="692">
      <c r="A692" s="222" t="inlineStr">
        <is>
          <t>1190</t>
        </is>
      </c>
      <c r="B692" s="222" t="inlineStr">
        <is>
          <t>32990167</t>
        </is>
      </c>
      <c r="C692" s="222" t="inlineStr">
        <is>
          <t>#1 ENG - R/H FAN COWL - CLEVIS DECAL - PNT - NO CALL BACK #1 ENG - R/H FAN COWL INNER SIDE FOUND " NEVER TURN CLEVIS" DECAL FADED AND EDGES PEELED-OFF .</t>
        </is>
      </c>
      <c r="D692" s="222" t="inlineStr">
        <is>
          <t>1</t>
        </is>
      </c>
      <c r="E692" s="222" t="n">
        <v>2</v>
      </c>
      <c r="F692" s="222" t="n"/>
      <c r="G692" s="222" t="n"/>
      <c r="H692" s="222" t="inlineStr">
        <is>
          <t>Not Started</t>
        </is>
      </c>
      <c r="I692" s="222" t="inlineStr">
        <is>
          <t>71-13</t>
        </is>
      </c>
      <c r="J692" s="222" t="inlineStr"/>
    </row>
    <row r="693">
      <c r="A693" s="222" t="inlineStr">
        <is>
          <t>1191</t>
        </is>
      </c>
      <c r="B693" s="222" t="inlineStr">
        <is>
          <t>32990169</t>
        </is>
      </c>
      <c r="C693" s="222" t="inlineStr">
        <is>
          <t>#1 ENG - R/H FAN COWL - HAZARD DECAL - PNT - NO CALL BACK #1 ENG R/H FAN COWLS EXTIROIR SURFACE FOUND ALL "STAY CLEAR OF HAZARD AREA DURING ENGINE RUNNING" DECALS FADED AND EDGES PEALED-OFF.</t>
        </is>
      </c>
      <c r="D693" s="222" t="inlineStr">
        <is>
          <t>1</t>
        </is>
      </c>
      <c r="E693" s="222" t="n">
        <v>3</v>
      </c>
      <c r="F693" s="222" t="n"/>
      <c r="G693" s="222" t="n"/>
      <c r="H693" s="222" t="inlineStr">
        <is>
          <t>Not Started</t>
        </is>
      </c>
      <c r="I693" s="222" t="inlineStr">
        <is>
          <t>71-13</t>
        </is>
      </c>
      <c r="J693" s="222" t="inlineStr"/>
    </row>
    <row r="694">
      <c r="A694" s="222" t="inlineStr">
        <is>
          <t>1192</t>
        </is>
      </c>
      <c r="B694" s="222" t="inlineStr">
        <is>
          <t>32990170</t>
        </is>
      </c>
      <c r="C694" s="222" t="inlineStr">
        <is>
          <t>#1 ENG - R/H FAN COWL - PRESS DR - AP - RII #1 ENG R/H FAN COWL INNER SIDE FOUND PRESSURE RELIEF DOOR UPPER AND LOWER SPRING LOADED ARMS HINGES RUSTED AND UPPER SPRING LOADED ARM LANYARD FWD END CHAFFED-OFF AND SPRING LOADED ARM END GOUGED.</t>
        </is>
      </c>
      <c r="D694" s="222" t="inlineStr">
        <is>
          <t>1</t>
        </is>
      </c>
      <c r="E694" s="222" t="n">
        <v>8</v>
      </c>
      <c r="F694" s="222" t="n"/>
      <c r="G694" s="222" t="n"/>
      <c r="H694" s="222" t="inlineStr">
        <is>
          <t>Not Started</t>
        </is>
      </c>
      <c r="I694" s="222" t="inlineStr">
        <is>
          <t>71-13</t>
        </is>
      </c>
      <c r="J694" s="222" t="inlineStr"/>
    </row>
    <row r="695">
      <c r="A695" s="222" t="inlineStr">
        <is>
          <t>1193</t>
        </is>
      </c>
      <c r="B695" s="222" t="inlineStr">
        <is>
          <t>32990171</t>
        </is>
      </c>
      <c r="C695" s="222" t="inlineStr">
        <is>
          <t>#1 ENG - L/H FAN COWL - METAL STRIP - SM - RII #1 ENG L/H FAN COWL UPPER SIDE FOUND METAL STRIP (BEHIND FAN COWL HINGES) WITH GOUGE AT FWD SIDE DISTANCE TO NEAREST EDGE :- 0.12 INCH.  DIM:-  L= 5.5 INCH.                         ,W=0.25 INCH....</t>
        </is>
      </c>
      <c r="D695" s="222" t="inlineStr">
        <is>
          <t>1</t>
        </is>
      </c>
      <c r="E695" s="222" t="n"/>
      <c r="F695" s="222" t="n">
        <v>0.3</v>
      </c>
      <c r="G695" s="222" t="n">
        <v>44.1</v>
      </c>
      <c r="H695" s="222" t="inlineStr">
        <is>
          <t>Idle</t>
        </is>
      </c>
      <c r="I695" s="222" t="inlineStr">
        <is>
          <t>71-13</t>
        </is>
      </c>
      <c r="J695" s="222" t="inlineStr"/>
    </row>
    <row r="696">
      <c r="A696" s="222" t="inlineStr">
        <is>
          <t>1194</t>
        </is>
      </c>
      <c r="B696" s="222" t="inlineStr">
        <is>
          <t>32990173</t>
        </is>
      </c>
      <c r="C696" s="222" t="inlineStr">
        <is>
          <t>#1 ENG - FAN FR - ASSY - IDG QAD - AP - NO CALL BACK #1 ENG FAN FRAME ASSEMBLY AT 05:30 O`CLOCK POSITION FOUND IDG QUICK ATTACH/DETACH (QAD) BOLT WITH WRONG DIRECTION SAFETY WIRE.</t>
        </is>
      </c>
      <c r="D696" s="222" t="inlineStr">
        <is>
          <t>1</t>
        </is>
      </c>
      <c r="E696" s="222" t="n">
        <v>4</v>
      </c>
      <c r="F696" s="222" t="n"/>
      <c r="G696" s="222" t="n"/>
      <c r="H696" s="222" t="inlineStr">
        <is>
          <t>Not Started</t>
        </is>
      </c>
      <c r="I696" s="222" t="inlineStr">
        <is>
          <t>24-92</t>
        </is>
      </c>
      <c r="J696" s="222" t="inlineStr"/>
    </row>
    <row r="697">
      <c r="A697" s="222" t="inlineStr">
        <is>
          <t>1195</t>
        </is>
      </c>
      <c r="B697" s="222" t="inlineStr">
        <is>
          <t>32990192</t>
        </is>
      </c>
      <c r="C697" s="222" t="inlineStr">
        <is>
          <t>#1 ENG - L/H AND R/H T/REV - TEFLON SEAL - SM - RII #1 ENG L/H AND R/H THRUST REVERSERS AT FWD SIDE FOUND FAN COWLS RUB TEFLON SEAL DETERIORATED AND DETACHED. (R/H T/REV TEFLON SEAL DETACHED FROM UPPER AND LOWER SIDE).</t>
        </is>
      </c>
      <c r="D697" s="222" t="inlineStr">
        <is>
          <t>1</t>
        </is>
      </c>
      <c r="E697" s="222" t="n"/>
      <c r="F697" s="222" t="n">
        <v>0.3</v>
      </c>
      <c r="G697" s="222" t="n">
        <v>69.09999999999999</v>
      </c>
      <c r="H697" s="222" t="inlineStr">
        <is>
          <t>Idle</t>
        </is>
      </c>
      <c r="I697" s="222" t="inlineStr">
        <is>
          <t>05-24</t>
        </is>
      </c>
      <c r="J697" s="222" t="inlineStr"/>
    </row>
    <row r="698">
      <c r="A698" s="222" t="inlineStr">
        <is>
          <t>1196</t>
        </is>
      </c>
      <c r="B698" s="222" t="inlineStr">
        <is>
          <t>32990196</t>
        </is>
      </c>
      <c r="C698" s="222" t="inlineStr">
        <is>
          <t>#1 ENG - L/H T/REV - LOWER BLOCKER DR - AP - NO CALL BACK #1 ENG L/H THRUST REVERSER FOUND LOWER BLOCKER DOOR ACTUATOR WITH HEAVY LEAK AT ROD END.</t>
        </is>
      </c>
      <c r="D698" s="222" t="inlineStr">
        <is>
          <t>1</t>
        </is>
      </c>
      <c r="E698" s="222" t="n">
        <v>3</v>
      </c>
      <c r="F698" s="222" t="n"/>
      <c r="G698" s="222" t="n"/>
      <c r="H698" s="222" t="inlineStr">
        <is>
          <t>Not Started</t>
        </is>
      </c>
      <c r="I698" s="222" t="inlineStr">
        <is>
          <t>05-24</t>
        </is>
      </c>
      <c r="J698" s="222" t="inlineStr"/>
    </row>
    <row r="699">
      <c r="A699" s="222" t="inlineStr">
        <is>
          <t>1197</t>
        </is>
      </c>
      <c r="B699" s="222" t="inlineStr">
        <is>
          <t>32990203</t>
        </is>
      </c>
      <c r="C699" s="222" t="inlineStr">
        <is>
          <t>#1 ENG - L/H AND R/H T/REV - COOLING HOSE - AP - NO CALL BACK #1 ENG L/H AND R/H THRUST REVERSERS INNER SIDE FOUND THRUST REVERSER OPENING ACTUATORS COOLING HOSES DETERIORATED .</t>
        </is>
      </c>
      <c r="D699" s="222" t="inlineStr">
        <is>
          <t>1</t>
        </is>
      </c>
      <c r="E699" s="222" t="n">
        <v>8</v>
      </c>
      <c r="F699" s="222" t="n"/>
      <c r="G699" s="222" t="n"/>
      <c r="H699" s="222" t="inlineStr">
        <is>
          <t>Not Started</t>
        </is>
      </c>
      <c r="I699" s="222" t="inlineStr">
        <is>
          <t>05-24</t>
        </is>
      </c>
      <c r="J699" s="222" t="inlineStr"/>
    </row>
    <row r="700">
      <c r="A700" s="222" t="inlineStr">
        <is>
          <t>1198</t>
        </is>
      </c>
      <c r="B700" s="222" t="inlineStr">
        <is>
          <t>32990219</t>
        </is>
      </c>
      <c r="C700" s="222" t="inlineStr">
        <is>
          <t>#1 ENG - R/H T/REV - HEAT SHIELD - SM - RII #1 ENG R/H THRUST REVERSER AT INNER  FWD SIDE FOUND HEAT SHILED WITH 4 CHAFFING MARKS (T/REV CHAFFING AGAINST ANI-ICE MUSCLE LINE AND ITS BRACKETS AND CONNECTION JUNCTION BOX).  #1 CHAFFING DISTANCE TO N...</t>
        </is>
      </c>
      <c r="D700" s="222" t="inlineStr">
        <is>
          <t>1</t>
        </is>
      </c>
      <c r="E700" s="222" t="n"/>
      <c r="F700" s="222" t="n">
        <v>2</v>
      </c>
      <c r="G700" s="222" t="n">
        <v>62.6</v>
      </c>
      <c r="H700" s="222" t="inlineStr">
        <is>
          <t>Idle</t>
        </is>
      </c>
      <c r="I700" s="222" t="inlineStr">
        <is>
          <t>05-24</t>
        </is>
      </c>
      <c r="J700" s="222" t="inlineStr"/>
    </row>
    <row r="701">
      <c r="A701" s="222" t="inlineStr">
        <is>
          <t>1199</t>
        </is>
      </c>
      <c r="B701" s="222" t="inlineStr">
        <is>
          <t>32991206</t>
        </is>
      </c>
      <c r="C701" s="222" t="inlineStr">
        <is>
          <t>CAB - NO CALL BACK - OSB OSB MISSING RUBBER BUMBER 20 EA</t>
        </is>
      </c>
      <c r="D701" s="222" t="inlineStr">
        <is>
          <t>1</t>
        </is>
      </c>
      <c r="E701" s="222" t="n"/>
      <c r="F701" s="222" t="n"/>
      <c r="G701" s="222" t="n"/>
      <c r="H701" s="222" t="inlineStr">
        <is>
          <t>Not Started</t>
        </is>
      </c>
      <c r="I701" s="222" t="inlineStr">
        <is>
          <t>25-10</t>
        </is>
      </c>
      <c r="J701" s="222" t="inlineStr"/>
    </row>
    <row r="702">
      <c r="A702" s="222" t="inlineStr">
        <is>
          <t>1200</t>
        </is>
      </c>
      <c r="B702" s="222" t="inlineStr">
        <is>
          <t>32991276</t>
        </is>
      </c>
      <c r="C702" s="222" t="inlineStr">
        <is>
          <t>AV - NO CALLBACK - PAX SEATS ELECTRICAL CONNECTIONS AT SEATS 30RH TO 34RH REQUIRE REMOVAL FOR ACCESS.</t>
        </is>
      </c>
      <c r="D702" s="222" t="inlineStr">
        <is>
          <t>1</t>
        </is>
      </c>
      <c r="E702" s="222" t="n"/>
      <c r="F702" s="222" t="n">
        <v>4</v>
      </c>
      <c r="G702" s="222" t="n">
        <v>190.1</v>
      </c>
      <c r="H702" s="222" t="inlineStr">
        <is>
          <t>Idle</t>
        </is>
      </c>
      <c r="I702" s="222" t="inlineStr">
        <is>
          <t>25</t>
        </is>
      </c>
      <c r="J702" s="222" t="inlineStr"/>
    </row>
    <row r="703">
      <c r="A703" s="222" t="inlineStr">
        <is>
          <t>1201</t>
        </is>
      </c>
      <c r="B703" s="222" t="inlineStr">
        <is>
          <t>32991499</t>
        </is>
      </c>
      <c r="C703" s="222" t="inlineStr">
        <is>
          <t>PNT - RII - LAV A LAV A ACCESS DOOR WASTE COMPARTMENT HAS SMALL SCRATCHES ON UPPER SIDE.</t>
        </is>
      </c>
      <c r="D703" s="222" t="inlineStr">
        <is>
          <t>1</t>
        </is>
      </c>
      <c r="E703" s="222" t="n"/>
      <c r="F703" s="222" t="n"/>
      <c r="G703" s="222" t="n"/>
      <c r="H703" s="222" t="inlineStr">
        <is>
          <t>Not Started</t>
        </is>
      </c>
      <c r="I703" s="222" t="inlineStr">
        <is>
          <t>25</t>
        </is>
      </c>
      <c r="J703" s="222" t="inlineStr"/>
    </row>
    <row r="704">
      <c r="A704" s="222" t="inlineStr">
        <is>
          <t>1202</t>
        </is>
      </c>
      <c r="B704" s="222" t="inlineStr">
        <is>
          <t>32991511</t>
        </is>
      </c>
      <c r="C704" s="222" t="inlineStr">
        <is>
          <t>CAB - RII - LAV E LAV E ACCESS DOOR WASTE COMPARTMENT WITH SMALL CRACK NEXT TO LATCH.</t>
        </is>
      </c>
      <c r="D704" s="222" t="inlineStr">
        <is>
          <t>1</t>
        </is>
      </c>
      <c r="E704" s="222" t="n"/>
      <c r="F704" s="222" t="n"/>
      <c r="G704" s="222" t="n"/>
      <c r="H704" s="222" t="inlineStr">
        <is>
          <t>Not Started</t>
        </is>
      </c>
      <c r="I704" s="222" t="inlineStr">
        <is>
          <t>25</t>
        </is>
      </c>
      <c r="J704" s="222" t="inlineStr"/>
    </row>
    <row r="705">
      <c r="A705" s="222" t="inlineStr">
        <is>
          <t>1204</t>
        </is>
      </c>
      <c r="B705" s="222" t="inlineStr">
        <is>
          <t>32991518</t>
        </is>
      </c>
      <c r="C705" s="222" t="inlineStr">
        <is>
          <t>FINDING (NRC) TASKCARD ZL-531-02-1-001 (01) LH WING  AP-- NO CALLBACK LH WING FLAP TRACK NO#2 AFT BONDING WIRE WITH CUT.</t>
        </is>
      </c>
      <c r="D705" s="222" t="inlineStr">
        <is>
          <t>1</t>
        </is>
      </c>
      <c r="E705" s="222" t="n">
        <v>6</v>
      </c>
      <c r="F705" s="222" t="n"/>
      <c r="G705" s="222" t="n"/>
      <c r="H705" s="222" t="inlineStr">
        <is>
          <t>Not Started</t>
        </is>
      </c>
      <c r="I705" s="222" t="inlineStr">
        <is>
          <t>05-25</t>
        </is>
      </c>
      <c r="J705" s="222" t="inlineStr"/>
    </row>
    <row r="706">
      <c r="A706" s="222" t="inlineStr">
        <is>
          <t>1205</t>
        </is>
      </c>
      <c r="B706" s="222" t="inlineStr">
        <is>
          <t>32991527</t>
        </is>
      </c>
      <c r="C706" s="222" t="inlineStr">
        <is>
          <t>CAB - RII - LAV E LAV E WASTE FLAP DAMPER INOP</t>
        </is>
      </c>
      <c r="D706" s="222" t="inlineStr">
        <is>
          <t>1</t>
        </is>
      </c>
      <c r="E706" s="222" t="n"/>
      <c r="F706" s="222" t="n"/>
      <c r="G706" s="222" t="n"/>
      <c r="H706" s="222" t="inlineStr">
        <is>
          <t>Not Started</t>
        </is>
      </c>
      <c r="I706" s="222" t="inlineStr">
        <is>
          <t>25</t>
        </is>
      </c>
      <c r="J706" s="222" t="inlineStr"/>
    </row>
    <row r="707">
      <c r="A707" s="222" t="inlineStr">
        <is>
          <t>1206</t>
        </is>
      </c>
      <c r="B707" s="222" t="inlineStr">
        <is>
          <t>32991534</t>
        </is>
      </c>
      <c r="C707" s="222" t="inlineStr">
        <is>
          <t>PNT - RII - LAV E LAV E ACCESS DOOR WASTE COMPARTMENT WITH SCRATCHES FROM OUTSIDE.</t>
        </is>
      </c>
      <c r="D707" s="222" t="inlineStr">
        <is>
          <t>1</t>
        </is>
      </c>
      <c r="E707" s="222" t="n">
        <v>3</v>
      </c>
      <c r="F707" s="222" t="n"/>
      <c r="G707" s="222" t="n"/>
      <c r="H707" s="222" t="inlineStr">
        <is>
          <t>Not Started</t>
        </is>
      </c>
      <c r="I707" s="222" t="inlineStr">
        <is>
          <t>25</t>
        </is>
      </c>
      <c r="J707" s="222" t="inlineStr"/>
    </row>
    <row r="708">
      <c r="A708" s="222" t="inlineStr">
        <is>
          <t>1207</t>
        </is>
      </c>
      <c r="B708" s="222" t="inlineStr">
        <is>
          <t>32991563</t>
        </is>
      </c>
      <c r="C708" s="222" t="inlineStr">
        <is>
          <t>RH WING -- FT REFER TO TC # 572020-01-1-002, 572040-01-2-002, 572139-01-2-002, 572140-01-2-002 AND 572161-01-11-002 REQUIRE TO REMOVE RH WING FUEL TANK ACCESS PANELS  - 640AB, 640BB , 640CB, 640DB, 640EB, 640FB, 640GB  - 640HB, 640JB, 640KB, 640LB...</t>
        </is>
      </c>
      <c r="D708" s="222" t="inlineStr">
        <is>
          <t>1</t>
        </is>
      </c>
      <c r="E708" s="222" t="n"/>
      <c r="F708" s="222" t="n">
        <v>96</v>
      </c>
      <c r="G708" s="222" t="n">
        <v>192.1</v>
      </c>
      <c r="H708" s="222" t="inlineStr">
        <is>
          <t>Idle</t>
        </is>
      </c>
      <c r="I708" s="222" t="inlineStr">
        <is>
          <t>57</t>
        </is>
      </c>
      <c r="J708" s="222" t="inlineStr"/>
    </row>
    <row r="709">
      <c r="A709" s="222" t="inlineStr">
        <is>
          <t>1209</t>
        </is>
      </c>
      <c r="B709" s="222" t="inlineStr">
        <is>
          <t>32991584</t>
        </is>
      </c>
      <c r="C709" s="222" t="inlineStr">
        <is>
          <t>LH WING -- FT REFER TO TC # 572020-01-1-001, 572040-01-2-001, 572139-01-2-001, 572140-01-2-001 AND 572161-01-11-001 REQUIRE TO REMOVE LH WING FUEL TANK ACCESS PANELS  - 540AB, 540BB , 540CB, 540DB, 540EB, 540FB, 540GB  - 540HB, 540JB, 540KB, 540LB...</t>
        </is>
      </c>
      <c r="D709" s="222" t="inlineStr">
        <is>
          <t>1</t>
        </is>
      </c>
      <c r="E709" s="222" t="n"/>
      <c r="F709" s="222" t="n">
        <v>81.8</v>
      </c>
      <c r="G709" s="222" t="n">
        <v>191.3</v>
      </c>
      <c r="H709" s="222" t="inlineStr">
        <is>
          <t>Idle</t>
        </is>
      </c>
      <c r="I709" s="222" t="inlineStr">
        <is>
          <t>57</t>
        </is>
      </c>
      <c r="J709" s="222" t="inlineStr"/>
    </row>
    <row r="710">
      <c r="A710" s="222" t="inlineStr">
        <is>
          <t>1210</t>
        </is>
      </c>
      <c r="B710" s="222" t="inlineStr">
        <is>
          <t>32991594</t>
        </is>
      </c>
      <c r="C710" s="222" t="inlineStr">
        <is>
          <t>FINDING (NRC) TASKCARD ZL-531-02-1-002 (01) RH WING   AP--NO C/B RH WING FLAP TRACK NO#2 AFT BONDING WIRE WITH CUT .</t>
        </is>
      </c>
      <c r="D710" s="222" t="inlineStr">
        <is>
          <t>1</t>
        </is>
      </c>
      <c r="E710" s="222" t="n">
        <v>6</v>
      </c>
      <c r="F710" s="222" t="n">
        <v>5</v>
      </c>
      <c r="G710" s="222" t="n">
        <v>46.3</v>
      </c>
      <c r="H710" s="222" t="inlineStr">
        <is>
          <t>Idle</t>
        </is>
      </c>
      <c r="I710" s="222" t="inlineStr">
        <is>
          <t>05-25</t>
        </is>
      </c>
      <c r="J710" s="222" t="inlineStr"/>
    </row>
    <row r="711">
      <c r="A711" s="222" t="inlineStr">
        <is>
          <t>1211</t>
        </is>
      </c>
      <c r="B711" s="222" t="inlineStr">
        <is>
          <t>32991646</t>
        </is>
      </c>
      <c r="C711" s="222" t="inlineStr">
        <is>
          <t>AVIO - N0 CALL BACK - SEAT CONNECTION ELECTRICAL CONNECTIONS AT SEATS 39RH TO 44RH REQUIRE REMOVAL FOR ACCESS.</t>
        </is>
      </c>
      <c r="D711" s="222" t="inlineStr">
        <is>
          <t>1</t>
        </is>
      </c>
      <c r="E711" s="222" t="n"/>
      <c r="F711" s="222" t="n">
        <v>4</v>
      </c>
      <c r="G711" s="222" t="n">
        <v>189.8</v>
      </c>
      <c r="H711" s="222" t="inlineStr">
        <is>
          <t>Idle</t>
        </is>
      </c>
      <c r="I711" s="222" t="inlineStr">
        <is>
          <t>53-41</t>
        </is>
      </c>
      <c r="J711" s="222" t="inlineStr"/>
    </row>
    <row r="712">
      <c r="A712" s="222" t="inlineStr">
        <is>
          <t>1212</t>
        </is>
      </c>
      <c r="B712" s="222" t="inlineStr">
        <is>
          <t>32991651</t>
        </is>
      </c>
      <c r="C712" s="222" t="inlineStr">
        <is>
          <t>AVIO - N0 CALL BACK - SEAT CONNECTION ELECTRICAL CONNECTIONS AT SEATS 39LH TO 44LH REQUIRE REMOVAL FOR ACCESS.</t>
        </is>
      </c>
      <c r="D712" s="222" t="inlineStr">
        <is>
          <t>1</t>
        </is>
      </c>
      <c r="E712" s="222" t="n"/>
      <c r="F712" s="222" t="n">
        <v>4</v>
      </c>
      <c r="G712" s="222" t="n">
        <v>189.8</v>
      </c>
      <c r="H712" s="222" t="inlineStr">
        <is>
          <t>Idle</t>
        </is>
      </c>
      <c r="I712" s="222" t="inlineStr">
        <is>
          <t>53-41</t>
        </is>
      </c>
      <c r="J712" s="222" t="inlineStr"/>
    </row>
    <row r="713">
      <c r="A713" s="222" t="inlineStr">
        <is>
          <t>1213</t>
        </is>
      </c>
      <c r="B713" s="222" t="inlineStr">
        <is>
          <t>32991622</t>
        </is>
      </c>
      <c r="C713" s="222" t="inlineStr">
        <is>
          <t>FINDING (NRC) TASKCARD ZL-531-02-1-002 (01) RH WING  AP--CALLBACK FLAP TRACK NO#2 IN/B  FWD UPPER ACTUATOR SUPPORT LINK TEFLON COLLAR NOT SECURED.</t>
        </is>
      </c>
      <c r="D713" s="222" t="inlineStr">
        <is>
          <t>1</t>
        </is>
      </c>
      <c r="E713" s="222" t="n">
        <v>6</v>
      </c>
      <c r="F713" s="222" t="n"/>
      <c r="G713" s="222" t="n"/>
      <c r="H713" s="222" t="inlineStr">
        <is>
          <t>Not Started</t>
        </is>
      </c>
      <c r="I713" s="222" t="inlineStr">
        <is>
          <t>05-25</t>
        </is>
      </c>
      <c r="J713" s="222" t="inlineStr"/>
    </row>
    <row r="714">
      <c r="A714" s="222" t="inlineStr">
        <is>
          <t>1214</t>
        </is>
      </c>
      <c r="B714" s="222" t="inlineStr">
        <is>
          <t>32991955</t>
        </is>
      </c>
      <c r="C714" s="222" t="inlineStr">
        <is>
          <t>FINDING (NRC) TASKCARD ZL-532-01-1-002 (04) RH WING  AP--NO CALLBACK RH WING FLAP TRACK NO#3 AFT BONDING WIRE WITH CUT .</t>
        </is>
      </c>
      <c r="D714" s="222" t="inlineStr">
        <is>
          <t>1</t>
        </is>
      </c>
      <c r="E714" s="222" t="n">
        <v>6</v>
      </c>
      <c r="F714" s="222" t="n"/>
      <c r="G714" s="222" t="n"/>
      <c r="H714" s="222" t="inlineStr">
        <is>
          <t>Not Started</t>
        </is>
      </c>
      <c r="I714" s="222" t="inlineStr">
        <is>
          <t>05-25</t>
        </is>
      </c>
      <c r="J714" s="222" t="inlineStr"/>
    </row>
    <row r="715">
      <c r="A715" s="222" t="inlineStr">
        <is>
          <t>1215</t>
        </is>
      </c>
      <c r="B715" s="222" t="inlineStr">
        <is>
          <t>32991957</t>
        </is>
      </c>
      <c r="C715" s="222" t="inlineStr">
        <is>
          <t>FINDING (NRC) TASKCARD ZL-532-01-1-002 (04) RH WING   AP-- CALLBACK FLAP TRACK NO#3 IN/B  FWD UPPER ACTUATOR SUPPORT LINK TEFLON COLLAR NOT SECURED.</t>
        </is>
      </c>
      <c r="D715" s="222" t="inlineStr">
        <is>
          <t>1</t>
        </is>
      </c>
      <c r="E715" s="222" t="n">
        <v>6</v>
      </c>
      <c r="F715" s="222" t="n"/>
      <c r="G715" s="222" t="n"/>
      <c r="H715" s="222" t="inlineStr">
        <is>
          <t>Not Started</t>
        </is>
      </c>
      <c r="I715" s="222" t="inlineStr">
        <is>
          <t>05-25</t>
        </is>
      </c>
      <c r="J715" s="222" t="inlineStr"/>
    </row>
    <row r="716">
      <c r="A716" s="222" t="inlineStr">
        <is>
          <t>1216</t>
        </is>
      </c>
      <c r="B716" s="222" t="inlineStr">
        <is>
          <t>32991972</t>
        </is>
      </c>
      <c r="C716" s="222" t="inlineStr">
        <is>
          <t>FINDING (NRC) TASKCARD ZL-533-01-1-002 (04) RH WING  AP--CALLBACK FLAP TRACK NO#4 IN/B  FWD UPPER ACTUATOR SUPPORT LINK TEFLON COLLAR NOT SECURED.</t>
        </is>
      </c>
      <c r="D716" s="222" t="inlineStr">
        <is>
          <t>1</t>
        </is>
      </c>
      <c r="E716" s="222" t="n">
        <v>4</v>
      </c>
      <c r="F716" s="222" t="n"/>
      <c r="G716" s="222" t="n"/>
      <c r="H716" s="222" t="inlineStr">
        <is>
          <t>Not Started</t>
        </is>
      </c>
      <c r="I716" s="222" t="inlineStr">
        <is>
          <t>05-25</t>
        </is>
      </c>
      <c r="J716" s="222" t="inlineStr"/>
    </row>
    <row r="717">
      <c r="A717" s="222" t="inlineStr">
        <is>
          <t>1217</t>
        </is>
      </c>
      <c r="B717" s="222" t="inlineStr">
        <is>
          <t>32991973</t>
        </is>
      </c>
      <c r="C717" s="222" t="inlineStr">
        <is>
          <t>FINDING (NRC) TASKCARD ZL-533-01-1-002 (04) RH WING  AP--CALLBACK RH WING FLAP TRACK NO#4 AFT BONDING WIRE WITH CUT .</t>
        </is>
      </c>
      <c r="D717" s="222" t="inlineStr">
        <is>
          <t>1</t>
        </is>
      </c>
      <c r="E717" s="222" t="n">
        <v>6</v>
      </c>
      <c r="F717" s="222" t="n"/>
      <c r="G717" s="222" t="n"/>
      <c r="H717" s="222" t="inlineStr">
        <is>
          <t>Not Started</t>
        </is>
      </c>
      <c r="I717" s="222" t="inlineStr">
        <is>
          <t>05-25</t>
        </is>
      </c>
      <c r="J717" s="222" t="inlineStr"/>
    </row>
    <row r="718">
      <c r="A718" s="222" t="inlineStr">
        <is>
          <t>1218</t>
        </is>
      </c>
      <c r="B718" s="222" t="inlineStr">
        <is>
          <t>32992461</t>
        </is>
      </c>
      <c r="C718" s="222" t="inlineStr">
        <is>
          <t>MACHINIST - NO CALLBACK - FWD GALLEY G2 FWD G2 GALLEY  COMP. 209 HINGE SCREW THREAD FOUND WITH BROKEN SCREW.</t>
        </is>
      </c>
      <c r="D718" s="222" t="inlineStr">
        <is>
          <t>1</t>
        </is>
      </c>
      <c r="E718" s="222" t="n"/>
      <c r="F718" s="222" t="n">
        <v>6.7</v>
      </c>
      <c r="G718" s="222" t="n">
        <v>170.1</v>
      </c>
      <c r="H718" s="222" t="inlineStr">
        <is>
          <t>Idle</t>
        </is>
      </c>
      <c r="I718" s="222" t="inlineStr">
        <is>
          <t>25</t>
        </is>
      </c>
      <c r="J718" s="222" t="inlineStr"/>
    </row>
    <row r="719">
      <c r="A719" s="222" t="inlineStr">
        <is>
          <t>1219</t>
        </is>
      </c>
      <c r="B719" s="222" t="inlineStr">
        <is>
          <t>32992488</t>
        </is>
      </c>
      <c r="C719" s="222" t="inlineStr">
        <is>
          <t>CAB - CALL BACK - AFT GLLY AFT GALLEY REQUIRE REMOVAL FOR ACCESS</t>
        </is>
      </c>
      <c r="D719" s="222" t="inlineStr">
        <is>
          <t>1</t>
        </is>
      </c>
      <c r="E719" s="222" t="n"/>
      <c r="F719" s="222" t="n">
        <v>45.5</v>
      </c>
      <c r="G719" s="222" t="n">
        <v>187.2</v>
      </c>
      <c r="H719" s="222" t="inlineStr">
        <is>
          <t>Idle</t>
        </is>
      </c>
      <c r="I719" s="222" t="inlineStr">
        <is>
          <t>53-41</t>
        </is>
      </c>
      <c r="J719" s="222" t="inlineStr"/>
    </row>
    <row r="720">
      <c r="A720" s="222" t="inlineStr">
        <is>
          <t>1220</t>
        </is>
      </c>
      <c r="B720" s="222" t="inlineStr">
        <is>
          <t>32992489</t>
        </is>
      </c>
      <c r="C720" s="222" t="inlineStr">
        <is>
          <t>CAB - CALLBACK - G1 GALLEY G1 GALLEY REQUIRE REMOVAL FOR ACCESS.</t>
        </is>
      </c>
      <c r="D720" s="222" t="inlineStr">
        <is>
          <t>1</t>
        </is>
      </c>
      <c r="E720" s="222" t="n"/>
      <c r="F720" s="222" t="n">
        <v>10</v>
      </c>
      <c r="G720" s="222" t="n">
        <v>178.8</v>
      </c>
      <c r="H720" s="222" t="inlineStr">
        <is>
          <t>Idle</t>
        </is>
      </c>
      <c r="I720" s="222" t="inlineStr">
        <is>
          <t>25</t>
        </is>
      </c>
      <c r="J720" s="222" t="inlineStr"/>
    </row>
    <row r="721">
      <c r="A721" s="222" t="inlineStr">
        <is>
          <t>1221</t>
        </is>
      </c>
      <c r="B721" s="222" t="inlineStr">
        <is>
          <t>32992493</t>
        </is>
      </c>
      <c r="C721" s="222" t="inlineStr">
        <is>
          <t>CAB - CALLBACK - LAV A "LAVATORY A" REQUIRE REMOVAL FOR ACCESS.</t>
        </is>
      </c>
      <c r="D721" s="222" t="inlineStr">
        <is>
          <t>1</t>
        </is>
      </c>
      <c r="E721" s="222" t="n"/>
      <c r="F721" s="222" t="n">
        <v>32</v>
      </c>
      <c r="G721" s="222" t="n">
        <v>52.8</v>
      </c>
      <c r="H721" s="222" t="inlineStr">
        <is>
          <t>Idle</t>
        </is>
      </c>
      <c r="I721" s="222" t="inlineStr">
        <is>
          <t>25</t>
        </is>
      </c>
      <c r="J721" s="222" t="inlineStr"/>
    </row>
    <row r="722">
      <c r="A722" s="222" t="inlineStr">
        <is>
          <t>1222</t>
        </is>
      </c>
      <c r="B722" s="222" t="inlineStr">
        <is>
          <t>32992492</t>
        </is>
      </c>
      <c r="C722" s="222" t="inlineStr">
        <is>
          <t>CAB - CALL BACK - LAV E LAVATORY "E" REQUIRE REMOVAL FOR ACCESS</t>
        </is>
      </c>
      <c r="D722" s="222" t="inlineStr">
        <is>
          <t>1</t>
        </is>
      </c>
      <c r="E722" s="222" t="n"/>
      <c r="F722" s="222" t="n">
        <v>32.5</v>
      </c>
      <c r="G722" s="222" t="n">
        <v>161.7</v>
      </c>
      <c r="H722" s="222" t="inlineStr">
        <is>
          <t>Idle</t>
        </is>
      </c>
      <c r="I722" s="222" t="inlineStr">
        <is>
          <t>53-41</t>
        </is>
      </c>
      <c r="J722" s="222" t="inlineStr"/>
    </row>
    <row r="723">
      <c r="A723" s="222" t="inlineStr">
        <is>
          <t>1223</t>
        </is>
      </c>
      <c r="B723" s="222" t="inlineStr">
        <is>
          <t>32992500</t>
        </is>
      </c>
      <c r="C723" s="222" t="inlineStr">
        <is>
          <t>CAB - CALL BACK - LAV D LAVATORY "D" REQUIRE REMOVAL FOR ACCESS</t>
        </is>
      </c>
      <c r="D723" s="222" t="inlineStr">
        <is>
          <t>1</t>
        </is>
      </c>
      <c r="E723" s="222" t="n"/>
      <c r="F723" s="222" t="n">
        <v>3</v>
      </c>
      <c r="G723" s="222" t="n">
        <v>157.9</v>
      </c>
      <c r="H723" s="222" t="inlineStr">
        <is>
          <t>Idle</t>
        </is>
      </c>
      <c r="I723" s="222" t="inlineStr">
        <is>
          <t>53-41</t>
        </is>
      </c>
      <c r="J723" s="222" t="inlineStr"/>
    </row>
    <row r="724">
      <c r="A724" s="222" t="inlineStr">
        <is>
          <t>1224</t>
        </is>
      </c>
      <c r="B724" s="222" t="inlineStr">
        <is>
          <t>32992517</t>
        </is>
      </c>
      <c r="C724" s="222" t="inlineStr">
        <is>
          <t>CAB - CALLBACK - STOWAGE C1 "STOWAGE C1" REQUIRE REMOVAL FOR ACCESS.</t>
        </is>
      </c>
      <c r="D724" s="222" t="inlineStr">
        <is>
          <t>1</t>
        </is>
      </c>
      <c r="E724" s="222" t="n"/>
      <c r="F724" s="222" t="n">
        <v>9.5</v>
      </c>
      <c r="G724" s="222" t="n">
        <v>169.1</v>
      </c>
      <c r="H724" s="222" t="inlineStr">
        <is>
          <t>Idle</t>
        </is>
      </c>
      <c r="I724" s="222" t="inlineStr">
        <is>
          <t>25</t>
        </is>
      </c>
      <c r="J724" s="222" t="inlineStr"/>
    </row>
    <row r="725">
      <c r="A725" s="222" t="inlineStr">
        <is>
          <t>1225</t>
        </is>
      </c>
      <c r="B725" s="222" t="inlineStr">
        <is>
          <t>32992509</t>
        </is>
      </c>
      <c r="C725" s="222" t="inlineStr">
        <is>
          <t>CAB - CALL BACK- SEAT SEATS FROM 39LH TO 44 LH AND 39RH TO 44RH REQUIRE REMOVAL FOR ACCESS</t>
        </is>
      </c>
      <c r="D725" s="222" t="inlineStr">
        <is>
          <t>1</t>
        </is>
      </c>
      <c r="E725" s="222" t="n"/>
      <c r="F725" s="222" t="n">
        <v>26</v>
      </c>
      <c r="G725" s="222" t="n">
        <v>185.7</v>
      </c>
      <c r="H725" s="222" t="inlineStr">
        <is>
          <t>Idle</t>
        </is>
      </c>
      <c r="I725" s="222" t="inlineStr">
        <is>
          <t>53-41</t>
        </is>
      </c>
      <c r="J725" s="222" t="inlineStr"/>
    </row>
    <row r="726">
      <c r="A726" s="222" t="inlineStr">
        <is>
          <t>1227</t>
        </is>
      </c>
      <c r="B726" s="222" t="inlineStr">
        <is>
          <t>32992699</t>
        </is>
      </c>
      <c r="C726" s="222" t="inlineStr">
        <is>
          <t>CAB - NO CALLBACK - LAV D LAV D DOOR HINGE SCREW MISSING</t>
        </is>
      </c>
      <c r="D726" s="222" t="inlineStr">
        <is>
          <t>1</t>
        </is>
      </c>
      <c r="E726" s="222" t="n"/>
      <c r="F726" s="222" t="n"/>
      <c r="G726" s="222" t="n"/>
      <c r="H726" s="222" t="inlineStr">
        <is>
          <t>Not Started</t>
        </is>
      </c>
      <c r="I726" s="222" t="inlineStr">
        <is>
          <t>25-10</t>
        </is>
      </c>
      <c r="J726" s="222" t="inlineStr"/>
    </row>
    <row r="727">
      <c r="A727" s="222" t="inlineStr">
        <is>
          <t>1228</t>
        </is>
      </c>
      <c r="B727" s="222" t="inlineStr">
        <is>
          <t>32992702</t>
        </is>
      </c>
      <c r="C727" s="222" t="inlineStr">
        <is>
          <t>CAB - NO CALLBACK - LAV D LAV D LOWER CABINET LATCH SCREW MISSING</t>
        </is>
      </c>
      <c r="D727" s="222" t="inlineStr">
        <is>
          <t>1</t>
        </is>
      </c>
      <c r="E727" s="222" t="n"/>
      <c r="F727" s="222" t="n"/>
      <c r="G727" s="222" t="n"/>
      <c r="H727" s="222" t="inlineStr">
        <is>
          <t>Not Started</t>
        </is>
      </c>
      <c r="I727" s="222" t="inlineStr">
        <is>
          <t>25-10</t>
        </is>
      </c>
      <c r="J727" s="222" t="inlineStr"/>
    </row>
    <row r="728">
      <c r="A728" s="222" t="inlineStr">
        <is>
          <t>1229</t>
        </is>
      </c>
      <c r="B728" s="222" t="inlineStr">
        <is>
          <t>32992708</t>
        </is>
      </c>
      <c r="C728" s="222" t="inlineStr">
        <is>
          <t>CAB - NO CALLBACK - LAV D LAV D DOOR FRAME SCREW MISSING</t>
        </is>
      </c>
      <c r="D728" s="222" t="inlineStr">
        <is>
          <t>1</t>
        </is>
      </c>
      <c r="E728" s="222" t="n"/>
      <c r="F728" s="222" t="n"/>
      <c r="G728" s="222" t="n"/>
      <c r="H728" s="222" t="inlineStr">
        <is>
          <t>Not Started</t>
        </is>
      </c>
      <c r="I728" s="222" t="inlineStr">
        <is>
          <t>25-10</t>
        </is>
      </c>
      <c r="J728" s="222" t="inlineStr"/>
    </row>
    <row r="729">
      <c r="A729" s="222" t="inlineStr">
        <is>
          <t>1230</t>
        </is>
      </c>
      <c r="B729" s="222" t="inlineStr">
        <is>
          <t>32992709</t>
        </is>
      </c>
      <c r="C729" s="222" t="inlineStr">
        <is>
          <t>CAB - NO CALLBACK - LAV D LAV D THRESHOLD SCREW MISSING</t>
        </is>
      </c>
      <c r="D729" s="222" t="inlineStr">
        <is>
          <t>1</t>
        </is>
      </c>
      <c r="E729" s="222" t="n"/>
      <c r="F729" s="222" t="n"/>
      <c r="G729" s="222" t="n"/>
      <c r="H729" s="222" t="inlineStr">
        <is>
          <t>Not Started</t>
        </is>
      </c>
      <c r="I729" s="222" t="inlineStr">
        <is>
          <t>25-10</t>
        </is>
      </c>
      <c r="J729" s="222" t="inlineStr"/>
    </row>
    <row r="730">
      <c r="A730" s="222" t="inlineStr">
        <is>
          <t>1231</t>
        </is>
      </c>
      <c r="B730" s="222" t="inlineStr">
        <is>
          <t>32992712</t>
        </is>
      </c>
      <c r="C730" s="222" t="inlineStr">
        <is>
          <t>CAB - NO CALLBACK - LAV D LAV D TOILET SHROUD NOT SECURED</t>
        </is>
      </c>
      <c r="D730" s="222" t="inlineStr">
        <is>
          <t>1</t>
        </is>
      </c>
      <c r="E730" s="222" t="n"/>
      <c r="F730" s="222" t="n"/>
      <c r="G730" s="222" t="n"/>
      <c r="H730" s="222" t="inlineStr">
        <is>
          <t>Not Started</t>
        </is>
      </c>
      <c r="I730" s="222" t="inlineStr">
        <is>
          <t>25-10</t>
        </is>
      </c>
      <c r="J730" s="222" t="inlineStr"/>
    </row>
    <row r="731">
      <c r="A731" s="222" t="inlineStr">
        <is>
          <t>1232</t>
        </is>
      </c>
      <c r="B731" s="222" t="inlineStr">
        <is>
          <t>32992717</t>
        </is>
      </c>
      <c r="C731" s="222" t="inlineStr">
        <is>
          <t>CAB - NO CALLBACK - LAV D LAV D TOILET SEAT COVER BROKEN</t>
        </is>
      </c>
      <c r="D731" s="222" t="inlineStr">
        <is>
          <t>1</t>
        </is>
      </c>
      <c r="E731" s="222" t="n"/>
      <c r="F731" s="222" t="n"/>
      <c r="G731" s="222" t="n"/>
      <c r="H731" s="222" t="inlineStr">
        <is>
          <t>Not Started</t>
        </is>
      </c>
      <c r="I731" s="222" t="inlineStr">
        <is>
          <t>25-10</t>
        </is>
      </c>
      <c r="J731" s="222" t="inlineStr"/>
    </row>
    <row r="732">
      <c r="A732" s="222" t="inlineStr">
        <is>
          <t>1233</t>
        </is>
      </c>
      <c r="B732" s="222" t="inlineStr">
        <is>
          <t>32992719</t>
        </is>
      </c>
      <c r="C732" s="222" t="inlineStr">
        <is>
          <t>CAB - NO CALLBACK - LAV D LAV D DOOR LOCK LABLE FADED</t>
        </is>
      </c>
      <c r="D732" s="222" t="inlineStr">
        <is>
          <t>1</t>
        </is>
      </c>
      <c r="E732" s="222" t="n"/>
      <c r="F732" s="222" t="n"/>
      <c r="G732" s="222" t="n"/>
      <c r="H732" s="222" t="inlineStr">
        <is>
          <t>Not Started</t>
        </is>
      </c>
      <c r="I732" s="222" t="inlineStr">
        <is>
          <t>25-10</t>
        </is>
      </c>
      <c r="J732" s="222" t="inlineStr"/>
    </row>
    <row r="733">
      <c r="A733" s="222" t="inlineStr">
        <is>
          <t>1234</t>
        </is>
      </c>
      <c r="B733" s="222" t="inlineStr">
        <is>
          <t>32992731</t>
        </is>
      </c>
      <c r="C733" s="222" t="inlineStr">
        <is>
          <t>CAB - RII - SEAT REMOVAL FOR ACCESS SEAT 5JL REQUIRE REMOVAL FOR ACCESS</t>
        </is>
      </c>
      <c r="D733" s="222" t="inlineStr">
        <is>
          <t>1</t>
        </is>
      </c>
      <c r="E733" s="222" t="n"/>
      <c r="F733" s="222" t="n">
        <v>5</v>
      </c>
      <c r="G733" s="222" t="n">
        <v>166.6</v>
      </c>
      <c r="H733" s="222" t="inlineStr">
        <is>
          <t>Idle</t>
        </is>
      </c>
      <c r="I733" s="222" t="inlineStr">
        <is>
          <t>25</t>
        </is>
      </c>
      <c r="J733" s="222" t="inlineStr"/>
    </row>
    <row r="734">
      <c r="A734" s="222" t="inlineStr">
        <is>
          <t>1235</t>
        </is>
      </c>
      <c r="B734" s="222" t="inlineStr">
        <is>
          <t>32992738</t>
        </is>
      </c>
      <c r="C734" s="222" t="inlineStr">
        <is>
          <t>CAB - NO CALL BACK - COFFEE MAKER AFT GALLEY COFFEE MAKER NO.1 STENCIL</t>
        </is>
      </c>
      <c r="D734" s="222" t="inlineStr">
        <is>
          <t>1</t>
        </is>
      </c>
      <c r="E734" s="222" t="n"/>
      <c r="F734" s="222" t="n"/>
      <c r="G734" s="222" t="n"/>
      <c r="H734" s="222" t="inlineStr">
        <is>
          <t>Not Started</t>
        </is>
      </c>
      <c r="I734" s="222" t="inlineStr">
        <is>
          <t>25</t>
        </is>
      </c>
      <c r="J734" s="222" t="inlineStr"/>
    </row>
    <row r="735">
      <c r="A735" s="222" t="inlineStr">
        <is>
          <t>1236</t>
        </is>
      </c>
      <c r="B735" s="222" t="inlineStr">
        <is>
          <t>32993162</t>
        </is>
      </c>
      <c r="C735" s="222" t="inlineStr">
        <is>
          <t>UPPER AFT FUSELAGE SKIN=====SM====RII ACCESS THRU VERTICAL STABILIZER LEADING EDGE PNL 321AL FUSELAGE SKIN AREA AROUND 02EA HARNESS CONNECTION (4202VB, 4204VB) FOUND WITH PITTING CORROSION  AROUND THE WHOLE CIRCUMFERENCE MAXIMUM LENGTH = 0.9"</t>
        </is>
      </c>
      <c r="D735" s="222" t="inlineStr">
        <is>
          <t>1</t>
        </is>
      </c>
      <c r="E735" s="222" t="n"/>
      <c r="F735" s="222" t="n">
        <v>38.2</v>
      </c>
      <c r="G735" s="222" t="n">
        <v>157.1</v>
      </c>
      <c r="H735" s="222" t="inlineStr">
        <is>
          <t>Idle</t>
        </is>
      </c>
      <c r="I735" s="222" t="inlineStr">
        <is>
          <t>24-92</t>
        </is>
      </c>
      <c r="J735" s="222" t="inlineStr"/>
    </row>
    <row r="736">
      <c r="A736" s="222" t="inlineStr">
        <is>
          <t>1239</t>
        </is>
      </c>
      <c r="B736" s="222" t="inlineStr">
        <is>
          <t>32993252</t>
        </is>
      </c>
      <c r="C736" s="222" t="inlineStr">
        <is>
          <t>ENGINE#2  PYLON DRAIN--AP--NO CALL BACK ENGINE #2 PYLON ALL 03EA DRAIN LINE GRIL ENTRY POINT AND ADJACENT AREA DIRTY WITH ACCUMULATED DIRT</t>
        </is>
      </c>
      <c r="D736" s="222" t="inlineStr">
        <is>
          <t>1</t>
        </is>
      </c>
      <c r="E736" s="222" t="n">
        <v>8</v>
      </c>
      <c r="F736" s="222" t="n"/>
      <c r="G736" s="222" t="n"/>
      <c r="H736" s="222" t="inlineStr">
        <is>
          <t>Not Started</t>
        </is>
      </c>
      <c r="I736" s="222" t="inlineStr">
        <is>
          <t>54-50</t>
        </is>
      </c>
      <c r="J736" s="222" t="inlineStr"/>
    </row>
    <row r="737">
      <c r="A737" s="222" t="inlineStr">
        <is>
          <t>1240</t>
        </is>
      </c>
      <c r="B737" s="222" t="inlineStr">
        <is>
          <t>32993255</t>
        </is>
      </c>
      <c r="C737" s="222" t="inlineStr">
        <is>
          <t>R/H WING TRAILING EDGE---AP---- NO CALL BACK R/H WING TRAILING EDGE, SPOILER #5 OUT BOARD HINGE BONDING JUMPER BROKEN.</t>
        </is>
      </c>
      <c r="D737" s="222" t="inlineStr">
        <is>
          <t>1</t>
        </is>
      </c>
      <c r="E737" s="222" t="n">
        <v>6</v>
      </c>
      <c r="F737" s="222" t="n">
        <v>6.3</v>
      </c>
      <c r="G737" s="222" t="n">
        <v>46.3</v>
      </c>
      <c r="H737" s="222" t="inlineStr">
        <is>
          <t>Idle</t>
        </is>
      </c>
      <c r="I737" s="222" t="inlineStr">
        <is>
          <t>05-25</t>
        </is>
      </c>
      <c r="J737" s="222" t="inlineStr"/>
    </row>
    <row r="738">
      <c r="A738" s="222" t="inlineStr">
        <is>
          <t>1241</t>
        </is>
      </c>
      <c r="B738" s="222" t="inlineStr">
        <is>
          <t>32993268</t>
        </is>
      </c>
      <c r="C738" s="222" t="inlineStr">
        <is>
          <t>R/H WING TRAILING EDGE---AP---- NO CALL BACK R/H WING TRAILING EDGE, SPOILER #4  IN BOARD HINGE BONDING JUMPER BROKEN.</t>
        </is>
      </c>
      <c r="D738" s="222" t="inlineStr">
        <is>
          <t>1</t>
        </is>
      </c>
      <c r="E738" s="222" t="n">
        <v>6</v>
      </c>
      <c r="F738" s="222" t="n">
        <v>2.3</v>
      </c>
      <c r="G738" s="222" t="n">
        <v>44.6</v>
      </c>
      <c r="H738" s="222" t="inlineStr">
        <is>
          <t>Idle</t>
        </is>
      </c>
      <c r="I738" s="222" t="inlineStr">
        <is>
          <t>05-25</t>
        </is>
      </c>
      <c r="J738" s="222" t="inlineStr"/>
    </row>
    <row r="739">
      <c r="A739" s="222" t="inlineStr">
        <is>
          <t>1245</t>
        </is>
      </c>
      <c r="B739" s="222" t="inlineStr">
        <is>
          <t>32993287</t>
        </is>
      </c>
      <c r="C739" s="222" t="inlineStr">
        <is>
          <t>R/H WING TRAILING EDGE---AP---- NO CALL BACK R/H WING TRAILING EDGE, FROM RIB 08 TO RIB 27 HYD TUBE LINE MULTIPLE AREA TIE WRAP BROKEN</t>
        </is>
      </c>
      <c r="D739" s="222" t="inlineStr">
        <is>
          <t>1</t>
        </is>
      </c>
      <c r="E739" s="222" t="n">
        <v>6</v>
      </c>
      <c r="F739" s="222" t="n"/>
      <c r="G739" s="222" t="n"/>
      <c r="H739" s="222" t="inlineStr">
        <is>
          <t>Not Started</t>
        </is>
      </c>
      <c r="I739" s="222" t="inlineStr">
        <is>
          <t>05-25</t>
        </is>
      </c>
      <c r="J739" s="222" t="inlineStr"/>
    </row>
    <row r="740">
      <c r="A740" s="222" t="inlineStr">
        <is>
          <t>1246</t>
        </is>
      </c>
      <c r="B740" s="222" t="inlineStr">
        <is>
          <t>32993288</t>
        </is>
      </c>
      <c r="C740" s="222" t="inlineStr">
        <is>
          <t>R/H WING TRAILING EDGE---AP---- NO CALL BACK R/H WING TRAILING EDGE, NEAR SPOILER #4,  2EA HYD TUBE LINE TIE WRAP BROKEN.</t>
        </is>
      </c>
      <c r="D740" s="222" t="inlineStr">
        <is>
          <t>1</t>
        </is>
      </c>
      <c r="E740" s="222" t="n">
        <v>6</v>
      </c>
      <c r="F740" s="222" t="n"/>
      <c r="G740" s="222" t="n"/>
      <c r="H740" s="222" t="inlineStr">
        <is>
          <t>Not Started</t>
        </is>
      </c>
      <c r="I740" s="222" t="inlineStr">
        <is>
          <t>05-25</t>
        </is>
      </c>
      <c r="J740" s="222" t="inlineStr"/>
    </row>
    <row r="741">
      <c r="A741" s="222" t="inlineStr">
        <is>
          <t>1250</t>
        </is>
      </c>
      <c r="B741" s="222" t="inlineStr">
        <is>
          <t>32994149</t>
        </is>
      </c>
      <c r="C741" s="222" t="inlineStr">
        <is>
          <t>FINDING (NRC) TASKCARD 25-SVA-03 (01) / ITEM ONE ALL B/C SEAT FOODTRAYS ARE NOT ADJUSTABLE.</t>
        </is>
      </c>
      <c r="D741" s="222" t="inlineStr">
        <is>
          <t>1</t>
        </is>
      </c>
      <c r="E741" s="222" t="n">
        <v>6.5</v>
      </c>
      <c r="F741" s="222" t="n">
        <v>8</v>
      </c>
      <c r="G741" s="222" t="n">
        <v>25.7</v>
      </c>
      <c r="H741" s="222" t="inlineStr">
        <is>
          <t>Idle</t>
        </is>
      </c>
      <c r="I741" s="222" t="inlineStr">
        <is>
          <t>25-25</t>
        </is>
      </c>
      <c r="J741" s="222" t="inlineStr"/>
    </row>
    <row r="742">
      <c r="A742" s="222" t="inlineStr">
        <is>
          <t>1254</t>
        </is>
      </c>
      <c r="B742" s="222" t="inlineStr">
        <is>
          <t>32994746</t>
        </is>
      </c>
      <c r="C742" s="222" t="inlineStr">
        <is>
          <t>FINDING (NRC) TASKCARD 25-SVA-03 (01) / ITEM ONE ALL B/C SEAT HEADREST REQUIRE REMOVE FOR ACCESS</t>
        </is>
      </c>
      <c r="D742" s="222" t="inlineStr">
        <is>
          <t>1</t>
        </is>
      </c>
      <c r="E742" s="222" t="n">
        <v>2</v>
      </c>
      <c r="F742" s="222" t="n">
        <v>1.5</v>
      </c>
      <c r="G742" s="222" t="n">
        <v>87.09999999999999</v>
      </c>
      <c r="H742" s="222" t="inlineStr">
        <is>
          <t>Idle</t>
        </is>
      </c>
      <c r="I742" s="222" t="inlineStr">
        <is>
          <t>25-21</t>
        </is>
      </c>
      <c r="J742" s="222" t="inlineStr"/>
    </row>
    <row r="743">
      <c r="A743" s="222" t="inlineStr">
        <is>
          <t>1255</t>
        </is>
      </c>
      <c r="B743" s="222" t="inlineStr">
        <is>
          <t>32994800</t>
        </is>
      </c>
      <c r="C743" s="222" t="inlineStr">
        <is>
          <t>AFT OF BLK CGO-----F/S---------NO CALL BACK BLK CGO AFT OF AFT PARTTION AREA DIRTY</t>
        </is>
      </c>
      <c r="D743" s="222" t="inlineStr">
        <is>
          <t>1</t>
        </is>
      </c>
      <c r="E743" s="222" t="n">
        <v>14.5</v>
      </c>
      <c r="F743" s="222" t="n">
        <v>14.5</v>
      </c>
      <c r="G743" s="222" t="n">
        <v>19</v>
      </c>
      <c r="H743" s="222" t="inlineStr">
        <is>
          <t>Idle</t>
        </is>
      </c>
      <c r="I743" s="222" t="inlineStr">
        <is>
          <t>05-21</t>
        </is>
      </c>
      <c r="J743" s="222" t="inlineStr"/>
    </row>
    <row r="744">
      <c r="A744" s="222" t="inlineStr">
        <is>
          <t>1258</t>
        </is>
      </c>
      <c r="B744" s="222" t="inlineStr">
        <is>
          <t>32995553</t>
        </is>
      </c>
      <c r="C744" s="222" t="inlineStr">
        <is>
          <t>AP---CALLBACK---LH WING LH WING INTERCONNECT STRUT LOWER KINK SEAL WITH CUT</t>
        </is>
      </c>
      <c r="D744" s="222" t="inlineStr">
        <is>
          <t>1</t>
        </is>
      </c>
      <c r="E744" s="222" t="n">
        <v>8</v>
      </c>
      <c r="F744" s="222" t="n"/>
      <c r="G744" s="222" t="n"/>
      <c r="H744" s="222" t="inlineStr">
        <is>
          <t>Not Started</t>
        </is>
      </c>
      <c r="I744" s="222" t="inlineStr">
        <is>
          <t>27-51</t>
        </is>
      </c>
      <c r="J744" s="222" t="inlineStr"/>
    </row>
    <row r="745">
      <c r="A745" s="222" t="inlineStr">
        <is>
          <t>1261</t>
        </is>
      </c>
      <c r="B745" s="222" t="inlineStr">
        <is>
          <t>32996054</t>
        </is>
      </c>
      <c r="C745" s="222" t="inlineStr">
        <is>
          <t>FINDING (NRC) TASKCARD ZL-833-02-1 (04) / ITEM-1 RII--CAB RH EMERGENCY EXIT HATCH DOOR WITH DOOR SEAL WORN AT LOWER EDGE</t>
        </is>
      </c>
      <c r="D745" s="222" t="inlineStr">
        <is>
          <t>1</t>
        </is>
      </c>
      <c r="E745" s="222" t="n"/>
      <c r="F745" s="222" t="n"/>
      <c r="G745" s="222" t="n"/>
      <c r="H745" s="222" t="inlineStr">
        <is>
          <t>Not Started</t>
        </is>
      </c>
      <c r="I745" s="222" t="inlineStr">
        <is>
          <t>05-28</t>
        </is>
      </c>
      <c r="J745" s="222" t="inlineStr"/>
    </row>
    <row r="746">
      <c r="A746" s="222" t="inlineStr">
        <is>
          <t>1262</t>
        </is>
      </c>
      <c r="B746" s="222" t="inlineStr">
        <is>
          <t>32996073</t>
        </is>
      </c>
      <c r="C746" s="222" t="inlineStr">
        <is>
          <t>FINDING (NRC) TASKCARD ZL-833-02-1 (04) / ITEM-1 RII--SM RH FWD EMERGENCY EXIT HATCH DOOR CUTOUT WITH ABRAISION AT LOWER EDGE  L=80 MM W=10 MM</t>
        </is>
      </c>
      <c r="D746" s="222" t="inlineStr">
        <is>
          <t>1</t>
        </is>
      </c>
      <c r="E746" s="222" t="n">
        <v>3</v>
      </c>
      <c r="F746" s="222" t="n">
        <v>0.2</v>
      </c>
      <c r="G746" s="222" t="n">
        <v>43.6</v>
      </c>
      <c r="H746" s="222" t="inlineStr">
        <is>
          <t>Idle</t>
        </is>
      </c>
      <c r="I746" s="222" t="inlineStr">
        <is>
          <t>05-28</t>
        </is>
      </c>
      <c r="J746" s="222" t="inlineStr"/>
    </row>
    <row r="747">
      <c r="A747" s="222" t="inlineStr">
        <is>
          <t>1263</t>
        </is>
      </c>
      <c r="B747" s="222" t="inlineStr">
        <is>
          <t>32996598</t>
        </is>
      </c>
      <c r="C747" s="222" t="inlineStr">
        <is>
          <t>FINDING (NRC) TASKCARD ZL-171-02-1 (2) / ITEM-1 SM--RII FUSELAGE SKIN INNER SURFACE WITH SURFACE CORROSION LOCATED BETWEEN FR 65-66 AND STRG 43-42L (VISIBLE THROUGH BULK CARGO AFT PARTITION PANELS)</t>
        </is>
      </c>
      <c r="D747" s="222" t="inlineStr">
        <is>
          <t>1</t>
        </is>
      </c>
      <c r="E747" s="222" t="n"/>
      <c r="F747" s="222" t="n">
        <v>37.8</v>
      </c>
      <c r="G747" s="222" t="n">
        <v>97.40000000000001</v>
      </c>
      <c r="H747" s="222" t="inlineStr">
        <is>
          <t>Idle</t>
        </is>
      </c>
      <c r="I747" s="222" t="inlineStr">
        <is>
          <t>05-21</t>
        </is>
      </c>
      <c r="J747" s="222" t="inlineStr"/>
    </row>
    <row r="748">
      <c r="A748" s="222" t="inlineStr">
        <is>
          <t>1265</t>
        </is>
      </c>
      <c r="B748" s="222" t="inlineStr">
        <is>
          <t>32996715</t>
        </is>
      </c>
      <c r="C748" s="222" t="inlineStr">
        <is>
          <t>FWD CGO COMPT====AP===NO CALL BACK FWD CARGO COMPT AFT SIDE PACK AIR RECIRCULATION FILTER ELEMENTS BOTH ACCUMULATED WITH DIRT.</t>
        </is>
      </c>
      <c r="D748" s="222" t="inlineStr">
        <is>
          <t>1</t>
        </is>
      </c>
      <c r="E748" s="222" t="n">
        <v>4</v>
      </c>
      <c r="F748" s="222" t="n"/>
      <c r="G748" s="222" t="n"/>
      <c r="H748" s="222" t="inlineStr">
        <is>
          <t>Not Started</t>
        </is>
      </c>
      <c r="I748" s="222" t="inlineStr">
        <is>
          <t>21-52</t>
        </is>
      </c>
      <c r="J748" s="222" t="inlineStr"/>
    </row>
    <row r="749">
      <c r="A749" s="222" t="inlineStr">
        <is>
          <t>1266</t>
        </is>
      </c>
      <c r="B749" s="222" t="inlineStr">
        <is>
          <t>32996751</t>
        </is>
      </c>
      <c r="C749" s="222" t="inlineStr">
        <is>
          <t>L/H  WING REFUEL DEFUEL COUPLING===AP==RII L/H WING REFUEL/DEFUEL COUPLING-CAP  CHAIN ASSEMBLY IS MISSING.</t>
        </is>
      </c>
      <c r="D749" s="222" t="inlineStr">
        <is>
          <t>1</t>
        </is>
      </c>
      <c r="E749" s="222" t="n">
        <v>8</v>
      </c>
      <c r="F749" s="222" t="n"/>
      <c r="G749" s="222" t="n"/>
      <c r="H749" s="222" t="inlineStr">
        <is>
          <t>Not Started</t>
        </is>
      </c>
      <c r="I749" s="222" t="inlineStr">
        <is>
          <t>28-25</t>
        </is>
      </c>
      <c r="J749" s="222" t="inlineStr"/>
    </row>
    <row r="750">
      <c r="A750" s="222" t="inlineStr">
        <is>
          <t>1267</t>
        </is>
      </c>
      <c r="B750" s="222" t="inlineStr">
        <is>
          <t>32996759</t>
        </is>
      </c>
      <c r="C750" s="222" t="inlineStr">
        <is>
          <t>R/H WING REFUEL/DEFUEL COUPLING===AP====RII R/H WING REFUEL/DEFUEL COUPLING-CAP  CHAIN ASSEMBLY IS MISSING</t>
        </is>
      </c>
      <c r="D750" s="222" t="inlineStr">
        <is>
          <t>1</t>
        </is>
      </c>
      <c r="E750" s="222" t="n">
        <v>8</v>
      </c>
      <c r="F750" s="222" t="n"/>
      <c r="G750" s="222" t="n"/>
      <c r="H750" s="222" t="inlineStr">
        <is>
          <t>Not Started</t>
        </is>
      </c>
      <c r="I750" s="222" t="inlineStr">
        <is>
          <t>28-25</t>
        </is>
      </c>
      <c r="J750" s="222" t="inlineStr"/>
    </row>
    <row r="751">
      <c r="A751" s="222" t="inlineStr">
        <is>
          <t>1269</t>
        </is>
      </c>
      <c r="B751" s="222" t="inlineStr">
        <is>
          <t>32997085</t>
        </is>
      </c>
      <c r="C751" s="222" t="inlineStr">
        <is>
          <t>APU BLEED DUCT=====AP======CALL BACK APU BLEED DUCT CHECK VLV SPRING BROKEN</t>
        </is>
      </c>
      <c r="D751" s="222" t="inlineStr">
        <is>
          <t>1</t>
        </is>
      </c>
      <c r="E751" s="222" t="n">
        <v>6</v>
      </c>
      <c r="F751" s="222" t="n"/>
      <c r="G751" s="222" t="n"/>
      <c r="H751" s="222" t="inlineStr">
        <is>
          <t>Not Started</t>
        </is>
      </c>
      <c r="I751" s="222" t="inlineStr">
        <is>
          <t>36-12</t>
        </is>
      </c>
      <c r="J751" s="222" t="inlineStr"/>
    </row>
    <row r="752">
      <c r="A752" s="222" t="inlineStr">
        <is>
          <t>1270</t>
        </is>
      </c>
      <c r="B752" s="222" t="inlineStr">
        <is>
          <t>32998086</t>
        </is>
      </c>
      <c r="C752" s="222" t="inlineStr">
        <is>
          <t>RUDDER-----------NO CALLBACK-------------AF RUDDER ATTACH FITTING NO. 6 FOUND BONDING LEAD BROKEN.</t>
        </is>
      </c>
      <c r="D752" s="222" t="inlineStr">
        <is>
          <t>1</t>
        </is>
      </c>
      <c r="E752" s="222" t="n">
        <v>6</v>
      </c>
      <c r="F752" s="222" t="n"/>
      <c r="G752" s="222" t="n"/>
      <c r="H752" s="222" t="inlineStr">
        <is>
          <t>Not Started</t>
        </is>
      </c>
      <c r="I752" s="222" t="inlineStr">
        <is>
          <t>55-40</t>
        </is>
      </c>
      <c r="J752" s="222" t="inlineStr"/>
    </row>
    <row r="753">
      <c r="A753" s="222" t="inlineStr">
        <is>
          <t>1271</t>
        </is>
      </c>
      <c r="B753" s="222" t="inlineStr">
        <is>
          <t>32998113</t>
        </is>
      </c>
      <c r="C753" s="222" t="inlineStr">
        <is>
          <t>GALLEY - PAINT - NO CALL BACK FWD AND AFT GALLEY ALL OVEN DOORS PAINT CHIPPED OFF .</t>
        </is>
      </c>
      <c r="D753" s="222" t="inlineStr">
        <is>
          <t>1</t>
        </is>
      </c>
      <c r="E753" s="222" t="n">
        <v>13</v>
      </c>
      <c r="F753" s="222" t="n">
        <v>13</v>
      </c>
      <c r="G753" s="222" t="n">
        <v>147.7</v>
      </c>
      <c r="H753" s="222" t="inlineStr">
        <is>
          <t>Idle</t>
        </is>
      </c>
      <c r="I753" s="222" t="inlineStr">
        <is>
          <t>25-20</t>
        </is>
      </c>
      <c r="J753" s="222" t="inlineStr"/>
    </row>
    <row r="754">
      <c r="A754" s="222" t="inlineStr">
        <is>
          <t>1272</t>
        </is>
      </c>
      <c r="B754" s="222" t="inlineStr">
        <is>
          <t>32998140</t>
        </is>
      </c>
      <c r="C754" s="222" t="inlineStr">
        <is>
          <t>ENG 02 PYLON - PAINT - NO CALL BACK ENG 02 PYLON PANEL 423AR AND 423CR PAINT PEELED OFF.</t>
        </is>
      </c>
      <c r="D754" s="222" t="inlineStr">
        <is>
          <t>1</t>
        </is>
      </c>
      <c r="E754" s="222" t="n">
        <v>7</v>
      </c>
      <c r="F754" s="222" t="n">
        <v>6.5</v>
      </c>
      <c r="G754" s="222" t="n">
        <v>147.6</v>
      </c>
      <c r="H754" s="222" t="inlineStr">
        <is>
          <t>Idle</t>
        </is>
      </c>
      <c r="I754" s="222" t="inlineStr">
        <is>
          <t>51-75</t>
        </is>
      </c>
      <c r="J754" s="222" t="inlineStr"/>
    </row>
    <row r="755">
      <c r="A755" s="222" t="inlineStr">
        <is>
          <t>1273</t>
        </is>
      </c>
      <c r="B755" s="222" t="inlineStr">
        <is>
          <t>32998206</t>
        </is>
      </c>
      <c r="C755" s="222" t="inlineStr">
        <is>
          <t>FINDING (NRC) TASKCARD 532181-02-1 (0) / ITEM-1 REF TO SEQ 489 INSPECTION AREA BETWEEN FR 34-35 AND STRG 38LH-38RH REQUIRE OPEN UP AND CLEANING FOR INSPECTION</t>
        </is>
      </c>
      <c r="D755" s="222" t="inlineStr">
        <is>
          <t>1</t>
        </is>
      </c>
      <c r="E755" s="222" t="n">
        <v>8</v>
      </c>
      <c r="F755" s="222" t="n">
        <v>3</v>
      </c>
      <c r="G755" s="222" t="n">
        <v>97</v>
      </c>
      <c r="H755" s="222" t="inlineStr">
        <is>
          <t>Idle</t>
        </is>
      </c>
      <c r="I755" s="222" t="inlineStr">
        <is>
          <t>53</t>
        </is>
      </c>
      <c r="J755" s="222" t="inlineStr"/>
    </row>
    <row r="756">
      <c r="A756" s="222" t="inlineStr">
        <is>
          <t>1274</t>
        </is>
      </c>
      <c r="B756" s="222" t="inlineStr">
        <is>
          <t>32998241</t>
        </is>
      </c>
      <c r="C756" s="222" t="inlineStr">
        <is>
          <t>FINDING (NRC) TASKCARD 532137-03-1 (1) / ITEM ONE SM--RII FWD CARGO DOOR CUTOUTS BOTH FWD AND AFT LOWER CUTOUTS AT FRAMES FR24A AND FR28 WITH BOTH FITTINGS MISSING FASTNERS (2EA PER FITTING)</t>
        </is>
      </c>
      <c r="D756" s="222" t="inlineStr">
        <is>
          <t>1</t>
        </is>
      </c>
      <c r="E756" s="222" t="n"/>
      <c r="F756" s="222" t="n">
        <v>0.2</v>
      </c>
      <c r="G756" s="222" t="n">
        <v>49.1</v>
      </c>
      <c r="H756" s="222" t="inlineStr">
        <is>
          <t>Idle</t>
        </is>
      </c>
      <c r="I756" s="222" t="inlineStr">
        <is>
          <t>53-21</t>
        </is>
      </c>
      <c r="J756" s="222" t="inlineStr"/>
    </row>
    <row r="757">
      <c r="A757" s="222" t="inlineStr">
        <is>
          <t>1277</t>
        </is>
      </c>
      <c r="B757" s="222" t="inlineStr">
        <is>
          <t>32998934</t>
        </is>
      </c>
      <c r="C757" s="222" t="inlineStr">
        <is>
          <t>FINDING (NRC) TASKCARD ZL-127-02-2 (3) / ITEM-1 FS--CALLBACK REF TO SEQ 106 REAR AVIONICS COMPARTMENT ACCESSIBLE THROUGH DOOR 824 AFT AVIONICS COMPARTMENT DOOR AREA AROUND DOOR CUTOUT AND BELOW COMPARTMENT FLOOR PANELS WITH DIRT REQ CLEANING FOR I...</t>
        </is>
      </c>
      <c r="D757" s="222" t="inlineStr">
        <is>
          <t>1</t>
        </is>
      </c>
      <c r="E757" s="222" t="n">
        <v>100</v>
      </c>
      <c r="F757" s="222" t="n">
        <v>2</v>
      </c>
      <c r="G757" s="222" t="n">
        <v>22.6</v>
      </c>
      <c r="H757" s="222" t="inlineStr">
        <is>
          <t>Idle</t>
        </is>
      </c>
      <c r="I757" s="222" t="inlineStr">
        <is>
          <t>05-21</t>
        </is>
      </c>
      <c r="J757" s="222" t="inlineStr"/>
    </row>
    <row r="758">
      <c r="A758" s="222" t="inlineStr">
        <is>
          <t>1278</t>
        </is>
      </c>
      <c r="B758" s="222" t="inlineStr">
        <is>
          <t>33000741</t>
        </is>
      </c>
      <c r="C758" s="222" t="inlineStr">
        <is>
          <t>FINDING WING - PNT-NO CALL BACK L/H AND R/H WING INBD LOWER SURFACE WATER DRAIN VALVE DECALS MISSING .</t>
        </is>
      </c>
      <c r="D758" s="222" t="inlineStr">
        <is>
          <t>1</t>
        </is>
      </c>
      <c r="E758" s="222" t="n">
        <v>2</v>
      </c>
      <c r="F758" s="222" t="n">
        <v>2</v>
      </c>
      <c r="G758" s="222" t="n">
        <v>119.4</v>
      </c>
      <c r="H758" s="222" t="inlineStr">
        <is>
          <t>Idle</t>
        </is>
      </c>
      <c r="I758" s="222" t="inlineStr">
        <is>
          <t>11-00</t>
        </is>
      </c>
      <c r="J758" s="222" t="inlineStr"/>
    </row>
    <row r="759">
      <c r="A759" s="222" t="inlineStr">
        <is>
          <t>1279</t>
        </is>
      </c>
      <c r="B759" s="222" t="inlineStr">
        <is>
          <t>33000793</t>
        </is>
      </c>
      <c r="C759" s="222" t="inlineStr">
        <is>
          <t>AP---RII---APU DOOR APU RIGHT ACCESS DOOR FWD AND MID WALL FIRE SEAL DETACHED</t>
        </is>
      </c>
      <c r="D759" s="222" t="inlineStr">
        <is>
          <t>1</t>
        </is>
      </c>
      <c r="E759" s="222" t="n">
        <v>8</v>
      </c>
      <c r="F759" s="222" t="n"/>
      <c r="G759" s="222" t="n"/>
      <c r="H759" s="222" t="inlineStr">
        <is>
          <t>Not Started</t>
        </is>
      </c>
      <c r="I759" s="222" t="inlineStr">
        <is>
          <t>49-13</t>
        </is>
      </c>
      <c r="J759" s="222" t="inlineStr"/>
    </row>
    <row r="760">
      <c r="A760" s="222" t="inlineStr">
        <is>
          <t>1280</t>
        </is>
      </c>
      <c r="B760" s="222" t="inlineStr">
        <is>
          <t>33000799</t>
        </is>
      </c>
      <c r="C760" s="222" t="inlineStr">
        <is>
          <t>AP---CALLBACK---AFT BULKHEAD REMOVE REAR PRESSURE BULKHEAD COVER FOR INSPECTION</t>
        </is>
      </c>
      <c r="D760" s="222" t="inlineStr">
        <is>
          <t>1</t>
        </is>
      </c>
      <c r="E760" s="222" t="n">
        <v>8</v>
      </c>
      <c r="F760" s="222" t="n">
        <v>9</v>
      </c>
      <c r="G760" s="222" t="n">
        <v>117.7</v>
      </c>
      <c r="H760" s="222" t="inlineStr">
        <is>
          <t>Idle</t>
        </is>
      </c>
      <c r="I760" s="222" t="inlineStr">
        <is>
          <t>53-51</t>
        </is>
      </c>
      <c r="J760" s="222" t="inlineStr"/>
    </row>
    <row r="761">
      <c r="A761" s="222" t="inlineStr">
        <is>
          <t>1281</t>
        </is>
      </c>
      <c r="B761" s="222" t="inlineStr">
        <is>
          <t>33001011</t>
        </is>
      </c>
      <c r="C761" s="222" t="inlineStr">
        <is>
          <t>L/H WING PNT - NO CALLBACK LH MLG (FWD OF MLG ) LWR SURFACE SKIN REINFOREING PLATE PNT CHIPPED OFF</t>
        </is>
      </c>
      <c r="D761" s="222" t="inlineStr">
        <is>
          <t>1</t>
        </is>
      </c>
      <c r="E761" s="222" t="n">
        <v>9</v>
      </c>
      <c r="F761" s="222" t="n">
        <v>9</v>
      </c>
      <c r="G761" s="222" t="n">
        <v>117.2</v>
      </c>
      <c r="H761" s="222" t="inlineStr">
        <is>
          <t>Idle</t>
        </is>
      </c>
      <c r="I761" s="222" t="inlineStr">
        <is>
          <t>51-75</t>
        </is>
      </c>
      <c r="J761" s="222" t="inlineStr"/>
    </row>
    <row r="762">
      <c r="A762" s="222" t="inlineStr">
        <is>
          <t>1282</t>
        </is>
      </c>
      <c r="B762" s="222" t="inlineStr">
        <is>
          <t>33001198</t>
        </is>
      </c>
      <c r="C762" s="222" t="inlineStr">
        <is>
          <t>AP---NO CALLBACK---RUDDER RUDDER BR6 BONDING JUMBER CUT</t>
        </is>
      </c>
      <c r="D762" s="222" t="inlineStr">
        <is>
          <t>1</t>
        </is>
      </c>
      <c r="E762" s="222" t="n">
        <v>3</v>
      </c>
      <c r="F762" s="222" t="n"/>
      <c r="G762" s="222" t="n"/>
      <c r="H762" s="222" t="inlineStr">
        <is>
          <t>Not Started</t>
        </is>
      </c>
      <c r="I762" s="222" t="inlineStr">
        <is>
          <t>05-23</t>
        </is>
      </c>
      <c r="J762" s="222" t="inlineStr"/>
    </row>
    <row r="763">
      <c r="A763" s="222" t="inlineStr">
        <is>
          <t>1283</t>
        </is>
      </c>
      <c r="B763" s="222" t="inlineStr">
        <is>
          <t>33001199</t>
        </is>
      </c>
      <c r="C763" s="222" t="inlineStr">
        <is>
          <t>AP---NO CALLBACK---RUDDER ALL RUDDER AFT HOLES COVER ARE TORN</t>
        </is>
      </c>
      <c r="D763" s="222" t="inlineStr">
        <is>
          <t>1</t>
        </is>
      </c>
      <c r="E763" s="222" t="n">
        <v>6</v>
      </c>
      <c r="F763" s="222" t="n"/>
      <c r="G763" s="222" t="n"/>
      <c r="H763" s="222" t="inlineStr">
        <is>
          <t>Not Started</t>
        </is>
      </c>
      <c r="I763" s="222" t="inlineStr">
        <is>
          <t>05-23</t>
        </is>
      </c>
      <c r="J763" s="222" t="inlineStr"/>
    </row>
    <row r="764">
      <c r="A764" s="222" t="inlineStr">
        <is>
          <t>1284</t>
        </is>
      </c>
      <c r="B764" s="222" t="inlineStr">
        <is>
          <t>33001270</t>
        </is>
      </c>
      <c r="C764" s="222" t="inlineStr">
        <is>
          <t>FS---CALLBACK---AVN COMP AVIONICS COMP. STRUCTURE AFTER INSULATION BLANKET REMOVAL NEED DEEP CLEANING</t>
        </is>
      </c>
      <c r="D764" s="222" t="inlineStr">
        <is>
          <t>1</t>
        </is>
      </c>
      <c r="E764" s="222" t="n"/>
      <c r="F764" s="222" t="n">
        <v>2.6</v>
      </c>
      <c r="G764" s="222" t="n">
        <v>22.5</v>
      </c>
      <c r="H764" s="222" t="inlineStr">
        <is>
          <t>Idle</t>
        </is>
      </c>
      <c r="I764" s="222" t="inlineStr">
        <is>
          <t>05-21</t>
        </is>
      </c>
      <c r="J764" s="222" t="inlineStr"/>
    </row>
    <row r="765">
      <c r="A765" s="222" t="inlineStr">
        <is>
          <t>1286</t>
        </is>
      </c>
      <c r="B765" s="222" t="inlineStr">
        <is>
          <t>33002727</t>
        </is>
      </c>
      <c r="C765" s="222" t="inlineStr">
        <is>
          <t>AP---CALLBACK---RH WING SLAT 1 RH WING SLAT 1 OUTBOARD EDGE SEAL CUT OFF</t>
        </is>
      </c>
      <c r="D765" s="222" t="inlineStr">
        <is>
          <t>1</t>
        </is>
      </c>
      <c r="E765" s="222" t="n">
        <v>6</v>
      </c>
      <c r="F765" s="222" t="n"/>
      <c r="G765" s="222" t="n"/>
      <c r="H765" s="222" t="inlineStr">
        <is>
          <t>Not Started</t>
        </is>
      </c>
      <c r="I765" s="222" t="inlineStr">
        <is>
          <t>57-42</t>
        </is>
      </c>
      <c r="J765" s="222" t="inlineStr"/>
    </row>
    <row r="766">
      <c r="A766" s="222" t="inlineStr">
        <is>
          <t>1287</t>
        </is>
      </c>
      <c r="B766" s="222" t="inlineStr">
        <is>
          <t>33002757</t>
        </is>
      </c>
      <c r="C766" s="222" t="inlineStr">
        <is>
          <t>S52-R10176/ASD // L2 PAX DOOR SEAL RETAINER WITH DENT &amp; GOUGE</t>
        </is>
      </c>
      <c r="D766" s="222" t="inlineStr">
        <is>
          <t>1</t>
        </is>
      </c>
      <c r="E766" s="222" t="n">
        <v>0.5</v>
      </c>
      <c r="F766" s="222" t="n"/>
      <c r="G766" s="222" t="n"/>
      <c r="H766" s="222" t="inlineStr">
        <is>
          <t>Not Started</t>
        </is>
      </c>
      <c r="I766" s="222" t="inlineStr">
        <is>
          <t>53</t>
        </is>
      </c>
      <c r="J766" s="222" t="inlineStr"/>
    </row>
    <row r="767">
      <c r="A767" s="222" t="inlineStr">
        <is>
          <t>1289</t>
        </is>
      </c>
      <c r="B767" s="222" t="inlineStr">
        <is>
          <t>33002784</t>
        </is>
      </c>
      <c r="C767" s="222" t="inlineStr">
        <is>
          <t>PNT - NO CALLBACK - OSBD SEVERAL B/C OSB DOORS REQ PAINT.</t>
        </is>
      </c>
      <c r="D767" s="222" t="inlineStr">
        <is>
          <t>1</t>
        </is>
      </c>
      <c r="E767" s="222" t="n">
        <v>24</v>
      </c>
      <c r="F767" s="222" t="n">
        <v>3</v>
      </c>
      <c r="G767" s="222" t="n">
        <v>51</v>
      </c>
      <c r="H767" s="222" t="inlineStr">
        <is>
          <t>Idle</t>
        </is>
      </c>
      <c r="I767" s="222" t="inlineStr">
        <is>
          <t>25</t>
        </is>
      </c>
      <c r="J767" s="222" t="inlineStr"/>
    </row>
    <row r="768">
      <c r="A768" s="222" t="inlineStr">
        <is>
          <t>1290</t>
        </is>
      </c>
      <c r="B768" s="222" t="inlineStr">
        <is>
          <t>33002861</t>
        </is>
      </c>
      <c r="C768" s="222" t="inlineStr">
        <is>
          <t>AP---CALLBACK---RH WING SLAT 5 RH WING SLAT 5 OUTBOARD EDGE SEAL CUT OFF</t>
        </is>
      </c>
      <c r="D768" s="222" t="inlineStr">
        <is>
          <t>1</t>
        </is>
      </c>
      <c r="E768" s="222" t="n">
        <v>6</v>
      </c>
      <c r="F768" s="222" t="n"/>
      <c r="G768" s="222" t="n"/>
      <c r="H768" s="222" t="inlineStr">
        <is>
          <t>Not Started</t>
        </is>
      </c>
      <c r="I768" s="222" t="inlineStr">
        <is>
          <t>57-46</t>
        </is>
      </c>
      <c r="J768" s="222" t="inlineStr"/>
    </row>
    <row r="769">
      <c r="A769" s="222" t="inlineStr">
        <is>
          <t>1291</t>
        </is>
      </c>
      <c r="B769" s="222" t="inlineStr">
        <is>
          <t>33003253</t>
        </is>
      </c>
      <c r="C769" s="222" t="inlineStr">
        <is>
          <t>FINDING (NRC) TASKCARD 574505-01-1-001 (02) / ITEM-1 AP--RII LH WING SLAT N.O 4 LOWER PLATE LOCATED AT SLAT ATTACHMENT FITTING CRACKED 1EA</t>
        </is>
      </c>
      <c r="D769" s="222" t="inlineStr">
        <is>
          <t>1</t>
        </is>
      </c>
      <c r="E769" s="222" t="n">
        <v>6</v>
      </c>
      <c r="F769" s="222" t="n"/>
      <c r="G769" s="222" t="n"/>
      <c r="H769" s="222" t="inlineStr">
        <is>
          <t>Not Started</t>
        </is>
      </c>
      <c r="I769" s="222" t="inlineStr">
        <is>
          <t>57-45</t>
        </is>
      </c>
      <c r="J769" s="222" t="inlineStr"/>
    </row>
    <row r="770">
      <c r="A770" s="222" t="inlineStr">
        <is>
          <t>1292</t>
        </is>
      </c>
      <c r="B770" s="222" t="inlineStr">
        <is>
          <t>33003265</t>
        </is>
      </c>
      <c r="C770" s="222" t="inlineStr">
        <is>
          <t>FINDING (NRC) TASKCARD 574505-01-1-001 (02) / ITEM-1 AP--CALLBACK LH WING SLAT N.O 4 INNER RUBBER SEAL TORN 2 EA</t>
        </is>
      </c>
      <c r="D770" s="222" t="inlineStr">
        <is>
          <t>1</t>
        </is>
      </c>
      <c r="E770" s="222" t="n">
        <v>4</v>
      </c>
      <c r="F770" s="222" t="n"/>
      <c r="G770" s="222" t="n"/>
      <c r="H770" s="222" t="inlineStr">
        <is>
          <t>Not Started</t>
        </is>
      </c>
      <c r="I770" s="222" t="inlineStr">
        <is>
          <t>57-45</t>
        </is>
      </c>
      <c r="J770" s="222" t="inlineStr"/>
    </row>
    <row r="771">
      <c r="A771" s="222" t="inlineStr">
        <is>
          <t>1293</t>
        </is>
      </c>
      <c r="B771" s="222" t="inlineStr">
        <is>
          <t>33003278</t>
        </is>
      </c>
      <c r="C771" s="222" t="inlineStr">
        <is>
          <t>AP---RII---RH WING SLAT 4 RH WING SLAT 4 INBOARD TRACK LOWER PLATE ATTACHMENT CRACKED</t>
        </is>
      </c>
      <c r="D771" s="222" t="inlineStr">
        <is>
          <t>1</t>
        </is>
      </c>
      <c r="E771" s="222" t="n">
        <v>6</v>
      </c>
      <c r="F771" s="222" t="n"/>
      <c r="G771" s="222" t="n"/>
      <c r="H771" s="222" t="inlineStr">
        <is>
          <t>Not Started</t>
        </is>
      </c>
      <c r="I771" s="222" t="inlineStr">
        <is>
          <t>57-45</t>
        </is>
      </c>
      <c r="J771" s="222" t="inlineStr"/>
    </row>
    <row r="772">
      <c r="A772" s="222" t="inlineStr">
        <is>
          <t>1294</t>
        </is>
      </c>
      <c r="B772" s="222" t="inlineStr">
        <is>
          <t>33003279</t>
        </is>
      </c>
      <c r="C772" s="222" t="inlineStr">
        <is>
          <t>SM - BRACKET ABOVE COCKPIT DOOR BRACKET ABOVE COCKPIT DOOR REQUIRE REMOVAL FOR ACCESS</t>
        </is>
      </c>
      <c r="D772" s="222" t="inlineStr">
        <is>
          <t>1</t>
        </is>
      </c>
      <c r="E772" s="222" t="n"/>
      <c r="F772" s="222" t="n">
        <v>10.7</v>
      </c>
      <c r="G772" s="222" t="n">
        <v>74.59999999999999</v>
      </c>
      <c r="H772" s="222" t="inlineStr">
        <is>
          <t>Idle</t>
        </is>
      </c>
      <c r="I772" s="222" t="inlineStr">
        <is>
          <t>53-11</t>
        </is>
      </c>
      <c r="J772" s="222" t="inlineStr"/>
    </row>
    <row r="773">
      <c r="A773" s="222" t="inlineStr">
        <is>
          <t>1295</t>
        </is>
      </c>
      <c r="B773" s="222" t="inlineStr">
        <is>
          <t>33003366</t>
        </is>
      </c>
      <c r="C773" s="222" t="inlineStr">
        <is>
          <t>FINDING (NRC) TASKCARD 574605-01-1-001 (02) / ITEM-1 AP--RII LH WING SLAT N.O 5  INNER RUBBER SEAL TORN 1 EA</t>
        </is>
      </c>
      <c r="D773" s="222" t="inlineStr">
        <is>
          <t>1</t>
        </is>
      </c>
      <c r="E773" s="222" t="n">
        <v>4</v>
      </c>
      <c r="F773" s="222" t="n"/>
      <c r="G773" s="222" t="n"/>
      <c r="H773" s="222" t="inlineStr">
        <is>
          <t>Not Started</t>
        </is>
      </c>
      <c r="I773" s="222" t="inlineStr">
        <is>
          <t>57-46</t>
        </is>
      </c>
      <c r="J773" s="222" t="inlineStr"/>
    </row>
    <row r="774">
      <c r="A774" s="222" t="inlineStr">
        <is>
          <t>1296</t>
        </is>
      </c>
      <c r="B774" s="222" t="inlineStr">
        <is>
          <t>33003374</t>
        </is>
      </c>
      <c r="C774" s="222" t="inlineStr">
        <is>
          <t>FINDING (NRC) TASKCARD 574605-01-1-001 (02) / ITEM-1 AP--RII LH WING SLAT N.O 3 LOWER PLATE LOCATED AT SLAT ATTACHMENT FITTING CRACKED 1EA</t>
        </is>
      </c>
      <c r="D774" s="222" t="inlineStr">
        <is>
          <t>1</t>
        </is>
      </c>
      <c r="E774" s="222" t="n">
        <v>6</v>
      </c>
      <c r="F774" s="222" t="n"/>
      <c r="G774" s="222" t="n"/>
      <c r="H774" s="222" t="inlineStr">
        <is>
          <t>Not Started</t>
        </is>
      </c>
      <c r="I774" s="222" t="inlineStr">
        <is>
          <t>57-46</t>
        </is>
      </c>
      <c r="J774" s="222" t="inlineStr"/>
    </row>
    <row r="775">
      <c r="A775" s="222" t="inlineStr">
        <is>
          <t>1297</t>
        </is>
      </c>
      <c r="B775" s="222" t="inlineStr">
        <is>
          <t>33007153</t>
        </is>
      </c>
      <c r="C775" s="222" t="inlineStr">
        <is>
          <t>FINDING (NRC) TASKCARD 574205-01-1-001 (02) / ITEM-1 AP--RII LH WING SLAT N.O 1 LOWER PLATE LOCATED AT SLAT ATTACHMENT FITTING CRACKED 1EA</t>
        </is>
      </c>
      <c r="D775" s="222" t="inlineStr">
        <is>
          <t>1</t>
        </is>
      </c>
      <c r="E775" s="222" t="n">
        <v>4</v>
      </c>
      <c r="F775" s="222" t="n"/>
      <c r="G775" s="222" t="n"/>
      <c r="H775" s="222" t="inlineStr">
        <is>
          <t>Not Started</t>
        </is>
      </c>
      <c r="I775" s="222" t="inlineStr">
        <is>
          <t>57-42</t>
        </is>
      </c>
      <c r="J775" s="222" t="inlineStr"/>
    </row>
    <row r="776">
      <c r="A776" s="222" t="inlineStr">
        <is>
          <t>1298</t>
        </is>
      </c>
      <c r="B776" s="222" t="inlineStr">
        <is>
          <t>33007155</t>
        </is>
      </c>
      <c r="C776" s="222" t="inlineStr">
        <is>
          <t>FINDING (NRC) TASKCARD 574205-01-1-001 (02) / ITEM-1 AP--RII LH WING SLAT N.O 1  INNER RUBBER SEAL TORN 1 EA AT SLAT INNER INBOARD SIDE</t>
        </is>
      </c>
      <c r="D776" s="222" t="inlineStr">
        <is>
          <t>1</t>
        </is>
      </c>
      <c r="E776" s="222" t="n">
        <v>4</v>
      </c>
      <c r="F776" s="222" t="n"/>
      <c r="G776" s="222" t="n"/>
      <c r="H776" s="222" t="inlineStr">
        <is>
          <t>Not Started</t>
        </is>
      </c>
      <c r="I776" s="222" t="inlineStr">
        <is>
          <t>57-42</t>
        </is>
      </c>
      <c r="J776" s="222" t="inlineStr"/>
    </row>
    <row r="777">
      <c r="A777" s="222" t="inlineStr">
        <is>
          <t>1299</t>
        </is>
      </c>
      <c r="B777" s="222" t="inlineStr">
        <is>
          <t>33007178</t>
        </is>
      </c>
      <c r="C777" s="222" t="inlineStr">
        <is>
          <t>FINDING (NRC) TASKCARD 574305-01-1-001 (02) / ITEM-1  AP--RII LH WING SLAT N.O 2 LOWER PLATE LOCATED AT SLAT ATTACHMENT FITTING CRACKED 1EA</t>
        </is>
      </c>
      <c r="D777" s="222" t="inlineStr">
        <is>
          <t>1</t>
        </is>
      </c>
      <c r="E777" s="222" t="n">
        <v>6</v>
      </c>
      <c r="F777" s="222" t="n"/>
      <c r="G777" s="222" t="n"/>
      <c r="H777" s="222" t="inlineStr">
        <is>
          <t>Not Started</t>
        </is>
      </c>
      <c r="I777" s="222" t="inlineStr">
        <is>
          <t>57-43</t>
        </is>
      </c>
      <c r="J777" s="222" t="inlineStr"/>
    </row>
    <row r="778">
      <c r="A778" s="222" t="inlineStr">
        <is>
          <t>1300</t>
        </is>
      </c>
      <c r="B778" s="222" t="inlineStr">
        <is>
          <t>33007172</t>
        </is>
      </c>
      <c r="C778" s="222" t="inlineStr">
        <is>
          <t>EOD-320-31-00012-R00/FDIMU - INSTALL NEW ADC DMU SW FOR FOMAX</t>
        </is>
      </c>
      <c r="D778" s="222" t="inlineStr">
        <is>
          <t>PJED</t>
        </is>
      </c>
      <c r="E778" s="222" t="n">
        <v>2</v>
      </c>
      <c r="F778" s="222" t="n"/>
      <c r="G778" s="222" t="n"/>
      <c r="H778" s="222" t="inlineStr">
        <is>
          <t>Not Started</t>
        </is>
      </c>
      <c r="I778" s="222" t="inlineStr">
        <is>
          <t>31</t>
        </is>
      </c>
      <c r="J778" s="222" t="inlineStr"/>
    </row>
    <row r="779">
      <c r="A779" s="222" t="inlineStr">
        <is>
          <t>1301</t>
        </is>
      </c>
      <c r="B779" s="222" t="inlineStr">
        <is>
          <t>33007347</t>
        </is>
      </c>
      <c r="C779" s="222" t="inlineStr">
        <is>
          <t>FINDING (NRC) TASKCARD 574405-01-1-001 (02) / ITEM-1 AP--RII LH WING SLAT N.O 3  INNER RUBBER SEAL TORN 1 EA</t>
        </is>
      </c>
      <c r="D779" s="222" t="inlineStr">
        <is>
          <t>1</t>
        </is>
      </c>
      <c r="E779" s="222" t="n">
        <v>4</v>
      </c>
      <c r="F779" s="222" t="n"/>
      <c r="G779" s="222" t="n"/>
      <c r="H779" s="222" t="inlineStr">
        <is>
          <t>Not Started</t>
        </is>
      </c>
      <c r="I779" s="222" t="inlineStr">
        <is>
          <t>57-44</t>
        </is>
      </c>
      <c r="J779" s="222" t="inlineStr"/>
    </row>
    <row r="780">
      <c r="A780" s="222" t="inlineStr">
        <is>
          <t>1302</t>
        </is>
      </c>
      <c r="B780" s="222" t="inlineStr">
        <is>
          <t>33011258</t>
        </is>
      </c>
      <c r="C780" s="222" t="inlineStr">
        <is>
          <t>PNT - NO CALL BACK - COCKPIT PANELS SEVERAL COCKPIT ACCESS PANELS REQ. PAINT ( 211AW, 211BW, 211FW, 211LW, 211AZ, 212AW, 212BW, 212FW, 212AZ )</t>
        </is>
      </c>
      <c r="D780" s="222" t="inlineStr">
        <is>
          <t>1</t>
        </is>
      </c>
      <c r="E780" s="222" t="n">
        <v>24</v>
      </c>
      <c r="F780" s="222" t="n"/>
      <c r="G780" s="222" t="n"/>
      <c r="H780" s="222" t="inlineStr">
        <is>
          <t>Idle</t>
        </is>
      </c>
      <c r="I780" s="222" t="inlineStr">
        <is>
          <t>25</t>
        </is>
      </c>
      <c r="J780" s="222" t="inlineStr"/>
    </row>
    <row r="781">
      <c r="A781" s="222" t="inlineStr">
        <is>
          <t>1304</t>
        </is>
      </c>
      <c r="B781" s="222" t="inlineStr">
        <is>
          <t>33012238</t>
        </is>
      </c>
      <c r="C781" s="222" t="inlineStr">
        <is>
          <t>UPPER FUSELAGE=====SM====RII UPPER FUSELAGE UNDERNEATH LARGE SATCOM ANTENNA 04EA RIVETS HEAD WITH PITTING CORROSION    LOCATION BETWEEN FRAME 29-32  ALONG STRINGER 01RH AND 01LH    DIMENSION AS FOLLOWS    ALONG STR 01LH    LENGTH = 01CM  WIDTH = 0...</t>
        </is>
      </c>
      <c r="D781" s="222" t="inlineStr">
        <is>
          <t>1</t>
        </is>
      </c>
      <c r="E781" s="222" t="n">
        <v>8</v>
      </c>
      <c r="F781" s="222" t="n">
        <v>9</v>
      </c>
      <c r="G781" s="222" t="n">
        <v>50.6</v>
      </c>
      <c r="H781" s="222" t="inlineStr">
        <is>
          <t>Idle</t>
        </is>
      </c>
      <c r="I781" s="222" t="inlineStr">
        <is>
          <t>05-21</t>
        </is>
      </c>
      <c r="J781" s="222" t="inlineStr"/>
    </row>
    <row r="782">
      <c r="A782" s="222" t="inlineStr">
        <is>
          <t>1305</t>
        </is>
      </c>
      <c r="B782" s="222" t="inlineStr">
        <is>
          <t>33012374</t>
        </is>
      </c>
      <c r="C782" s="222" t="inlineStr">
        <is>
          <t>L/H WING --- A/P ---CALL BACK L/H WING T/EDGE BETWEEN RIB 5 TO RIB 8 WITH TPS MISSING</t>
        </is>
      </c>
      <c r="D782" s="222" t="inlineStr">
        <is>
          <t>1</t>
        </is>
      </c>
      <c r="E782" s="222" t="n">
        <v>6</v>
      </c>
      <c r="F782" s="222" t="n"/>
      <c r="G782" s="222" t="n"/>
      <c r="H782" s="222" t="inlineStr">
        <is>
          <t>Not Started</t>
        </is>
      </c>
      <c r="I782" s="222" t="inlineStr">
        <is>
          <t>57-51</t>
        </is>
      </c>
      <c r="J782" s="222" t="inlineStr"/>
    </row>
    <row r="783">
      <c r="A783" s="222" t="inlineStr">
        <is>
          <t>1306</t>
        </is>
      </c>
      <c r="B783" s="222" t="inlineStr">
        <is>
          <t>33012961</t>
        </is>
      </c>
      <c r="C783" s="222" t="inlineStr">
        <is>
          <t>L/H WING ---AP--- RII L/H WING I/B SIDE BETWEEN RIB 5 TO RIB 8 TORQUE SHAFT SEVERAL BOLTS WITH RUSTY</t>
        </is>
      </c>
      <c r="D783" s="222" t="inlineStr">
        <is>
          <t>1</t>
        </is>
      </c>
      <c r="E783" s="222" t="n">
        <v>6</v>
      </c>
      <c r="F783" s="222" t="n"/>
      <c r="G783" s="222" t="n"/>
      <c r="H783" s="222" t="inlineStr">
        <is>
          <t>Not Started</t>
        </is>
      </c>
      <c r="I783" s="222" t="inlineStr">
        <is>
          <t>57-21</t>
        </is>
      </c>
      <c r="J783" s="222" t="inlineStr"/>
    </row>
    <row r="784">
      <c r="A784" s="222" t="inlineStr">
        <is>
          <t>1308</t>
        </is>
      </c>
      <c r="B784" s="222" t="inlineStr">
        <is>
          <t>33013430</t>
        </is>
      </c>
      <c r="C784" s="222" t="inlineStr">
        <is>
          <t>L/H WING  ---SM--- RII L/H WING TRAILING EDGE NEAR SPOILER NO 3 ON TOP SKIN 3EA RIVET LOOSE /BROKEN</t>
        </is>
      </c>
      <c r="D784" s="222" t="inlineStr">
        <is>
          <t>1</t>
        </is>
      </c>
      <c r="E784" s="222" t="n"/>
      <c r="F784" s="222" t="n">
        <v>0</v>
      </c>
      <c r="G784" s="222" t="n">
        <v>43.4</v>
      </c>
      <c r="H784" s="222" t="inlineStr">
        <is>
          <t>Idle</t>
        </is>
      </c>
      <c r="I784" s="222" t="inlineStr">
        <is>
          <t>57-21</t>
        </is>
      </c>
      <c r="J784" s="222" t="inlineStr"/>
    </row>
    <row r="785">
      <c r="A785" s="222" t="inlineStr">
        <is>
          <t>1309</t>
        </is>
      </c>
      <c r="B785" s="222" t="inlineStr">
        <is>
          <t>33013444</t>
        </is>
      </c>
      <c r="C785" s="222" t="inlineStr">
        <is>
          <t>L/H WING--- AP-- NO CALL BACK L/H WING TRAILING EDGE SPOILER NO.4 I/B HINGE BONDING WIRE WITH BROKEN.</t>
        </is>
      </c>
      <c r="D785" s="222" t="inlineStr">
        <is>
          <t>1</t>
        </is>
      </c>
      <c r="E785" s="222" t="n">
        <v>4</v>
      </c>
      <c r="F785" s="222" t="n">
        <v>3</v>
      </c>
      <c r="G785" s="222" t="n">
        <v>10.8</v>
      </c>
      <c r="H785" s="222" t="inlineStr">
        <is>
          <t>Idle</t>
        </is>
      </c>
      <c r="I785" s="222" t="inlineStr">
        <is>
          <t>53-41</t>
        </is>
      </c>
      <c r="J785" s="222" t="inlineStr"/>
    </row>
    <row r="786">
      <c r="A786" s="222" t="inlineStr">
        <is>
          <t>1310</t>
        </is>
      </c>
      <c r="B786" s="222" t="inlineStr">
        <is>
          <t>33013470</t>
        </is>
      </c>
      <c r="C786" s="222" t="inlineStr">
        <is>
          <t>L/H WING --- AP--- NO CALL BACK L/H WING FLAP TRACK MOV FAIRING NO 2 AND 3 BONDING WIRE WITH BROKEN.</t>
        </is>
      </c>
      <c r="D786" s="222" t="inlineStr">
        <is>
          <t>1</t>
        </is>
      </c>
      <c r="E786" s="222" t="n">
        <v>6</v>
      </c>
      <c r="F786" s="222" t="n">
        <v>3</v>
      </c>
      <c r="G786" s="222" t="n">
        <v>10.9</v>
      </c>
      <c r="H786" s="222" t="inlineStr">
        <is>
          <t>Idle</t>
        </is>
      </c>
      <c r="I786" s="222" t="inlineStr">
        <is>
          <t>57-26</t>
        </is>
      </c>
      <c r="J786" s="222" t="inlineStr"/>
    </row>
    <row r="787">
      <c r="A787" s="222" t="inlineStr">
        <is>
          <t>1311</t>
        </is>
      </c>
      <c r="B787" s="222" t="inlineStr">
        <is>
          <t>33013486</t>
        </is>
      </c>
      <c r="C787" s="222" t="inlineStr">
        <is>
          <t>L/H WING--- S/M ---- RII L/H WING O/B ACCESS THROUGHT PANEL # 575LB STRIP METAL DETACHED</t>
        </is>
      </c>
      <c r="D787" s="222" t="inlineStr">
        <is>
          <t>1</t>
        </is>
      </c>
      <c r="E787" s="222" t="n"/>
      <c r="F787" s="222" t="n">
        <v>0.2</v>
      </c>
      <c r="G787" s="222" t="n">
        <v>49.3</v>
      </c>
      <c r="H787" s="222" t="inlineStr">
        <is>
          <t>Idle</t>
        </is>
      </c>
      <c r="I787" s="222" t="inlineStr">
        <is>
          <t>57-21</t>
        </is>
      </c>
      <c r="J787" s="222" t="inlineStr"/>
    </row>
    <row r="788">
      <c r="A788" s="222" t="inlineStr">
        <is>
          <t>1312</t>
        </is>
      </c>
      <c r="B788" s="222" t="inlineStr">
        <is>
          <t>33013510</t>
        </is>
      </c>
      <c r="C788" s="222" t="inlineStr">
        <is>
          <t>AVIONICS COMPT=======AV======NO CALL BACK REAR AVIONICS COMPT 63, 80, 187VU AND 188VU WIRING INSTALLED DIRTY WITH ACCUMULATED DUST</t>
        </is>
      </c>
      <c r="D788" s="222" t="inlineStr">
        <is>
          <t>1</t>
        </is>
      </c>
      <c r="E788" s="222" t="n">
        <v>4</v>
      </c>
      <c r="F788" s="222" t="n"/>
      <c r="G788" s="222" t="n"/>
      <c r="H788" s="222" t="inlineStr">
        <is>
          <t>Not Started</t>
        </is>
      </c>
      <c r="I788" s="222" t="inlineStr">
        <is>
          <t>24-92</t>
        </is>
      </c>
      <c r="J788" s="222" t="inlineStr"/>
    </row>
    <row r="789">
      <c r="A789" s="222" t="inlineStr">
        <is>
          <t>1313</t>
        </is>
      </c>
      <c r="B789" s="222" t="inlineStr">
        <is>
          <t>33013536</t>
        </is>
      </c>
      <c r="C789" s="222" t="inlineStr">
        <is>
          <t>VERTICAL STABILIZER ATTACH FITTING=====FS======CALL BACK REFER TO TASK CARD 553004-01-1 VERTICAL STABILIZER ATTACH FITTINGS INCLUDING THE LOAD INTRODUCTION AREA AT THE SKIN PANELS REQ CLEANING TO FASCILITATE INSPECTION</t>
        </is>
      </c>
      <c r="D789" s="222" t="inlineStr">
        <is>
          <t>1</t>
        </is>
      </c>
      <c r="E789" s="222" t="n"/>
      <c r="F789" s="222" t="n"/>
      <c r="G789" s="222" t="n"/>
      <c r="H789" s="222" t="inlineStr">
        <is>
          <t>Not Started</t>
        </is>
      </c>
      <c r="I789" s="222" t="inlineStr">
        <is>
          <t>55-36</t>
        </is>
      </c>
      <c r="J789" s="222" t="inlineStr"/>
    </row>
    <row r="790">
      <c r="A790" s="222" t="inlineStr">
        <is>
          <t>1314</t>
        </is>
      </c>
      <c r="B790" s="222" t="inlineStr">
        <is>
          <t>33013562</t>
        </is>
      </c>
      <c r="C790" s="222" t="inlineStr">
        <is>
          <t>ENG NO#01=====SM=====RII ENG NO#01 LH THR/REV NEAR THE FWD MOST HINGE ADJACENT STRUCTURE WITH BULGE ASSOCIATED WITH DELAMINATION  DIMENSION AS FOLLOWS LENGTH = 3.5" WIDTH = 3"</t>
        </is>
      </c>
      <c r="D790" s="222" t="inlineStr">
        <is>
          <t>1</t>
        </is>
      </c>
      <c r="E790" s="222" t="n"/>
      <c r="F790" s="222" t="n">
        <v>0.2</v>
      </c>
      <c r="G790" s="222" t="n">
        <v>43.8</v>
      </c>
      <c r="H790" s="222" t="inlineStr">
        <is>
          <t>Idle</t>
        </is>
      </c>
      <c r="I790" s="222" t="inlineStr">
        <is>
          <t>78-32</t>
        </is>
      </c>
      <c r="J790" s="222" t="inlineStr"/>
    </row>
    <row r="791">
      <c r="A791" s="222" t="inlineStr">
        <is>
          <t>1315</t>
        </is>
      </c>
      <c r="B791" s="222" t="inlineStr">
        <is>
          <t>33014957</t>
        </is>
      </c>
      <c r="C791" s="222" t="inlineStr">
        <is>
          <t>RADIO ALTIMETER - CALLBACK REF TO TC 344200-02-2 SEQ 589 - DISCARD OF RA ANTENNAS AND COAX CABLES</t>
        </is>
      </c>
      <c r="D791" s="222" t="inlineStr">
        <is>
          <t>1</t>
        </is>
      </c>
      <c r="E791" s="222" t="n">
        <v>8</v>
      </c>
      <c r="F791" s="222" t="n"/>
      <c r="G791" s="222" t="n"/>
      <c r="H791" s="222" t="inlineStr">
        <is>
          <t>Not Started</t>
        </is>
      </c>
      <c r="I791" s="222" t="inlineStr">
        <is>
          <t>34-42</t>
        </is>
      </c>
      <c r="J791" s="222" t="inlineStr"/>
    </row>
    <row r="792">
      <c r="A792" s="222" t="inlineStr">
        <is>
          <t>1316</t>
        </is>
      </c>
      <c r="B792" s="222" t="inlineStr">
        <is>
          <t>33015570</t>
        </is>
      </c>
      <c r="C792" s="222" t="inlineStr">
        <is>
          <t>CAB - RII - COCKPIT CAPTAIN SEAT INERTIA REEL FAILED TO RETRACT PROPERLY.</t>
        </is>
      </c>
      <c r="D792" s="222" t="inlineStr">
        <is>
          <t>1</t>
        </is>
      </c>
      <c r="E792" s="222" t="n"/>
      <c r="F792" s="222" t="n"/>
      <c r="G792" s="222" t="n"/>
      <c r="H792" s="222" t="inlineStr">
        <is>
          <t>Not Started</t>
        </is>
      </c>
      <c r="I792" s="222" t="inlineStr">
        <is>
          <t>25</t>
        </is>
      </c>
      <c r="J792" s="222" t="inlineStr"/>
    </row>
    <row r="793">
      <c r="A793" s="222" t="inlineStr">
        <is>
          <t>1317</t>
        </is>
      </c>
      <c r="B793" s="222" t="inlineStr">
        <is>
          <t>33017436</t>
        </is>
      </c>
      <c r="C793" s="222" t="inlineStr">
        <is>
          <t>CAB - NO CALL BACK - CURTAIN RAIL FWD GALLEY CURTAIN RAIL DEFORMED</t>
        </is>
      </c>
      <c r="D793" s="222" t="inlineStr">
        <is>
          <t>1</t>
        </is>
      </c>
      <c r="E793" s="222" t="n"/>
      <c r="F793" s="222" t="n"/>
      <c r="G793" s="222" t="n"/>
      <c r="H793" s="222" t="inlineStr">
        <is>
          <t>Not Started</t>
        </is>
      </c>
      <c r="I793" s="222" t="inlineStr">
        <is>
          <t>25</t>
        </is>
      </c>
      <c r="J793" s="222" t="inlineStr"/>
    </row>
    <row r="794">
      <c r="A794" s="222" t="inlineStr">
        <is>
          <t>1318</t>
        </is>
      </c>
      <c r="B794" s="222" t="inlineStr">
        <is>
          <t>33017645</t>
        </is>
      </c>
      <c r="C794" s="222" t="inlineStr">
        <is>
          <t>CAB - NO CALL BACK - GALLEY G2 GALLEY COMP. 204 2EA TURN CATCH FADED</t>
        </is>
      </c>
      <c r="D794" s="222" t="inlineStr">
        <is>
          <t>1</t>
        </is>
      </c>
      <c r="E794" s="222" t="n"/>
      <c r="F794" s="222" t="n"/>
      <c r="G794" s="222" t="n"/>
      <c r="H794" s="222" t="inlineStr">
        <is>
          <t>Not Started</t>
        </is>
      </c>
      <c r="I794" s="222" t="inlineStr">
        <is>
          <t>25-10</t>
        </is>
      </c>
      <c r="J794" s="222" t="inlineStr"/>
    </row>
    <row r="795">
      <c r="A795" s="222" t="inlineStr">
        <is>
          <t>1319</t>
        </is>
      </c>
      <c r="B795" s="222" t="inlineStr">
        <is>
          <t>33017650</t>
        </is>
      </c>
      <c r="C795" s="222" t="inlineStr">
        <is>
          <t>FINDING TASKCARD 532181-02-1 (0) /FWD FUSELAGE---STR---RII FIXED PARTITION STRUCTURE, FR34, (Y-765, Y765) LOWER ATTACHMENT DETACHED</t>
        </is>
      </c>
      <c r="D795" s="222" t="inlineStr">
        <is>
          <t>1</t>
        </is>
      </c>
      <c r="E795" s="222" t="n"/>
      <c r="F795" s="222" t="n"/>
      <c r="G795" s="222" t="n"/>
      <c r="H795" s="222" t="inlineStr">
        <is>
          <t>Not Started</t>
        </is>
      </c>
      <c r="I795" s="222" t="inlineStr">
        <is>
          <t>53</t>
        </is>
      </c>
      <c r="J795" s="222" t="inlineStr"/>
    </row>
    <row r="796">
      <c r="A796" s="222" t="inlineStr">
        <is>
          <t>1320</t>
        </is>
      </c>
      <c r="B796" s="222" t="inlineStr">
        <is>
          <t>33018932</t>
        </is>
      </c>
      <c r="C796" s="222" t="inlineStr">
        <is>
          <t>CTR WING BOX REAR SPAR---CAB--CALLBACK REQ REMOVAL OF THE APPLICABLE INSULATION BLANKETS TO GET ACCESS TO THE INSPECTION AREA (FR42)</t>
        </is>
      </c>
      <c r="D796" s="222" t="inlineStr">
        <is>
          <t>1</t>
        </is>
      </c>
      <c r="E796" s="222" t="n"/>
      <c r="F796" s="222" t="n"/>
      <c r="G796" s="222" t="n"/>
      <c r="H796" s="222" t="inlineStr">
        <is>
          <t>Not Started</t>
        </is>
      </c>
      <c r="I796" s="222" t="inlineStr">
        <is>
          <t>57-10</t>
        </is>
      </c>
      <c r="J796" s="222" t="inlineStr"/>
    </row>
    <row r="797">
      <c r="A797" s="222" t="inlineStr">
        <is>
          <t>1321</t>
        </is>
      </c>
      <c r="B797" s="222" t="inlineStr">
        <is>
          <t>33019264</t>
        </is>
      </c>
      <c r="C797" s="222" t="inlineStr">
        <is>
          <t>ESCAPE SLIDE -RII FWD PAX DOOR L/H ESCAPE SLIDE RQE REMOVED FOR ACCESS  P/N : D30664-709         S/N: M18949</t>
        </is>
      </c>
      <c r="D797" s="222" t="inlineStr">
        <is>
          <t>1</t>
        </is>
      </c>
      <c r="E797" s="222" t="n"/>
      <c r="F797" s="222" t="n">
        <v>6</v>
      </c>
      <c r="G797" s="222" t="n">
        <v>70.3</v>
      </c>
      <c r="H797" s="222" t="inlineStr">
        <is>
          <t>Idle</t>
        </is>
      </c>
      <c r="I797" s="222" t="inlineStr">
        <is>
          <t>25-62</t>
        </is>
      </c>
      <c r="J797" s="222" t="inlineStr"/>
    </row>
    <row r="798">
      <c r="A798" s="222" t="inlineStr">
        <is>
          <t>1322</t>
        </is>
      </c>
      <c r="B798" s="222" t="inlineStr">
        <is>
          <t>33019321</t>
        </is>
      </c>
      <c r="C798" s="222" t="inlineStr">
        <is>
          <t>SM---RII---NLG ERROSION FOUND ON RH NOSE GEAR SWIVEL BEARING BUSHING</t>
        </is>
      </c>
      <c r="D798" s="222" t="inlineStr">
        <is>
          <t>1</t>
        </is>
      </c>
      <c r="E798" s="222" t="n"/>
      <c r="F798" s="222" t="n">
        <v>1</v>
      </c>
      <c r="G798" s="222" t="n">
        <v>25.5</v>
      </c>
      <c r="H798" s="222" t="inlineStr">
        <is>
          <t>Idle</t>
        </is>
      </c>
      <c r="I798" s="222" t="inlineStr">
        <is>
          <t>32-21</t>
        </is>
      </c>
      <c r="J798" s="222" t="inlineStr"/>
    </row>
    <row r="799">
      <c r="A799" s="222" t="inlineStr">
        <is>
          <t>1323</t>
        </is>
      </c>
      <c r="B799" s="222" t="inlineStr">
        <is>
          <t>33019327</t>
        </is>
      </c>
      <c r="C799" s="222" t="inlineStr">
        <is>
          <t>ESCAPE SLIDE RII FWD PAX DOOR ESCAPE SLIDE R/H RQE REMOVAL FOR ACCESS  PN/: D30664-709             S/N : C0740</t>
        </is>
      </c>
      <c r="D799" s="222" t="inlineStr">
        <is>
          <t>1</t>
        </is>
      </c>
      <c r="E799" s="222" t="n"/>
      <c r="F799" s="222" t="n">
        <v>6</v>
      </c>
      <c r="G799" s="222" t="n">
        <v>70.2</v>
      </c>
      <c r="H799" s="222" t="inlineStr">
        <is>
          <t>Idle</t>
        </is>
      </c>
      <c r="I799" s="222" t="inlineStr">
        <is>
          <t>25-62</t>
        </is>
      </c>
      <c r="J799" s="222" t="inlineStr"/>
    </row>
    <row r="800">
      <c r="A800" s="222" t="inlineStr">
        <is>
          <t>1324</t>
        </is>
      </c>
      <c r="B800" s="222" t="inlineStr">
        <is>
          <t>33019384</t>
        </is>
      </c>
      <c r="C800" s="222" t="inlineStr">
        <is>
          <t>ESCAPE SLIDE RII AFT PAX DOOR ESCAPE SLIDE R/H RQE REMOVED FOR ACCESS  PN/ D30665-709        SN/ M8479</t>
        </is>
      </c>
      <c r="D800" s="222" t="inlineStr">
        <is>
          <t>1</t>
        </is>
      </c>
      <c r="E800" s="222" t="n"/>
      <c r="F800" s="222" t="n">
        <v>9</v>
      </c>
      <c r="G800" s="222" t="n">
        <v>70</v>
      </c>
      <c r="H800" s="222" t="inlineStr">
        <is>
          <t>Idle</t>
        </is>
      </c>
      <c r="I800" s="222" t="inlineStr">
        <is>
          <t>25-62</t>
        </is>
      </c>
      <c r="J800" s="222" t="inlineStr"/>
    </row>
    <row r="801">
      <c r="A801" s="222" t="inlineStr">
        <is>
          <t>1325</t>
        </is>
      </c>
      <c r="B801" s="222" t="inlineStr">
        <is>
          <t>33019437</t>
        </is>
      </c>
      <c r="C801" s="222" t="inlineStr">
        <is>
          <t>ESCAPE SLIDE RII AFT PAX DOOR ESCAPE SLIDE L/H RQE REMOVEVAL FOR ACCESS  PN / D30665-709     SN/ M14410</t>
        </is>
      </c>
      <c r="D801" s="222" t="inlineStr">
        <is>
          <t>1</t>
        </is>
      </c>
      <c r="E801" s="222" t="n"/>
      <c r="F801" s="222" t="n">
        <v>9</v>
      </c>
      <c r="G801" s="222" t="n">
        <v>70</v>
      </c>
      <c r="H801" s="222" t="inlineStr">
        <is>
          <t>Idle</t>
        </is>
      </c>
      <c r="I801" s="222" t="inlineStr">
        <is>
          <t>25-62</t>
        </is>
      </c>
      <c r="J801" s="222" t="inlineStr"/>
    </row>
    <row r="802">
      <c r="A802" s="222" t="inlineStr">
        <is>
          <t>1326</t>
        </is>
      </c>
      <c r="B802" s="222" t="inlineStr">
        <is>
          <t>33019665</t>
        </is>
      </c>
      <c r="C802" s="222" t="inlineStr">
        <is>
          <t>FINDING TASKCARD 531164-01-1 / FUSELAGE FR15-21-FS--CALLBACK REQ CLEANING OF FUSELAGE FR20-21; STR28LH-STR28LH TO FACILITATE INSPECTION</t>
        </is>
      </c>
      <c r="D802" s="222" t="inlineStr">
        <is>
          <t>1</t>
        </is>
      </c>
      <c r="E802" s="222" t="n">
        <v>20</v>
      </c>
      <c r="F802" s="222" t="n">
        <v>20</v>
      </c>
      <c r="G802" s="222" t="n">
        <v>29</v>
      </c>
      <c r="H802" s="222" t="inlineStr">
        <is>
          <t>Idle</t>
        </is>
      </c>
      <c r="I802" s="222" t="inlineStr">
        <is>
          <t>53-11</t>
        </is>
      </c>
      <c r="J802" s="222" t="inlineStr"/>
    </row>
    <row r="803">
      <c r="A803" s="222" t="inlineStr">
        <is>
          <t>1327</t>
        </is>
      </c>
      <c r="B803" s="222" t="inlineStr">
        <is>
          <t>33014938</t>
        </is>
      </c>
      <c r="C803" s="222" t="inlineStr">
        <is>
          <t>S71-R10396/HZ-ASD ENG.1 REPLACEMENT OF RH FAN COWL FWD AND AFT EDGE PROTECTORS</t>
        </is>
      </c>
      <c r="D803" s="222" t="inlineStr">
        <is>
          <t>1</t>
        </is>
      </c>
      <c r="E803" s="222" t="n">
        <v>4.5</v>
      </c>
      <c r="F803" s="222" t="n"/>
      <c r="G803" s="222" t="n"/>
      <c r="H803" s="222" t="inlineStr">
        <is>
          <t>Not Started</t>
        </is>
      </c>
      <c r="I803" s="222" t="inlineStr">
        <is>
          <t>71</t>
        </is>
      </c>
      <c r="J803" s="222" t="inlineStr"/>
    </row>
    <row r="804">
      <c r="A804" s="222" t="inlineStr">
        <is>
          <t>1328</t>
        </is>
      </c>
      <c r="B804" s="222" t="inlineStr">
        <is>
          <t>33014940</t>
        </is>
      </c>
      <c r="C804" s="222" t="inlineStr">
        <is>
          <t>S71-R10397/HZ-ASD ENG.2 REPLACEMENT OF RH FAN COWL FWD AND AFT EDGE PROTECTORS</t>
        </is>
      </c>
      <c r="D804" s="222" t="inlineStr">
        <is>
          <t>1</t>
        </is>
      </c>
      <c r="E804" s="222" t="n">
        <v>4.5</v>
      </c>
      <c r="F804" s="222" t="n"/>
      <c r="G804" s="222" t="n"/>
      <c r="H804" s="222" t="inlineStr">
        <is>
          <t>Not Started</t>
        </is>
      </c>
      <c r="I804" s="222" t="inlineStr">
        <is>
          <t>71</t>
        </is>
      </c>
      <c r="J804" s="222" t="inlineStr"/>
    </row>
    <row r="805">
      <c r="A805" s="222" t="inlineStr">
        <is>
          <t>1329</t>
        </is>
      </c>
      <c r="B805" s="222" t="inlineStr">
        <is>
          <t>33014947</t>
        </is>
      </c>
      <c r="C805" s="222" t="inlineStr">
        <is>
          <t>S71-R10398/HZ-ASD ENG.1 REPLACEMENT OF LH FAN COWL AFT EDGE PROTECTORS</t>
        </is>
      </c>
      <c r="D805" s="222" t="inlineStr">
        <is>
          <t>1</t>
        </is>
      </c>
      <c r="E805" s="222" t="n">
        <v>6</v>
      </c>
      <c r="F805" s="222" t="n"/>
      <c r="G805" s="222" t="n"/>
      <c r="H805" s="222" t="inlineStr">
        <is>
          <t>Not Started</t>
        </is>
      </c>
      <c r="I805" s="222" t="inlineStr">
        <is>
          <t>71</t>
        </is>
      </c>
      <c r="J805" s="222" t="inlineStr"/>
    </row>
    <row r="806">
      <c r="A806" s="222" t="inlineStr">
        <is>
          <t>1330</t>
        </is>
      </c>
      <c r="B806" s="222" t="inlineStr">
        <is>
          <t>33019887</t>
        </is>
      </c>
      <c r="C806" s="222" t="inlineStr">
        <is>
          <t>AFT CARGO - UNDERFLOOR - FS -CALLBACK AFT CARGO UNDERFLOOR REQ ZONAL CLEANING FROM FRAME 46 TO 51</t>
        </is>
      </c>
      <c r="D806" s="222" t="inlineStr">
        <is>
          <t>1</t>
        </is>
      </c>
      <c r="E806" s="222" t="n">
        <v>19.5</v>
      </c>
      <c r="F806" s="222" t="n">
        <v>33.8</v>
      </c>
      <c r="G806" s="222" t="n">
        <v>66.40000000000001</v>
      </c>
      <c r="H806" s="222" t="inlineStr">
        <is>
          <t>Idle</t>
        </is>
      </c>
      <c r="I806" s="222" t="inlineStr">
        <is>
          <t>53</t>
        </is>
      </c>
      <c r="J806" s="222" t="inlineStr"/>
    </row>
    <row r="807">
      <c r="A807" s="222" t="inlineStr">
        <is>
          <t>1331</t>
        </is>
      </c>
      <c r="B807" s="222" t="inlineStr">
        <is>
          <t>95001843</t>
        </is>
      </c>
      <c r="C807" s="222" t="inlineStr">
        <is>
          <t>ROB .. REF TO TQ. 832572 AEVC P/N.87292325V07 S/N.VL2062006144  ROBBED TO SVC HZ-ASP. AS PER A320 AMM 21-26-34-000-001-A  REV.69 DATE.01 MAY 2026</t>
        </is>
      </c>
      <c r="D807" s="222" t="inlineStr">
        <is>
          <t>N</t>
        </is>
      </c>
      <c r="E807" s="222" t="n">
        <v>4</v>
      </c>
      <c r="F807" s="222" t="n">
        <v>3</v>
      </c>
      <c r="G807" s="222" t="n">
        <v>63.6</v>
      </c>
      <c r="H807" s="222" t="inlineStr">
        <is>
          <t>Idle</t>
        </is>
      </c>
      <c r="I807" s="222" t="inlineStr">
        <is>
          <t>21-00</t>
        </is>
      </c>
      <c r="J807" s="222" t="inlineStr"/>
    </row>
    <row r="808">
      <c r="A808" s="222" t="inlineStr">
        <is>
          <t>1332</t>
        </is>
      </c>
      <c r="B808" s="222" t="inlineStr">
        <is>
          <t>33020601</t>
        </is>
      </c>
      <c r="C808" s="222" t="inlineStr">
        <is>
          <t>FWD PAX DOORS PNT NO CALL BACK FWD PAX DOORS  LINING AND FRAME LINIING WHILE REMOVING FOUND WITH PNT FADED .</t>
        </is>
      </c>
      <c r="D808" s="222" t="inlineStr">
        <is>
          <t>1</t>
        </is>
      </c>
      <c r="E808" s="222" t="n">
        <v>24</v>
      </c>
      <c r="F808" s="222" t="n">
        <v>2</v>
      </c>
      <c r="G808" s="222" t="n">
        <v>36.8</v>
      </c>
      <c r="H808" s="222" t="inlineStr">
        <is>
          <t>Idle</t>
        </is>
      </c>
      <c r="I808" s="222" t="inlineStr">
        <is>
          <t>52-10</t>
        </is>
      </c>
      <c r="J808" s="222" t="inlineStr"/>
    </row>
    <row r="809">
      <c r="A809" s="222" t="inlineStr">
        <is>
          <t>1333</t>
        </is>
      </c>
      <c r="B809" s="222" t="inlineStr">
        <is>
          <t>33020680</t>
        </is>
      </c>
      <c r="C809" s="222" t="inlineStr">
        <is>
          <t>AFT PAX DOORS PANT FEDED NO CALL BACK AFT PAX DOORS LINING AND FRAME LINING FOUND WITH FADED PNT.</t>
        </is>
      </c>
      <c r="D809" s="222" t="inlineStr">
        <is>
          <t>1</t>
        </is>
      </c>
      <c r="E809" s="222" t="n">
        <v>24</v>
      </c>
      <c r="F809" s="222" t="n">
        <v>6</v>
      </c>
      <c r="G809" s="222" t="n">
        <v>38.8</v>
      </c>
      <c r="H809" s="222" t="inlineStr">
        <is>
          <t>Idle</t>
        </is>
      </c>
      <c r="I809" s="222" t="inlineStr">
        <is>
          <t>52-10</t>
        </is>
      </c>
      <c r="J809" s="222" t="inlineStr"/>
    </row>
    <row r="810">
      <c r="A810" s="222" t="inlineStr">
        <is>
          <t>1334</t>
        </is>
      </c>
      <c r="B810" s="222" t="inlineStr">
        <is>
          <t>33020727</t>
        </is>
      </c>
      <c r="C810" s="222" t="inlineStr">
        <is>
          <t>CAB - UNDER FLOOR STRUC - SEAT TRACK (Y-1292) - SM - RII CABIN UNDER FLOOR STRUCTURE FOUND MOST R/H SEAT TRACK (Y-1292) FWD OF FR47 WITH EXCESSIVE PLAY AND AFT ATTACHMENT BOLT WITH MISSING NUT .</t>
        </is>
      </c>
      <c r="D810" s="222" t="inlineStr">
        <is>
          <t>1</t>
        </is>
      </c>
      <c r="E810" s="222" t="n"/>
      <c r="F810" s="222" t="n"/>
      <c r="G810" s="222" t="n"/>
      <c r="H810" s="222" t="inlineStr">
        <is>
          <t>Not Started</t>
        </is>
      </c>
      <c r="I810" s="222" t="inlineStr">
        <is>
          <t>05-21</t>
        </is>
      </c>
      <c r="J810" s="222" t="inlineStr"/>
    </row>
    <row r="811">
      <c r="A811" s="222" t="inlineStr">
        <is>
          <t>1335</t>
        </is>
      </c>
      <c r="B811" s="222" t="inlineStr">
        <is>
          <t>33020728</t>
        </is>
      </c>
      <c r="C811" s="222" t="inlineStr">
        <is>
          <t>AFT CGO COMPT=====AP=====RII AFT CGO COMPT FWD LEFT HAND SIDE APU DUCT CLAMP INSTALLATION ADJACENT AREA INSULATION BLANKETS WITH BURN MARKS (SIGN OF LEAK)</t>
        </is>
      </c>
      <c r="D811" s="222" t="inlineStr">
        <is>
          <t>1</t>
        </is>
      </c>
      <c r="E811" s="222" t="n">
        <v>4</v>
      </c>
      <c r="F811" s="222" t="n"/>
      <c r="G811" s="222" t="n"/>
      <c r="H811" s="222" t="inlineStr">
        <is>
          <t>Not Started</t>
        </is>
      </c>
      <c r="I811" s="222" t="inlineStr">
        <is>
          <t>28-11</t>
        </is>
      </c>
      <c r="J811" s="222" t="inlineStr"/>
    </row>
    <row r="812">
      <c r="A812" s="222" t="inlineStr">
        <is>
          <t>1336</t>
        </is>
      </c>
      <c r="B812" s="222" t="inlineStr">
        <is>
          <t>33020729</t>
        </is>
      </c>
      <c r="C812" s="222" t="inlineStr">
        <is>
          <t>CAB - FLOOR STRUC - SEAT TRACK (Y-1292) - SM - RII CABIN FLOOR STRUCTURE FOUND  SEAT TRACK (Y-1292) FWD OF FR42 WITH GOUGE AT THE MIDDLE OF SEAT TRACK .  DIM:-      L=0.31 INCH.                                         ,W=0.17 INCH....</t>
        </is>
      </c>
      <c r="D812" s="222" t="inlineStr">
        <is>
          <t>1</t>
        </is>
      </c>
      <c r="E812" s="222" t="n"/>
      <c r="F812" s="222" t="n">
        <v>7.8</v>
      </c>
      <c r="G812" s="222" t="n">
        <v>42</v>
      </c>
      <c r="H812" s="222" t="inlineStr">
        <is>
          <t>Idle</t>
        </is>
      </c>
      <c r="I812" s="222" t="inlineStr">
        <is>
          <t>05-21</t>
        </is>
      </c>
      <c r="J812" s="222" t="inlineStr"/>
    </row>
    <row r="813">
      <c r="A813" s="222" t="inlineStr">
        <is>
          <t>1337</t>
        </is>
      </c>
      <c r="B813" s="222" t="inlineStr">
        <is>
          <t>33020731</t>
        </is>
      </c>
      <c r="C813" s="222" t="inlineStr">
        <is>
          <t>CAB - FLOOR STRUC - SEAT TRACK (Y-765) - SM - RII CABIN FLOOR STRUCTURE FOUND  SEAT TRACK (Y-765) FWD OF FR41 WITH GOUGE AT UPPER FLANGE OF SEAT TRACK .  DIM:-      L=0.78 INCH.                                         ,W=0.15 INCH....</t>
        </is>
      </c>
      <c r="D813" s="222" t="inlineStr">
        <is>
          <t>1</t>
        </is>
      </c>
      <c r="E813" s="222" t="n"/>
      <c r="F813" s="222" t="n">
        <v>4</v>
      </c>
      <c r="G813" s="222" t="n">
        <v>40.5</v>
      </c>
      <c r="H813" s="222" t="inlineStr">
        <is>
          <t>Idle</t>
        </is>
      </c>
      <c r="I813" s="222" t="inlineStr">
        <is>
          <t>05-21</t>
        </is>
      </c>
      <c r="J813" s="222" t="inlineStr"/>
    </row>
    <row r="814">
      <c r="A814" s="222" t="inlineStr">
        <is>
          <t>1338</t>
        </is>
      </c>
      <c r="B814" s="222" t="inlineStr">
        <is>
          <t>33020734</t>
        </is>
      </c>
      <c r="C814" s="222" t="inlineStr">
        <is>
          <t>CAB - UNDER FLOOR - CAB - CALL BACK CABIN FROM FR 43 TO FR46 FOUND UNDER FLOOR STRUCTURE WITH MISSING CIC APPLICATION AND FROM FR36 TO FR46 FOUND UNDER FLOOR STRUCTURE , AIR CONDITIONING  DUCT , LINES DUSTY AND  WITH EXCESSIVE LINT ACCUMULATION.</t>
        </is>
      </c>
      <c r="D814" s="222" t="inlineStr">
        <is>
          <t>1</t>
        </is>
      </c>
      <c r="E814" s="222" t="n"/>
      <c r="F814" s="222" t="n"/>
      <c r="G814" s="222" t="n"/>
      <c r="H814" s="222" t="inlineStr">
        <is>
          <t>Not Started</t>
        </is>
      </c>
      <c r="I814" s="222" t="inlineStr">
        <is>
          <t>05-21</t>
        </is>
      </c>
      <c r="J814" s="222" t="inlineStr"/>
    </row>
    <row r="815">
      <c r="A815" s="222" t="inlineStr">
        <is>
          <t>1339</t>
        </is>
      </c>
      <c r="B815" s="222" t="inlineStr">
        <is>
          <t>33021722</t>
        </is>
      </c>
      <c r="C815" s="222" t="inlineStr">
        <is>
          <t>MACHINEST - NO CALL BACK - OVEN G1 GALLEY OVEN COMP. 104 SCREWS FROZEN</t>
        </is>
      </c>
      <c r="D815" s="222" t="inlineStr">
        <is>
          <t>1</t>
        </is>
      </c>
      <c r="E815" s="222" t="n"/>
      <c r="F815" s="222" t="n"/>
      <c r="G815" s="222" t="n"/>
      <c r="H815" s="222" t="inlineStr">
        <is>
          <t>Not Started</t>
        </is>
      </c>
      <c r="I815" s="222" t="inlineStr">
        <is>
          <t>25</t>
        </is>
      </c>
      <c r="J815" s="222" t="inlineStr"/>
    </row>
    <row r="816">
      <c r="A816" s="222" t="inlineStr">
        <is>
          <t>1340</t>
        </is>
      </c>
      <c r="B816" s="222" t="inlineStr">
        <is>
          <t>33021799</t>
        </is>
      </c>
      <c r="C816" s="222" t="inlineStr">
        <is>
          <t>EMERGENCY EXIT HATCH - CABIN - NO CALLBACK AROUND EMERGENCY EXIT HATCH PANEL AND INSULATION BLANKET REQ REMOVAL</t>
        </is>
      </c>
      <c r="D816" s="222" t="inlineStr">
        <is>
          <t>1</t>
        </is>
      </c>
      <c r="E816" s="222" t="n"/>
      <c r="F816" s="222" t="n">
        <v>4</v>
      </c>
      <c r="G816" s="222" t="n">
        <v>39.6</v>
      </c>
      <c r="H816" s="222" t="inlineStr">
        <is>
          <t>Idle</t>
        </is>
      </c>
      <c r="I816" s="222" t="inlineStr">
        <is>
          <t>53-00-00</t>
        </is>
      </c>
      <c r="J816" s="222" t="inlineStr"/>
    </row>
    <row r="817">
      <c r="A817" s="222" t="inlineStr">
        <is>
          <t>1341</t>
        </is>
      </c>
      <c r="B817" s="222" t="inlineStr">
        <is>
          <t>33021843</t>
        </is>
      </c>
      <c r="C817" s="222" t="inlineStr">
        <is>
          <t>CAB - NO CALL BACK - GALLEY G1 GALLEY COMP 207. LATCH INOP</t>
        </is>
      </c>
      <c r="D817" s="222" t="inlineStr">
        <is>
          <t>1</t>
        </is>
      </c>
      <c r="E817" s="222" t="n"/>
      <c r="F817" s="222" t="n"/>
      <c r="G817" s="222" t="n"/>
      <c r="H817" s="222" t="inlineStr">
        <is>
          <t>Not Started</t>
        </is>
      </c>
      <c r="I817" s="222" t="inlineStr">
        <is>
          <t>25</t>
        </is>
      </c>
      <c r="J817" s="222" t="inlineStr"/>
    </row>
    <row r="818">
      <c r="A818" s="222" t="inlineStr">
        <is>
          <t>1342</t>
        </is>
      </c>
      <c r="B818" s="222" t="inlineStr">
        <is>
          <t>33022670</t>
        </is>
      </c>
      <c r="C818" s="222" t="inlineStr">
        <is>
          <t>CAB - NO CALL BACK - GALLEY G2 GALLEY FOOT STEP LEVER MISSING</t>
        </is>
      </c>
      <c r="D818" s="222" t="inlineStr">
        <is>
          <t>1</t>
        </is>
      </c>
      <c r="E818" s="222" t="n"/>
      <c r="F818" s="222" t="n"/>
      <c r="G818" s="222" t="n"/>
      <c r="H818" s="222" t="inlineStr">
        <is>
          <t>Not Started</t>
        </is>
      </c>
      <c r="I818" s="222" t="inlineStr">
        <is>
          <t>25</t>
        </is>
      </c>
      <c r="J818" s="222" t="inlineStr"/>
    </row>
    <row r="819">
      <c r="A819" s="222" t="inlineStr">
        <is>
          <t>1343</t>
        </is>
      </c>
      <c r="B819" s="222" t="inlineStr">
        <is>
          <t>33022800</t>
        </is>
      </c>
      <c r="C819" s="222" t="inlineStr">
        <is>
          <t>CAB - NO CALLBACK - FWD FLOOR MAT J/C ENTRY WAY AND FWD GALLEY FLOOR MAT REQUIRE REPLACEMENT.</t>
        </is>
      </c>
      <c r="D819" s="222" t="inlineStr">
        <is>
          <t>1</t>
        </is>
      </c>
      <c r="E819" s="222" t="n"/>
      <c r="F819" s="222" t="n"/>
      <c r="G819" s="222" t="n"/>
      <c r="H819" s="222" t="inlineStr">
        <is>
          <t>Not Started</t>
        </is>
      </c>
      <c r="I819" s="222" t="inlineStr">
        <is>
          <t>25-28</t>
        </is>
      </c>
      <c r="J819" s="222" t="inlineStr"/>
    </row>
    <row r="820">
      <c r="A820" s="222" t="inlineStr">
        <is>
          <t>1344</t>
        </is>
      </c>
      <c r="B820" s="222" t="inlineStr">
        <is>
          <t>33022853</t>
        </is>
      </c>
      <c r="C820" s="222" t="inlineStr">
        <is>
          <t>CAB - NO CALL BACK - GALLEY G1 GALLEY COMP. 101 SLIDE EXTRACTOR INOP</t>
        </is>
      </c>
      <c r="D820" s="222" t="inlineStr">
        <is>
          <t>1</t>
        </is>
      </c>
      <c r="E820" s="222" t="n"/>
      <c r="F820" s="222" t="n"/>
      <c r="G820" s="222" t="n"/>
      <c r="H820" s="222" t="inlineStr">
        <is>
          <t>Not Started</t>
        </is>
      </c>
      <c r="I820" s="222" t="inlineStr">
        <is>
          <t>25</t>
        </is>
      </c>
      <c r="J820" s="222" t="inlineStr"/>
    </row>
    <row r="821">
      <c r="A821" s="222" t="inlineStr">
        <is>
          <t>1345</t>
        </is>
      </c>
      <c r="B821" s="222" t="inlineStr">
        <is>
          <t>33022868</t>
        </is>
      </c>
      <c r="C821" s="222" t="inlineStr">
        <is>
          <t>CAB - NO CALLBACK - COCKPIT F/O SLIDING WINDOW BLIND ROLLER DETERIORATED.</t>
        </is>
      </c>
      <c r="D821" s="222" t="inlineStr">
        <is>
          <t>1</t>
        </is>
      </c>
      <c r="E821" s="222" t="n"/>
      <c r="F821" s="222" t="n"/>
      <c r="G821" s="222" t="n"/>
      <c r="H821" s="222" t="inlineStr">
        <is>
          <t>Not Started</t>
        </is>
      </c>
      <c r="I821" s="222" t="inlineStr">
        <is>
          <t>25-10</t>
        </is>
      </c>
      <c r="J821" s="222" t="inlineStr"/>
    </row>
    <row r="822">
      <c r="A822" s="222" t="inlineStr">
        <is>
          <t>1347</t>
        </is>
      </c>
      <c r="B822" s="222" t="inlineStr">
        <is>
          <t>33022953</t>
        </is>
      </c>
      <c r="C822" s="222" t="inlineStr">
        <is>
          <t>CAB - NO CALLBACK - COCKPIT CAPTAIN FOOTREST RUBBER MAT WORN-OUT.</t>
        </is>
      </c>
      <c r="D822" s="222" t="inlineStr">
        <is>
          <t>1</t>
        </is>
      </c>
      <c r="E822" s="222" t="n"/>
      <c r="F822" s="222" t="n"/>
      <c r="G822" s="222" t="n"/>
      <c r="H822" s="222" t="inlineStr">
        <is>
          <t>Not Started</t>
        </is>
      </c>
      <c r="I822" s="222" t="inlineStr">
        <is>
          <t>25</t>
        </is>
      </c>
      <c r="J822" s="222" t="inlineStr"/>
    </row>
    <row r="823">
      <c r="A823" s="222" t="inlineStr">
        <is>
          <t>1348</t>
        </is>
      </c>
      <c r="B823" s="222" t="inlineStr">
        <is>
          <t>33022966</t>
        </is>
      </c>
      <c r="C823" s="222" t="inlineStr">
        <is>
          <t>CAB - NO CALLBACK - COCKPIT FLIGHT DECK CAPTAIN AND FIRST OFFICER PEDAL RUBBER MAT DIRTY.</t>
        </is>
      </c>
      <c r="D823" s="222" t="inlineStr">
        <is>
          <t>1</t>
        </is>
      </c>
      <c r="E823" s="222" t="n"/>
      <c r="F823" s="222" t="n"/>
      <c r="G823" s="222" t="n"/>
      <c r="H823" s="222" t="inlineStr">
        <is>
          <t>Not Started</t>
        </is>
      </c>
      <c r="I823" s="222" t="inlineStr">
        <is>
          <t>25-10</t>
        </is>
      </c>
      <c r="J823" s="222" t="inlineStr"/>
    </row>
    <row r="824">
      <c r="A824" s="222" t="inlineStr">
        <is>
          <t>1349</t>
        </is>
      </c>
      <c r="B824" s="222" t="inlineStr">
        <is>
          <t>33022983</t>
        </is>
      </c>
      <c r="C824" s="222" t="inlineStr">
        <is>
          <t>CAB - NO CALLBACK - LAV A LAV A SERVICE CABIINET HINGE LOOSE.</t>
        </is>
      </c>
      <c r="D824" s="222" t="inlineStr">
        <is>
          <t>1</t>
        </is>
      </c>
      <c r="E824" s="222" t="n"/>
      <c r="F824" s="222" t="n"/>
      <c r="G824" s="222" t="n"/>
      <c r="H824" s="222" t="inlineStr">
        <is>
          <t>Not Started</t>
        </is>
      </c>
      <c r="I824" s="222" t="inlineStr">
        <is>
          <t>25</t>
        </is>
      </c>
      <c r="J824" s="222" t="inlineStr"/>
    </row>
    <row r="825">
      <c r="A825" s="222" t="inlineStr">
        <is>
          <t>1353</t>
        </is>
      </c>
      <c r="B825" s="222" t="inlineStr">
        <is>
          <t>33023666</t>
        </is>
      </c>
      <c r="C825" s="222" t="inlineStr">
        <is>
          <t>CAB - RII - COCKPIT FLIGHT DECK FIRST OFFICER SEAT HARNESS DETERIORATED.</t>
        </is>
      </c>
      <c r="D825" s="222" t="inlineStr">
        <is>
          <t>1</t>
        </is>
      </c>
      <c r="E825" s="222" t="n"/>
      <c r="F825" s="222" t="n"/>
      <c r="G825" s="222" t="n"/>
      <c r="H825" s="222" t="inlineStr">
        <is>
          <t>Not Started</t>
        </is>
      </c>
      <c r="I825" s="222" t="inlineStr">
        <is>
          <t>25</t>
        </is>
      </c>
      <c r="J825" s="222" t="inlineStr"/>
    </row>
    <row r="826">
      <c r="A826" s="222" t="inlineStr">
        <is>
          <t>1355</t>
        </is>
      </c>
      <c r="B826" s="222" t="inlineStr">
        <is>
          <t>33023745</t>
        </is>
      </c>
      <c r="C826" s="222" t="inlineStr">
        <is>
          <t>CAB - RII - 4TH OCCUPANT FLIGHT DECK SEAT 4TH OCCUPANT HARNESS DETERIORATED.</t>
        </is>
      </c>
      <c r="D826" s="222" t="inlineStr">
        <is>
          <t>1</t>
        </is>
      </c>
      <c r="E826" s="222" t="n"/>
      <c r="F826" s="222" t="n"/>
      <c r="G826" s="222" t="n"/>
      <c r="H826" s="222" t="inlineStr">
        <is>
          <t>Not Started</t>
        </is>
      </c>
      <c r="I826" s="222" t="inlineStr">
        <is>
          <t>25-10</t>
        </is>
      </c>
      <c r="J826" s="222" t="inlineStr"/>
    </row>
    <row r="827">
      <c r="A827" s="222" t="inlineStr">
        <is>
          <t>1356</t>
        </is>
      </c>
      <c r="B827" s="222" t="inlineStr">
        <is>
          <t>33023803</t>
        </is>
      </c>
      <c r="C827" s="222" t="inlineStr">
        <is>
          <t>CAB - RII - 3RD OCCUPANT FLIGHT DECK 3RD OCCUPANT LOWER SHROUD NEXT TO LIFE VEST COVER DEFORMED.</t>
        </is>
      </c>
      <c r="D827" s="222" t="inlineStr">
        <is>
          <t>1</t>
        </is>
      </c>
      <c r="E827" s="222" t="n"/>
      <c r="F827" s="222" t="n"/>
      <c r="G827" s="222" t="n"/>
      <c r="H827" s="222" t="inlineStr">
        <is>
          <t>Not Started</t>
        </is>
      </c>
      <c r="I827" s="222" t="inlineStr">
        <is>
          <t>25-10</t>
        </is>
      </c>
      <c r="J827" s="222" t="inlineStr"/>
    </row>
    <row r="828">
      <c r="A828" s="222" t="inlineStr">
        <is>
          <t>1357</t>
        </is>
      </c>
      <c r="B828" s="222" t="inlineStr">
        <is>
          <t>33023820</t>
        </is>
      </c>
      <c r="C828" s="222" t="inlineStr">
        <is>
          <t>CAB - NO CALL BACK - GALLEY G1 GALLEY OVEN #1 UPPER GRILL DE ATTACHED</t>
        </is>
      </c>
      <c r="D828" s="222" t="inlineStr">
        <is>
          <t>1</t>
        </is>
      </c>
      <c r="E828" s="222" t="n"/>
      <c r="F828" s="222" t="n"/>
      <c r="G828" s="222" t="n"/>
      <c r="H828" s="222" t="inlineStr">
        <is>
          <t>Not Started</t>
        </is>
      </c>
      <c r="I828" s="222" t="inlineStr">
        <is>
          <t>25-10</t>
        </is>
      </c>
      <c r="J828" s="222" t="inlineStr"/>
    </row>
    <row r="829">
      <c r="A829" s="222" t="inlineStr">
        <is>
          <t>1358</t>
        </is>
      </c>
      <c r="B829" s="222" t="inlineStr">
        <is>
          <t>33023837</t>
        </is>
      </c>
      <c r="C829" s="222" t="inlineStr">
        <is>
          <t>CAB - NO CALL BACK - GALLEY FWD GALLEY (G1,G2) SIDE TURN CATCH FADED</t>
        </is>
      </c>
      <c r="D829" s="222" t="inlineStr">
        <is>
          <t>1</t>
        </is>
      </c>
      <c r="E829" s="222" t="n"/>
      <c r="F829" s="222" t="n"/>
      <c r="G829" s="222" t="n"/>
      <c r="H829" s="222" t="inlineStr">
        <is>
          <t>Not Started</t>
        </is>
      </c>
      <c r="I829" s="222" t="inlineStr">
        <is>
          <t>25</t>
        </is>
      </c>
      <c r="J829" s="222" t="inlineStr"/>
    </row>
    <row r="830">
      <c r="A830" s="222" t="inlineStr">
        <is>
          <t>1359</t>
        </is>
      </c>
      <c r="B830" s="222" t="inlineStr">
        <is>
          <t>33024557</t>
        </is>
      </c>
      <c r="C830" s="222" t="inlineStr">
        <is>
          <t>VERTICAL STABLIZER HINGE FITTING (EOD-320-55-00001-R00) AS PER (EOD-320-55-00001-R00) ALL HINGE FITTINGS REQUIRE NDT AFTER REMOVAL  .</t>
        </is>
      </c>
      <c r="D830" s="222" t="inlineStr">
        <is>
          <t>1</t>
        </is>
      </c>
      <c r="E830" s="222" t="n"/>
      <c r="F830" s="222" t="n">
        <v>4</v>
      </c>
      <c r="G830" s="222" t="n">
        <v>37.6</v>
      </c>
      <c r="H830" s="222" t="inlineStr">
        <is>
          <t>Idle</t>
        </is>
      </c>
      <c r="I830" s="222" t="inlineStr">
        <is>
          <t>55</t>
        </is>
      </c>
      <c r="J830" s="222" t="inlineStr"/>
    </row>
    <row r="831">
      <c r="A831" s="222" t="inlineStr">
        <is>
          <t>1360</t>
        </is>
      </c>
      <c r="B831" s="222" t="inlineStr">
        <is>
          <t>33025667</t>
        </is>
      </c>
      <c r="C831" s="222" t="inlineStr">
        <is>
          <t>CAB - RII - R2 DOOR PANEL ASSY-FLOOR L2 &amp; R2 DOOR PANEL FLOOR ASSY  WITH DAMAGE</t>
        </is>
      </c>
      <c r="D831" s="222" t="inlineStr">
        <is>
          <t>1</t>
        </is>
      </c>
      <c r="E831" s="222" t="n"/>
      <c r="F831" s="222" t="n"/>
      <c r="G831" s="222" t="n"/>
      <c r="H831" s="222" t="inlineStr">
        <is>
          <t>Not Started</t>
        </is>
      </c>
      <c r="I831" s="222" t="inlineStr">
        <is>
          <t>25</t>
        </is>
      </c>
      <c r="J831" s="222" t="inlineStr"/>
    </row>
    <row r="832">
      <c r="A832" s="222" t="inlineStr">
        <is>
          <t>1361</t>
        </is>
      </c>
      <c r="B832" s="222" t="inlineStr">
        <is>
          <t>33025672</t>
        </is>
      </c>
      <c r="C832" s="222" t="inlineStr">
        <is>
          <t>ENG #1 AND #2 AFT MOUNT PINS RETAINING PINS RUSTY---NO CALLBACK--AP ENG 1 AND 2 AFT MOUNT PINS RETAINING PINS FOUND RUSTY NEEDS REPLACEMENT 10 TOTAL IN BOTH ENGINES  IPC REF: 71-22-11 FIG. 71-22-11-03 ITEM 10</t>
        </is>
      </c>
      <c r="D832" s="222" t="inlineStr">
        <is>
          <t>1</t>
        </is>
      </c>
      <c r="E832" s="222" t="n">
        <v>8</v>
      </c>
      <c r="F832" s="222" t="n"/>
      <c r="G832" s="222" t="n"/>
      <c r="H832" s="222" t="inlineStr">
        <is>
          <t>Not Started</t>
        </is>
      </c>
      <c r="I832" s="222" t="inlineStr">
        <is>
          <t>71-22</t>
        </is>
      </c>
      <c r="J832" s="222" t="inlineStr"/>
    </row>
    <row r="833">
      <c r="A833" s="222" t="inlineStr">
        <is>
          <t>1362</t>
        </is>
      </c>
      <c r="B833" s="222" t="inlineStr">
        <is>
          <t>33025883</t>
        </is>
      </c>
      <c r="C833" s="222" t="inlineStr">
        <is>
          <t>RH WING FUEL TANK======PNT=====RII RH WING OUT BOARD FUEL TANK FROM RIB 13 TO 27 ACCESS PNL INNER SIDE PRIMER AND PNT CHIPPED OFF (EXCEPT PNL 640KB)</t>
        </is>
      </c>
      <c r="D833" s="222" t="inlineStr">
        <is>
          <t>1</t>
        </is>
      </c>
      <c r="E833" s="222" t="n"/>
      <c r="F833" s="222" t="n">
        <v>3.8</v>
      </c>
      <c r="G833" s="222" t="n">
        <v>20.9</v>
      </c>
      <c r="H833" s="222" t="inlineStr">
        <is>
          <t>Idle</t>
        </is>
      </c>
      <c r="I833" s="222" t="inlineStr">
        <is>
          <t>57-21</t>
        </is>
      </c>
      <c r="J833" s="222" t="inlineStr"/>
    </row>
    <row r="834">
      <c r="A834" s="222" t="inlineStr">
        <is>
          <t>1363</t>
        </is>
      </c>
      <c r="B834" s="222" t="inlineStr">
        <is>
          <t>33025887</t>
        </is>
      </c>
      <c r="C834" s="222" t="inlineStr">
        <is>
          <t>RH WING FUEL TANK======PNT=====RII RH WING FUEL TANK FROM RIB 13 TO 27 FUEL TANK ACCESS PNL CUT-OUT PRIMER AND PNT CHIPPED OFF/ DETERIORATED (EXCEPT AREA UNDER ACCESS PNL 640KB)</t>
        </is>
      </c>
      <c r="D834" s="222" t="inlineStr">
        <is>
          <t>1</t>
        </is>
      </c>
      <c r="E834" s="222" t="n">
        <v>7</v>
      </c>
      <c r="F834" s="222" t="n">
        <v>8.199999999999999</v>
      </c>
      <c r="G834" s="222" t="n">
        <v>23.1</v>
      </c>
      <c r="H834" s="222" t="inlineStr">
        <is>
          <t>Idle</t>
        </is>
      </c>
      <c r="I834" s="222" t="inlineStr">
        <is>
          <t>57-21</t>
        </is>
      </c>
      <c r="J834" s="222" t="inlineStr"/>
    </row>
    <row r="835">
      <c r="A835" s="222" t="inlineStr">
        <is>
          <t>1364</t>
        </is>
      </c>
      <c r="B835" s="222" t="inlineStr">
        <is>
          <t>33025881</t>
        </is>
      </c>
      <c r="C835" s="222" t="inlineStr">
        <is>
          <t>ENG #1 FWD MOUNT (RH FWD) RETEINER DENTED --CALLBACK--AP ENG #1 FORWARD MOUNT, RH FORWARD BOLT RETAINER FOUND DENTED, NEEDS REPLACEMENT.   REF IPC:   71-21-11 FIG. 71-21-11-04 PYLON ATTACH HARDWARE, ITEM (90)   DESC: RETAINER-RH SIDE   PART NO. 23...</t>
        </is>
      </c>
      <c r="D835" s="222" t="inlineStr">
        <is>
          <t>1</t>
        </is>
      </c>
      <c r="E835" s="222" t="n"/>
      <c r="F835" s="222" t="n"/>
      <c r="G835" s="222" t="n"/>
      <c r="H835" s="222" t="inlineStr">
        <is>
          <t>Not Started</t>
        </is>
      </c>
      <c r="I835" s="222" t="inlineStr">
        <is>
          <t>71-21</t>
        </is>
      </c>
      <c r="J835" s="222" t="inlineStr"/>
    </row>
    <row r="836">
      <c r="A836" s="222" t="inlineStr">
        <is>
          <t>1365</t>
        </is>
      </c>
      <c r="B836" s="222" t="inlineStr">
        <is>
          <t>33025894</t>
        </is>
      </c>
      <c r="C836" s="222" t="inlineStr">
        <is>
          <t>LH WING FUEL TANK=======FT=====RII LH WING OUTBOARD FUEL TANK INNER SIDE ALONG RIB 12 AND RIB 13 02EA BONDING JUMPER BROKEN</t>
        </is>
      </c>
      <c r="D836" s="222" t="inlineStr">
        <is>
          <t>1</t>
        </is>
      </c>
      <c r="E836" s="222" t="n"/>
      <c r="F836" s="222" t="n">
        <v>7</v>
      </c>
      <c r="G836" s="222" t="n">
        <v>25.2</v>
      </c>
      <c r="H836" s="222" t="inlineStr">
        <is>
          <t>Idle</t>
        </is>
      </c>
      <c r="I836" s="222" t="inlineStr">
        <is>
          <t>57-21</t>
        </is>
      </c>
      <c r="J836" s="222" t="inlineStr"/>
    </row>
    <row r="837">
      <c r="A837" s="222" t="inlineStr">
        <is>
          <t>1366</t>
        </is>
      </c>
      <c r="B837" s="222" t="inlineStr">
        <is>
          <t>33025896</t>
        </is>
      </c>
      <c r="C837" s="222" t="inlineStr">
        <is>
          <t>LH WING FUEL TANK======PNT======RII LH WING FUEL TANK INNER SIDE FROM RIB 8-11 01EA FUEL PIPE PRIMER PNT CHIPPED OFF/ PEELING OFF</t>
        </is>
      </c>
      <c r="D837" s="222" t="inlineStr">
        <is>
          <t>1</t>
        </is>
      </c>
      <c r="E837" s="222" t="n">
        <v>3</v>
      </c>
      <c r="F837" s="222" t="n">
        <v>3.2</v>
      </c>
      <c r="G837" s="222" t="n">
        <v>21.6</v>
      </c>
      <c r="H837" s="222" t="inlineStr">
        <is>
          <t>Idle</t>
        </is>
      </c>
      <c r="I837" s="222" t="inlineStr">
        <is>
          <t>57-21</t>
        </is>
      </c>
      <c r="J837" s="222" t="inlineStr"/>
    </row>
    <row r="838">
      <c r="A838" s="222" t="inlineStr">
        <is>
          <t>1367</t>
        </is>
      </c>
      <c r="B838" s="222" t="inlineStr">
        <is>
          <t>33025897</t>
        </is>
      </c>
      <c r="C838" s="222" t="inlineStr">
        <is>
          <t>LH WING FUEL TANK======PNT======RII LH WING FUEL TANK ACCESS PNL CUT-OUT FROM RIB 13-27 PRIMER AND PNT CHIPPED OFF</t>
        </is>
      </c>
      <c r="D838" s="222" t="inlineStr">
        <is>
          <t>1</t>
        </is>
      </c>
      <c r="E838" s="222" t="n">
        <v>8</v>
      </c>
      <c r="F838" s="222" t="n">
        <v>9.199999999999999</v>
      </c>
      <c r="G838" s="222" t="n">
        <v>22.7</v>
      </c>
      <c r="H838" s="222" t="inlineStr">
        <is>
          <t>Idle</t>
        </is>
      </c>
      <c r="I838" s="222" t="inlineStr">
        <is>
          <t>57-21</t>
        </is>
      </c>
      <c r="J838" s="222" t="inlineStr"/>
    </row>
    <row r="839">
      <c r="A839" s="222" t="inlineStr">
        <is>
          <t>1368</t>
        </is>
      </c>
      <c r="B839" s="222" t="inlineStr">
        <is>
          <t>33027334</t>
        </is>
      </c>
      <c r="C839" s="222" t="inlineStr">
        <is>
          <t>FT---RII---LH WING LH WING INSIDE FUEL TANK BETWEEN RIB 1 &amp; 2 THERE IS 5 BONDING JUMBERS CUT</t>
        </is>
      </c>
      <c r="D839" s="222" t="inlineStr">
        <is>
          <t>1</t>
        </is>
      </c>
      <c r="E839" s="222" t="n"/>
      <c r="F839" s="222" t="n"/>
      <c r="G839" s="222" t="n"/>
      <c r="H839" s="222" t="inlineStr">
        <is>
          <t>Not Started</t>
        </is>
      </c>
      <c r="I839" s="222" t="inlineStr">
        <is>
          <t>57-20</t>
        </is>
      </c>
      <c r="J839" s="222" t="inlineStr"/>
    </row>
    <row r="840">
      <c r="A840" s="222" t="inlineStr">
        <is>
          <t>1369</t>
        </is>
      </c>
      <c r="B840" s="222" t="inlineStr">
        <is>
          <t>33027336</t>
        </is>
      </c>
      <c r="C840" s="222" t="inlineStr">
        <is>
          <t>FT---RII---LH WING LH WING INSIDE FUEL TANK BETWEEN RIB 8 &amp; 9 THERE IS ONE BONDING JUMBERS CUT AT RIB 9 AND TWO BONDING JUMBERS BETWEEN RIB 7 AND 8</t>
        </is>
      </c>
      <c r="D840" s="222" t="inlineStr">
        <is>
          <t>1</t>
        </is>
      </c>
      <c r="E840" s="222" t="n"/>
      <c r="F840" s="222" t="n"/>
      <c r="G840" s="222" t="n"/>
      <c r="H840" s="222" t="inlineStr">
        <is>
          <t>Not Started</t>
        </is>
      </c>
      <c r="I840" s="222" t="inlineStr">
        <is>
          <t>57-20</t>
        </is>
      </c>
      <c r="J840" s="222" t="inlineStr"/>
    </row>
    <row r="841">
      <c r="A841" s="222" t="inlineStr">
        <is>
          <t>1370</t>
        </is>
      </c>
      <c r="B841" s="222" t="inlineStr">
        <is>
          <t>33027335</t>
        </is>
      </c>
      <c r="C841" s="222" t="inlineStr">
        <is>
          <t>OSS - NO CALLBACK - WINDOWS ALL WINDOWS EXTERNAL SIDE REQUIRE CLEANING.</t>
        </is>
      </c>
      <c r="D841" s="222" t="inlineStr">
        <is>
          <t>1</t>
        </is>
      </c>
      <c r="E841" s="222" t="n">
        <v>30</v>
      </c>
      <c r="F841" s="222" t="n"/>
      <c r="G841" s="222" t="n"/>
      <c r="H841" s="222" t="inlineStr">
        <is>
          <t>Not Started</t>
        </is>
      </c>
      <c r="I841" s="222" t="inlineStr">
        <is>
          <t>56-21</t>
        </is>
      </c>
      <c r="J841" s="222" t="inlineStr"/>
    </row>
    <row r="842">
      <c r="A842" s="222" t="inlineStr">
        <is>
          <t>1372</t>
        </is>
      </c>
      <c r="B842" s="222" t="inlineStr">
        <is>
          <t>33028124</t>
        </is>
      </c>
      <c r="C842" s="222" t="inlineStr">
        <is>
          <t>BROKEN PLENUM LH&amp;RH-AP-N0-CALLBACK DURING INSPECTION FOUND LH &amp; RH PACKS PLENUM CHAMBERS DELAMINATED OUT OF LIMITS</t>
        </is>
      </c>
      <c r="D842" s="222" t="inlineStr">
        <is>
          <t>1</t>
        </is>
      </c>
      <c r="E842" s="222" t="n">
        <v>2</v>
      </c>
      <c r="F842" s="222" t="n">
        <v>2</v>
      </c>
      <c r="G842" s="222" t="n">
        <v>21.1</v>
      </c>
      <c r="H842" s="222" t="inlineStr">
        <is>
          <t>Idle</t>
        </is>
      </c>
      <c r="I842" s="222" t="inlineStr">
        <is>
          <t>21-52</t>
        </is>
      </c>
      <c r="J842" s="222" t="inlineStr"/>
    </row>
    <row r="843">
      <c r="A843" s="222" t="inlineStr">
        <is>
          <t>1373</t>
        </is>
      </c>
      <c r="B843" s="222" t="inlineStr">
        <is>
          <t>33028166</t>
        </is>
      </c>
      <c r="C843" s="222" t="inlineStr">
        <is>
          <t>CAB - NO CALLBACK - G1 GALLEY G1 GALLEY AIR CHILLER COVER PANEL GRILLE DEFORMED.</t>
        </is>
      </c>
      <c r="D843" s="222" t="inlineStr">
        <is>
          <t>1</t>
        </is>
      </c>
      <c r="E843" s="222" t="n"/>
      <c r="F843" s="222" t="n"/>
      <c r="G843" s="222" t="n"/>
      <c r="H843" s="222" t="inlineStr">
        <is>
          <t>Not Started</t>
        </is>
      </c>
      <c r="I843" s="222" t="inlineStr">
        <is>
          <t>25</t>
        </is>
      </c>
      <c r="J843" s="222" t="inlineStr"/>
    </row>
    <row r="844">
      <c r="A844" s="222" t="inlineStr">
        <is>
          <t>1374</t>
        </is>
      </c>
      <c r="B844" s="222" t="inlineStr">
        <is>
          <t>33028214</t>
        </is>
      </c>
      <c r="C844" s="222" t="inlineStr">
        <is>
          <t>FINDING (NRC) TASKCARD 534143-01-3 (03) / ITEM-1 SM--RII AFT RH DOOR CUTOUT AT FR 68 AREA CORRODED  AROUND GIRT BAR FITTING AND AT THE DRAIN HOLE</t>
        </is>
      </c>
      <c r="D844" s="222" t="inlineStr">
        <is>
          <t>1</t>
        </is>
      </c>
      <c r="E844" s="222" t="n"/>
      <c r="F844" s="222" t="n">
        <v>0.3</v>
      </c>
      <c r="G844" s="222" t="n">
        <v>1.9</v>
      </c>
      <c r="H844" s="222" t="inlineStr">
        <is>
          <t>Idle</t>
        </is>
      </c>
      <c r="I844" s="222" t="inlineStr">
        <is>
          <t>53-41</t>
        </is>
      </c>
      <c r="J844" s="222" t="inlineStr"/>
    </row>
    <row r="845">
      <c r="A845" s="222" t="inlineStr">
        <is>
          <t>1375</t>
        </is>
      </c>
      <c r="B845" s="222" t="inlineStr">
        <is>
          <t>33028291</t>
        </is>
      </c>
      <c r="C845" s="222" t="inlineStr">
        <is>
          <t>FINDING (NRC) TASKCARD 534143-01-3 (03) / ITEM-1 SM--RII AFT LH DOOR CUTOUT AT FR 68 AND FR 66 AREA CORRODED  AT GIRT BAR FITTINGS RIVETS 2EA</t>
        </is>
      </c>
      <c r="D845" s="222" t="inlineStr">
        <is>
          <t>1</t>
        </is>
      </c>
      <c r="E845" s="222" t="n"/>
      <c r="F845" s="222" t="n">
        <v>3</v>
      </c>
      <c r="G845" s="222" t="n">
        <v>26.6</v>
      </c>
      <c r="H845" s="222" t="inlineStr">
        <is>
          <t>Idle</t>
        </is>
      </c>
      <c r="I845" s="222" t="inlineStr">
        <is>
          <t>53-41</t>
        </is>
      </c>
      <c r="J845" s="222" t="inlineStr"/>
    </row>
    <row r="846">
      <c r="A846" s="222" t="inlineStr">
        <is>
          <t>1376</t>
        </is>
      </c>
      <c r="B846" s="222" t="inlineStr">
        <is>
          <t>33028349</t>
        </is>
      </c>
      <c r="C846" s="222" t="inlineStr">
        <is>
          <t>AP---CALLBACK---REAR AVN COMP REAR AVN COMPARTMENT UNDER INSULATION AND FLOOR AREA REQUIRE CIC</t>
        </is>
      </c>
      <c r="D846" s="222" t="inlineStr">
        <is>
          <t>1</t>
        </is>
      </c>
      <c r="E846" s="222" t="n"/>
      <c r="F846" s="222" t="n"/>
      <c r="G846" s="222" t="n"/>
      <c r="H846" s="222" t="inlineStr">
        <is>
          <t>Not Started</t>
        </is>
      </c>
      <c r="I846" s="222" t="inlineStr">
        <is>
          <t>05-21</t>
        </is>
      </c>
      <c r="J846" s="222" t="inlineStr"/>
    </row>
    <row r="847">
      <c r="A847" s="222" t="inlineStr">
        <is>
          <t>1377</t>
        </is>
      </c>
      <c r="B847" s="222" t="inlineStr">
        <is>
          <t>33028466</t>
        </is>
      </c>
      <c r="C847" s="222" t="inlineStr">
        <is>
          <t>CAB - CALLBACK - G2 GALLEY G2 GALLEY REQUIRE REMOVAL FOR ACCESS.</t>
        </is>
      </c>
      <c r="D847" s="222" t="inlineStr">
        <is>
          <t>1</t>
        </is>
      </c>
      <c r="E847" s="222" t="n"/>
      <c r="F847" s="222" t="n">
        <v>19.5</v>
      </c>
      <c r="G847" s="222" t="n">
        <v>25.6</v>
      </c>
      <c r="H847" s="222" t="inlineStr">
        <is>
          <t>Idle</t>
        </is>
      </c>
      <c r="I847" s="222" t="inlineStr">
        <is>
          <t>25</t>
        </is>
      </c>
      <c r="J847" s="222" t="inlineStr"/>
    </row>
    <row r="848">
      <c r="A848" s="222" t="inlineStr">
        <is>
          <t>1378</t>
        </is>
      </c>
      <c r="B848" s="222" t="inlineStr">
        <is>
          <t>33028471</t>
        </is>
      </c>
      <c r="C848" s="222" t="inlineStr">
        <is>
          <t>CAB - RII - B/C SEATS ALL B/C SEATS REQUIRE REMOVAL FOR ACCESS.</t>
        </is>
      </c>
      <c r="D848" s="222" t="inlineStr">
        <is>
          <t>1</t>
        </is>
      </c>
      <c r="E848" s="222" t="n"/>
      <c r="F848" s="222" t="n">
        <v>26</v>
      </c>
      <c r="G848" s="222" t="n">
        <v>25.6</v>
      </c>
      <c r="H848" s="222" t="inlineStr">
        <is>
          <t>Idle</t>
        </is>
      </c>
      <c r="I848" s="222" t="inlineStr">
        <is>
          <t>25</t>
        </is>
      </c>
      <c r="J848" s="222" t="inlineStr"/>
    </row>
    <row r="849">
      <c r="A849" s="222" t="inlineStr">
        <is>
          <t>1379</t>
        </is>
      </c>
      <c r="B849" s="222" t="inlineStr">
        <is>
          <t>33028546</t>
        </is>
      </c>
      <c r="C849" s="222" t="inlineStr">
        <is>
          <t>CAB - NO CALLBACK - G/C AREA G/C AREA 9 EA SIDEWALLS WINDOW FRAME FOUND BROKEN.</t>
        </is>
      </c>
      <c r="D849" s="222" t="inlineStr">
        <is>
          <t>1</t>
        </is>
      </c>
      <c r="E849" s="222" t="n"/>
      <c r="F849" s="222" t="n"/>
      <c r="G849" s="222" t="n"/>
      <c r="H849" s="222" t="inlineStr">
        <is>
          <t>Not Started</t>
        </is>
      </c>
      <c r="I849" s="222" t="inlineStr">
        <is>
          <t>25</t>
        </is>
      </c>
      <c r="J849" s="222" t="inlineStr"/>
    </row>
    <row r="850">
      <c r="A850" s="222" t="inlineStr">
        <is>
          <t>1380</t>
        </is>
      </c>
      <c r="B850" s="222" t="inlineStr">
        <is>
          <t>33028549</t>
        </is>
      </c>
      <c r="C850" s="222" t="inlineStr">
        <is>
          <t>PNT - NO CALL BACK - GALLEY FWD (G1) GALLEY PAINT PEELED OFF BETWEEN COMP. 104 AND 105.</t>
        </is>
      </c>
      <c r="D850" s="222" t="inlineStr">
        <is>
          <t>1</t>
        </is>
      </c>
      <c r="E850" s="222" t="n"/>
      <c r="F850" s="222" t="n"/>
      <c r="G850" s="222" t="n"/>
      <c r="H850" s="222" t="inlineStr">
        <is>
          <t>Not Started</t>
        </is>
      </c>
      <c r="I850" s="222" t="inlineStr">
        <is>
          <t>25</t>
        </is>
      </c>
      <c r="J850" s="222" t="inlineStr"/>
    </row>
    <row r="851">
      <c r="A851" s="222" t="inlineStr">
        <is>
          <t>1381</t>
        </is>
      </c>
      <c r="B851" s="222" t="inlineStr">
        <is>
          <t>33028590</t>
        </is>
      </c>
      <c r="C851" s="222" t="inlineStr">
        <is>
          <t>FINDING (NRC) TASKCARD 575158-01-5-002 (02) / ITEM-1 PNT--NOCALLBACK RH WING LOWER SURFACE BOTTOM SKIN BETWEEN RIB 1 AND RIB 9 WITH  PAINT CHIPPED OFF</t>
        </is>
      </c>
      <c r="D851" s="222" t="inlineStr">
        <is>
          <t>1</t>
        </is>
      </c>
      <c r="E851" s="222" t="n"/>
      <c r="F851" s="222" t="n"/>
      <c r="G851" s="222" t="n"/>
      <c r="H851" s="222" t="inlineStr">
        <is>
          <t>Not Started</t>
        </is>
      </c>
      <c r="I851" s="222" t="inlineStr">
        <is>
          <t>57-51</t>
        </is>
      </c>
      <c r="J851" s="222" t="inlineStr"/>
    </row>
    <row r="852">
      <c r="A852" s="222" t="inlineStr">
        <is>
          <t>1382</t>
        </is>
      </c>
      <c r="B852" s="222" t="inlineStr">
        <is>
          <t>33028952</t>
        </is>
      </c>
      <c r="C852" s="222" t="inlineStr">
        <is>
          <t>NO.1 ENGINE ACOUSTICAL PANEL MISSING SCREW--CALL BACK--AP NO.1 ENGINE ACOUSTICAL PANEL FOUND WITH MISSING SCREW MARKED WITH GREEN TAPE</t>
        </is>
      </c>
      <c r="D852" s="222" t="inlineStr">
        <is>
          <t>1</t>
        </is>
      </c>
      <c r="E852" s="222" t="n">
        <v>0.5</v>
      </c>
      <c r="F852" s="222" t="n"/>
      <c r="G852" s="222" t="n"/>
      <c r="H852" s="222" t="inlineStr">
        <is>
          <t>Not Started</t>
        </is>
      </c>
      <c r="I852" s="222" t="inlineStr">
        <is>
          <t>20-00</t>
        </is>
      </c>
      <c r="J852" s="222" t="inlineStr"/>
    </row>
    <row r="853">
      <c r="A853" s="222" t="inlineStr">
        <is>
          <t>1383</t>
        </is>
      </c>
      <c r="B853" s="222" t="inlineStr">
        <is>
          <t>33029195</t>
        </is>
      </c>
      <c r="C853" s="222" t="inlineStr">
        <is>
          <t>ENG NO#01=====AP=====CALL BACK REFER TO TASK CARD 712213-01-1-001 ENGINE AFT MOUNT PINS INNER SIDE DIRTY WITH ANTI SEIZE COMPOUND DIRTY REQ CLEANING TO FASCILITATE THE INSP</t>
        </is>
      </c>
      <c r="D853" s="222" t="inlineStr">
        <is>
          <t>1</t>
        </is>
      </c>
      <c r="E853" s="222" t="n"/>
      <c r="F853" s="222" t="n"/>
      <c r="G853" s="222" t="n"/>
      <c r="H853" s="222" t="inlineStr">
        <is>
          <t>Idle</t>
        </is>
      </c>
      <c r="I853" s="222" t="inlineStr">
        <is>
          <t>71-22</t>
        </is>
      </c>
      <c r="J853" s="222" t="inlineStr"/>
    </row>
    <row r="854">
      <c r="A854" s="222" t="inlineStr">
        <is>
          <t>1384</t>
        </is>
      </c>
      <c r="B854" s="222" t="inlineStr">
        <is>
          <t>33029199</t>
        </is>
      </c>
      <c r="C854" s="222" t="inlineStr">
        <is>
          <t>ENG NO#02======AP=====CALL BACK REFER TO TASK CARD 712213-01-1-002 ENGINE AFT MOUNT PINS INNER SIDE DIRTY WITH ANTI SEIZE COMPOUND DIRTY REQ CLEANING TO FASCILITATE THE INSP</t>
        </is>
      </c>
      <c r="D854" s="222" t="inlineStr">
        <is>
          <t>1</t>
        </is>
      </c>
      <c r="E854" s="222" t="n"/>
      <c r="F854" s="222" t="n"/>
      <c r="G854" s="222" t="n">
        <v>9.4</v>
      </c>
      <c r="H854" s="222" t="inlineStr">
        <is>
          <t>Idle</t>
        </is>
      </c>
      <c r="I854" s="222" t="inlineStr">
        <is>
          <t>71-22</t>
        </is>
      </c>
      <c r="J854" s="222" t="inlineStr"/>
    </row>
    <row r="855">
      <c r="A855" s="222" t="inlineStr">
        <is>
          <t>1385</t>
        </is>
      </c>
      <c r="B855" s="222" t="inlineStr">
        <is>
          <t>33029239</t>
        </is>
      </c>
      <c r="C855" s="222" t="inlineStr">
        <is>
          <t>FWD CABIN=====SM=====RII FWD CABIN FLOOR STRUCTURE BESIDE R1 DOOR UNDER ACCESS PNL 222FF BETWEEN FR 16-20 , ALONG Y-1732 AND Y-1292  RAILS 04EA LOCATION WITH SURFACE CORROSION  DIMENSION AS FOLLOWS  ALONG Y-1292 1)LENGTH = 1.6", WIDTH 1.1" 2)LENGT...</t>
        </is>
      </c>
      <c r="D855" s="222" t="inlineStr">
        <is>
          <t>1</t>
        </is>
      </c>
      <c r="E855" s="222" t="n"/>
      <c r="F855" s="222" t="n"/>
      <c r="G855" s="222" t="n"/>
      <c r="H855" s="222" t="inlineStr">
        <is>
          <t>Not Started</t>
        </is>
      </c>
      <c r="I855" s="222" t="inlineStr">
        <is>
          <t>53-11</t>
        </is>
      </c>
      <c r="J855" s="222" t="inlineStr"/>
    </row>
    <row r="856">
      <c r="A856" s="222" t="inlineStr">
        <is>
          <t>1386</t>
        </is>
      </c>
      <c r="B856" s="222" t="inlineStr">
        <is>
          <t>33029270</t>
        </is>
      </c>
      <c r="C856" s="222" t="inlineStr">
        <is>
          <t>RH WING MLG SUPPORT RIBS=====AP====NO CALL BACK RH WING MLG SUPPORT RIBS AND ADJACENT AREA MISSING CIC</t>
        </is>
      </c>
      <c r="D856" s="222" t="inlineStr">
        <is>
          <t>1</t>
        </is>
      </c>
      <c r="E856" s="222" t="n"/>
      <c r="F856" s="222" t="n"/>
      <c r="G856" s="222" t="n"/>
      <c r="H856" s="222" t="inlineStr">
        <is>
          <t>Not Started</t>
        </is>
      </c>
      <c r="I856" s="222" t="inlineStr">
        <is>
          <t>57-51</t>
        </is>
      </c>
      <c r="J856" s="222" t="inlineStr"/>
    </row>
    <row r="857">
      <c r="A857" s="222" t="inlineStr">
        <is>
          <t>2</t>
        </is>
      </c>
      <c r="B857" s="222" t="inlineStr">
        <is>
          <t>200001-02-1</t>
        </is>
      </c>
      <c r="C857" s="222" t="inlineStr">
        <is>
          <t>200001-02-1 (3) / HIRF/LIGHTNING PROTECTION-WING CHK</t>
        </is>
      </c>
      <c r="D857" s="222" t="inlineStr">
        <is>
          <t>1</t>
        </is>
      </c>
      <c r="E857" s="222" t="n">
        <v>4.4</v>
      </c>
      <c r="F857" s="222" t="n">
        <v>12.2</v>
      </c>
      <c r="G857" s="222" t="n">
        <v>3.9</v>
      </c>
      <c r="H857" s="222" t="inlineStr">
        <is>
          <t>Closed</t>
        </is>
      </c>
      <c r="I857" s="222" t="inlineStr">
        <is>
          <t>24-92</t>
        </is>
      </c>
      <c r="J857" s="222" t="inlineStr">
        <is>
          <t>OPS/LK, OPS/LK</t>
        </is>
      </c>
    </row>
    <row r="858">
      <c r="A858" s="222" t="inlineStr">
        <is>
          <t>3</t>
        </is>
      </c>
      <c r="B858" s="222" t="inlineStr">
        <is>
          <t>200003-01-1</t>
        </is>
      </c>
      <c r="C858" s="222" t="inlineStr">
        <is>
          <t>200003-01-1 (2) / ELEM FITT ON HARN 4202VB AND 4204VB</t>
        </is>
      </c>
      <c r="D858" s="222" t="inlineStr">
        <is>
          <t>1</t>
        </is>
      </c>
      <c r="E858" s="222" t="n">
        <v>0.3</v>
      </c>
      <c r="F858" s="222" t="n">
        <v>1.5</v>
      </c>
      <c r="G858" s="222" t="n">
        <v>3</v>
      </c>
      <c r="H858" s="222" t="inlineStr">
        <is>
          <t>Closed</t>
        </is>
      </c>
      <c r="I858" s="222" t="inlineStr">
        <is>
          <t>24-92</t>
        </is>
      </c>
      <c r="J858" s="222" t="inlineStr">
        <is>
          <t>INSPECTION</t>
        </is>
      </c>
    </row>
    <row r="859">
      <c r="A859" s="222" t="inlineStr">
        <is>
          <t>4</t>
        </is>
      </c>
      <c r="B859" s="222" t="inlineStr">
        <is>
          <t>200003-02-1</t>
        </is>
      </c>
      <c r="C859" s="222" t="inlineStr">
        <is>
          <t>200003-02-1 (3) / HIRF/LIGHTNING PROTECTION-VRT FIN</t>
        </is>
      </c>
      <c r="D859" s="222" t="inlineStr">
        <is>
          <t>1</t>
        </is>
      </c>
      <c r="E859" s="222" t="n">
        <v>0.3</v>
      </c>
      <c r="F859" s="222" t="n">
        <v>1.5</v>
      </c>
      <c r="G859" s="222" t="n">
        <v>3</v>
      </c>
      <c r="H859" s="222" t="inlineStr">
        <is>
          <t>Closed</t>
        </is>
      </c>
      <c r="I859" s="222" t="inlineStr">
        <is>
          <t>24-92</t>
        </is>
      </c>
      <c r="J859" s="222" t="inlineStr">
        <is>
          <t>INSPECTION</t>
        </is>
      </c>
    </row>
    <row r="860">
      <c r="A860" s="222" t="inlineStr">
        <is>
          <t>5</t>
        </is>
      </c>
      <c r="B860" s="222" t="inlineStr">
        <is>
          <t>200003-03-1</t>
        </is>
      </c>
      <c r="C860" s="222" t="inlineStr">
        <is>
          <t>200003-03-1 (2) / ELEM FIT ON HARNES 4202VB &amp; 4204VB</t>
        </is>
      </c>
      <c r="D860" s="222" t="inlineStr">
        <is>
          <t>1</t>
        </is>
      </c>
      <c r="E860" s="222" t="n">
        <v>0.3</v>
      </c>
      <c r="F860" s="222" t="n">
        <v>0.5</v>
      </c>
      <c r="G860" s="222" t="n">
        <v>0.5</v>
      </c>
      <c r="H860" s="222" t="inlineStr">
        <is>
          <t>Closed</t>
        </is>
      </c>
      <c r="I860" s="222" t="inlineStr">
        <is>
          <t>24-92</t>
        </is>
      </c>
      <c r="J860" s="222" t="inlineStr">
        <is>
          <t>INSPECTION</t>
        </is>
      </c>
    </row>
    <row r="861">
      <c r="A861" s="222" t="inlineStr">
        <is>
          <t>7</t>
        </is>
      </c>
      <c r="B861" s="222" t="inlineStr">
        <is>
          <t>200121-03-1</t>
        </is>
      </c>
      <c r="C861" s="222" t="inlineStr">
        <is>
          <t>200121-03-1 (2) / FORWARD AVIONIC COMPARTMENT INSP</t>
        </is>
      </c>
      <c r="D861" s="222" t="inlineStr">
        <is>
          <t>1</t>
        </is>
      </c>
      <c r="E861" s="222" t="n">
        <v>2.2</v>
      </c>
      <c r="F861" s="222" t="n">
        <v>3</v>
      </c>
      <c r="G861" s="222" t="n">
        <v>1.5</v>
      </c>
      <c r="H861" s="222" t="inlineStr">
        <is>
          <t>Closed</t>
        </is>
      </c>
      <c r="I861" s="222" t="inlineStr">
        <is>
          <t>24-92</t>
        </is>
      </c>
      <c r="J861" s="222" t="inlineStr">
        <is>
          <t>INSPECTION</t>
        </is>
      </c>
    </row>
    <row r="862">
      <c r="A862" s="222" t="inlineStr">
        <is>
          <t>10</t>
        </is>
      </c>
      <c r="B862" s="222" t="inlineStr">
        <is>
          <t>200125-05-1</t>
        </is>
      </c>
      <c r="C862" s="222" t="inlineStr">
        <is>
          <t>200125-05-1 (2) / LATERAL AVIONIC COMPARTMENT INSP</t>
        </is>
      </c>
      <c r="D862" s="222" t="inlineStr">
        <is>
          <t>1</t>
        </is>
      </c>
      <c r="E862" s="222" t="n">
        <v>9.9</v>
      </c>
      <c r="F862" s="222" t="n">
        <v>1</v>
      </c>
      <c r="G862" s="222" t="n">
        <v>1</v>
      </c>
      <c r="H862" s="222" t="inlineStr">
        <is>
          <t>Closed</t>
        </is>
      </c>
      <c r="I862" s="222" t="inlineStr">
        <is>
          <t>24-92</t>
        </is>
      </c>
      <c r="J862" s="222" t="inlineStr">
        <is>
          <t>INSPECTION</t>
        </is>
      </c>
    </row>
    <row r="863">
      <c r="A863" s="222" t="inlineStr">
        <is>
          <t>13</t>
        </is>
      </c>
      <c r="B863" s="222" t="inlineStr">
        <is>
          <t>200127-05-1</t>
        </is>
      </c>
      <c r="C863" s="222" t="inlineStr">
        <is>
          <t>200127-05-1 (2) / REAR AVIONICS COMPT INSPECTION</t>
        </is>
      </c>
      <c r="D863" s="222" t="inlineStr">
        <is>
          <t>1</t>
        </is>
      </c>
      <c r="E863" s="222" t="n">
        <v>3.3</v>
      </c>
      <c r="F863" s="222" t="n">
        <v>1</v>
      </c>
      <c r="G863" s="222" t="n">
        <v>1</v>
      </c>
      <c r="H863" s="222" t="inlineStr">
        <is>
          <t>Closed</t>
        </is>
      </c>
      <c r="I863" s="222" t="inlineStr">
        <is>
          <t>24-92</t>
        </is>
      </c>
      <c r="J863" s="222" t="inlineStr">
        <is>
          <t>TC/P</t>
        </is>
      </c>
    </row>
    <row r="864">
      <c r="A864" s="222" t="inlineStr">
        <is>
          <t>14</t>
        </is>
      </c>
      <c r="B864" s="222" t="inlineStr">
        <is>
          <t>200127-07-1</t>
        </is>
      </c>
      <c r="C864" s="222" t="inlineStr">
        <is>
          <t>200127-07-1 (2) / REAR AVIONIC COMPARTMENT INSPECTION</t>
        </is>
      </c>
      <c r="D864" s="222" t="inlineStr">
        <is>
          <t>1</t>
        </is>
      </c>
      <c r="E864" s="222" t="n">
        <v>8.300000000000001</v>
      </c>
      <c r="F864" s="222" t="n">
        <v>1</v>
      </c>
      <c r="G864" s="222" t="n">
        <v>1</v>
      </c>
      <c r="H864" s="222" t="inlineStr">
        <is>
          <t>Closed</t>
        </is>
      </c>
      <c r="I864" s="222" t="inlineStr">
        <is>
          <t>24-92</t>
        </is>
      </c>
      <c r="J864" s="222" t="inlineStr">
        <is>
          <t>INSPECTION</t>
        </is>
      </c>
    </row>
    <row r="865">
      <c r="A865" s="222" t="inlineStr">
        <is>
          <t>17</t>
        </is>
      </c>
      <c r="B865" s="222" t="inlineStr">
        <is>
          <t>200137-01-1</t>
        </is>
      </c>
      <c r="C865" s="222" t="inlineStr">
        <is>
          <t>200137-01-1 (3) / BAY BEHIND FWD CGO COMPT CLEANING</t>
        </is>
      </c>
      <c r="D865" s="222" t="inlineStr">
        <is>
          <t>1</t>
        </is>
      </c>
      <c r="E865" s="222" t="n">
        <v>38.1</v>
      </c>
      <c r="F865" s="222" t="n">
        <v>12</v>
      </c>
      <c r="G865" s="222" t="n">
        <v>84</v>
      </c>
      <c r="H865" s="222" t="inlineStr">
        <is>
          <t>Closed</t>
        </is>
      </c>
      <c r="I865" s="222" t="inlineStr">
        <is>
          <t>24-92</t>
        </is>
      </c>
      <c r="J865" s="222" t="inlineStr">
        <is>
          <t>JOB-SETUP, CLEAN-UP, JOB-CLOSEUP</t>
        </is>
      </c>
    </row>
    <row r="866">
      <c r="A866" s="222" t="inlineStr">
        <is>
          <t>21</t>
        </is>
      </c>
      <c r="B866" s="222" t="inlineStr">
        <is>
          <t>200161-01-1</t>
        </is>
      </c>
      <c r="C866" s="222" t="inlineStr">
        <is>
          <t>200161-01-1 (01) / BULK CARGO COMPARTMENT CLEANING</t>
        </is>
      </c>
      <c r="D866" s="222" t="inlineStr">
        <is>
          <t>1</t>
        </is>
      </c>
      <c r="E866" s="222" t="n">
        <v>81.40000000000001</v>
      </c>
      <c r="F866" s="222" t="n">
        <v>15</v>
      </c>
      <c r="G866" s="222" t="n">
        <v>85.3</v>
      </c>
      <c r="H866" s="222" t="inlineStr">
        <is>
          <t>Closed</t>
        </is>
      </c>
      <c r="I866" s="222" t="inlineStr">
        <is>
          <t>24-92</t>
        </is>
      </c>
      <c r="J866" s="222" t="inlineStr">
        <is>
          <t>JOB-SETUP, CLEAN-UP, JOB-CLOSEUP</t>
        </is>
      </c>
    </row>
    <row r="867">
      <c r="A867" s="222" t="inlineStr">
        <is>
          <t>24</t>
        </is>
      </c>
      <c r="B867" s="222" t="inlineStr">
        <is>
          <t>200231-03-1</t>
        </is>
      </c>
      <c r="C867" s="222" t="inlineStr">
        <is>
          <t>200231-03-1 (2) / FORWARD PASSENGER COMPARTMENT INSP</t>
        </is>
      </c>
      <c r="D867" s="222" t="inlineStr">
        <is>
          <t>1</t>
        </is>
      </c>
      <c r="E867" s="222" t="n">
        <v>7.2</v>
      </c>
      <c r="F867" s="222" t="n">
        <v>13.5</v>
      </c>
      <c r="G867" s="222" t="n">
        <v>22.2</v>
      </c>
      <c r="H867" s="222" t="inlineStr">
        <is>
          <t>Closed</t>
        </is>
      </c>
      <c r="I867" s="222" t="inlineStr">
        <is>
          <t>24-92</t>
        </is>
      </c>
      <c r="J867" s="222" t="inlineStr">
        <is>
          <t>JOB-SETUP, INSPECTION, JOB-CLOSEUP</t>
        </is>
      </c>
    </row>
    <row r="868">
      <c r="A868" s="222" t="inlineStr">
        <is>
          <t>27</t>
        </is>
      </c>
      <c r="B868" s="222" t="inlineStr">
        <is>
          <t>200315-01-1</t>
        </is>
      </c>
      <c r="C868" s="222" t="inlineStr">
        <is>
          <t>200315-01-1 (3) / TAIL CONE&amp;APU ACCESSORY ROUTES INSP</t>
        </is>
      </c>
      <c r="D868" s="222" t="inlineStr">
        <is>
          <t>1</t>
        </is>
      </c>
      <c r="E868" s="222" t="n">
        <v>0.4</v>
      </c>
      <c r="F868" s="222" t="n">
        <v>1</v>
      </c>
      <c r="G868" s="222" t="n">
        <v>0.5</v>
      </c>
      <c r="H868" s="222" t="inlineStr">
        <is>
          <t>Closed</t>
        </is>
      </c>
      <c r="I868" s="222" t="inlineStr">
        <is>
          <t>24-92</t>
        </is>
      </c>
      <c r="J868" s="222" t="inlineStr">
        <is>
          <t>INSPECTION</t>
        </is>
      </c>
    </row>
    <row r="869">
      <c r="A869" s="222" t="inlineStr">
        <is>
          <t>28</t>
        </is>
      </c>
      <c r="B869" s="222" t="inlineStr">
        <is>
          <t>200413-03-1-001</t>
        </is>
      </c>
      <c r="C869" s="222" t="inlineStr">
        <is>
          <t>200413-03-1-001 (02) / NO.1 ENG PYLON UPR FWD (EWIS) INSP</t>
        </is>
      </c>
      <c r="D869" s="222" t="inlineStr">
        <is>
          <t>1</t>
        </is>
      </c>
      <c r="E869" s="222" t="n">
        <v>1.1</v>
      </c>
      <c r="F869" s="222" t="n">
        <v>5.8</v>
      </c>
      <c r="G869" s="222" t="n">
        <v>39.3</v>
      </c>
      <c r="H869" s="222" t="inlineStr">
        <is>
          <t>Closed</t>
        </is>
      </c>
      <c r="I869" s="222" t="inlineStr">
        <is>
          <t>24-92</t>
        </is>
      </c>
      <c r="J869" s="222" t="inlineStr">
        <is>
          <t>JOB-SETUP, INSPECTION, JOB-CLOSEUP</t>
        </is>
      </c>
    </row>
    <row r="870">
      <c r="A870" s="222" t="inlineStr">
        <is>
          <t>29</t>
        </is>
      </c>
      <c r="B870" s="222" t="inlineStr">
        <is>
          <t>200413-03-1-002</t>
        </is>
      </c>
      <c r="C870" s="222" t="inlineStr">
        <is>
          <t>200413-03-1-002 (02) / NO.2 ENG PYLON UPR FWD (EWIS) INSP</t>
        </is>
      </c>
      <c r="D870" s="222" t="inlineStr">
        <is>
          <t>1</t>
        </is>
      </c>
      <c r="E870" s="222" t="n">
        <v>1.1</v>
      </c>
      <c r="F870" s="222" t="n">
        <v>2.3</v>
      </c>
      <c r="G870" s="222" t="n">
        <v>39.9</v>
      </c>
      <c r="H870" s="222" t="inlineStr">
        <is>
          <t>Closed</t>
        </is>
      </c>
      <c r="I870" s="222" t="inlineStr">
        <is>
          <t>24-92</t>
        </is>
      </c>
      <c r="J870" s="222" t="inlineStr">
        <is>
          <t>JOB-SETUP, INSPECTION, JOB-CLOSEUP</t>
        </is>
      </c>
    </row>
    <row r="871">
      <c r="A871" s="222" t="inlineStr">
        <is>
          <t>31</t>
        </is>
      </c>
      <c r="B871" s="222" t="inlineStr">
        <is>
          <t>212600-09-1</t>
        </is>
      </c>
      <c r="C871" s="222" t="inlineStr">
        <is>
          <t>212600-09-1 (3) / AVIO EQUIP VENTILATION GRID CLEANING</t>
        </is>
      </c>
      <c r="D871" s="222" t="inlineStr">
        <is>
          <t>1</t>
        </is>
      </c>
      <c r="E871" s="222" t="n">
        <v>0.7</v>
      </c>
      <c r="F871" s="222" t="n">
        <v>8</v>
      </c>
      <c r="G871" s="222" t="n">
        <v>4</v>
      </c>
      <c r="H871" s="222" t="inlineStr">
        <is>
          <t>Closed</t>
        </is>
      </c>
      <c r="I871" s="222" t="inlineStr">
        <is>
          <t>21-26</t>
        </is>
      </c>
      <c r="J871" s="222" t="inlineStr">
        <is>
          <t>CLEAN-UP</t>
        </is>
      </c>
    </row>
    <row r="872">
      <c r="A872" s="222" t="inlineStr">
        <is>
          <t>37</t>
        </is>
      </c>
      <c r="B872" s="222" t="inlineStr">
        <is>
          <t>256141-01-1</t>
        </is>
      </c>
      <c r="C872" s="222" t="inlineStr">
        <is>
          <t>256141-01-1 (3) / CAPT AND F/O EMERGENCY DEVICE INSP</t>
        </is>
      </c>
      <c r="D872" s="222" t="inlineStr">
        <is>
          <t>1</t>
        </is>
      </c>
      <c r="E872" s="222" t="n">
        <v>0.4</v>
      </c>
      <c r="F872" s="222" t="n">
        <v>12</v>
      </c>
      <c r="G872" s="222" t="n">
        <v>2.8</v>
      </c>
      <c r="H872" s="222" t="inlineStr">
        <is>
          <t>Closed</t>
        </is>
      </c>
      <c r="I872" s="222" t="inlineStr">
        <is>
          <t>25-61</t>
        </is>
      </c>
      <c r="J872" s="222" t="inlineStr">
        <is>
          <t>TC/P, TC/P, TC/P, TC/P, TC/P</t>
        </is>
      </c>
    </row>
    <row r="873">
      <c r="A873" s="222" t="inlineStr">
        <is>
          <t>38</t>
        </is>
      </c>
      <c r="B873" s="222" t="inlineStr">
        <is>
          <t>262541-01-1</t>
        </is>
      </c>
      <c r="C873" s="222" t="inlineStr">
        <is>
          <t>262541-01-1 (3) / LAVATORIES FIRE EXTINGUISHERS INSP</t>
        </is>
      </c>
      <c r="D873" s="222" t="inlineStr">
        <is>
          <t>1</t>
        </is>
      </c>
      <c r="E873" s="222" t="n">
        <v>0.2</v>
      </c>
      <c r="F873" s="222" t="n">
        <v>0.8</v>
      </c>
      <c r="G873" s="222" t="n">
        <v>0.8</v>
      </c>
      <c r="H873" s="222" t="inlineStr">
        <is>
          <t>Closed</t>
        </is>
      </c>
      <c r="I873" s="222" t="inlineStr">
        <is>
          <t>26-25</t>
        </is>
      </c>
      <c r="J873" s="222" t="inlineStr">
        <is>
          <t>INSPECTION</t>
        </is>
      </c>
    </row>
    <row r="874">
      <c r="A874" s="222" t="inlineStr">
        <is>
          <t>40</t>
        </is>
      </c>
      <c r="B874" s="222" t="inlineStr">
        <is>
          <t>281800-02-1</t>
        </is>
      </c>
      <c r="C874" s="222" t="inlineStr">
        <is>
          <t>281800-02-1 (2) / CENTER TANK VAPOR SEAL INSPECTION</t>
        </is>
      </c>
      <c r="D874" s="222" t="inlineStr">
        <is>
          <t>1</t>
        </is>
      </c>
      <c r="E874" s="222" t="n">
        <v>1.8</v>
      </c>
      <c r="F874" s="222" t="n">
        <v>0.8</v>
      </c>
      <c r="G874" s="222" t="n">
        <v>0.8</v>
      </c>
      <c r="H874" s="222" t="inlineStr">
        <is>
          <t>Closed</t>
        </is>
      </c>
      <c r="I874" s="222" t="inlineStr">
        <is>
          <t>28-18</t>
        </is>
      </c>
      <c r="J874" s="222" t="inlineStr">
        <is>
          <t>INSPECTION</t>
        </is>
      </c>
    </row>
    <row r="875">
      <c r="A875" s="222" t="inlineStr">
        <is>
          <t>41</t>
        </is>
      </c>
      <c r="B875" s="222" t="inlineStr">
        <is>
          <t>281800-05-1</t>
        </is>
      </c>
      <c r="C875" s="222" t="inlineStr">
        <is>
          <t>281800-05-1 (3) / CNTR TANK FWD BKHD INSULATION INSP</t>
        </is>
      </c>
      <c r="D875" s="222" t="inlineStr">
        <is>
          <t>1</t>
        </is>
      </c>
      <c r="E875" s="222" t="n">
        <v>0.2</v>
      </c>
      <c r="F875" s="222" t="n">
        <v>4.5</v>
      </c>
      <c r="G875" s="222" t="n">
        <v>2.8</v>
      </c>
      <c r="H875" s="222" t="inlineStr">
        <is>
          <t>Closed</t>
        </is>
      </c>
      <c r="I875" s="222" t="inlineStr">
        <is>
          <t>28-18</t>
        </is>
      </c>
      <c r="J875" s="222" t="inlineStr">
        <is>
          <t>INSPECTION</t>
        </is>
      </c>
    </row>
    <row r="876">
      <c r="A876" s="222" t="inlineStr">
        <is>
          <t>47</t>
        </is>
      </c>
      <c r="B876" s="222" t="inlineStr">
        <is>
          <t>351351-01-1</t>
        </is>
      </c>
      <c r="C876" s="222" t="inlineStr">
        <is>
          <t>351351-01-1 (2) / CREW OXYGEN DISTRIBUTION FNC</t>
        </is>
      </c>
      <c r="D876" s="222" t="inlineStr">
        <is>
          <t>1</t>
        </is>
      </c>
      <c r="E876" s="222" t="n">
        <v>0.2</v>
      </c>
      <c r="F876" s="222" t="n">
        <v>5</v>
      </c>
      <c r="G876" s="222" t="n">
        <v>6.5</v>
      </c>
      <c r="H876" s="222" t="inlineStr">
        <is>
          <t>Closed</t>
        </is>
      </c>
      <c r="I876" s="222" t="inlineStr">
        <is>
          <t>35-12</t>
        </is>
      </c>
      <c r="J876" s="222" t="inlineStr">
        <is>
          <t>JOB-SETUP, OPS/LK, JOB-CLOSEUP</t>
        </is>
      </c>
    </row>
    <row r="877">
      <c r="A877" s="222" t="inlineStr">
        <is>
          <t>48</t>
        </is>
      </c>
      <c r="B877" s="222" t="inlineStr">
        <is>
          <t>361200-01-1</t>
        </is>
      </c>
      <c r="C877" s="222" t="inlineStr">
        <is>
          <t>361200-01-1 (2) / CROSSBLEED VALVE MANUAL MODE OPS CHK</t>
        </is>
      </c>
      <c r="D877" s="222" t="inlineStr">
        <is>
          <t>1</t>
        </is>
      </c>
      <c r="E877" s="222" t="n">
        <v>0.2</v>
      </c>
      <c r="F877" s="222" t="n">
        <v>3</v>
      </c>
      <c r="G877" s="222" t="n">
        <v>1.5</v>
      </c>
      <c r="H877" s="222" t="inlineStr">
        <is>
          <t>Closed</t>
        </is>
      </c>
      <c r="I877" s="222" t="inlineStr">
        <is>
          <t>36-12</t>
        </is>
      </c>
      <c r="J877" s="222" t="inlineStr">
        <is>
          <t>JOB-SETUP, OPS/LK, JOB-CLOSEUP</t>
        </is>
      </c>
    </row>
    <row r="878">
      <c r="A878" s="222" t="inlineStr">
        <is>
          <t>49</t>
        </is>
      </c>
      <c r="B878" s="222" t="inlineStr">
        <is>
          <t>524100-01-1</t>
        </is>
      </c>
      <c r="C878" s="222" t="inlineStr">
        <is>
          <t>524100-01-1 (4) / AVIONICS COMP. DOORS SEALS INSP</t>
        </is>
      </c>
      <c r="D878" s="222" t="inlineStr">
        <is>
          <t>1</t>
        </is>
      </c>
      <c r="E878" s="222" t="n">
        <v>0.4</v>
      </c>
      <c r="F878" s="222" t="n">
        <v>2.7</v>
      </c>
      <c r="G878" s="222" t="n">
        <v>22.4</v>
      </c>
      <c r="H878" s="222" t="inlineStr">
        <is>
          <t>Closed</t>
        </is>
      </c>
      <c r="I878" s="222" t="inlineStr">
        <is>
          <t>52-41</t>
        </is>
      </c>
      <c r="J878" s="222" t="inlineStr">
        <is>
          <t>JOB-SETUP, INSPECTION, JOB-CLOSEUP</t>
        </is>
      </c>
    </row>
    <row r="879">
      <c r="A879" s="222" t="inlineStr">
        <is>
          <t>51</t>
        </is>
      </c>
      <c r="B879" s="222" t="inlineStr">
        <is>
          <t>531102-01-1</t>
        </is>
      </c>
      <c r="C879" s="222" t="inlineStr">
        <is>
          <t>531102-01-1 (5) / LH/RH FORWARD PASSENGER DOORS INSP</t>
        </is>
      </c>
      <c r="D879" s="222" t="inlineStr">
        <is>
          <t>1</t>
        </is>
      </c>
      <c r="E879" s="222" t="n">
        <v>0.7</v>
      </c>
      <c r="F879" s="222" t="n">
        <v>2.5</v>
      </c>
      <c r="G879" s="222" t="n">
        <v>74.5</v>
      </c>
      <c r="H879" s="222" t="inlineStr">
        <is>
          <t>Closed</t>
        </is>
      </c>
      <c r="I879" s="222" t="inlineStr">
        <is>
          <t>53-11</t>
        </is>
      </c>
      <c r="J879" s="222" t="inlineStr">
        <is>
          <t>CLEAN-UP, INSPECTION, INSPECTION</t>
        </is>
      </c>
    </row>
    <row r="880">
      <c r="A880" s="222" t="inlineStr">
        <is>
          <t>58</t>
        </is>
      </c>
      <c r="B880" s="222" t="inlineStr">
        <is>
          <t>532137-03-1</t>
        </is>
      </c>
      <c r="C880" s="222" t="inlineStr">
        <is>
          <t>532137-03-1 (1) / FWD CARGO DOOR CUTOUT PANELS DETAILED INSPECTION</t>
        </is>
      </c>
      <c r="D880" s="222" t="inlineStr">
        <is>
          <t>1</t>
        </is>
      </c>
      <c r="E880" s="222" t="n">
        <v>1.6</v>
      </c>
      <c r="F880" s="222" t="n">
        <v>4.5</v>
      </c>
      <c r="G880" s="222" t="n">
        <v>34.4</v>
      </c>
      <c r="H880" s="222" t="inlineStr">
        <is>
          <t>Closed</t>
        </is>
      </c>
      <c r="I880" s="222" t="inlineStr">
        <is>
          <t>53-21</t>
        </is>
      </c>
      <c r="J880" s="222" t="inlineStr">
        <is>
          <t>JOB-SETUP, INSPECTION, CLOSE-UP</t>
        </is>
      </c>
    </row>
    <row r="881">
      <c r="A881" s="222" t="inlineStr">
        <is>
          <t>64</t>
        </is>
      </c>
      <c r="B881" s="222" t="inlineStr">
        <is>
          <t>534159-02-1</t>
        </is>
      </c>
      <c r="C881" s="222" t="inlineStr">
        <is>
          <t>534159-02-1 (1) / DETAILED INSPECTION OF AFT CARGO DOOR CUTOUT UPPER AND LOWER CORNERS, EXTERNAL SURFACE.</t>
        </is>
      </c>
      <c r="D881" s="222" t="inlineStr">
        <is>
          <t>1</t>
        </is>
      </c>
      <c r="E881" s="222" t="n">
        <v>2.3</v>
      </c>
      <c r="F881" s="222" t="n">
        <v>7.5</v>
      </c>
      <c r="G881" s="222" t="n">
        <v>87.3</v>
      </c>
      <c r="H881" s="222" t="inlineStr">
        <is>
          <t>Closed</t>
        </is>
      </c>
      <c r="I881" s="222" t="inlineStr">
        <is>
          <t>53-41</t>
        </is>
      </c>
      <c r="J881" s="222" t="inlineStr"/>
    </row>
    <row r="882">
      <c r="A882" s="222" t="inlineStr">
        <is>
          <t>65</t>
        </is>
      </c>
      <c r="B882" s="222" t="inlineStr">
        <is>
          <t>534171-02-1</t>
        </is>
      </c>
      <c r="C882" s="222" t="inlineStr">
        <is>
          <t>534171-02-1 (1) / DETAILED INSPECTION OF FUSELAGE SKIN OF BULK CARGO DOOR CUTOUT AT UPPER CORNERS</t>
        </is>
      </c>
      <c r="D882" s="222" t="inlineStr">
        <is>
          <t>1</t>
        </is>
      </c>
      <c r="E882" s="222" t="n">
        <v>0.5</v>
      </c>
      <c r="F882" s="222" t="n">
        <v>3.5</v>
      </c>
      <c r="G882" s="222" t="n">
        <v>12.6</v>
      </c>
      <c r="H882" s="222" t="inlineStr">
        <is>
          <t>Closed</t>
        </is>
      </c>
      <c r="I882" s="222" t="inlineStr">
        <is>
          <t>53-41</t>
        </is>
      </c>
      <c r="J882" s="222" t="inlineStr"/>
    </row>
    <row r="883">
      <c r="A883" s="222" t="inlineStr">
        <is>
          <t>67</t>
        </is>
      </c>
      <c r="B883" s="222" t="inlineStr">
        <is>
          <t>534301-01-1</t>
        </is>
      </c>
      <c r="C883" s="222" t="inlineStr">
        <is>
          <t>534301-01-1 (0) / REAR FUSELAGE</t>
        </is>
      </c>
      <c r="D883" s="222" t="inlineStr">
        <is>
          <t>1</t>
        </is>
      </c>
      <c r="E883" s="222" t="n">
        <v>2</v>
      </c>
      <c r="F883" s="222" t="n">
        <v>5.5</v>
      </c>
      <c r="G883" s="222" t="n">
        <v>33</v>
      </c>
      <c r="H883" s="222" t="inlineStr">
        <is>
          <t>Closed</t>
        </is>
      </c>
      <c r="I883" s="222" t="inlineStr">
        <is>
          <t>53-51</t>
        </is>
      </c>
      <c r="J883" s="222" t="inlineStr">
        <is>
          <t>JOB-SETUP, CLEAN-UP, INSPECTION, JOB-CLOSEUP</t>
        </is>
      </c>
    </row>
    <row r="884">
      <c r="A884" s="222" t="inlineStr">
        <is>
          <t>82</t>
        </is>
      </c>
      <c r="B884" s="222" t="inlineStr">
        <is>
          <t>572049-01-3-001</t>
        </is>
      </c>
      <c r="C884" s="222" t="inlineStr">
        <is>
          <t>572049-01-3-001 (02) / L/H O/WNG BOTOM SKN DRAIN HOLES INSP</t>
        </is>
      </c>
      <c r="D884" s="222" t="inlineStr">
        <is>
          <t>1</t>
        </is>
      </c>
      <c r="E884" s="222" t="n">
        <v>0.4</v>
      </c>
      <c r="F884" s="222" t="n">
        <v>2</v>
      </c>
      <c r="G884" s="222" t="n">
        <v>16.7</v>
      </c>
      <c r="H884" s="222" t="inlineStr">
        <is>
          <t>Closed</t>
        </is>
      </c>
      <c r="I884" s="222" t="inlineStr">
        <is>
          <t>57-41</t>
        </is>
      </c>
      <c r="J884" s="222" t="inlineStr">
        <is>
          <t>JOB-SETUP, INSPECTION, JOB-CLOSEUP</t>
        </is>
      </c>
    </row>
    <row r="885">
      <c r="A885" s="222" t="inlineStr">
        <is>
          <t>83</t>
        </is>
      </c>
      <c r="B885" s="222" t="inlineStr">
        <is>
          <t>572049-01-3-002</t>
        </is>
      </c>
      <c r="C885" s="222" t="inlineStr">
        <is>
          <t>572049-01-3-002 (02) / R/H O/WNG BOTOM SKN DRAIN HOLES INSP</t>
        </is>
      </c>
      <c r="D885" s="222" t="inlineStr">
        <is>
          <t>1</t>
        </is>
      </c>
      <c r="E885" s="222" t="n">
        <v>0.4</v>
      </c>
      <c r="F885" s="222" t="n">
        <v>1.5</v>
      </c>
      <c r="G885" s="222" t="n">
        <v>16.2</v>
      </c>
      <c r="H885" s="222" t="inlineStr">
        <is>
          <t>Closed</t>
        </is>
      </c>
      <c r="I885" s="222" t="inlineStr">
        <is>
          <t>57-41</t>
        </is>
      </c>
      <c r="J885" s="222" t="inlineStr">
        <is>
          <t>JOB-SETUP, INSPECTION, JOB-CLOSEUP</t>
        </is>
      </c>
    </row>
    <row r="886">
      <c r="A886" s="222" t="inlineStr">
        <is>
          <t>86</t>
        </is>
      </c>
      <c r="B886" s="222" t="inlineStr">
        <is>
          <t>572153-01-1-001</t>
        </is>
      </c>
      <c r="C886" s="222" t="inlineStr">
        <is>
          <t>572153-01-1-001 (02) / L/H WING BOTTOM SKIN DRAIN HOLES INSP</t>
        </is>
      </c>
      <c r="D886" s="222" t="inlineStr">
        <is>
          <t>1</t>
        </is>
      </c>
      <c r="E886" s="222" t="n">
        <v>0.5</v>
      </c>
      <c r="F886" s="222" t="n">
        <v>1.5</v>
      </c>
      <c r="G886" s="222" t="n">
        <v>16.3</v>
      </c>
      <c r="H886" s="222" t="inlineStr">
        <is>
          <t>Closed</t>
        </is>
      </c>
      <c r="I886" s="222" t="inlineStr">
        <is>
          <t>57-20</t>
        </is>
      </c>
      <c r="J886" s="222" t="inlineStr">
        <is>
          <t>JOB-SETUP, CLEAN-UP, INSPECTION, JOB-CLOSEUP</t>
        </is>
      </c>
    </row>
    <row r="887">
      <c r="A887" s="222" t="inlineStr">
        <is>
          <t>87</t>
        </is>
      </c>
      <c r="B887" s="222" t="inlineStr">
        <is>
          <t>572153-01-1-002</t>
        </is>
      </c>
      <c r="C887" s="222" t="inlineStr">
        <is>
          <t>572153-01-1-002 (02) / RH WING BOTTOM SKIN DRAIN HOLES INSP</t>
        </is>
      </c>
      <c r="D887" s="222" t="inlineStr">
        <is>
          <t>1</t>
        </is>
      </c>
      <c r="E887" s="222" t="n">
        <v>0.5</v>
      </c>
      <c r="F887" s="222" t="n">
        <v>1.5</v>
      </c>
      <c r="G887" s="222" t="n">
        <v>16.2</v>
      </c>
      <c r="H887" s="222" t="inlineStr">
        <is>
          <t>Closed</t>
        </is>
      </c>
      <c r="I887" s="222" t="inlineStr">
        <is>
          <t>57-20</t>
        </is>
      </c>
      <c r="J887" s="222" t="inlineStr">
        <is>
          <t>JOB-SETUP, CLEAN-UP, INSPECTION, JOB-CLOSEUP</t>
        </is>
      </c>
    </row>
    <row r="888">
      <c r="A888" s="222" t="inlineStr">
        <is>
          <t>90</t>
        </is>
      </c>
      <c r="B888" s="222" t="inlineStr">
        <is>
          <t>572651-01-2-001</t>
        </is>
      </c>
      <c r="C888" s="222" t="inlineStr">
        <is>
          <t>572651-01-2-001 (02) / L/H OTR WING REAR SPAR JAK FTNG INSP</t>
        </is>
      </c>
      <c r="D888" s="222" t="inlineStr">
        <is>
          <t>1</t>
        </is>
      </c>
      <c r="E888" s="222" t="n">
        <v>0.4</v>
      </c>
      <c r="F888" s="222" t="n">
        <v>1.8</v>
      </c>
      <c r="G888" s="222" t="n">
        <v>29.1</v>
      </c>
      <c r="H888" s="222" t="inlineStr">
        <is>
          <t>Closed</t>
        </is>
      </c>
      <c r="I888" s="222" t="inlineStr">
        <is>
          <t>57-26</t>
        </is>
      </c>
      <c r="J888" s="222" t="inlineStr">
        <is>
          <t>JOB-SETUP, CLEAN-UP, INSPECTION, JOB-CLOSEUP</t>
        </is>
      </c>
    </row>
    <row r="889">
      <c r="A889" s="222" t="inlineStr">
        <is>
          <t>91</t>
        </is>
      </c>
      <c r="B889" s="222" t="inlineStr">
        <is>
          <t>572651-01-2-002</t>
        </is>
      </c>
      <c r="C889" s="222" t="inlineStr">
        <is>
          <t>572651-01-2-002 (02) / R/H OUTR WING REAR SPAR JACK FITTING</t>
        </is>
      </c>
      <c r="D889" s="222" t="inlineStr">
        <is>
          <t>1</t>
        </is>
      </c>
      <c r="E889" s="222" t="n">
        <v>0.4</v>
      </c>
      <c r="F889" s="222" t="n">
        <v>3.5</v>
      </c>
      <c r="G889" s="222" t="n">
        <v>30.8</v>
      </c>
      <c r="H889" s="222" t="inlineStr">
        <is>
          <t>Closed</t>
        </is>
      </c>
      <c r="I889" s="222" t="inlineStr">
        <is>
          <t>57-26</t>
        </is>
      </c>
      <c r="J889" s="222" t="inlineStr">
        <is>
          <t>JOB-SETUP, CLEAN-UP, INSPECTION, JOB-CLOSEUP</t>
        </is>
      </c>
    </row>
    <row r="890">
      <c r="A890" s="222" t="inlineStr">
        <is>
          <t>92</t>
        </is>
      </c>
      <c r="B890" s="222" t="inlineStr">
        <is>
          <t>574206-01-1</t>
        </is>
      </c>
      <c r="C890" s="222" t="inlineStr">
        <is>
          <t>574206-01-1 (1) / DETAILED INSPECTION OF SLAT 1, PINION AND RACK TEETH, LH/RH.</t>
        </is>
      </c>
      <c r="D890" s="222" t="inlineStr">
        <is>
          <t>1</t>
        </is>
      </c>
      <c r="E890" s="222" t="n">
        <v>2</v>
      </c>
      <c r="F890" s="222" t="n">
        <v>1.3</v>
      </c>
      <c r="G890" s="222" t="n">
        <v>44.7</v>
      </c>
      <c r="H890" s="222" t="inlineStr">
        <is>
          <t>Closed</t>
        </is>
      </c>
      <c r="I890" s="222" t="inlineStr">
        <is>
          <t>57-46</t>
        </is>
      </c>
      <c r="J890" s="222" t="inlineStr"/>
    </row>
    <row r="891">
      <c r="A891" s="222" t="inlineStr">
        <is>
          <t>93</t>
        </is>
      </c>
      <c r="B891" s="222" t="inlineStr">
        <is>
          <t>574306-01-1-001</t>
        </is>
      </c>
      <c r="C891" s="222" t="inlineStr">
        <is>
          <t>574306-01-1-001 (01) / DETAILED INSPECTION OF L/H SLAT 2, PINION AND RACK TEETH.</t>
        </is>
      </c>
      <c r="D891" s="222" t="inlineStr">
        <is>
          <t>1</t>
        </is>
      </c>
      <c r="E891" s="222" t="n">
        <v>2.3</v>
      </c>
      <c r="F891" s="222" t="n">
        <v>2.5</v>
      </c>
      <c r="G891" s="222" t="n">
        <v>40.3</v>
      </c>
      <c r="H891" s="222" t="inlineStr">
        <is>
          <t>Closed</t>
        </is>
      </c>
      <c r="I891" s="222" t="inlineStr">
        <is>
          <t>57-46</t>
        </is>
      </c>
      <c r="J891" s="222" t="inlineStr"/>
    </row>
    <row r="892">
      <c r="A892" s="222" t="inlineStr">
        <is>
          <t>94</t>
        </is>
      </c>
      <c r="B892" s="222" t="inlineStr">
        <is>
          <t>574306-01-1-002</t>
        </is>
      </c>
      <c r="C892" s="222" t="inlineStr">
        <is>
          <t>574306-01-1-002 (01) / DETAILED INSPECTION OF R/H SLAT 2, PINION AND RACK TEETH</t>
        </is>
      </c>
      <c r="D892" s="222" t="inlineStr">
        <is>
          <t>1</t>
        </is>
      </c>
      <c r="E892" s="222" t="n">
        <v>2.3</v>
      </c>
      <c r="F892" s="222" t="n">
        <v>1.2</v>
      </c>
      <c r="G892" s="222" t="n">
        <v>43.1</v>
      </c>
      <c r="H892" s="222" t="inlineStr">
        <is>
          <t>Closed</t>
        </is>
      </c>
      <c r="I892" s="222" t="inlineStr">
        <is>
          <t>57-46</t>
        </is>
      </c>
      <c r="J892" s="222" t="inlineStr"/>
    </row>
    <row r="893">
      <c r="A893" s="222" t="inlineStr">
        <is>
          <t>95</t>
        </is>
      </c>
      <c r="B893" s="222" t="inlineStr">
        <is>
          <t>574406-01-1</t>
        </is>
      </c>
      <c r="C893" s="222" t="inlineStr">
        <is>
          <t>574406-01-1 (1) / DETAILED INSPECTION OF SLAT 3, PINION AND RACK TEETH, LH/RH.</t>
        </is>
      </c>
      <c r="D893" s="222" t="inlineStr">
        <is>
          <t>1</t>
        </is>
      </c>
      <c r="E893" s="222" t="n">
        <v>2.5</v>
      </c>
      <c r="F893" s="222" t="n">
        <v>3.6</v>
      </c>
      <c r="G893" s="222" t="n">
        <v>45</v>
      </c>
      <c r="H893" s="222" t="inlineStr">
        <is>
          <t>Closed</t>
        </is>
      </c>
      <c r="I893" s="222" t="inlineStr">
        <is>
          <t>57-46</t>
        </is>
      </c>
      <c r="J893" s="222" t="inlineStr">
        <is>
          <t>JOB-SETUP, INSPECTION, JOB-CLOSEUP</t>
        </is>
      </c>
    </row>
    <row r="894">
      <c r="A894" s="222" t="inlineStr">
        <is>
          <t>96</t>
        </is>
      </c>
      <c r="B894" s="222" t="inlineStr">
        <is>
          <t>574506-01-1-001</t>
        </is>
      </c>
      <c r="C894" s="222" t="inlineStr">
        <is>
          <t>574506-01-1-001 (01) / DETAILED INSPECTION OF L/H SLAT 4, PINION AND RACK TEETH.</t>
        </is>
      </c>
      <c r="D894" s="222" t="inlineStr">
        <is>
          <t>1</t>
        </is>
      </c>
      <c r="E894" s="222" t="n">
        <v>2.3</v>
      </c>
      <c r="F894" s="222" t="n">
        <v>3.5</v>
      </c>
      <c r="G894" s="222" t="n">
        <v>40.3</v>
      </c>
      <c r="H894" s="222" t="inlineStr">
        <is>
          <t>Closed</t>
        </is>
      </c>
      <c r="I894" s="222" t="inlineStr">
        <is>
          <t>57-46</t>
        </is>
      </c>
      <c r="J894" s="222" t="inlineStr"/>
    </row>
    <row r="895">
      <c r="A895" s="222" t="inlineStr">
        <is>
          <t>97</t>
        </is>
      </c>
      <c r="B895" s="222" t="inlineStr">
        <is>
          <t>574506-01-1-002</t>
        </is>
      </c>
      <c r="C895" s="222" t="inlineStr">
        <is>
          <t>574506-01-1-002 (01) / DETAILED INSPECTION OF R/H SLAT 4, PINION AND RACK TEETH</t>
        </is>
      </c>
      <c r="D895" s="222" t="inlineStr">
        <is>
          <t>1</t>
        </is>
      </c>
      <c r="E895" s="222" t="n">
        <v>2.3</v>
      </c>
      <c r="F895" s="222" t="n">
        <v>3.8</v>
      </c>
      <c r="G895" s="222" t="n">
        <v>45.1</v>
      </c>
      <c r="H895" s="222" t="inlineStr">
        <is>
          <t>Closed</t>
        </is>
      </c>
      <c r="I895" s="222" t="inlineStr">
        <is>
          <t>57-46</t>
        </is>
      </c>
      <c r="J895" s="222" t="inlineStr"/>
    </row>
    <row r="896">
      <c r="A896" s="222" t="inlineStr">
        <is>
          <t>98</t>
        </is>
      </c>
      <c r="B896" s="222" t="inlineStr">
        <is>
          <t>574606-01-1</t>
        </is>
      </c>
      <c r="C896" s="222" t="inlineStr">
        <is>
          <t>574606-01-1 (1) / DETAILED INSPECTION OF SLAT 5, PINION AND RACK TEETH, LH/RH.</t>
        </is>
      </c>
      <c r="D896" s="222" t="inlineStr">
        <is>
          <t>1</t>
        </is>
      </c>
      <c r="E896" s="222" t="n">
        <v>2</v>
      </c>
      <c r="F896" s="222" t="n">
        <v>0.6</v>
      </c>
      <c r="G896" s="222" t="n">
        <v>44.3</v>
      </c>
      <c r="H896" s="222" t="inlineStr">
        <is>
          <t>Closed</t>
        </is>
      </c>
      <c r="I896" s="222" t="inlineStr">
        <is>
          <t>57-46</t>
        </is>
      </c>
      <c r="J896" s="222" t="inlineStr"/>
    </row>
    <row r="897">
      <c r="A897" s="222" t="inlineStr">
        <is>
          <t>102</t>
        </is>
      </c>
      <c r="B897" s="222" t="inlineStr">
        <is>
          <t>783210-01-1</t>
        </is>
      </c>
      <c r="C897" s="222" t="inlineStr">
        <is>
          <t>783210-01-1 (0) / THRUST REVERSER STRUCTURE</t>
        </is>
      </c>
      <c r="D897" s="222" t="inlineStr">
        <is>
          <t>1</t>
        </is>
      </c>
      <c r="E897" s="222" t="n">
        <v>1</v>
      </c>
      <c r="F897" s="222" t="n">
        <v>3.5</v>
      </c>
      <c r="G897" s="222" t="n">
        <v>40.4</v>
      </c>
      <c r="H897" s="222" t="inlineStr">
        <is>
          <t>Closed</t>
        </is>
      </c>
      <c r="I897" s="222" t="inlineStr">
        <is>
          <t>71-22</t>
        </is>
      </c>
      <c r="J897" s="222" t="inlineStr">
        <is>
          <t>JOB-SETUP, INSPECTION, JOB-CLOSEUP</t>
        </is>
      </c>
    </row>
    <row r="898">
      <c r="A898" s="222" t="inlineStr">
        <is>
          <t>103</t>
        </is>
      </c>
      <c r="B898" s="222" t="inlineStr">
        <is>
          <t>ZL-110-01-1</t>
        </is>
      </c>
      <c r="C898" s="222" t="inlineStr">
        <is>
          <t>ZL-110-01-1 (3) / RADOME ZONAL INSPECTION</t>
        </is>
      </c>
      <c r="D898" s="222" t="inlineStr">
        <is>
          <t>1</t>
        </is>
      </c>
      <c r="E898" s="222" t="n">
        <v>0.2</v>
      </c>
      <c r="F898" s="222" t="n">
        <v>1</v>
      </c>
      <c r="G898" s="222" t="n">
        <v>1</v>
      </c>
      <c r="H898" s="222" t="inlineStr">
        <is>
          <t>Closed</t>
        </is>
      </c>
      <c r="I898" s="222" t="inlineStr">
        <is>
          <t>05-21</t>
        </is>
      </c>
      <c r="J898" s="222" t="inlineStr">
        <is>
          <t>PRE INSP</t>
        </is>
      </c>
    </row>
    <row r="899">
      <c r="A899" s="222" t="inlineStr">
        <is>
          <t>104</t>
        </is>
      </c>
      <c r="B899" s="222" t="inlineStr">
        <is>
          <t>ZL-121-02-1</t>
        </is>
      </c>
      <c r="C899" s="222" t="inlineStr">
        <is>
          <t>ZL-121-02-1 (3) / AVIONIC COMPARTMENT ZONAL INSP</t>
        </is>
      </c>
      <c r="D899" s="222" t="inlineStr">
        <is>
          <t>1</t>
        </is>
      </c>
      <c r="E899" s="222" t="n">
        <v>1.7</v>
      </c>
      <c r="F899" s="222" t="n">
        <v>2</v>
      </c>
      <c r="G899" s="222" t="n">
        <v>1</v>
      </c>
      <c r="H899" s="222" t="inlineStr">
        <is>
          <t>Closed</t>
        </is>
      </c>
      <c r="I899" s="222" t="inlineStr">
        <is>
          <t>05-21</t>
        </is>
      </c>
      <c r="J899" s="222" t="inlineStr">
        <is>
          <t>INSPECTION</t>
        </is>
      </c>
    </row>
    <row r="900">
      <c r="A900" s="222" t="inlineStr">
        <is>
          <t>106</t>
        </is>
      </c>
      <c r="B900" s="222" t="inlineStr">
        <is>
          <t>ZL-127-02-2</t>
        </is>
      </c>
      <c r="C900" s="222" t="inlineStr">
        <is>
          <t>ZL-127-02-2 (3) / REAR AVIONIC COMPARTMENT ZONAL INSP</t>
        </is>
      </c>
      <c r="D900" s="222" t="inlineStr">
        <is>
          <t>1</t>
        </is>
      </c>
      <c r="E900" s="222" t="n">
        <v>1.7</v>
      </c>
      <c r="F900" s="222" t="n">
        <v>5.5</v>
      </c>
      <c r="G900" s="222" t="n">
        <v>92.8</v>
      </c>
      <c r="H900" s="222" t="inlineStr">
        <is>
          <t>Closed</t>
        </is>
      </c>
      <c r="I900" s="222" t="inlineStr">
        <is>
          <t>05-21</t>
        </is>
      </c>
      <c r="J900" s="222" t="inlineStr">
        <is>
          <t>INSPECTION</t>
        </is>
      </c>
    </row>
    <row r="901">
      <c r="A901" s="222" t="inlineStr">
        <is>
          <t>107</t>
        </is>
      </c>
      <c r="B901" s="222" t="inlineStr">
        <is>
          <t>ZL-131-02-1</t>
        </is>
      </c>
      <c r="C901" s="222" t="inlineStr">
        <is>
          <t>ZL-131-02-1 (2) / FORWARD CARGO COMPARTMENT INSPECTION</t>
        </is>
      </c>
      <c r="D901" s="222" t="inlineStr">
        <is>
          <t>1</t>
        </is>
      </c>
      <c r="E901" s="222" t="n">
        <v>38.3</v>
      </c>
      <c r="F901" s="222" t="n">
        <v>4</v>
      </c>
      <c r="G901" s="222" t="n">
        <v>12.2</v>
      </c>
      <c r="H901" s="222" t="inlineStr">
        <is>
          <t>Closed</t>
        </is>
      </c>
      <c r="I901" s="222" t="inlineStr">
        <is>
          <t>05-21</t>
        </is>
      </c>
      <c r="J901" s="222" t="inlineStr">
        <is>
          <t>INSPECTION</t>
        </is>
      </c>
    </row>
    <row r="902">
      <c r="A902" s="222" t="inlineStr">
        <is>
          <t>110</t>
        </is>
      </c>
      <c r="B902" s="222" t="inlineStr">
        <is>
          <t>ZL-147-03-1</t>
        </is>
      </c>
      <c r="C902" s="222" t="inlineStr">
        <is>
          <t>ZL-147-03-1 (3) / MLG-WELL AND HYD COMPARTMENT INSP</t>
        </is>
      </c>
      <c r="D902" s="222" t="inlineStr">
        <is>
          <t>1</t>
        </is>
      </c>
      <c r="E902" s="222" t="n">
        <v>0.9</v>
      </c>
      <c r="F902" s="222" t="n">
        <v>0.8</v>
      </c>
      <c r="G902" s="222" t="n">
        <v>0.8</v>
      </c>
      <c r="H902" s="222" t="inlineStr">
        <is>
          <t>Closed</t>
        </is>
      </c>
      <c r="I902" s="222" t="inlineStr">
        <is>
          <t>05-21</t>
        </is>
      </c>
      <c r="J902" s="222" t="inlineStr">
        <is>
          <t>INSPECTION</t>
        </is>
      </c>
    </row>
    <row r="903">
      <c r="A903" s="222" t="inlineStr">
        <is>
          <t>113</t>
        </is>
      </c>
      <c r="B903" s="222" t="inlineStr">
        <is>
          <t>ZL-161-02-3</t>
        </is>
      </c>
      <c r="C903" s="222" t="inlineStr">
        <is>
          <t>ZL-161-02-3 (0) / BULK CARGO COMPARTMENT</t>
        </is>
      </c>
      <c r="D903" s="222" t="inlineStr">
        <is>
          <t>1</t>
        </is>
      </c>
      <c r="E903" s="222" t="n">
        <v>7.2</v>
      </c>
      <c r="F903" s="222" t="n">
        <v>2</v>
      </c>
      <c r="G903" s="222" t="n">
        <v>4</v>
      </c>
      <c r="H903" s="222" t="inlineStr">
        <is>
          <t>Closed</t>
        </is>
      </c>
      <c r="I903" s="222" t="inlineStr">
        <is>
          <t>05-21</t>
        </is>
      </c>
      <c r="J903" s="222" t="inlineStr">
        <is>
          <t>JOB-SETUP, CLEAN-UP, INSPECTION, JOB-CLOSEUP</t>
        </is>
      </c>
    </row>
    <row r="904">
      <c r="A904" s="222" t="inlineStr">
        <is>
          <t>115</t>
        </is>
      </c>
      <c r="B904" s="222" t="inlineStr">
        <is>
          <t>ZL-171-02-1</t>
        </is>
      </c>
      <c r="C904" s="222" t="inlineStr">
        <is>
          <t>ZL-171-02-1 (2) / AFT CABIN UNDERFLOOR COMPART INSP</t>
        </is>
      </c>
      <c r="D904" s="222" t="inlineStr">
        <is>
          <t>1</t>
        </is>
      </c>
      <c r="E904" s="222" t="n">
        <v>77</v>
      </c>
      <c r="F904" s="222" t="n">
        <v>2.5</v>
      </c>
      <c r="G904" s="222" t="n">
        <v>47.7</v>
      </c>
      <c r="H904" s="222" t="inlineStr">
        <is>
          <t>Closed</t>
        </is>
      </c>
      <c r="I904" s="222" t="inlineStr">
        <is>
          <t>05-21</t>
        </is>
      </c>
      <c r="J904" s="222" t="inlineStr">
        <is>
          <t>INSPECTION</t>
        </is>
      </c>
    </row>
    <row r="905">
      <c r="A905" s="222" t="inlineStr">
        <is>
          <t>116</t>
        </is>
      </c>
      <c r="B905" s="222" t="inlineStr">
        <is>
          <t>ZL-191-02-1</t>
        </is>
      </c>
      <c r="C905" s="222" t="inlineStr">
        <is>
          <t>ZL-191-02-1 (02) / AIR CONDITIONING COMPART &amp; FRNG INSP</t>
        </is>
      </c>
      <c r="D905" s="222" t="inlineStr">
        <is>
          <t>1</t>
        </is>
      </c>
      <c r="E905" s="222" t="n">
        <v>2.2</v>
      </c>
      <c r="F905" s="222" t="n">
        <v>2.5</v>
      </c>
      <c r="G905" s="222" t="n">
        <v>1.9</v>
      </c>
      <c r="H905" s="222" t="inlineStr">
        <is>
          <t>Closed</t>
        </is>
      </c>
      <c r="I905" s="222" t="inlineStr">
        <is>
          <t>05-21</t>
        </is>
      </c>
      <c r="J905" s="222" t="inlineStr">
        <is>
          <t>INSPECTION</t>
        </is>
      </c>
    </row>
    <row r="906">
      <c r="A906" s="222" t="inlineStr">
        <is>
          <t>118</t>
        </is>
      </c>
      <c r="B906" s="222" t="inlineStr">
        <is>
          <t>ZL-195-01-1</t>
        </is>
      </c>
      <c r="C906" s="222" t="inlineStr">
        <is>
          <t>ZL-195-01-1 (4) / HYDRAULIC COMP &amp; FAIRINGS ZONAL INSP</t>
        </is>
      </c>
      <c r="D906" s="222" t="inlineStr">
        <is>
          <t>1</t>
        </is>
      </c>
      <c r="E906" s="222" t="n">
        <v>0.9</v>
      </c>
      <c r="F906" s="222" t="n">
        <v>0.7</v>
      </c>
      <c r="G906" s="222" t="n">
        <v>0.7</v>
      </c>
      <c r="H906" s="222" t="inlineStr">
        <is>
          <t>Closed</t>
        </is>
      </c>
      <c r="I906" s="222" t="inlineStr">
        <is>
          <t>05-21</t>
        </is>
      </c>
      <c r="J906" s="222" t="inlineStr">
        <is>
          <t>PRE INSP</t>
        </is>
      </c>
    </row>
    <row r="907">
      <c r="A907" s="222" t="inlineStr">
        <is>
          <t>119</t>
        </is>
      </c>
      <c r="B907" s="222" t="inlineStr">
        <is>
          <t>ZL-197-01-1</t>
        </is>
      </c>
      <c r="C907" s="222" t="inlineStr">
        <is>
          <t>ZL-197-01-1 (01) / REAR FAIRING ZONAL INSPECTION</t>
        </is>
      </c>
      <c r="D907" s="222" t="inlineStr">
        <is>
          <t>1</t>
        </is>
      </c>
      <c r="E907" s="222" t="n">
        <v>1.3</v>
      </c>
      <c r="F907" s="222" t="n">
        <v>5.5</v>
      </c>
      <c r="G907" s="222" t="n">
        <v>2.8</v>
      </c>
      <c r="H907" s="222" t="inlineStr">
        <is>
          <t>Closed</t>
        </is>
      </c>
      <c r="I907" s="222" t="inlineStr">
        <is>
          <t>05-21</t>
        </is>
      </c>
      <c r="J907" s="222" t="inlineStr">
        <is>
          <t>INSPECTION</t>
        </is>
      </c>
    </row>
    <row r="908">
      <c r="A908" s="222" t="inlineStr">
        <is>
          <t>120</t>
        </is>
      </c>
      <c r="B908" s="222" t="inlineStr">
        <is>
          <t>ZL-200-02-1</t>
        </is>
      </c>
      <c r="C908" s="222" t="inlineStr">
        <is>
          <t>ZL-200-02-1 (04) / UPPER HALF OF FUSELAGE ZON GVI</t>
        </is>
      </c>
      <c r="D908" s="222" t="inlineStr">
        <is>
          <t>1</t>
        </is>
      </c>
      <c r="E908" s="222" t="n">
        <v>18.5</v>
      </c>
      <c r="F908" s="222" t="n">
        <v>2.3</v>
      </c>
      <c r="G908" s="222" t="n">
        <v>2.4</v>
      </c>
      <c r="H908" s="222" t="inlineStr">
        <is>
          <t>Closed</t>
        </is>
      </c>
      <c r="I908" s="222" t="inlineStr">
        <is>
          <t>05-21</t>
        </is>
      </c>
      <c r="J908" s="222" t="inlineStr">
        <is>
          <t>PRE INSP</t>
        </is>
      </c>
    </row>
    <row r="909">
      <c r="A909" s="222" t="inlineStr">
        <is>
          <t>121</t>
        </is>
      </c>
      <c r="B909" s="222" t="inlineStr">
        <is>
          <t>ZL-200-04-1</t>
        </is>
      </c>
      <c r="C909" s="222" t="inlineStr">
        <is>
          <t>ZL-200-04-1 (0) / UPPER HALF OF FUSELAGE</t>
        </is>
      </c>
      <c r="D909" s="222" t="inlineStr">
        <is>
          <t>1</t>
        </is>
      </c>
      <c r="E909" s="222" t="n">
        <v>12.6</v>
      </c>
      <c r="F909" s="222" t="n">
        <v>8.5</v>
      </c>
      <c r="G909" s="222" t="n">
        <v>6.5</v>
      </c>
      <c r="H909" s="222" t="inlineStr">
        <is>
          <t>Closed</t>
        </is>
      </c>
      <c r="I909" s="222" t="inlineStr">
        <is>
          <t>05-21</t>
        </is>
      </c>
      <c r="J909" s="222" t="inlineStr">
        <is>
          <t>JOB-SETUP, CLEAN-UP, INSPECTION, JOB-CLOSEUP</t>
        </is>
      </c>
    </row>
    <row r="910">
      <c r="A910" s="222" t="inlineStr">
        <is>
          <t>122</t>
        </is>
      </c>
      <c r="B910" s="222" t="inlineStr">
        <is>
          <t>ZL-211-01-1</t>
        </is>
      </c>
      <c r="C910" s="222" t="inlineStr">
        <is>
          <t>ZL-211-01-1 (03) / COCKPIT ZONAL INSPECTION</t>
        </is>
      </c>
      <c r="D910" s="222" t="inlineStr">
        <is>
          <t>1</t>
        </is>
      </c>
      <c r="E910" s="222" t="n">
        <v>0.4</v>
      </c>
      <c r="F910" s="222" t="n">
        <v>21</v>
      </c>
      <c r="G910" s="222" t="n">
        <v>30.4</v>
      </c>
      <c r="H910" s="222" t="inlineStr">
        <is>
          <t>Closed</t>
        </is>
      </c>
      <c r="I910" s="222" t="inlineStr">
        <is>
          <t>05-22</t>
        </is>
      </c>
      <c r="J910" s="222" t="inlineStr">
        <is>
          <t>INSPECTION</t>
        </is>
      </c>
    </row>
    <row r="911">
      <c r="A911" s="222" t="inlineStr">
        <is>
          <t>123</t>
        </is>
      </c>
      <c r="B911" s="222" t="inlineStr">
        <is>
          <t>ZL-311-01-1</t>
        </is>
      </c>
      <c r="C911" s="222" t="inlineStr">
        <is>
          <t>ZL-311-01-1 (04) / AFT FUSELAGE TAIL SECTION ZONAL INSP</t>
        </is>
      </c>
      <c r="D911" s="222" t="inlineStr">
        <is>
          <t>1</t>
        </is>
      </c>
      <c r="E911" s="222" t="n">
        <v>0.4</v>
      </c>
      <c r="F911" s="222" t="n">
        <v>0.8</v>
      </c>
      <c r="G911" s="222" t="n">
        <v>0.8</v>
      </c>
      <c r="H911" s="222" t="inlineStr">
        <is>
          <t>Closed</t>
        </is>
      </c>
      <c r="I911" s="222" t="inlineStr">
        <is>
          <t>05-23</t>
        </is>
      </c>
      <c r="J911" s="222" t="inlineStr">
        <is>
          <t>PRE INSP</t>
        </is>
      </c>
    </row>
    <row r="912">
      <c r="A912" s="222" t="inlineStr">
        <is>
          <t>124</t>
        </is>
      </c>
      <c r="B912" s="222" t="inlineStr">
        <is>
          <t>ZL-313-01-1</t>
        </is>
      </c>
      <c r="C912" s="222" t="inlineStr">
        <is>
          <t>ZL-313-01-1 (4) / TAIL CONE APU AIR INTAKE AREA INSP</t>
        </is>
      </c>
      <c r="D912" s="222" t="inlineStr">
        <is>
          <t>1</t>
        </is>
      </c>
      <c r="E912" s="222" t="n">
        <v>0.2</v>
      </c>
      <c r="F912" s="222" t="n">
        <v>15</v>
      </c>
      <c r="G912" s="222" t="n">
        <v>9</v>
      </c>
      <c r="H912" s="222" t="inlineStr">
        <is>
          <t>Closed</t>
        </is>
      </c>
      <c r="I912" s="222" t="inlineStr">
        <is>
          <t>05-23</t>
        </is>
      </c>
      <c r="J912" s="222" t="inlineStr">
        <is>
          <t>PRE INSP</t>
        </is>
      </c>
    </row>
    <row r="913">
      <c r="A913" s="222" t="inlineStr">
        <is>
          <t>125</t>
        </is>
      </c>
      <c r="B913" s="222" t="inlineStr">
        <is>
          <t>ZL-317-01-1</t>
        </is>
      </c>
      <c r="C913" s="222" t="inlineStr">
        <is>
          <t>ZL-317-01-1 (3) / TAIL CONE/APU EXHAUST AREA INSP</t>
        </is>
      </c>
      <c r="D913" s="222" t="inlineStr">
        <is>
          <t>1</t>
        </is>
      </c>
      <c r="E913" s="222" t="n">
        <v>0.2</v>
      </c>
      <c r="F913" s="222" t="n">
        <v>7.8</v>
      </c>
      <c r="G913" s="222" t="n">
        <v>7</v>
      </c>
      <c r="H913" s="222" t="inlineStr">
        <is>
          <t>Closed</t>
        </is>
      </c>
      <c r="I913" s="222" t="inlineStr">
        <is>
          <t>05-23</t>
        </is>
      </c>
      <c r="J913" s="222" t="inlineStr">
        <is>
          <t>INSPECTION</t>
        </is>
      </c>
    </row>
    <row r="914">
      <c r="A914" s="222" t="inlineStr">
        <is>
          <t>126</t>
        </is>
      </c>
      <c r="B914" s="222" t="inlineStr">
        <is>
          <t>ZL-325-01-1</t>
        </is>
      </c>
      <c r="C914" s="222" t="inlineStr">
        <is>
          <t>ZL-325-01-1 (4) / VERT STAB TRAILING EDGE ZONAL INSP</t>
        </is>
      </c>
      <c r="D914" s="222" t="inlineStr">
        <is>
          <t>1</t>
        </is>
      </c>
      <c r="E914" s="222" t="n">
        <v>0.4</v>
      </c>
      <c r="F914" s="222" t="n">
        <v>13</v>
      </c>
      <c r="G914" s="222" t="n">
        <v>119.3</v>
      </c>
      <c r="H914" s="222" t="inlineStr">
        <is>
          <t>Closed</t>
        </is>
      </c>
      <c r="I914" s="222" t="inlineStr">
        <is>
          <t>05-23</t>
        </is>
      </c>
      <c r="J914" s="222" t="inlineStr">
        <is>
          <t>PRE INSP</t>
        </is>
      </c>
    </row>
    <row r="915">
      <c r="A915" s="222" t="inlineStr">
        <is>
          <t>127</t>
        </is>
      </c>
      <c r="B915" s="222" t="inlineStr">
        <is>
          <t>ZL-334-02-1</t>
        </is>
      </c>
      <c r="C915" s="222" t="inlineStr">
        <is>
          <t>ZL-334-02-1 (2) / THS TRAILING EDGE ZONAL INSPECTION</t>
        </is>
      </c>
      <c r="D915" s="222" t="inlineStr">
        <is>
          <t>1</t>
        </is>
      </c>
      <c r="E915" s="222" t="n">
        <v>1.8</v>
      </c>
      <c r="F915" s="222" t="n">
        <v>1.8</v>
      </c>
      <c r="G915" s="222" t="n">
        <v>1.6</v>
      </c>
      <c r="H915" s="222" t="inlineStr">
        <is>
          <t>Closed</t>
        </is>
      </c>
      <c r="I915" s="222" t="inlineStr">
        <is>
          <t>05-23</t>
        </is>
      </c>
      <c r="J915" s="222" t="inlineStr">
        <is>
          <t>PRE INSP</t>
        </is>
      </c>
    </row>
    <row r="916">
      <c r="A916" s="222" t="inlineStr">
        <is>
          <t>128</t>
        </is>
      </c>
      <c r="B916" s="222" t="inlineStr">
        <is>
          <t>ZL-415-01-1-001</t>
        </is>
      </c>
      <c r="C916" s="222" t="inlineStr">
        <is>
          <t>ZL-415-01-1-001 (03) / L/H ENGINE LOWER PYLON ZONAL INSP</t>
        </is>
      </c>
      <c r="D916" s="222" t="inlineStr">
        <is>
          <t>1</t>
        </is>
      </c>
      <c r="E916" s="222" t="n">
        <v>0.9</v>
      </c>
      <c r="F916" s="222" t="n">
        <v>8.300000000000001</v>
      </c>
      <c r="G916" s="222" t="n">
        <v>4.1</v>
      </c>
      <c r="H916" s="222" t="inlineStr">
        <is>
          <t>Closed</t>
        </is>
      </c>
      <c r="I916" s="222" t="inlineStr">
        <is>
          <t>05-24</t>
        </is>
      </c>
      <c r="J916" s="222" t="inlineStr">
        <is>
          <t>PRE INSP</t>
        </is>
      </c>
    </row>
    <row r="917">
      <c r="A917" s="222" t="inlineStr">
        <is>
          <t>129</t>
        </is>
      </c>
      <c r="B917" s="222" t="inlineStr">
        <is>
          <t>ZL-415-01-1-002</t>
        </is>
      </c>
      <c r="C917" s="222" t="inlineStr">
        <is>
          <t>ZL-415-01-1-002 (03) / R/H ENGINE LOWER PYLON ZONAL INSP</t>
        </is>
      </c>
      <c r="D917" s="222" t="inlineStr">
        <is>
          <t>1</t>
        </is>
      </c>
      <c r="E917" s="222" t="n">
        <v>0.9</v>
      </c>
      <c r="F917" s="222" t="n">
        <v>0.8</v>
      </c>
      <c r="G917" s="222" t="n">
        <v>0.6</v>
      </c>
      <c r="H917" s="222" t="inlineStr">
        <is>
          <t>Closed</t>
        </is>
      </c>
      <c r="I917" s="222" t="inlineStr">
        <is>
          <t>05-24</t>
        </is>
      </c>
      <c r="J917" s="222" t="inlineStr">
        <is>
          <t>PRE INSP</t>
        </is>
      </c>
    </row>
    <row r="918">
      <c r="A918" s="222" t="inlineStr">
        <is>
          <t>130</t>
        </is>
      </c>
      <c r="B918" s="222" t="inlineStr">
        <is>
          <t>ZL-433-01-1-001</t>
        </is>
      </c>
      <c r="C918" s="222" t="inlineStr">
        <is>
          <t>ZL-433-01-1-001 (02) / NO. 1 ENGINE AIR INTAKE LIP INSP</t>
        </is>
      </c>
      <c r="D918" s="222" t="inlineStr">
        <is>
          <t>1</t>
        </is>
      </c>
      <c r="E918" s="222" t="n">
        <v>1.3</v>
      </c>
      <c r="F918" s="222" t="n">
        <v>0.5</v>
      </c>
      <c r="G918" s="222" t="n">
        <v>0.5</v>
      </c>
      <c r="H918" s="222" t="inlineStr">
        <is>
          <t>Closed</t>
        </is>
      </c>
      <c r="I918" s="222" t="inlineStr">
        <is>
          <t>05-24</t>
        </is>
      </c>
      <c r="J918" s="222" t="inlineStr">
        <is>
          <t>PRE INSP</t>
        </is>
      </c>
    </row>
    <row r="919">
      <c r="A919" s="222" t="inlineStr">
        <is>
          <t>131</t>
        </is>
      </c>
      <c r="B919" s="222" t="inlineStr">
        <is>
          <t>ZL-433-01-1-002</t>
        </is>
      </c>
      <c r="C919" s="222" t="inlineStr">
        <is>
          <t>ZL-433-01-1-002 (02) / NO. 2 ENGINE AIR INTAKE LIP INSP</t>
        </is>
      </c>
      <c r="D919" s="222" t="inlineStr">
        <is>
          <t>1</t>
        </is>
      </c>
      <c r="E919" s="222" t="n">
        <v>1.3</v>
      </c>
      <c r="F919" s="222" t="n">
        <v>0.5</v>
      </c>
      <c r="G919" s="222" t="n">
        <v>0.5</v>
      </c>
      <c r="H919" s="222" t="inlineStr">
        <is>
          <t>Closed</t>
        </is>
      </c>
      <c r="I919" s="222" t="inlineStr">
        <is>
          <t>05-24</t>
        </is>
      </c>
      <c r="J919" s="222" t="inlineStr">
        <is>
          <t>PRE INSP</t>
        </is>
      </c>
    </row>
    <row r="920">
      <c r="A920" s="222" t="inlineStr">
        <is>
          <t>132</t>
        </is>
      </c>
      <c r="B920" s="222" t="inlineStr">
        <is>
          <t>ZL-500-03-1-001</t>
        </is>
      </c>
      <c r="C920" s="222" t="inlineStr">
        <is>
          <t>ZL-500-03-1-001 (03) / L/H WING UPPER SURFACE ZONAL INSP</t>
        </is>
      </c>
      <c r="D920" s="222" t="inlineStr">
        <is>
          <t>1</t>
        </is>
      </c>
      <c r="E920" s="222" t="n">
        <v>1.4</v>
      </c>
      <c r="F920" s="222" t="n">
        <v>1.8</v>
      </c>
      <c r="G920" s="222" t="n">
        <v>2.3</v>
      </c>
      <c r="H920" s="222" t="inlineStr">
        <is>
          <t>Closed</t>
        </is>
      </c>
      <c r="I920" s="222" t="inlineStr">
        <is>
          <t>05-25</t>
        </is>
      </c>
      <c r="J920" s="222" t="inlineStr">
        <is>
          <t>PRE INSP</t>
        </is>
      </c>
    </row>
    <row r="921">
      <c r="A921" s="222" t="inlineStr">
        <is>
          <t>133</t>
        </is>
      </c>
      <c r="B921" s="222" t="inlineStr">
        <is>
          <t>ZL-500-03-1-002</t>
        </is>
      </c>
      <c r="C921" s="222" t="inlineStr">
        <is>
          <t>ZL-500-03-1-002 (03) / R/H WING UPPER SURFACE ZONAL INSP</t>
        </is>
      </c>
      <c r="D921" s="222" t="inlineStr">
        <is>
          <t>1</t>
        </is>
      </c>
      <c r="E921" s="222" t="n">
        <v>1.4</v>
      </c>
      <c r="F921" s="222" t="n">
        <v>1.8</v>
      </c>
      <c r="G921" s="222" t="n">
        <v>2</v>
      </c>
      <c r="H921" s="222" t="inlineStr">
        <is>
          <t>Closed</t>
        </is>
      </c>
      <c r="I921" s="222" t="inlineStr">
        <is>
          <t>05-25</t>
        </is>
      </c>
      <c r="J921" s="222" t="inlineStr">
        <is>
          <t>PRE INSP</t>
        </is>
      </c>
    </row>
    <row r="922">
      <c r="A922" s="222" t="inlineStr">
        <is>
          <t>134</t>
        </is>
      </c>
      <c r="B922" s="222" t="inlineStr">
        <is>
          <t>ZL-521-01-1-001</t>
        </is>
      </c>
      <c r="C922" s="222" t="inlineStr">
        <is>
          <t>ZL-521-01-1-001 (03) / L/H INBOARD FIXED L/E STRUCTURE INSP</t>
        </is>
      </c>
      <c r="D922" s="222" t="inlineStr">
        <is>
          <t>1</t>
        </is>
      </c>
      <c r="E922" s="222" t="n">
        <v>0.9</v>
      </c>
      <c r="F922" s="222" t="n">
        <v>1</v>
      </c>
      <c r="G922" s="222" t="n">
        <v>0.8</v>
      </c>
      <c r="H922" s="222" t="inlineStr">
        <is>
          <t>Closed</t>
        </is>
      </c>
      <c r="I922" s="222" t="inlineStr">
        <is>
          <t>05-25</t>
        </is>
      </c>
      <c r="J922" s="222" t="inlineStr">
        <is>
          <t>INSPECTION</t>
        </is>
      </c>
    </row>
    <row r="923">
      <c r="A923" s="222" t="inlineStr">
        <is>
          <t>135</t>
        </is>
      </c>
      <c r="B923" s="222" t="inlineStr">
        <is>
          <t>ZL-521-01-1-002</t>
        </is>
      </c>
      <c r="C923" s="222" t="inlineStr">
        <is>
          <t>ZL-521-01-1-002 (03) / R/H INBOARD FIXED L/E STRUCTURE INSP</t>
        </is>
      </c>
      <c r="D923" s="222" t="inlineStr">
        <is>
          <t>1</t>
        </is>
      </c>
      <c r="E923" s="222" t="n">
        <v>0.9</v>
      </c>
      <c r="F923" s="222" t="n">
        <v>0.5</v>
      </c>
      <c r="G923" s="222" t="n">
        <v>57.8</v>
      </c>
      <c r="H923" s="222" t="inlineStr">
        <is>
          <t>Closed</t>
        </is>
      </c>
      <c r="I923" s="222" t="inlineStr">
        <is>
          <t>05-25</t>
        </is>
      </c>
      <c r="J923" s="222" t="inlineStr">
        <is>
          <t>INSPECTION</t>
        </is>
      </c>
    </row>
    <row r="924">
      <c r="A924" s="222" t="inlineStr">
        <is>
          <t>136</t>
        </is>
      </c>
      <c r="B924" s="222" t="inlineStr">
        <is>
          <t>ZL-522-01-1-001</t>
        </is>
      </c>
      <c r="C924" s="222" t="inlineStr">
        <is>
          <t>ZL-522-01-1-001 (03) / L/H WING O/B FIXED LEADING EDGE INSP</t>
        </is>
      </c>
      <c r="D924" s="222" t="inlineStr">
        <is>
          <t>1</t>
        </is>
      </c>
      <c r="E924" s="222" t="n">
        <v>0.9</v>
      </c>
      <c r="F924" s="222" t="n">
        <v>3.8</v>
      </c>
      <c r="G924" s="222" t="n">
        <v>25.5</v>
      </c>
      <c r="H924" s="222" t="inlineStr">
        <is>
          <t>Closed</t>
        </is>
      </c>
      <c r="I924" s="222" t="inlineStr">
        <is>
          <t>05-25</t>
        </is>
      </c>
      <c r="J924" s="222" t="inlineStr">
        <is>
          <t>INSPECTION</t>
        </is>
      </c>
    </row>
    <row r="925">
      <c r="A925" s="222" t="inlineStr">
        <is>
          <t>137</t>
        </is>
      </c>
      <c r="B925" s="222" t="inlineStr">
        <is>
          <t>ZL-522-01-1-002</t>
        </is>
      </c>
      <c r="C925" s="222" t="inlineStr">
        <is>
          <t>ZL-522-01-1-002 (03) / R WING O/B FIXED LEADING EDGE INSP</t>
        </is>
      </c>
      <c r="D925" s="222" t="inlineStr">
        <is>
          <t>1</t>
        </is>
      </c>
      <c r="E925" s="222" t="n">
        <v>0.9</v>
      </c>
      <c r="F925" s="222" t="n">
        <v>3</v>
      </c>
      <c r="G925" s="222" t="n">
        <v>2.9</v>
      </c>
      <c r="H925" s="222" t="inlineStr">
        <is>
          <t>Closed</t>
        </is>
      </c>
      <c r="I925" s="222" t="inlineStr">
        <is>
          <t>05-25</t>
        </is>
      </c>
      <c r="J925" s="222" t="inlineStr">
        <is>
          <t>INSPECTION</t>
        </is>
      </c>
    </row>
    <row r="926">
      <c r="A926" s="222" t="inlineStr">
        <is>
          <t>138</t>
        </is>
      </c>
      <c r="B926" s="222" t="inlineStr">
        <is>
          <t>ZL-531-02-1-001</t>
        </is>
      </c>
      <c r="C926" s="222" t="inlineStr">
        <is>
          <t>ZL-531-02-1-001 (01) / L/H FLAP TRACK NO 2 AND FAIRING INSP</t>
        </is>
      </c>
      <c r="D926" s="222" t="inlineStr">
        <is>
          <t>1</t>
        </is>
      </c>
      <c r="E926" s="222" t="n">
        <v>1.4</v>
      </c>
      <c r="F926" s="222" t="n">
        <v>2</v>
      </c>
      <c r="G926" s="222" t="n">
        <v>56.3</v>
      </c>
      <c r="H926" s="222" t="inlineStr">
        <is>
          <t>Closed</t>
        </is>
      </c>
      <c r="I926" s="222" t="inlineStr">
        <is>
          <t>05-25</t>
        </is>
      </c>
      <c r="J926" s="222" t="inlineStr">
        <is>
          <t>INSPECTION</t>
        </is>
      </c>
    </row>
    <row r="927">
      <c r="A927" s="222" t="inlineStr">
        <is>
          <t>139</t>
        </is>
      </c>
      <c r="B927" s="222" t="inlineStr">
        <is>
          <t>ZL-531-02-1-002</t>
        </is>
      </c>
      <c r="C927" s="222" t="inlineStr">
        <is>
          <t>ZL-531-02-1-002 (01) / R/H FLAP TRACK NO 2 AND FAIRING</t>
        </is>
      </c>
      <c r="D927" s="222" t="inlineStr">
        <is>
          <t>1</t>
        </is>
      </c>
      <c r="E927" s="222" t="n">
        <v>1.4</v>
      </c>
      <c r="F927" s="222" t="n">
        <v>1.5</v>
      </c>
      <c r="G927" s="222" t="n">
        <v>56.3</v>
      </c>
      <c r="H927" s="222" t="inlineStr">
        <is>
          <t>Closed</t>
        </is>
      </c>
      <c r="I927" s="222" t="inlineStr">
        <is>
          <t>05-25</t>
        </is>
      </c>
      <c r="J927" s="222" t="inlineStr">
        <is>
          <t>INSPECTION</t>
        </is>
      </c>
    </row>
    <row r="928">
      <c r="A928" s="222" t="inlineStr">
        <is>
          <t>140</t>
        </is>
      </c>
      <c r="B928" s="222" t="inlineStr">
        <is>
          <t>ZL-532-01-1-001</t>
        </is>
      </c>
      <c r="C928" s="222" t="inlineStr">
        <is>
          <t>ZL-532-01-1-001 (04) / L/H FLAP TRACK NO 3 AND FAIRING INSP</t>
        </is>
      </c>
      <c r="D928" s="222" t="inlineStr">
        <is>
          <t>1</t>
        </is>
      </c>
      <c r="E928" s="222" t="n">
        <v>0.5</v>
      </c>
      <c r="F928" s="222" t="n">
        <v>1</v>
      </c>
      <c r="G928" s="222" t="n">
        <v>1</v>
      </c>
      <c r="H928" s="222" t="inlineStr">
        <is>
          <t>Closed</t>
        </is>
      </c>
      <c r="I928" s="222" t="inlineStr">
        <is>
          <t>05-25</t>
        </is>
      </c>
      <c r="J928" s="222" t="inlineStr">
        <is>
          <t>INSPECTION</t>
        </is>
      </c>
    </row>
    <row r="929">
      <c r="A929" s="222" t="inlineStr">
        <is>
          <t>141</t>
        </is>
      </c>
      <c r="B929" s="222" t="inlineStr">
        <is>
          <t>ZL-532-01-1-002</t>
        </is>
      </c>
      <c r="C929" s="222" t="inlineStr">
        <is>
          <t>ZL-532-01-1-002 (04) / R/H FLAP TRACK NO 3 AND FAIRING INSP</t>
        </is>
      </c>
      <c r="D929" s="222" t="inlineStr">
        <is>
          <t>1</t>
        </is>
      </c>
      <c r="E929" s="222" t="n">
        <v>0.5</v>
      </c>
      <c r="F929" s="222" t="n">
        <v>1</v>
      </c>
      <c r="G929" s="222" t="n">
        <v>56.3</v>
      </c>
      <c r="H929" s="222" t="inlineStr">
        <is>
          <t>Closed</t>
        </is>
      </c>
      <c r="I929" s="222" t="inlineStr">
        <is>
          <t>05-25</t>
        </is>
      </c>
      <c r="J929" s="222" t="inlineStr">
        <is>
          <t>INSPECTION</t>
        </is>
      </c>
    </row>
    <row r="930">
      <c r="A930" s="222" t="inlineStr">
        <is>
          <t>142</t>
        </is>
      </c>
      <c r="B930" s="222" t="inlineStr">
        <is>
          <t>ZL-532-02-1-001</t>
        </is>
      </c>
      <c r="C930" s="222" t="inlineStr">
        <is>
          <t>ZL-532-02-1-001 (01) / L/H FLAP TRACK NO 3 AND FAIRING</t>
        </is>
      </c>
      <c r="D930" s="222" t="inlineStr">
        <is>
          <t>1</t>
        </is>
      </c>
      <c r="E930" s="222" t="n">
        <v>1.4</v>
      </c>
      <c r="F930" s="222" t="n">
        <v>1</v>
      </c>
      <c r="G930" s="222" t="n">
        <v>1</v>
      </c>
      <c r="H930" s="222" t="inlineStr">
        <is>
          <t>Closed</t>
        </is>
      </c>
      <c r="I930" s="222" t="inlineStr">
        <is>
          <t>05-25</t>
        </is>
      </c>
      <c r="J930" s="222" t="inlineStr">
        <is>
          <t>INSPECTION</t>
        </is>
      </c>
    </row>
    <row r="931">
      <c r="A931" s="222" t="inlineStr">
        <is>
          <t>143</t>
        </is>
      </c>
      <c r="B931" s="222" t="inlineStr">
        <is>
          <t>ZL-532-02-1-002</t>
        </is>
      </c>
      <c r="C931" s="222" t="inlineStr">
        <is>
          <t>ZL-532-02-1-002 (01) / R/H FLAP TRACK NO 3 AND FAIRING</t>
        </is>
      </c>
      <c r="D931" s="222" t="inlineStr">
        <is>
          <t>1</t>
        </is>
      </c>
      <c r="E931" s="222" t="n">
        <v>1.4</v>
      </c>
      <c r="F931" s="222" t="n">
        <v>1.5</v>
      </c>
      <c r="G931" s="222" t="n">
        <v>56.3</v>
      </c>
      <c r="H931" s="222" t="inlineStr">
        <is>
          <t>Closed</t>
        </is>
      </c>
      <c r="I931" s="222" t="inlineStr">
        <is>
          <t>05-25</t>
        </is>
      </c>
      <c r="J931" s="222" t="inlineStr">
        <is>
          <t>INSPECTION</t>
        </is>
      </c>
    </row>
    <row r="932">
      <c r="A932" s="222" t="inlineStr">
        <is>
          <t>144</t>
        </is>
      </c>
      <c r="B932" s="222" t="inlineStr">
        <is>
          <t>ZL-533-01-1-001</t>
        </is>
      </c>
      <c r="C932" s="222" t="inlineStr">
        <is>
          <t>ZL-533-01-1-001 (04) / L/H FLAP TRACK NO 4 AND FAIRING INSP</t>
        </is>
      </c>
      <c r="D932" s="222" t="inlineStr">
        <is>
          <t>1</t>
        </is>
      </c>
      <c r="E932" s="222" t="n">
        <v>0.5</v>
      </c>
      <c r="F932" s="222" t="n">
        <v>1</v>
      </c>
      <c r="G932" s="222" t="n">
        <v>1</v>
      </c>
      <c r="H932" s="222" t="inlineStr">
        <is>
          <t>Closed</t>
        </is>
      </c>
      <c r="I932" s="222" t="inlineStr">
        <is>
          <t>05-25</t>
        </is>
      </c>
      <c r="J932" s="222" t="inlineStr">
        <is>
          <t>INSPECTION</t>
        </is>
      </c>
    </row>
    <row r="933">
      <c r="A933" s="222" t="inlineStr">
        <is>
          <t>145</t>
        </is>
      </c>
      <c r="B933" s="222" t="inlineStr">
        <is>
          <t>ZL-533-01-1-002</t>
        </is>
      </c>
      <c r="C933" s="222" t="inlineStr">
        <is>
          <t>ZL-533-01-1-002 (04) / R/H FLAP TRACK NO 4 AND FAIRING INSP</t>
        </is>
      </c>
      <c r="D933" s="222" t="inlineStr">
        <is>
          <t>1</t>
        </is>
      </c>
      <c r="E933" s="222" t="n">
        <v>0.5</v>
      </c>
      <c r="F933" s="222" t="n">
        <v>1.5</v>
      </c>
      <c r="G933" s="222" t="n">
        <v>56.2</v>
      </c>
      <c r="H933" s="222" t="inlineStr">
        <is>
          <t>Closed</t>
        </is>
      </c>
      <c r="I933" s="222" t="inlineStr">
        <is>
          <t>05-25</t>
        </is>
      </c>
      <c r="J933" s="222" t="inlineStr">
        <is>
          <t>INSPECTION</t>
        </is>
      </c>
    </row>
    <row r="934">
      <c r="A934" s="222" t="inlineStr">
        <is>
          <t>146</t>
        </is>
      </c>
      <c r="B934" s="222" t="inlineStr">
        <is>
          <t>ZL-571-02-1-001</t>
        </is>
      </c>
      <c r="C934" s="222" t="inlineStr">
        <is>
          <t>ZL-571-02-1-001 (03) / LEFT MLG BAY ZONAL INSP</t>
        </is>
      </c>
      <c r="D934" s="222" t="inlineStr">
        <is>
          <t>1</t>
        </is>
      </c>
      <c r="E934" s="222" t="n">
        <v>0.9</v>
      </c>
      <c r="F934" s="222" t="n">
        <v>0.5</v>
      </c>
      <c r="G934" s="222" t="n">
        <v>0.5</v>
      </c>
      <c r="H934" s="222" t="inlineStr">
        <is>
          <t>Closed</t>
        </is>
      </c>
      <c r="I934" s="222" t="inlineStr">
        <is>
          <t>05-25</t>
        </is>
      </c>
      <c r="J934" s="222" t="inlineStr">
        <is>
          <t>INSPECTION</t>
        </is>
      </c>
    </row>
    <row r="935">
      <c r="A935" s="222" t="inlineStr">
        <is>
          <t>147</t>
        </is>
      </c>
      <c r="B935" s="222" t="inlineStr">
        <is>
          <t>ZL-571-02-1-002</t>
        </is>
      </c>
      <c r="C935" s="222" t="inlineStr">
        <is>
          <t>ZL-571-02-1-002 (03) / RIGHT MLG BAY ZONAL INSP</t>
        </is>
      </c>
      <c r="D935" s="222" t="inlineStr">
        <is>
          <t>1</t>
        </is>
      </c>
      <c r="E935" s="222" t="n">
        <v>0.9</v>
      </c>
      <c r="F935" s="222" t="n">
        <v>0.5</v>
      </c>
      <c r="G935" s="222" t="n">
        <v>0.5</v>
      </c>
      <c r="H935" s="222" t="inlineStr">
        <is>
          <t>Closed</t>
        </is>
      </c>
      <c r="I935" s="222" t="inlineStr">
        <is>
          <t>05-25</t>
        </is>
      </c>
      <c r="J935" s="222" t="inlineStr">
        <is>
          <t>INSPECTION</t>
        </is>
      </c>
    </row>
    <row r="936">
      <c r="A936" s="222" t="inlineStr">
        <is>
          <t>148</t>
        </is>
      </c>
      <c r="B936" s="222" t="inlineStr">
        <is>
          <t>ZL-573-01-1-001</t>
        </is>
      </c>
      <c r="C936" s="222" t="inlineStr">
        <is>
          <t>ZL-573-01-1-001 (04) / L/H INBOARD FIXED T/E STRUCTURE INSP</t>
        </is>
      </c>
      <c r="D936" s="222" t="inlineStr">
        <is>
          <t>1</t>
        </is>
      </c>
      <c r="E936" s="222" t="n">
        <v>0.5</v>
      </c>
      <c r="F936" s="222" t="n">
        <v>1</v>
      </c>
      <c r="G936" s="222" t="n">
        <v>1</v>
      </c>
      <c r="H936" s="222" t="inlineStr">
        <is>
          <t>Closed</t>
        </is>
      </c>
      <c r="I936" s="222" t="inlineStr">
        <is>
          <t>05-25</t>
        </is>
      </c>
      <c r="J936" s="222" t="inlineStr">
        <is>
          <t>PRE INSP</t>
        </is>
      </c>
    </row>
    <row r="937">
      <c r="A937" s="222" t="inlineStr">
        <is>
          <t>149</t>
        </is>
      </c>
      <c r="B937" s="222" t="inlineStr">
        <is>
          <t>ZL-573-01-1-002</t>
        </is>
      </c>
      <c r="C937" s="222" t="inlineStr">
        <is>
          <t>ZL-573-01-1-002 (04) / R/H INBOARD FIXED T/E STRUCTURE INSP</t>
        </is>
      </c>
      <c r="D937" s="222" t="inlineStr">
        <is>
          <t>1</t>
        </is>
      </c>
      <c r="E937" s="222" t="n">
        <v>0.5</v>
      </c>
      <c r="F937" s="222" t="n">
        <v>1</v>
      </c>
      <c r="G937" s="222" t="n">
        <v>58.4</v>
      </c>
      <c r="H937" s="222" t="inlineStr">
        <is>
          <t>Closed</t>
        </is>
      </c>
      <c r="I937" s="222" t="inlineStr">
        <is>
          <t>05-25</t>
        </is>
      </c>
      <c r="J937" s="222" t="inlineStr">
        <is>
          <t>PRE INSP</t>
        </is>
      </c>
    </row>
    <row r="938">
      <c r="A938" s="222" t="inlineStr">
        <is>
          <t>150</t>
        </is>
      </c>
      <c r="B938" s="222" t="inlineStr">
        <is>
          <t>ZL-574-01-1-001</t>
        </is>
      </c>
      <c r="C938" s="222" t="inlineStr">
        <is>
          <t>ZL-574-01-1-001 (04) / L/H WING FALSE SPAR BOX ZONAL INSP</t>
        </is>
      </c>
      <c r="D938" s="222" t="inlineStr">
        <is>
          <t>1</t>
        </is>
      </c>
      <c r="E938" s="222" t="n">
        <v>3.1</v>
      </c>
      <c r="F938" s="222" t="n">
        <v>13</v>
      </c>
      <c r="G938" s="222" t="n">
        <v>16</v>
      </c>
      <c r="H938" s="222" t="inlineStr">
        <is>
          <t>Closed</t>
        </is>
      </c>
      <c r="I938" s="222" t="inlineStr">
        <is>
          <t>05-25</t>
        </is>
      </c>
      <c r="J938" s="222" t="inlineStr">
        <is>
          <t>--, PRE INSP</t>
        </is>
      </c>
    </row>
    <row r="939">
      <c r="A939" s="222" t="inlineStr">
        <is>
          <t>151</t>
        </is>
      </c>
      <c r="B939" s="222" t="inlineStr">
        <is>
          <t>ZL-574-01-1-002</t>
        </is>
      </c>
      <c r="C939" s="222" t="inlineStr">
        <is>
          <t>ZL-574-01-1-002 (04) / R/H WING FALSE SPAR BOX ZONAL INSP</t>
        </is>
      </c>
      <c r="D939" s="222" t="inlineStr">
        <is>
          <t>1</t>
        </is>
      </c>
      <c r="E939" s="222" t="n">
        <v>3.1</v>
      </c>
      <c r="F939" s="222" t="n">
        <v>13</v>
      </c>
      <c r="G939" s="222" t="n">
        <v>16.5</v>
      </c>
      <c r="H939" s="222" t="inlineStr">
        <is>
          <t>Closed</t>
        </is>
      </c>
      <c r="I939" s="222" t="inlineStr">
        <is>
          <t>05-25</t>
        </is>
      </c>
      <c r="J939" s="222" t="inlineStr">
        <is>
          <t>--, PRE INSP</t>
        </is>
      </c>
    </row>
    <row r="940">
      <c r="A940" s="222" t="inlineStr">
        <is>
          <t>152</t>
        </is>
      </c>
      <c r="B940" s="222" t="inlineStr">
        <is>
          <t>ZL-590-01-1-001</t>
        </is>
      </c>
      <c r="C940" s="222" t="inlineStr">
        <is>
          <t>ZL-590-01-1-001 (03) / L/H WING AILERON INSPECTION</t>
        </is>
      </c>
      <c r="D940" s="222" t="inlineStr">
        <is>
          <t>1</t>
        </is>
      </c>
      <c r="E940" s="222" t="n">
        <v>0.4</v>
      </c>
      <c r="F940" s="222" t="n">
        <v>1</v>
      </c>
      <c r="G940" s="222" t="n">
        <v>1</v>
      </c>
      <c r="H940" s="222" t="inlineStr">
        <is>
          <t>Closed</t>
        </is>
      </c>
      <c r="I940" s="222" t="inlineStr">
        <is>
          <t>05-25</t>
        </is>
      </c>
      <c r="J940" s="222" t="inlineStr">
        <is>
          <t>INSPECTION</t>
        </is>
      </c>
    </row>
    <row r="941">
      <c r="A941" s="222" t="inlineStr">
        <is>
          <t>153</t>
        </is>
      </c>
      <c r="B941" s="222" t="inlineStr">
        <is>
          <t>ZL-590-01-1-002</t>
        </is>
      </c>
      <c r="C941" s="222" t="inlineStr">
        <is>
          <t>ZL-590-01-1-002 (03) / R/H WING AILERON INSPECTION</t>
        </is>
      </c>
      <c r="D941" s="222" t="inlineStr">
        <is>
          <t>1</t>
        </is>
      </c>
      <c r="E941" s="222" t="n">
        <v>0.4</v>
      </c>
      <c r="F941" s="222" t="n">
        <v>1</v>
      </c>
      <c r="G941" s="222" t="n">
        <v>1</v>
      </c>
      <c r="H941" s="222" t="inlineStr">
        <is>
          <t>Closed</t>
        </is>
      </c>
      <c r="I941" s="222" t="inlineStr">
        <is>
          <t>05-25</t>
        </is>
      </c>
      <c r="J941" s="222" t="inlineStr">
        <is>
          <t>INSPECTION</t>
        </is>
      </c>
    </row>
    <row r="942">
      <c r="A942" s="222" t="inlineStr">
        <is>
          <t>154</t>
        </is>
      </c>
      <c r="B942" s="222" t="inlineStr">
        <is>
          <t>ZL-811-01-1</t>
        </is>
      </c>
      <c r="C942" s="222" t="inlineStr">
        <is>
          <t>ZL-811-01-1 (03) / FWD AVIONICS COMP. DOOR ZONAL INSP</t>
        </is>
      </c>
      <c r="D942" s="222" t="inlineStr">
        <is>
          <t>1</t>
        </is>
      </c>
      <c r="E942" s="222" t="n">
        <v>0.2</v>
      </c>
      <c r="F942" s="222" t="n">
        <v>1</v>
      </c>
      <c r="G942" s="222" t="n">
        <v>1</v>
      </c>
      <c r="H942" s="222" t="inlineStr">
        <is>
          <t>Closed</t>
        </is>
      </c>
      <c r="I942" s="222" t="inlineStr">
        <is>
          <t>05-28</t>
        </is>
      </c>
      <c r="J942" s="222" t="inlineStr">
        <is>
          <t>PRE INSP</t>
        </is>
      </c>
    </row>
    <row r="943">
      <c r="A943" s="222" t="inlineStr">
        <is>
          <t>155</t>
        </is>
      </c>
      <c r="B943" s="222" t="inlineStr">
        <is>
          <t>ZL-812-01-1</t>
        </is>
      </c>
      <c r="C943" s="222" t="inlineStr">
        <is>
          <t>ZL-812-01-1 (03) / LATERAL AVIONICS COMP. DOORS INSP</t>
        </is>
      </c>
      <c r="D943" s="222" t="inlineStr">
        <is>
          <t>1</t>
        </is>
      </c>
      <c r="E943" s="222" t="n">
        <v>0.4</v>
      </c>
      <c r="F943" s="222" t="n">
        <v>1</v>
      </c>
      <c r="G943" s="222" t="n">
        <v>1</v>
      </c>
      <c r="H943" s="222" t="inlineStr">
        <is>
          <t>Closed</t>
        </is>
      </c>
      <c r="I943" s="222" t="inlineStr">
        <is>
          <t>05-28</t>
        </is>
      </c>
      <c r="J943" s="222" t="inlineStr">
        <is>
          <t>PRE INSP</t>
        </is>
      </c>
    </row>
    <row r="944">
      <c r="A944" s="222" t="inlineStr">
        <is>
          <t>156</t>
        </is>
      </c>
      <c r="B944" s="222" t="inlineStr">
        <is>
          <t>ZL-824-01-1</t>
        </is>
      </c>
      <c r="C944" s="222" t="inlineStr">
        <is>
          <t>ZL-824-01-1 (03) / REAR AVIONICS COMPARTMENT DOOR INSP</t>
        </is>
      </c>
      <c r="D944" s="222" t="inlineStr">
        <is>
          <t>1</t>
        </is>
      </c>
      <c r="E944" s="222" t="n">
        <v>0.2</v>
      </c>
      <c r="F944" s="222" t="n">
        <v>1</v>
      </c>
      <c r="G944" s="222" t="n">
        <v>1</v>
      </c>
      <c r="H944" s="222" t="inlineStr">
        <is>
          <t>Closed</t>
        </is>
      </c>
      <c r="I944" s="222" t="inlineStr">
        <is>
          <t>05-28</t>
        </is>
      </c>
      <c r="J944" s="222" t="inlineStr">
        <is>
          <t>PRE INSP</t>
        </is>
      </c>
    </row>
    <row r="945">
      <c r="A945" s="222" t="inlineStr">
        <is>
          <t>161</t>
        </is>
      </c>
      <c r="B945" s="222" t="inlineStr">
        <is>
          <t>21-SVA-01</t>
        </is>
      </c>
      <c r="C945" s="222" t="inlineStr">
        <is>
          <t>21-SVA-01 (00) / AC-COMPRESSOR DISCHARGE TEMP. SENSOR (CDS) CLN</t>
        </is>
      </c>
      <c r="D945" s="222" t="inlineStr">
        <is>
          <t>1</t>
        </is>
      </c>
      <c r="E945" s="222" t="n">
        <v>3</v>
      </c>
      <c r="F945" s="222" t="n">
        <v>18</v>
      </c>
      <c r="G945" s="222" t="n">
        <v>6</v>
      </c>
      <c r="H945" s="222" t="inlineStr">
        <is>
          <t>Closed</t>
        </is>
      </c>
      <c r="I945" s="222" t="inlineStr">
        <is>
          <t>21-61</t>
        </is>
      </c>
      <c r="J945" s="222" t="inlineStr">
        <is>
          <t>JOB-SETUP, CLEAN-UP, JOB-CLOSEUP</t>
        </is>
      </c>
    </row>
    <row r="946">
      <c r="A946" s="222" t="inlineStr">
        <is>
          <t>162</t>
        </is>
      </c>
      <c r="B946" s="222" t="inlineStr">
        <is>
          <t>212300-02-1</t>
        </is>
      </c>
      <c r="C946" s="222" t="inlineStr">
        <is>
          <t>212300-02-1 (4) / LAVATORY AIR EXTRACTION FLTR R/R</t>
        </is>
      </c>
      <c r="D946" s="222" t="inlineStr">
        <is>
          <t>1</t>
        </is>
      </c>
      <c r="E946" s="222" t="n">
        <v>0.4</v>
      </c>
      <c r="F946" s="222" t="n">
        <v>2</v>
      </c>
      <c r="G946" s="222" t="n">
        <v>1</v>
      </c>
      <c r="H946" s="222" t="inlineStr">
        <is>
          <t>Closed</t>
        </is>
      </c>
      <c r="I946" s="222" t="inlineStr">
        <is>
          <t>21-23</t>
        </is>
      </c>
      <c r="J946" s="222" t="inlineStr">
        <is>
          <t>TC/P, TC/P</t>
        </is>
      </c>
    </row>
    <row r="947">
      <c r="A947" s="222" t="inlineStr">
        <is>
          <t>164</t>
        </is>
      </c>
      <c r="B947" s="222" t="inlineStr">
        <is>
          <t>242000-01-1</t>
        </is>
      </c>
      <c r="C947" s="222" t="inlineStr">
        <is>
          <t>242000-01-1 (3) / GAPCU OPERATIONAL TEST</t>
        </is>
      </c>
      <c r="D947" s="222" t="inlineStr">
        <is>
          <t>1</t>
        </is>
      </c>
      <c r="E947" s="222" t="n">
        <v>0.2</v>
      </c>
      <c r="F947" s="222" t="n">
        <v>4</v>
      </c>
      <c r="G947" s="222" t="n">
        <v>2</v>
      </c>
      <c r="H947" s="222" t="inlineStr">
        <is>
          <t>Closed</t>
        </is>
      </c>
      <c r="I947" s="222" t="inlineStr">
        <is>
          <t>24-41</t>
        </is>
      </c>
      <c r="J947" s="222" t="inlineStr">
        <is>
          <t>OPS/LK</t>
        </is>
      </c>
    </row>
    <row r="948">
      <c r="A948" s="222" t="inlineStr">
        <is>
          <t>166</t>
        </is>
      </c>
      <c r="B948" s="222" t="inlineStr">
        <is>
          <t>242800-01-2</t>
        </is>
      </c>
      <c r="C948" s="222" t="inlineStr">
        <is>
          <t>242800-01-2 (4) / STATIC INVERTER OPERATIONAL CHECK</t>
        </is>
      </c>
      <c r="D948" s="222" t="inlineStr">
        <is>
          <t>1</t>
        </is>
      </c>
      <c r="E948" s="222" t="n">
        <v>0.2</v>
      </c>
      <c r="F948" s="222" t="n">
        <v>4.5</v>
      </c>
      <c r="G948" s="222" t="n">
        <v>2.8</v>
      </c>
      <c r="H948" s="222" t="inlineStr">
        <is>
          <t>Closed</t>
        </is>
      </c>
      <c r="I948" s="222" t="inlineStr">
        <is>
          <t>24-28</t>
        </is>
      </c>
      <c r="J948" s="222" t="inlineStr">
        <is>
          <t>OPS/LK</t>
        </is>
      </c>
    </row>
    <row r="949">
      <c r="A949" s="222" t="inlineStr">
        <is>
          <t>167</t>
        </is>
      </c>
      <c r="B949" s="222" t="inlineStr">
        <is>
          <t>243800-01-1</t>
        </is>
      </c>
      <c r="C949" s="222" t="inlineStr">
        <is>
          <t>243800-01-1 (3) / BATT CHARGE LIMITER OPS CHECK</t>
        </is>
      </c>
      <c r="D949" s="222" t="inlineStr">
        <is>
          <t>1</t>
        </is>
      </c>
      <c r="E949" s="222" t="n">
        <v>0.2</v>
      </c>
      <c r="F949" s="222" t="n">
        <v>4</v>
      </c>
      <c r="G949" s="222" t="n">
        <v>2</v>
      </c>
      <c r="H949" s="222" t="inlineStr">
        <is>
          <t>Closed</t>
        </is>
      </c>
      <c r="I949" s="222" t="inlineStr">
        <is>
          <t>24-38</t>
        </is>
      </c>
      <c r="J949" s="222" t="inlineStr">
        <is>
          <t>OPS/LK</t>
        </is>
      </c>
    </row>
    <row r="950">
      <c r="A950" s="222" t="inlineStr">
        <is>
          <t>179</t>
        </is>
      </c>
      <c r="B950" s="222" t="inlineStr">
        <is>
          <t>25-60-00-03-0-SVA</t>
        </is>
      </c>
      <c r="C950" s="222" t="inlineStr">
        <is>
          <t>25-60-00-03-0-SVA (01) / EMERGENCY EQUIPMENT IN C/A SEAT STOWAGE INSPECTION</t>
        </is>
      </c>
      <c r="D950" s="222" t="inlineStr">
        <is>
          <t>1</t>
        </is>
      </c>
      <c r="E950" s="222" t="n">
        <v>2</v>
      </c>
      <c r="F950" s="222" t="n">
        <v>1</v>
      </c>
      <c r="G950" s="222" t="n">
        <v>1</v>
      </c>
      <c r="H950" s="222" t="inlineStr">
        <is>
          <t>Closed</t>
        </is>
      </c>
      <c r="I950" s="222" t="inlineStr">
        <is>
          <t>25-60</t>
        </is>
      </c>
      <c r="J950" s="222" t="inlineStr">
        <is>
          <t>PRE INSP</t>
        </is>
      </c>
    </row>
    <row r="951">
      <c r="A951" s="222" t="inlineStr">
        <is>
          <t>180</t>
        </is>
      </c>
      <c r="B951" s="222" t="inlineStr">
        <is>
          <t>25-65-00-01-0-SVA</t>
        </is>
      </c>
      <c r="C951" s="222" t="inlineStr">
        <is>
          <t>25-65-00-01-0-SVA (02) / EMERGENCY EQUIP VALIDITY INSP</t>
        </is>
      </c>
      <c r="D951" s="222" t="inlineStr">
        <is>
          <t>1</t>
        </is>
      </c>
      <c r="E951" s="222" t="n">
        <v>2</v>
      </c>
      <c r="F951" s="222" t="n">
        <v>1</v>
      </c>
      <c r="G951" s="222" t="n">
        <v>1</v>
      </c>
      <c r="H951" s="222" t="inlineStr">
        <is>
          <t>Closed</t>
        </is>
      </c>
      <c r="I951" s="222" t="inlineStr">
        <is>
          <t>25-65</t>
        </is>
      </c>
      <c r="J951" s="222" t="inlineStr">
        <is>
          <t>PRE INSP</t>
        </is>
      </c>
    </row>
    <row r="952">
      <c r="A952" s="222" t="inlineStr">
        <is>
          <t>181</t>
        </is>
      </c>
      <c r="B952" s="222" t="inlineStr">
        <is>
          <t>25-65-00-01-0-SVA-001</t>
        </is>
      </c>
      <c r="C952" s="222" t="inlineStr">
        <is>
          <t>25-65-00-01-0-SVA-001 (02) / FIRST AID MEDICAL SURVL KIT CHECK</t>
        </is>
      </c>
      <c r="D952" s="222" t="inlineStr">
        <is>
          <t>1</t>
        </is>
      </c>
      <c r="E952" s="222" t="n">
        <v>1</v>
      </c>
      <c r="F952" s="222" t="n">
        <v>1</v>
      </c>
      <c r="G952" s="222" t="n">
        <v>1</v>
      </c>
      <c r="H952" s="222" t="inlineStr">
        <is>
          <t>Closed</t>
        </is>
      </c>
      <c r="I952" s="222" t="inlineStr">
        <is>
          <t>25-65</t>
        </is>
      </c>
      <c r="J952" s="222" t="inlineStr">
        <is>
          <t>PRE INSP</t>
        </is>
      </c>
    </row>
    <row r="953">
      <c r="A953" s="222" t="inlineStr">
        <is>
          <t>184</t>
        </is>
      </c>
      <c r="B953" s="222" t="inlineStr">
        <is>
          <t>255000-16-1-001</t>
        </is>
      </c>
      <c r="C953" s="222" t="inlineStr">
        <is>
          <t>255000-16-1-001 (03) / FWD CARGO COMP DIVIDER NETS INSP</t>
        </is>
      </c>
      <c r="D953" s="222" t="inlineStr">
        <is>
          <t>1</t>
        </is>
      </c>
      <c r="E953" s="222" t="n">
        <v>1.3</v>
      </c>
      <c r="F953" s="222" t="n">
        <v>0.2</v>
      </c>
      <c r="G953" s="222" t="n">
        <v>0.2</v>
      </c>
      <c r="H953" s="222" t="inlineStr">
        <is>
          <t>Closed</t>
        </is>
      </c>
      <c r="I953" s="222" t="inlineStr">
        <is>
          <t>25-50</t>
        </is>
      </c>
      <c r="J953" s="222" t="inlineStr">
        <is>
          <t>PRE INSP</t>
        </is>
      </c>
    </row>
    <row r="954">
      <c r="A954" s="222" t="inlineStr">
        <is>
          <t>185</t>
        </is>
      </c>
      <c r="B954" s="222" t="inlineStr">
        <is>
          <t>255000-16-1-002</t>
        </is>
      </c>
      <c r="C954" s="222" t="inlineStr">
        <is>
          <t>255000-16-1-002 (03) / AFT AND BULK CARGO COMP NETS INSP</t>
        </is>
      </c>
      <c r="D954" s="222" t="inlineStr">
        <is>
          <t>1</t>
        </is>
      </c>
      <c r="E954" s="222" t="n">
        <v>1.3</v>
      </c>
      <c r="F954" s="222" t="n"/>
      <c r="G954" s="222" t="n"/>
      <c r="H954" s="222" t="inlineStr">
        <is>
          <t>Closed</t>
        </is>
      </c>
      <c r="I954" s="222" t="inlineStr">
        <is>
          <t>25-50</t>
        </is>
      </c>
      <c r="J954" s="222" t="inlineStr">
        <is>
          <t>PRE INSP</t>
        </is>
      </c>
    </row>
    <row r="955">
      <c r="A955" s="222" t="inlineStr">
        <is>
          <t>186</t>
        </is>
      </c>
      <c r="B955" s="222" t="inlineStr">
        <is>
          <t>256241-05-1</t>
        </is>
      </c>
      <c r="C955" s="222" t="inlineStr">
        <is>
          <t>256241-05-1 (5) / CABN DOORS GIRT BAR FITT STOP CLEAN</t>
        </is>
      </c>
      <c r="D955" s="222" t="inlineStr">
        <is>
          <t>1</t>
        </is>
      </c>
      <c r="E955" s="222" t="n">
        <v>0.9</v>
      </c>
      <c r="F955" s="222" t="n">
        <v>10</v>
      </c>
      <c r="G955" s="222" t="n">
        <v>5.3</v>
      </c>
      <c r="H955" s="222" t="inlineStr">
        <is>
          <t>Closed</t>
        </is>
      </c>
      <c r="I955" s="222" t="inlineStr">
        <is>
          <t>25-62</t>
        </is>
      </c>
      <c r="J955" s="222" t="inlineStr">
        <is>
          <t>CLEAN-UP, CLEAN-UP, OPS/LK, OPS/LK</t>
        </is>
      </c>
    </row>
    <row r="956">
      <c r="A956" s="222" t="inlineStr">
        <is>
          <t>187</t>
        </is>
      </c>
      <c r="B956" s="222" t="inlineStr">
        <is>
          <t>261200-01-1</t>
        </is>
      </c>
      <c r="C956" s="222" t="inlineStr">
        <is>
          <t>261200-01-1 (4) / ENG FIRE &amp; OVERHEAT DETECTION TEST</t>
        </is>
      </c>
      <c r="D956" s="222" t="inlineStr">
        <is>
          <t>1</t>
        </is>
      </c>
      <c r="E956" s="222" t="n">
        <v>0.2</v>
      </c>
      <c r="F956" s="222" t="n">
        <v>4</v>
      </c>
      <c r="G956" s="222" t="n">
        <v>2</v>
      </c>
      <c r="H956" s="222" t="inlineStr">
        <is>
          <t>Closed</t>
        </is>
      </c>
      <c r="I956" s="222" t="inlineStr">
        <is>
          <t>26-12</t>
        </is>
      </c>
      <c r="J956" s="222" t="inlineStr">
        <is>
          <t>OPS/LK</t>
        </is>
      </c>
    </row>
    <row r="957">
      <c r="A957" s="222" t="inlineStr">
        <is>
          <t>188</t>
        </is>
      </c>
      <c r="B957" s="222" t="inlineStr">
        <is>
          <t>261600-06-1</t>
        </is>
      </c>
      <c r="C957" s="222" t="inlineStr">
        <is>
          <t>261600-06-1 (0) / CARGO COMPARTMENT SMOKE DETECTION</t>
        </is>
      </c>
      <c r="D957" s="222" t="inlineStr">
        <is>
          <t>1</t>
        </is>
      </c>
      <c r="E957" s="222" t="n">
        <v>0.5</v>
      </c>
      <c r="F957" s="222" t="n">
        <v>6</v>
      </c>
      <c r="G957" s="222" t="n">
        <v>1</v>
      </c>
      <c r="H957" s="222" t="inlineStr">
        <is>
          <t>Closed</t>
        </is>
      </c>
      <c r="I957" s="222" t="inlineStr">
        <is>
          <t>24</t>
        </is>
      </c>
      <c r="J957" s="222" t="inlineStr"/>
    </row>
    <row r="958">
      <c r="A958" s="222" t="inlineStr">
        <is>
          <t>189</t>
        </is>
      </c>
      <c r="B958" s="222" t="inlineStr">
        <is>
          <t>261700-06-1</t>
        </is>
      </c>
      <c r="C958" s="222" t="inlineStr">
        <is>
          <t>261700-06-1 (0) / LAVATORY SMOKE DETECTION</t>
        </is>
      </c>
      <c r="D958" s="222" t="inlineStr">
        <is>
          <t>1</t>
        </is>
      </c>
      <c r="E958" s="222" t="n">
        <v>0.5</v>
      </c>
      <c r="F958" s="222" t="n">
        <v>6</v>
      </c>
      <c r="G958" s="222" t="n">
        <v>1</v>
      </c>
      <c r="H958" s="222" t="inlineStr">
        <is>
          <t>Closed</t>
        </is>
      </c>
      <c r="I958" s="222" t="inlineStr">
        <is>
          <t>24</t>
        </is>
      </c>
      <c r="J958" s="222" t="inlineStr"/>
    </row>
    <row r="959">
      <c r="A959" s="222" t="inlineStr">
        <is>
          <t>198</t>
        </is>
      </c>
      <c r="B959" s="222" t="inlineStr">
        <is>
          <t>281100-02-1</t>
        </is>
      </c>
      <c r="C959" s="222" t="inlineStr">
        <is>
          <t>281100-02-1 (3) / TANKS WATER DRAIN</t>
        </is>
      </c>
      <c r="D959" s="222" t="inlineStr">
        <is>
          <t>1</t>
        </is>
      </c>
      <c r="E959" s="222" t="n">
        <v>0.1</v>
      </c>
      <c r="F959" s="222" t="n">
        <v>3.5</v>
      </c>
      <c r="G959" s="222" t="n">
        <v>3</v>
      </c>
      <c r="H959" s="222" t="inlineStr">
        <is>
          <t>Closed</t>
        </is>
      </c>
      <c r="I959" s="222" t="inlineStr">
        <is>
          <t>28-11</t>
        </is>
      </c>
      <c r="J959" s="222" t="inlineStr">
        <is>
          <t>OPS/LK</t>
        </is>
      </c>
    </row>
    <row r="960">
      <c r="A960" s="222" t="inlineStr">
        <is>
          <t>203</t>
        </is>
      </c>
      <c r="B960" s="222" t="inlineStr">
        <is>
          <t>282800-09-1</t>
        </is>
      </c>
      <c r="C960" s="222" t="inlineStr">
        <is>
          <t>282800-09-1 (03) / ADDITIONAL CENTER TANK TRANSFER SYSTEM (GVI)</t>
        </is>
      </c>
      <c r="D960" s="222" t="inlineStr">
        <is>
          <t>1</t>
        </is>
      </c>
      <c r="E960" s="222" t="n">
        <v>0.3</v>
      </c>
      <c r="F960" s="222" t="n">
        <v>0.2</v>
      </c>
      <c r="G960" s="222" t="n">
        <v>0.2</v>
      </c>
      <c r="H960" s="222" t="inlineStr">
        <is>
          <t>Closed</t>
        </is>
      </c>
      <c r="I960" s="222" t="inlineStr">
        <is>
          <t>28-28</t>
        </is>
      </c>
      <c r="J960" s="222" t="inlineStr">
        <is>
          <t>PRE INSP</t>
        </is>
      </c>
    </row>
    <row r="961">
      <c r="A961" s="222" t="inlineStr">
        <is>
          <t>204</t>
        </is>
      </c>
      <c r="B961" s="222" t="inlineStr">
        <is>
          <t>291000-01-1</t>
        </is>
      </c>
      <c r="C961" s="222" t="inlineStr">
        <is>
          <t>291000-01-1 (3) / HYD RESERVOIRS FLUID LEVEL CHECK</t>
        </is>
      </c>
      <c r="D961" s="222" t="inlineStr">
        <is>
          <t>1</t>
        </is>
      </c>
      <c r="E961" s="222" t="n">
        <v>0.2</v>
      </c>
      <c r="F961" s="222" t="n">
        <v>3</v>
      </c>
      <c r="G961" s="222" t="n">
        <v>1.1</v>
      </c>
      <c r="H961" s="222" t="inlineStr">
        <is>
          <t>Closed</t>
        </is>
      </c>
      <c r="I961" s="222" t="inlineStr">
        <is>
          <t>29-10</t>
        </is>
      </c>
      <c r="J961" s="222" t="inlineStr">
        <is>
          <t>TC/P</t>
        </is>
      </c>
    </row>
    <row r="962">
      <c r="A962" s="222" t="inlineStr">
        <is>
          <t>205</t>
        </is>
      </c>
      <c r="B962" s="222" t="inlineStr">
        <is>
          <t>291000-18-1</t>
        </is>
      </c>
      <c r="C962" s="222" t="inlineStr">
        <is>
          <t>291000-18-1 (2) / HYDRAULIC RECOVERY TANK DRAINAGE</t>
        </is>
      </c>
      <c r="D962" s="222" t="inlineStr">
        <is>
          <t>1</t>
        </is>
      </c>
      <c r="E962" s="222" t="n">
        <v>0.7</v>
      </c>
      <c r="F962" s="222" t="n">
        <v>6</v>
      </c>
      <c r="G962" s="222" t="n">
        <v>4.2</v>
      </c>
      <c r="H962" s="222" t="inlineStr">
        <is>
          <t>Closed</t>
        </is>
      </c>
      <c r="I962" s="222" t="inlineStr">
        <is>
          <t>29-27</t>
        </is>
      </c>
      <c r="J962" s="222" t="inlineStr">
        <is>
          <t>TC/P</t>
        </is>
      </c>
    </row>
    <row r="963">
      <c r="A963" s="222" t="inlineStr">
        <is>
          <t>208</t>
        </is>
      </c>
      <c r="B963" s="222" t="inlineStr">
        <is>
          <t>313000-01-1</t>
        </is>
      </c>
      <c r="C963" s="222" t="inlineStr">
        <is>
          <t>313000-01-1 (5) / CLASS 3 FAULTS READING CHECK</t>
        </is>
      </c>
      <c r="D963" s="222" t="inlineStr">
        <is>
          <t>1</t>
        </is>
      </c>
      <c r="E963" s="222" t="n">
        <v>0.2</v>
      </c>
      <c r="F963" s="222" t="n">
        <v>4</v>
      </c>
      <c r="G963" s="222" t="n">
        <v>2</v>
      </c>
      <c r="H963" s="222" t="inlineStr">
        <is>
          <t>Closed</t>
        </is>
      </c>
      <c r="I963" s="222" t="inlineStr">
        <is>
          <t>31-30</t>
        </is>
      </c>
      <c r="J963" s="222" t="inlineStr">
        <is>
          <t>PRE HGR</t>
        </is>
      </c>
    </row>
    <row r="964">
      <c r="A964" s="222" t="inlineStr">
        <is>
          <t>210</t>
        </is>
      </c>
      <c r="B964" s="222" t="inlineStr">
        <is>
          <t>323000-01-1-001</t>
        </is>
      </c>
      <c r="C964" s="222" t="inlineStr">
        <is>
          <t>323000-01-1-001 (4) / (NLG) DOWNLOCK SPRING &amp; ATTACHMENT</t>
        </is>
      </c>
      <c r="D964" s="222" t="inlineStr">
        <is>
          <t>1</t>
        </is>
      </c>
      <c r="E964" s="222" t="n">
        <v>0.1</v>
      </c>
      <c r="F964" s="222" t="n">
        <v>1</v>
      </c>
      <c r="G964" s="222" t="n">
        <v>1</v>
      </c>
      <c r="H964" s="222" t="inlineStr">
        <is>
          <t>Closed</t>
        </is>
      </c>
      <c r="I964" s="222" t="inlineStr">
        <is>
          <t>32-30</t>
        </is>
      </c>
      <c r="J964" s="222" t="inlineStr">
        <is>
          <t>PRE INSP</t>
        </is>
      </c>
    </row>
    <row r="965">
      <c r="A965" s="222" t="inlineStr">
        <is>
          <t>211</t>
        </is>
      </c>
      <c r="B965" s="222" t="inlineStr">
        <is>
          <t>323000-01-1-002</t>
        </is>
      </c>
      <c r="C965" s="222" t="inlineStr">
        <is>
          <t>323000-01-1-002 (4) / LH(MLG)DOWINLOCK SPRING &amp; ATTACHMENT</t>
        </is>
      </c>
      <c r="D965" s="222" t="inlineStr">
        <is>
          <t>1</t>
        </is>
      </c>
      <c r="E965" s="222" t="n">
        <v>0.1</v>
      </c>
      <c r="F965" s="222" t="n">
        <v>0.2</v>
      </c>
      <c r="G965" s="222" t="n">
        <v>0.2</v>
      </c>
      <c r="H965" s="222" t="inlineStr">
        <is>
          <t>Closed</t>
        </is>
      </c>
      <c r="I965" s="222" t="inlineStr">
        <is>
          <t>32-30</t>
        </is>
      </c>
      <c r="J965" s="222" t="inlineStr">
        <is>
          <t>PRE INSP</t>
        </is>
      </c>
    </row>
    <row r="966">
      <c r="A966" s="222" t="inlineStr">
        <is>
          <t>212</t>
        </is>
      </c>
      <c r="B966" s="222" t="inlineStr">
        <is>
          <t>323000-01-1-003</t>
        </is>
      </c>
      <c r="C966" s="222" t="inlineStr">
        <is>
          <t>323000-01-1-003 (4) / RH(MLG)DOWINLOCK SPRING &amp; ATTACHMENT</t>
        </is>
      </c>
      <c r="D966" s="222" t="inlineStr">
        <is>
          <t>1</t>
        </is>
      </c>
      <c r="E966" s="222" t="n">
        <v>0.1</v>
      </c>
      <c r="F966" s="222" t="n">
        <v>0.5</v>
      </c>
      <c r="G966" s="222" t="n">
        <v>0.5</v>
      </c>
      <c r="H966" s="222" t="inlineStr">
        <is>
          <t>Closed</t>
        </is>
      </c>
      <c r="I966" s="222" t="inlineStr">
        <is>
          <t>32-30</t>
        </is>
      </c>
      <c r="J966" s="222" t="inlineStr">
        <is>
          <t>PRE INSP</t>
        </is>
      </c>
    </row>
    <row r="967">
      <c r="A967" s="222" t="inlineStr">
        <is>
          <t>213</t>
        </is>
      </c>
      <c r="B967" s="222" t="inlineStr">
        <is>
          <t>324411-01-2</t>
        </is>
      </c>
      <c r="C967" s="222" t="inlineStr">
        <is>
          <t>324411-01-2 (3) / BRAKE ACCUMULATOR</t>
        </is>
      </c>
      <c r="D967" s="222" t="inlineStr">
        <is>
          <t>1</t>
        </is>
      </c>
      <c r="E967" s="222" t="n">
        <v>0.1</v>
      </c>
      <c r="F967" s="222" t="n">
        <v>8</v>
      </c>
      <c r="G967" s="222" t="n">
        <v>2</v>
      </c>
      <c r="H967" s="222" t="inlineStr">
        <is>
          <t>Closed</t>
        </is>
      </c>
      <c r="I967" s="222" t="inlineStr">
        <is>
          <t>32-44</t>
        </is>
      </c>
      <c r="J967" s="222" t="inlineStr">
        <is>
          <t>TC/P</t>
        </is>
      </c>
    </row>
    <row r="968">
      <c r="A968" s="222" t="inlineStr">
        <is>
          <t>214</t>
        </is>
      </c>
      <c r="B968" s="222" t="inlineStr">
        <is>
          <t>344200-03-1</t>
        </is>
      </c>
      <c r="C968" s="222" t="inlineStr">
        <is>
          <t>344200-03-1 (5) / RADIO ALTIMETER &amp; ANTENNA CLEANING</t>
        </is>
      </c>
      <c r="D968" s="222" t="inlineStr">
        <is>
          <t>1</t>
        </is>
      </c>
      <c r="E968" s="222" t="n">
        <v>1</v>
      </c>
      <c r="F968" s="222" t="n">
        <v>4</v>
      </c>
      <c r="G968" s="222" t="n">
        <v>2</v>
      </c>
      <c r="H968" s="222" t="inlineStr">
        <is>
          <t>Closed</t>
        </is>
      </c>
      <c r="I968" s="222" t="inlineStr">
        <is>
          <t>34-42</t>
        </is>
      </c>
      <c r="J968" s="222" t="inlineStr">
        <is>
          <t>CLEAN-UP</t>
        </is>
      </c>
    </row>
    <row r="969">
      <c r="A969" s="222" t="inlineStr">
        <is>
          <t>215</t>
        </is>
      </c>
      <c r="B969" s="222" t="inlineStr">
        <is>
          <t>353000-01-1</t>
        </is>
      </c>
      <c r="C969" s="222" t="inlineStr">
        <is>
          <t>353000-01-1 (5) / PORTABLE OXYGEN CYLINDERS OPC</t>
        </is>
      </c>
      <c r="D969" s="222" t="inlineStr">
        <is>
          <t>1</t>
        </is>
      </c>
      <c r="E969" s="222" t="n">
        <v>0.4</v>
      </c>
      <c r="F969" s="222" t="n">
        <v>6.5</v>
      </c>
      <c r="G969" s="222" t="n">
        <v>5.2</v>
      </c>
      <c r="H969" s="222" t="inlineStr">
        <is>
          <t>Closed</t>
        </is>
      </c>
      <c r="I969" s="222" t="inlineStr">
        <is>
          <t>35-32</t>
        </is>
      </c>
      <c r="J969" s="222" t="inlineStr">
        <is>
          <t>JOB-SETUP, INSPECTION, JOB-CLOSEUP</t>
        </is>
      </c>
    </row>
    <row r="970">
      <c r="A970" s="222" t="inlineStr">
        <is>
          <t>216</t>
        </is>
      </c>
      <c r="B970" s="222" t="inlineStr">
        <is>
          <t>353000-05-1</t>
        </is>
      </c>
      <c r="C970" s="222" t="inlineStr">
        <is>
          <t>353000-05-1 (5) / CABIN PBE INSP</t>
        </is>
      </c>
      <c r="D970" s="222" t="inlineStr">
        <is>
          <t>1</t>
        </is>
      </c>
      <c r="E970" s="222" t="n">
        <v>0.4</v>
      </c>
      <c r="F970" s="222" t="n">
        <v>2.8</v>
      </c>
      <c r="G970" s="222" t="n">
        <v>3.8</v>
      </c>
      <c r="H970" s="222" t="inlineStr">
        <is>
          <t>Closed</t>
        </is>
      </c>
      <c r="I970" s="222" t="inlineStr">
        <is>
          <t>35-30</t>
        </is>
      </c>
      <c r="J970" s="222" t="inlineStr">
        <is>
          <t>PRE INSP, PRE INSP, PRE INSP</t>
        </is>
      </c>
    </row>
    <row r="971">
      <c r="A971" s="222" t="inlineStr">
        <is>
          <t>217</t>
        </is>
      </c>
      <c r="B971" s="222" t="inlineStr">
        <is>
          <t>361100-08-2-001-SVA</t>
        </is>
      </c>
      <c r="C971" s="222" t="inlineStr">
        <is>
          <t>361100-08-2-001-SVA (07) / NO. 1 ENGINE HIGH PRESSURE DUCT INSPECTION</t>
        </is>
      </c>
      <c r="D971" s="222" t="inlineStr">
        <is>
          <t>1</t>
        </is>
      </c>
      <c r="E971" s="222" t="n">
        <v>7.2</v>
      </c>
      <c r="F971" s="222" t="n">
        <v>20.8</v>
      </c>
      <c r="G971" s="222" t="n">
        <v>144.1</v>
      </c>
      <c r="H971" s="222" t="inlineStr">
        <is>
          <t>Closed</t>
        </is>
      </c>
      <c r="I971" s="222" t="inlineStr">
        <is>
          <t>36-11</t>
        </is>
      </c>
      <c r="J971" s="222" t="inlineStr">
        <is>
          <t>JOB-SETUP, INSPECTION, --, --, --, INSPECTION, JOB-CLOSEUP</t>
        </is>
      </c>
    </row>
    <row r="972">
      <c r="A972" s="222" t="inlineStr">
        <is>
          <t>218</t>
        </is>
      </c>
      <c r="B972" s="222" t="inlineStr">
        <is>
          <t>361100-08-2-002-SVA</t>
        </is>
      </c>
      <c r="C972" s="222" t="inlineStr">
        <is>
          <t>361100-08-2-002-SVA (07) / NO. 2 ENGINE HIGH PRESSURE DUCT INSPECTION</t>
        </is>
      </c>
      <c r="D972" s="222" t="inlineStr">
        <is>
          <t>1</t>
        </is>
      </c>
      <c r="E972" s="222" t="n">
        <v>7.2</v>
      </c>
      <c r="F972" s="222" t="n">
        <v>11.1</v>
      </c>
      <c r="G972" s="222" t="n">
        <v>145.9</v>
      </c>
      <c r="H972" s="222" t="inlineStr">
        <is>
          <t>Closed</t>
        </is>
      </c>
      <c r="I972" s="222" t="inlineStr">
        <is>
          <t>36-11</t>
        </is>
      </c>
      <c r="J972" s="222" t="inlineStr">
        <is>
          <t>JOB-SETUP, INSPECTION, --, --, --, INSPECTION, JOB-CLOSEUP</t>
        </is>
      </c>
    </row>
    <row r="973">
      <c r="A973" s="222" t="inlineStr">
        <is>
          <t>220</t>
        </is>
      </c>
      <c r="B973" s="222" t="inlineStr">
        <is>
          <t>49-90-00-01-1-SVA</t>
        </is>
      </c>
      <c r="C973" s="222" t="inlineStr">
        <is>
          <t>49-90-00-01-1-SVA (00) / APU OIL COOLER CLEANING</t>
        </is>
      </c>
      <c r="D973" s="222" t="inlineStr">
        <is>
          <t>1</t>
        </is>
      </c>
      <c r="E973" s="222" t="n">
        <v>1.8</v>
      </c>
      <c r="F973" s="222" t="n">
        <v>27</v>
      </c>
      <c r="G973" s="222" t="n">
        <v>9.199999999999999</v>
      </c>
      <c r="H973" s="222" t="inlineStr">
        <is>
          <t>Closed</t>
        </is>
      </c>
      <c r="I973" s="222" t="inlineStr">
        <is>
          <t>20-00</t>
        </is>
      </c>
      <c r="J973" s="222" t="inlineStr">
        <is>
          <t>JOB-SETUP, CLEAN-UP, JOB-CLOSEUP</t>
        </is>
      </c>
    </row>
    <row r="974">
      <c r="A974" s="222" t="inlineStr">
        <is>
          <t>227</t>
        </is>
      </c>
      <c r="B974" s="222" t="inlineStr">
        <is>
          <t>561000-01-1-SVA</t>
        </is>
      </c>
      <c r="C974" s="222" t="inlineStr">
        <is>
          <t>561000-01-1-SVA (04) / COCKPIT WINDOWS INSPECTION</t>
        </is>
      </c>
      <c r="D974" s="222" t="inlineStr">
        <is>
          <t>1</t>
        </is>
      </c>
      <c r="E974" s="222" t="n">
        <v>3.5</v>
      </c>
      <c r="F974" s="222" t="n">
        <v>15</v>
      </c>
      <c r="G974" s="222" t="n">
        <v>134.1</v>
      </c>
      <c r="H974" s="222" t="inlineStr">
        <is>
          <t>Closed</t>
        </is>
      </c>
      <c r="I974" s="222" t="inlineStr">
        <is>
          <t>56-10</t>
        </is>
      </c>
      <c r="J974" s="222" t="inlineStr">
        <is>
          <t>PRE HGR, INSPECTION, INSPECTION, JOB-CLOSEUP</t>
        </is>
      </c>
    </row>
    <row r="975">
      <c r="A975" s="222" t="inlineStr">
        <is>
          <t>232</t>
        </is>
      </c>
      <c r="B975" s="222" t="inlineStr">
        <is>
          <t>FRSEO722061</t>
        </is>
      </c>
      <c r="C975" s="222" t="inlineStr">
        <is>
          <t>FRSEO722061 (02) / ACFT FAN FRAME ASSY-ON WING INSP</t>
        </is>
      </c>
      <c r="D975" s="222" t="inlineStr">
        <is>
          <t>1</t>
        </is>
      </c>
      <c r="E975" s="222" t="n">
        <v>5.7</v>
      </c>
      <c r="F975" s="222" t="n">
        <v>21.1</v>
      </c>
      <c r="G975" s="222" t="n">
        <v>7.1</v>
      </c>
      <c r="H975" s="222" t="inlineStr">
        <is>
          <t>Closed</t>
        </is>
      </c>
      <c r="I975" s="222" t="inlineStr">
        <is>
          <t>20-00</t>
        </is>
      </c>
      <c r="J975" s="222" t="inlineStr"/>
    </row>
    <row r="976">
      <c r="A976" s="222" t="inlineStr">
        <is>
          <t>236</t>
        </is>
      </c>
      <c r="B976" s="222" t="inlineStr">
        <is>
          <t>200002-01-1</t>
        </is>
      </c>
      <c r="C976" s="222" t="inlineStr">
        <is>
          <t>200002-01-1 (2) / THS ELECTRICAL BONDING LEADS INSP</t>
        </is>
      </c>
      <c r="D976" s="222" t="inlineStr">
        <is>
          <t>1</t>
        </is>
      </c>
      <c r="E976" s="222" t="n">
        <v>0.7</v>
      </c>
      <c r="F976" s="222" t="n">
        <v>15</v>
      </c>
      <c r="G976" s="222" t="n">
        <v>17.3</v>
      </c>
      <c r="H976" s="222" t="inlineStr">
        <is>
          <t>Closed</t>
        </is>
      </c>
      <c r="I976" s="222" t="inlineStr">
        <is>
          <t>24-92</t>
        </is>
      </c>
      <c r="J976" s="222" t="inlineStr">
        <is>
          <t>INSPECTION</t>
        </is>
      </c>
    </row>
    <row r="977">
      <c r="A977" s="222" t="inlineStr">
        <is>
          <t>237</t>
        </is>
      </c>
      <c r="B977" s="222" t="inlineStr">
        <is>
          <t>200435-01-1-001</t>
        </is>
      </c>
      <c r="C977" s="222" t="inlineStr">
        <is>
          <t>200435-01-1-001 (03) / NO.1 ENG FAN&amp;ACCESORY G/B WIRNG INSP</t>
        </is>
      </c>
      <c r="D977" s="222" t="inlineStr">
        <is>
          <t>1</t>
        </is>
      </c>
      <c r="E977" s="222" t="n">
        <v>1.1</v>
      </c>
      <c r="F977" s="222" t="n">
        <v>2.5</v>
      </c>
      <c r="G977" s="222" t="n">
        <v>16.2</v>
      </c>
      <c r="H977" s="222" t="inlineStr">
        <is>
          <t>Closed</t>
        </is>
      </c>
      <c r="I977" s="222" t="inlineStr">
        <is>
          <t>24-92</t>
        </is>
      </c>
      <c r="J977" s="222" t="inlineStr">
        <is>
          <t>JOB-SETUP, INSPECTION, JOB-CLOSEUP</t>
        </is>
      </c>
    </row>
    <row r="978">
      <c r="A978" s="222" t="inlineStr">
        <is>
          <t>238</t>
        </is>
      </c>
      <c r="B978" s="222" t="inlineStr">
        <is>
          <t>200435-01-1-002</t>
        </is>
      </c>
      <c r="C978" s="222" t="inlineStr">
        <is>
          <t>200435-01-1-002 (03) / NO.2 ENG FAN &amp; ACCE G/B (EWIS) INSP</t>
        </is>
      </c>
      <c r="D978" s="222" t="inlineStr">
        <is>
          <t>1</t>
        </is>
      </c>
      <c r="E978" s="222" t="n">
        <v>1.1</v>
      </c>
      <c r="F978" s="222" t="n">
        <v>7</v>
      </c>
      <c r="G978" s="222" t="n">
        <v>5.2</v>
      </c>
      <c r="H978" s="222" t="inlineStr">
        <is>
          <t>Closed</t>
        </is>
      </c>
      <c r="I978" s="222" t="inlineStr">
        <is>
          <t>24-92</t>
        </is>
      </c>
      <c r="J978" s="222" t="inlineStr">
        <is>
          <t>JOB-SETUP, INSPECTION, JOB-CLOSEUP</t>
        </is>
      </c>
    </row>
    <row r="979">
      <c r="A979" s="222" t="inlineStr">
        <is>
          <t>239</t>
        </is>
      </c>
      <c r="B979" s="222" t="inlineStr">
        <is>
          <t>200453-01-1-001</t>
        </is>
      </c>
      <c r="C979" s="222" t="inlineStr">
        <is>
          <t>200453-01-1-001 (05) / NO. 1 ENG HOT SECTION WIRING INSP</t>
        </is>
      </c>
      <c r="D979" s="222" t="inlineStr">
        <is>
          <t>1</t>
        </is>
      </c>
      <c r="E979" s="222" t="n">
        <v>1.1</v>
      </c>
      <c r="F979" s="222" t="n">
        <v>3</v>
      </c>
      <c r="G979" s="222" t="n">
        <v>40.1</v>
      </c>
      <c r="H979" s="222" t="inlineStr">
        <is>
          <t>Closed</t>
        </is>
      </c>
      <c r="I979" s="222" t="inlineStr">
        <is>
          <t>24-92</t>
        </is>
      </c>
      <c r="J979" s="222" t="inlineStr">
        <is>
          <t>JOB-SETUP, INSPECTION, JOB-CLOSEUP</t>
        </is>
      </c>
    </row>
    <row r="980">
      <c r="A980" s="222" t="inlineStr">
        <is>
          <t>240</t>
        </is>
      </c>
      <c r="B980" s="222" t="inlineStr">
        <is>
          <t>200453-01-1-002</t>
        </is>
      </c>
      <c r="C980" s="222" t="inlineStr">
        <is>
          <t>200453-01-1-002 (05) / NO. 2 ENG HOT SECTION WIRING INSP</t>
        </is>
      </c>
      <c r="D980" s="222" t="inlineStr">
        <is>
          <t>1</t>
        </is>
      </c>
      <c r="E980" s="222" t="n">
        <v>0.5</v>
      </c>
      <c r="F980" s="222" t="n">
        <v>3.5</v>
      </c>
      <c r="G980" s="222" t="n">
        <v>41.2</v>
      </c>
      <c r="H980" s="222" t="inlineStr">
        <is>
          <t>Closed</t>
        </is>
      </c>
      <c r="I980" s="222" t="inlineStr">
        <is>
          <t>24-92</t>
        </is>
      </c>
      <c r="J980" s="222" t="inlineStr">
        <is>
          <t>JOB-SETUP, INSPECTION, JOB-CLOSEUP</t>
        </is>
      </c>
    </row>
    <row r="981">
      <c r="A981" s="222" t="inlineStr">
        <is>
          <t>241</t>
        </is>
      </c>
      <c r="B981" s="222" t="inlineStr">
        <is>
          <t>212100-01-1</t>
        </is>
      </c>
      <c r="C981" s="222" t="inlineStr">
        <is>
          <t>212100-01-1 (05) / COKPT AIR SUPPLY DUCT GRID CLEANING</t>
        </is>
      </c>
      <c r="D981" s="222" t="inlineStr">
        <is>
          <t>1</t>
        </is>
      </c>
      <c r="E981" s="222" t="n">
        <v>0.4</v>
      </c>
      <c r="F981" s="222" t="n">
        <v>1.5</v>
      </c>
      <c r="G981" s="222" t="n">
        <v>5.7</v>
      </c>
      <c r="H981" s="222" t="inlineStr">
        <is>
          <t>Closed</t>
        </is>
      </c>
      <c r="I981" s="222" t="inlineStr">
        <is>
          <t>21-21</t>
        </is>
      </c>
      <c r="J981" s="222" t="inlineStr">
        <is>
          <t>TC/P</t>
        </is>
      </c>
    </row>
    <row r="982">
      <c r="A982" s="222" t="inlineStr">
        <is>
          <t>242</t>
        </is>
      </c>
      <c r="B982" s="222" t="inlineStr">
        <is>
          <t>212600-03-1</t>
        </is>
      </c>
      <c r="C982" s="222" t="inlineStr">
        <is>
          <t>212600-03-1 (3) / SMOKE CONFIGURATION CTL CIRCUIT OPC</t>
        </is>
      </c>
      <c r="D982" s="222" t="inlineStr">
        <is>
          <t>1</t>
        </is>
      </c>
      <c r="E982" s="222" t="n">
        <v>0.2</v>
      </c>
      <c r="F982" s="222" t="n">
        <v>4</v>
      </c>
      <c r="G982" s="222" t="n">
        <v>2</v>
      </c>
      <c r="H982" s="222" t="inlineStr">
        <is>
          <t>Closed</t>
        </is>
      </c>
      <c r="I982" s="222" t="inlineStr">
        <is>
          <t>21-26</t>
        </is>
      </c>
      <c r="J982" s="222" t="inlineStr">
        <is>
          <t>OPS/LK</t>
        </is>
      </c>
    </row>
    <row r="983">
      <c r="A983" s="222" t="inlineStr">
        <is>
          <t>243</t>
        </is>
      </c>
      <c r="B983" s="222" t="inlineStr">
        <is>
          <t>212600-04-1</t>
        </is>
      </c>
      <c r="C983" s="222" t="inlineStr">
        <is>
          <t>212600-04-1 (3) / DITCHING CONFIGURATION CONTROL OPC</t>
        </is>
      </c>
      <c r="D983" s="222" t="inlineStr">
        <is>
          <t>1</t>
        </is>
      </c>
      <c r="E983" s="222" t="n">
        <v>0.2</v>
      </c>
      <c r="F983" s="222" t="n">
        <v>6</v>
      </c>
      <c r="G983" s="222" t="n">
        <v>1</v>
      </c>
      <c r="H983" s="222" t="inlineStr">
        <is>
          <t>Closed</t>
        </is>
      </c>
      <c r="I983" s="222" t="inlineStr">
        <is>
          <t>21-26</t>
        </is>
      </c>
      <c r="J983" s="222" t="inlineStr">
        <is>
          <t>JOB-SETUP, OPS/LK, JOB-CLOSEUP</t>
        </is>
      </c>
    </row>
    <row r="984">
      <c r="A984" s="222" t="inlineStr">
        <is>
          <t>244</t>
        </is>
      </c>
      <c r="B984" s="222" t="inlineStr">
        <is>
          <t>212600-08-1</t>
        </is>
      </c>
      <c r="C984" s="222" t="inlineStr">
        <is>
          <t>212600-08-1 (3) / AIR INLET CHECK VLV OPERATIONAL CHK</t>
        </is>
      </c>
      <c r="D984" s="222" t="inlineStr">
        <is>
          <t>1</t>
        </is>
      </c>
      <c r="E984" s="222" t="n">
        <v>0.2</v>
      </c>
      <c r="F984" s="222" t="n">
        <v>0.2</v>
      </c>
      <c r="G984" s="222" t="n">
        <v>0.2</v>
      </c>
      <c r="H984" s="222" t="inlineStr">
        <is>
          <t>Closed</t>
        </is>
      </c>
      <c r="I984" s="222" t="inlineStr">
        <is>
          <t>21-26</t>
        </is>
      </c>
      <c r="J984" s="222" t="inlineStr">
        <is>
          <t>OPS/LK</t>
        </is>
      </c>
    </row>
    <row r="985">
      <c r="A985" s="222" t="inlineStr">
        <is>
          <t>247</t>
        </is>
      </c>
      <c r="B985" s="222" t="inlineStr">
        <is>
          <t>213100-03-1</t>
        </is>
      </c>
      <c r="C985" s="222" t="inlineStr">
        <is>
          <t>213100-03-1 (3) / PRESSURE CONTROL AND MONITORING OPC</t>
        </is>
      </c>
      <c r="D985" s="222" t="inlineStr">
        <is>
          <t>1</t>
        </is>
      </c>
      <c r="E985" s="222" t="n">
        <v>0.2</v>
      </c>
      <c r="F985" s="222" t="n">
        <v>2</v>
      </c>
      <c r="G985" s="222" t="n">
        <v>2</v>
      </c>
      <c r="H985" s="222" t="inlineStr">
        <is>
          <t>Closed</t>
        </is>
      </c>
      <c r="I985" s="222" t="inlineStr">
        <is>
          <t>21-31</t>
        </is>
      </c>
      <c r="J985" s="222" t="inlineStr">
        <is>
          <t>OPS/LK</t>
        </is>
      </c>
    </row>
    <row r="986">
      <c r="A986" s="222" t="inlineStr">
        <is>
          <t>249</t>
        </is>
      </c>
      <c r="B986" s="222" t="inlineStr">
        <is>
          <t>215000-03-2</t>
        </is>
      </c>
      <c r="C986" s="222" t="inlineStr">
        <is>
          <t>215000-03-2 (3) / PACK RAM AIR INLET INSPECTION</t>
        </is>
      </c>
      <c r="D986" s="222" t="inlineStr">
        <is>
          <t>1</t>
        </is>
      </c>
      <c r="E986" s="222" t="n">
        <v>2.2</v>
      </c>
      <c r="F986" s="222" t="n">
        <v>40</v>
      </c>
      <c r="G986" s="222" t="n">
        <v>8.800000000000001</v>
      </c>
      <c r="H986" s="222" t="inlineStr">
        <is>
          <t>Closed</t>
        </is>
      </c>
      <c r="I986" s="222" t="inlineStr">
        <is>
          <t>21-61</t>
        </is>
      </c>
      <c r="J986" s="222" t="inlineStr">
        <is>
          <t>PRE HGR</t>
        </is>
      </c>
    </row>
    <row r="987">
      <c r="A987" s="222" t="inlineStr">
        <is>
          <t>251</t>
        </is>
      </c>
      <c r="B987" s="222" t="inlineStr">
        <is>
          <t>215000-09-1</t>
        </is>
      </c>
      <c r="C987" s="222" t="inlineStr">
        <is>
          <t>215000-09-1 (0) / AIR COOLING AND TEMPERATURE CONTROL</t>
        </is>
      </c>
      <c r="D987" s="222" t="inlineStr">
        <is>
          <t>1</t>
        </is>
      </c>
      <c r="E987" s="222" t="n">
        <v>0.5</v>
      </c>
      <c r="F987" s="222" t="n">
        <v>3.2</v>
      </c>
      <c r="G987" s="222" t="n">
        <v>6</v>
      </c>
      <c r="H987" s="222" t="inlineStr">
        <is>
          <t>Closed</t>
        </is>
      </c>
      <c r="I987" s="222" t="inlineStr">
        <is>
          <t>21</t>
        </is>
      </c>
      <c r="J987" s="222" t="inlineStr">
        <is>
          <t>--, INSPECTION, --</t>
        </is>
      </c>
    </row>
    <row r="988">
      <c r="A988" s="222" t="inlineStr">
        <is>
          <t>256</t>
        </is>
      </c>
      <c r="B988" s="222" t="inlineStr">
        <is>
          <t>221000-01-1</t>
        </is>
      </c>
      <c r="C988" s="222" t="inlineStr">
        <is>
          <t>221000-01-1 (4) / AUTOPILOT (AP) DISENGAGEMENT OPC</t>
        </is>
      </c>
      <c r="D988" s="222" t="inlineStr">
        <is>
          <t>1</t>
        </is>
      </c>
      <c r="E988" s="222" t="n">
        <v>0.6</v>
      </c>
      <c r="F988" s="222" t="n">
        <v>4</v>
      </c>
      <c r="G988" s="222" t="n">
        <v>2</v>
      </c>
      <c r="H988" s="222" t="inlineStr">
        <is>
          <t>Closed</t>
        </is>
      </c>
      <c r="I988" s="222" t="inlineStr">
        <is>
          <t>22-10</t>
        </is>
      </c>
      <c r="J988" s="222" t="inlineStr">
        <is>
          <t>OPS/LK</t>
        </is>
      </c>
    </row>
    <row r="989">
      <c r="A989" s="222" t="inlineStr">
        <is>
          <t>257</t>
        </is>
      </c>
      <c r="B989" s="222" t="inlineStr">
        <is>
          <t>23-73-00-01-0-SVA</t>
        </is>
      </c>
      <c r="C989" s="222" t="inlineStr">
        <is>
          <t>23-73-00-01-0-SVA (01) / CABIN SIGNS OPS CHK</t>
        </is>
      </c>
      <c r="D989" s="222" t="inlineStr">
        <is>
          <t>1</t>
        </is>
      </c>
      <c r="E989" s="222" t="n">
        <v>8</v>
      </c>
      <c r="F989" s="222" t="n">
        <v>4</v>
      </c>
      <c r="G989" s="222" t="n">
        <v>2</v>
      </c>
      <c r="H989" s="222" t="inlineStr">
        <is>
          <t>Closed</t>
        </is>
      </c>
      <c r="I989" s="222" t="inlineStr">
        <is>
          <t>23-73</t>
        </is>
      </c>
      <c r="J989" s="222" t="inlineStr">
        <is>
          <t>OPS/LK</t>
        </is>
      </c>
    </row>
    <row r="990">
      <c r="A990" s="222" t="inlineStr">
        <is>
          <t>258</t>
        </is>
      </c>
      <c r="B990" s="222" t="inlineStr">
        <is>
          <t>233300-02-1</t>
        </is>
      </c>
      <c r="C990" s="222" t="inlineStr">
        <is>
          <t>233300-02-1 (4) / PASSENGER ENTERTAINMENT OPC</t>
        </is>
      </c>
      <c r="D990" s="222" t="inlineStr">
        <is>
          <t>1</t>
        </is>
      </c>
      <c r="E990" s="222" t="n">
        <v>0.9</v>
      </c>
      <c r="F990" s="222" t="n">
        <v>6</v>
      </c>
      <c r="G990" s="222" t="n">
        <v>2.1</v>
      </c>
      <c r="H990" s="222" t="inlineStr">
        <is>
          <t>Closed</t>
        </is>
      </c>
      <c r="I990" s="222" t="inlineStr">
        <is>
          <t>23-33</t>
        </is>
      </c>
      <c r="J990" s="222" t="inlineStr">
        <is>
          <t>OPS/LK</t>
        </is>
      </c>
    </row>
    <row r="991">
      <c r="A991" s="222" t="inlineStr">
        <is>
          <t>259</t>
        </is>
      </c>
      <c r="B991" s="222" t="inlineStr">
        <is>
          <t>235100-01-1</t>
        </is>
      </c>
      <c r="C991" s="222" t="inlineStr">
        <is>
          <t>235100-01-1 (02) / CAPT AND F/O AUDIO CTL PANELS OPC</t>
        </is>
      </c>
      <c r="D991" s="222" t="inlineStr">
        <is>
          <t>1</t>
        </is>
      </c>
      <c r="E991" s="222" t="n">
        <v>0.2</v>
      </c>
      <c r="F991" s="222" t="n">
        <v>4</v>
      </c>
      <c r="G991" s="222" t="n">
        <v>1</v>
      </c>
      <c r="H991" s="222" t="inlineStr">
        <is>
          <t>Closed</t>
        </is>
      </c>
      <c r="I991" s="222" t="inlineStr">
        <is>
          <t>23-51</t>
        </is>
      </c>
      <c r="J991" s="222" t="inlineStr">
        <is>
          <t>OPS/LK, OPS/LK</t>
        </is>
      </c>
    </row>
    <row r="992">
      <c r="A992" s="222" t="inlineStr">
        <is>
          <t>260</t>
        </is>
      </c>
      <c r="B992" s="222" t="inlineStr">
        <is>
          <t>237100-02-1</t>
        </is>
      </c>
      <c r="C992" s="222" t="inlineStr">
        <is>
          <t>237100-02-1 (02) / COCKPIT VOICE RECORDER (CVR) OPC</t>
        </is>
      </c>
      <c r="D992" s="222" t="inlineStr">
        <is>
          <t>1</t>
        </is>
      </c>
      <c r="E992" s="222" t="n">
        <v>1.1</v>
      </c>
      <c r="F992" s="222" t="n">
        <v>4</v>
      </c>
      <c r="G992" s="222" t="n">
        <v>2</v>
      </c>
      <c r="H992" s="222" t="inlineStr">
        <is>
          <t>Closed</t>
        </is>
      </c>
      <c r="I992" s="222" t="inlineStr">
        <is>
          <t>23-71</t>
        </is>
      </c>
      <c r="J992" s="222" t="inlineStr">
        <is>
          <t>OPS/LK</t>
        </is>
      </c>
    </row>
    <row r="993">
      <c r="A993" s="222" t="inlineStr">
        <is>
          <t>261</t>
        </is>
      </c>
      <c r="B993" s="222" t="inlineStr">
        <is>
          <t>237135-02-1</t>
        </is>
      </c>
      <c r="C993" s="222" t="inlineStr">
        <is>
          <t>237135-02-1 (05) / UNDERWATER LOCATOR BEACON OPC</t>
        </is>
      </c>
      <c r="D993" s="222" t="inlineStr">
        <is>
          <t>1</t>
        </is>
      </c>
      <c r="E993" s="222" t="n">
        <v>0.3</v>
      </c>
      <c r="F993" s="222" t="n">
        <v>9</v>
      </c>
      <c r="G993" s="222" t="n">
        <v>2.4</v>
      </c>
      <c r="H993" s="222" t="inlineStr">
        <is>
          <t>Closed</t>
        </is>
      </c>
      <c r="I993" s="222" t="inlineStr">
        <is>
          <t>23-71</t>
        </is>
      </c>
      <c r="J993" s="222" t="inlineStr">
        <is>
          <t>JOB-SETUP, OPS/LK, JOB-CLOSEUP</t>
        </is>
      </c>
    </row>
    <row r="994">
      <c r="A994" s="222" t="inlineStr">
        <is>
          <t>262</t>
        </is>
      </c>
      <c r="B994" s="222" t="inlineStr">
        <is>
          <t>242200-01-1</t>
        </is>
      </c>
      <c r="C994" s="222" t="inlineStr">
        <is>
          <t>242200-01-1 (4) / ELECTRICAL TRANS INHIBITION OPC</t>
        </is>
      </c>
      <c r="D994" s="222" t="inlineStr">
        <is>
          <t>1</t>
        </is>
      </c>
      <c r="E994" s="222" t="n">
        <v>0.2</v>
      </c>
      <c r="F994" s="222" t="n">
        <v>4</v>
      </c>
      <c r="G994" s="222" t="n">
        <v>2</v>
      </c>
      <c r="H994" s="222" t="inlineStr">
        <is>
          <t>Closed</t>
        </is>
      </c>
      <c r="I994" s="222" t="inlineStr">
        <is>
          <t>24-22</t>
        </is>
      </c>
      <c r="J994" s="222" t="inlineStr">
        <is>
          <t>OPS/LK</t>
        </is>
      </c>
    </row>
    <row r="995">
      <c r="A995" s="222" t="inlineStr">
        <is>
          <t>263</t>
        </is>
      </c>
      <c r="B995" s="222" t="inlineStr">
        <is>
          <t>242400-02-1</t>
        </is>
      </c>
      <c r="C995" s="222" t="inlineStr">
        <is>
          <t>242400-02-1 (3) / EMERGENCY GENERATOR CONTROL UNIT OPC</t>
        </is>
      </c>
      <c r="D995" s="222" t="inlineStr">
        <is>
          <t>1</t>
        </is>
      </c>
      <c r="E995" s="222" t="n">
        <v>0.2</v>
      </c>
      <c r="F995" s="222" t="n">
        <v>4</v>
      </c>
      <c r="G995" s="222" t="n">
        <v>2</v>
      </c>
      <c r="H995" s="222" t="inlineStr">
        <is>
          <t>Closed</t>
        </is>
      </c>
      <c r="I995" s="222" t="inlineStr">
        <is>
          <t>24-24</t>
        </is>
      </c>
      <c r="J995" s="222" t="inlineStr">
        <is>
          <t>OPS/LK</t>
        </is>
      </c>
    </row>
    <row r="996">
      <c r="A996" s="222" t="inlineStr">
        <is>
          <t>264</t>
        </is>
      </c>
      <c r="B996" s="222" t="inlineStr">
        <is>
          <t>242500-01-1</t>
        </is>
      </c>
      <c r="C996" s="222" t="inlineStr">
        <is>
          <t>242500-01-1 (7) / AC ESSENTIAL GENRATION SWITCHING OPC</t>
        </is>
      </c>
      <c r="D996" s="222" t="inlineStr">
        <is>
          <t>1</t>
        </is>
      </c>
      <c r="E996" s="222" t="n">
        <v>0.2</v>
      </c>
      <c r="F996" s="222" t="n">
        <v>3</v>
      </c>
      <c r="G996" s="222" t="n">
        <v>2</v>
      </c>
      <c r="H996" s="222" t="inlineStr">
        <is>
          <t>Closed</t>
        </is>
      </c>
      <c r="I996" s="222" t="inlineStr">
        <is>
          <t>24-25</t>
        </is>
      </c>
      <c r="J996" s="222" t="inlineStr">
        <is>
          <t>OPS/LK</t>
        </is>
      </c>
    </row>
    <row r="997">
      <c r="A997" s="222" t="inlineStr">
        <is>
          <t>265</t>
        </is>
      </c>
      <c r="B997" s="222" t="inlineStr">
        <is>
          <t>242600-02-1</t>
        </is>
      </c>
      <c r="C997" s="222" t="inlineStr">
        <is>
          <t>242600-02-1 (3) / MANUAL/AUTO GALLEY &amp; BUS SHEDING OPC</t>
        </is>
      </c>
      <c r="D997" s="222" t="inlineStr">
        <is>
          <t>1</t>
        </is>
      </c>
      <c r="E997" s="222" t="n">
        <v>0.2</v>
      </c>
      <c r="F997" s="222" t="n">
        <v>4</v>
      </c>
      <c r="G997" s="222" t="n">
        <v>2</v>
      </c>
      <c r="H997" s="222" t="inlineStr">
        <is>
          <t>Closed</t>
        </is>
      </c>
      <c r="I997" s="222" t="inlineStr">
        <is>
          <t>24-26</t>
        </is>
      </c>
      <c r="J997" s="222" t="inlineStr">
        <is>
          <t>OPS/LK</t>
        </is>
      </c>
    </row>
    <row r="998">
      <c r="A998" s="222" t="inlineStr">
        <is>
          <t>266</t>
        </is>
      </c>
      <c r="B998" s="222" t="inlineStr">
        <is>
          <t>243000-13-1</t>
        </is>
      </c>
      <c r="C998" s="222" t="inlineStr">
        <is>
          <t>243000-13-1 (01) / DC GENERATION</t>
        </is>
      </c>
      <c r="D998" s="222" t="inlineStr">
        <is>
          <t>1</t>
        </is>
      </c>
      <c r="E998" s="222" t="n">
        <v>0.1</v>
      </c>
      <c r="F998" s="222" t="n">
        <v>6</v>
      </c>
      <c r="G998" s="222" t="n">
        <v>1</v>
      </c>
      <c r="H998" s="222" t="inlineStr">
        <is>
          <t>Closed</t>
        </is>
      </c>
      <c r="I998" s="222" t="inlineStr">
        <is>
          <t>53-31</t>
        </is>
      </c>
      <c r="J998" s="222" t="inlineStr">
        <is>
          <t>JOB-SETUP, CLEAN-UP, JOB-CLOSEUP</t>
        </is>
      </c>
    </row>
    <row r="999">
      <c r="A999" s="222" t="inlineStr">
        <is>
          <t>267</t>
        </is>
      </c>
      <c r="B999" s="222" t="inlineStr">
        <is>
          <t>243000-14-1</t>
        </is>
      </c>
      <c r="C999" s="222" t="inlineStr">
        <is>
          <t>243000-14-1 (01) / DC GENERATION</t>
        </is>
      </c>
      <c r="D999" s="222" t="inlineStr">
        <is>
          <t>1</t>
        </is>
      </c>
      <c r="E999" s="222" t="n">
        <v>0.1</v>
      </c>
      <c r="F999" s="222" t="n">
        <v>6</v>
      </c>
      <c r="G999" s="222" t="n">
        <v>1</v>
      </c>
      <c r="H999" s="222" t="inlineStr">
        <is>
          <t>Closed</t>
        </is>
      </c>
      <c r="I999" s="222" t="inlineStr">
        <is>
          <t>24-30</t>
        </is>
      </c>
      <c r="J999" s="222" t="inlineStr">
        <is>
          <t>JOB-SETUP, CLEAN-UP, JOB-CLOSEUP</t>
        </is>
      </c>
    </row>
    <row r="1000">
      <c r="A1000" s="222" t="inlineStr">
        <is>
          <t>268</t>
        </is>
      </c>
      <c r="B1000" s="222" t="inlineStr">
        <is>
          <t>243200-01-1</t>
        </is>
      </c>
      <c r="C1000" s="222" t="inlineStr">
        <is>
          <t>243200-01-1 (6) / DC GENERATION SWITCHING OPC</t>
        </is>
      </c>
      <c r="D1000" s="222" t="inlineStr">
        <is>
          <t>1</t>
        </is>
      </c>
      <c r="E1000" s="222" t="n">
        <v>0.3</v>
      </c>
      <c r="F1000" s="222" t="n">
        <v>3</v>
      </c>
      <c r="G1000" s="222" t="n">
        <v>1</v>
      </c>
      <c r="H1000" s="222" t="inlineStr">
        <is>
          <t>Closed</t>
        </is>
      </c>
      <c r="I1000" s="222" t="inlineStr">
        <is>
          <t>24-32</t>
        </is>
      </c>
      <c r="J1000" s="222" t="inlineStr">
        <is>
          <t>OPS/LK</t>
        </is>
      </c>
    </row>
    <row r="1001">
      <c r="A1001" s="222" t="inlineStr">
        <is>
          <t>269</t>
        </is>
      </c>
      <c r="B1001" s="222" t="inlineStr">
        <is>
          <t>243400-01-1</t>
        </is>
      </c>
      <c r="C1001" s="222" t="inlineStr">
        <is>
          <t>243400-01-1 (4) / DC EMERGY CONFIGURATION CAUTION OPC</t>
        </is>
      </c>
      <c r="D1001" s="222" t="inlineStr">
        <is>
          <t>1</t>
        </is>
      </c>
      <c r="E1001" s="222" t="n">
        <v>0.3</v>
      </c>
      <c r="F1001" s="222" t="n">
        <v>4</v>
      </c>
      <c r="G1001" s="222" t="n">
        <v>2</v>
      </c>
      <c r="H1001" s="222" t="inlineStr">
        <is>
          <t>Closed</t>
        </is>
      </c>
      <c r="I1001" s="222" t="inlineStr">
        <is>
          <t>24-34</t>
        </is>
      </c>
      <c r="J1001" s="222" t="inlineStr">
        <is>
          <t>OPS/LK</t>
        </is>
      </c>
    </row>
    <row r="1002">
      <c r="A1002" s="222" t="inlineStr">
        <is>
          <t>270</t>
        </is>
      </c>
      <c r="B1002" s="222" t="inlineStr">
        <is>
          <t>245100-01-1</t>
        </is>
      </c>
      <c r="C1002" s="222" t="inlineStr">
        <is>
          <t>245100-01-1 (3) / GENERATOR LINE CONTACTOR OPENING OPC</t>
        </is>
      </c>
      <c r="D1002" s="222" t="inlineStr">
        <is>
          <t>1</t>
        </is>
      </c>
      <c r="E1002" s="222" t="n">
        <v>0.7</v>
      </c>
      <c r="F1002" s="222" t="n">
        <v>4</v>
      </c>
      <c r="G1002" s="222" t="n">
        <v>2</v>
      </c>
      <c r="H1002" s="222" t="inlineStr">
        <is>
          <t>Closed</t>
        </is>
      </c>
      <c r="I1002" s="222" t="inlineStr">
        <is>
          <t>24-51</t>
        </is>
      </c>
      <c r="J1002" s="222" t="inlineStr">
        <is>
          <t>OPS/LK</t>
        </is>
      </c>
    </row>
    <row r="1003">
      <c r="A1003" s="222" t="inlineStr">
        <is>
          <t>271</t>
        </is>
      </c>
      <c r="B1003" s="222" t="inlineStr">
        <is>
          <t>245100-02-1</t>
        </is>
      </c>
      <c r="C1003" s="222" t="inlineStr">
        <is>
          <t>245100-02-1 (3) / COMMERCIAL ELEC LOAD SHEDDING OPC</t>
        </is>
      </c>
      <c r="D1003" s="222" t="inlineStr">
        <is>
          <t>1</t>
        </is>
      </c>
      <c r="E1003" s="222" t="n">
        <v>0.2</v>
      </c>
      <c r="F1003" s="222" t="n">
        <v>4</v>
      </c>
      <c r="G1003" s="222" t="n">
        <v>2</v>
      </c>
      <c r="H1003" s="222" t="inlineStr">
        <is>
          <t>Closed</t>
        </is>
      </c>
      <c r="I1003" s="222" t="inlineStr">
        <is>
          <t>24-51</t>
        </is>
      </c>
      <c r="J1003" s="222" t="inlineStr">
        <is>
          <t>OPS/LK</t>
        </is>
      </c>
    </row>
    <row r="1004">
      <c r="A1004" s="222" t="inlineStr">
        <is>
          <t>293</t>
        </is>
      </c>
      <c r="B1004" s="222" t="inlineStr">
        <is>
          <t>252200-03-1</t>
        </is>
      </c>
      <c r="C1004" s="222" t="inlineStr">
        <is>
          <t>252200-03-1 (4) / CABIN ATTENDANT SEATS BELTS INSP</t>
        </is>
      </c>
      <c r="D1004" s="222" t="inlineStr">
        <is>
          <t>1</t>
        </is>
      </c>
      <c r="E1004" s="222" t="n">
        <v>0</v>
      </c>
      <c r="F1004" s="222" t="n">
        <v>0.8</v>
      </c>
      <c r="G1004" s="222" t="n">
        <v>0.8</v>
      </c>
      <c r="H1004" s="222" t="inlineStr">
        <is>
          <t>Closed</t>
        </is>
      </c>
      <c r="I1004" s="222" t="inlineStr">
        <is>
          <t>25-22</t>
        </is>
      </c>
      <c r="J1004" s="222" t="inlineStr">
        <is>
          <t>PRE INSP</t>
        </is>
      </c>
    </row>
    <row r="1005">
      <c r="A1005" s="222" t="inlineStr">
        <is>
          <t>294</t>
        </is>
      </c>
      <c r="B1005" s="222" t="inlineStr">
        <is>
          <t>254000-04-2</t>
        </is>
      </c>
      <c r="C1005" s="222" t="inlineStr">
        <is>
          <t>254000-04-2 (4) / LAVATORIES FLOOR PANELS INSPECTION</t>
        </is>
      </c>
      <c r="D1005" s="222" t="inlineStr">
        <is>
          <t>1</t>
        </is>
      </c>
      <c r="E1005" s="222" t="n">
        <v>3.3</v>
      </c>
      <c r="F1005" s="222" t="n">
        <v>0.8</v>
      </c>
      <c r="G1005" s="222" t="n">
        <v>0.8</v>
      </c>
      <c r="H1005" s="222" t="inlineStr">
        <is>
          <t>Closed</t>
        </is>
      </c>
      <c r="I1005" s="222" t="inlineStr">
        <is>
          <t>25-40</t>
        </is>
      </c>
      <c r="J1005" s="222" t="inlineStr">
        <is>
          <t>PRE INSP</t>
        </is>
      </c>
    </row>
    <row r="1006">
      <c r="A1006" s="222" t="inlineStr">
        <is>
          <t>297</t>
        </is>
      </c>
      <c r="B1006" s="222" t="inlineStr">
        <is>
          <t>256535-01-1</t>
        </is>
      </c>
      <c r="C1006" s="222" t="inlineStr">
        <is>
          <t>256535-01-1 (02) / EMERGENCY LOCATOR TRANSMITTER OPC</t>
        </is>
      </c>
      <c r="D1006" s="222" t="inlineStr">
        <is>
          <t>1</t>
        </is>
      </c>
      <c r="E1006" s="222" t="n">
        <v>0.2</v>
      </c>
      <c r="F1006" s="222" t="n">
        <v>2</v>
      </c>
      <c r="G1006" s="222" t="n">
        <v>1</v>
      </c>
      <c r="H1006" s="222" t="inlineStr">
        <is>
          <t>Closed</t>
        </is>
      </c>
      <c r="I1006" s="222" t="inlineStr">
        <is>
          <t>25-65</t>
        </is>
      </c>
      <c r="J1006" s="222" t="inlineStr">
        <is>
          <t>OPS/LK</t>
        </is>
      </c>
    </row>
    <row r="1007">
      <c r="A1007" s="222" t="inlineStr">
        <is>
          <t>301</t>
        </is>
      </c>
      <c r="B1007" s="222" t="inlineStr">
        <is>
          <t>262100-02-1-001</t>
        </is>
      </c>
      <c r="C1007" s="222" t="inlineStr">
        <is>
          <t>262100-02-1-001 (04) / NO. 1 ENG FIRE EXT BOTTLE LOW PRESS INDICATING CIRCUIT OPS CHK</t>
        </is>
      </c>
      <c r="D1007" s="222" t="inlineStr">
        <is>
          <t>1</t>
        </is>
      </c>
      <c r="E1007" s="222" t="n">
        <v>0.4</v>
      </c>
      <c r="F1007" s="222" t="n">
        <v>5</v>
      </c>
      <c r="G1007" s="222" t="n">
        <v>2.9</v>
      </c>
      <c r="H1007" s="222" t="inlineStr">
        <is>
          <t>Closed</t>
        </is>
      </c>
      <c r="I1007" s="222" t="inlineStr">
        <is>
          <t>26-21</t>
        </is>
      </c>
      <c r="J1007" s="222" t="inlineStr">
        <is>
          <t>OPS/LK</t>
        </is>
      </c>
    </row>
    <row r="1008">
      <c r="A1008" s="222" t="inlineStr">
        <is>
          <t>302</t>
        </is>
      </c>
      <c r="B1008" s="222" t="inlineStr">
        <is>
          <t>262100-02-1-002</t>
        </is>
      </c>
      <c r="C1008" s="222" t="inlineStr">
        <is>
          <t>262100-02-1-002 (04) / NO. 2 ENG FIRE EXT BOTTLE LOW PRESS INDICATING CIRCUIT OPS CHK</t>
        </is>
      </c>
      <c r="D1008" s="222" t="inlineStr">
        <is>
          <t>1</t>
        </is>
      </c>
      <c r="E1008" s="222" t="n">
        <v>0.4</v>
      </c>
      <c r="F1008" s="222" t="n">
        <v>5</v>
      </c>
      <c r="G1008" s="222" t="n">
        <v>2.9</v>
      </c>
      <c r="H1008" s="222" t="inlineStr">
        <is>
          <t>Closed</t>
        </is>
      </c>
      <c r="I1008" s="222" t="inlineStr">
        <is>
          <t>26-21</t>
        </is>
      </c>
      <c r="J1008" s="222" t="inlineStr">
        <is>
          <t>OPS/LK</t>
        </is>
      </c>
    </row>
    <row r="1009">
      <c r="A1009" s="222" t="inlineStr">
        <is>
          <t>303</t>
        </is>
      </c>
      <c r="B1009" s="222" t="inlineStr">
        <is>
          <t>262100-03-1-001</t>
        </is>
      </c>
      <c r="C1009" s="222" t="inlineStr">
        <is>
          <t>262100-03-1-001 (04) / NO.1 ENG FIRE EXTIG CONTINUTY CHK</t>
        </is>
      </c>
      <c r="D1009" s="222" t="inlineStr">
        <is>
          <t>1</t>
        </is>
      </c>
      <c r="E1009" s="222" t="n">
        <v>0.9</v>
      </c>
      <c r="F1009" s="222" t="n">
        <v>7</v>
      </c>
      <c r="G1009" s="222" t="n">
        <v>1.9</v>
      </c>
      <c r="H1009" s="222" t="inlineStr">
        <is>
          <t>Closed</t>
        </is>
      </c>
      <c r="I1009" s="222" t="inlineStr">
        <is>
          <t>26-21</t>
        </is>
      </c>
      <c r="J1009" s="222" t="inlineStr">
        <is>
          <t>TC/P, TC/P, TC/P</t>
        </is>
      </c>
    </row>
    <row r="1010">
      <c r="A1010" s="222" t="inlineStr">
        <is>
          <t>304</t>
        </is>
      </c>
      <c r="B1010" s="222" t="inlineStr">
        <is>
          <t>262100-03-1-002</t>
        </is>
      </c>
      <c r="C1010" s="222" t="inlineStr">
        <is>
          <t>262100-03-1-002 (04) / NO.2 ENG FIRE EXTIG CONTINUTY CHK</t>
        </is>
      </c>
      <c r="D1010" s="222" t="inlineStr">
        <is>
          <t>1</t>
        </is>
      </c>
      <c r="E1010" s="222" t="n">
        <v>0.9</v>
      </c>
      <c r="F1010" s="222" t="n">
        <v>7</v>
      </c>
      <c r="G1010" s="222" t="n">
        <v>1.9</v>
      </c>
      <c r="H1010" s="222" t="inlineStr">
        <is>
          <t>Closed</t>
        </is>
      </c>
      <c r="I1010" s="222" t="inlineStr">
        <is>
          <t>26-21</t>
        </is>
      </c>
      <c r="J1010" s="222" t="inlineStr">
        <is>
          <t>TC/P, TC/P, TC/P</t>
        </is>
      </c>
    </row>
    <row r="1011">
      <c r="A1011" s="222" t="inlineStr">
        <is>
          <t>306</t>
        </is>
      </c>
      <c r="B1011" s="222" t="inlineStr">
        <is>
          <t>262200-03-1</t>
        </is>
      </c>
      <c r="C1011" s="222" t="inlineStr">
        <is>
          <t>262200-03-1 (4) / APU FIRE EXTINGUISHING FIRING CHK</t>
        </is>
      </c>
      <c r="D1011" s="222" t="inlineStr">
        <is>
          <t>1</t>
        </is>
      </c>
      <c r="E1011" s="222" t="n">
        <v>0.7</v>
      </c>
      <c r="F1011" s="222" t="n">
        <v>8.5</v>
      </c>
      <c r="G1011" s="222" t="n">
        <v>2.2</v>
      </c>
      <c r="H1011" s="222" t="inlineStr">
        <is>
          <t>Closed</t>
        </is>
      </c>
      <c r="I1011" s="222" t="inlineStr">
        <is>
          <t>26-22</t>
        </is>
      </c>
      <c r="J1011" s="222" t="inlineStr">
        <is>
          <t>JOB-SETUP, TC/P, TC/P, JOB-CLOSEUP</t>
        </is>
      </c>
    </row>
    <row r="1012">
      <c r="A1012" s="222" t="inlineStr">
        <is>
          <t>307</t>
        </is>
      </c>
      <c r="B1012" s="222" t="inlineStr">
        <is>
          <t>262200-04-1</t>
        </is>
      </c>
      <c r="C1012" s="222" t="inlineStr">
        <is>
          <t>262200-04-1 (4) / APU FIRE EXTINGUISHING DISTRIBUTION PIPING INSP &amp; DISCHARGE NOZZLE</t>
        </is>
      </c>
      <c r="D1012" s="222" t="inlineStr">
        <is>
          <t>1</t>
        </is>
      </c>
      <c r="E1012" s="222" t="n">
        <v>0.4</v>
      </c>
      <c r="F1012" s="222" t="n">
        <v>0.8</v>
      </c>
      <c r="G1012" s="222" t="n">
        <v>0.8</v>
      </c>
      <c r="H1012" s="222" t="inlineStr">
        <is>
          <t>Closed</t>
        </is>
      </c>
      <c r="I1012" s="222" t="inlineStr">
        <is>
          <t>26-22</t>
        </is>
      </c>
      <c r="J1012" s="222" t="inlineStr">
        <is>
          <t>INSPECTION</t>
        </is>
      </c>
    </row>
    <row r="1013">
      <c r="A1013" s="222" t="inlineStr">
        <is>
          <t>308</t>
        </is>
      </c>
      <c r="B1013" s="222" t="inlineStr">
        <is>
          <t>262200-05-1</t>
        </is>
      </c>
      <c r="C1013" s="222" t="inlineStr">
        <is>
          <t>262200-05-1 (3) / APU FIRE EXTINGUISHING LOW PRESS OPC</t>
        </is>
      </c>
      <c r="D1013" s="222" t="inlineStr">
        <is>
          <t>1</t>
        </is>
      </c>
      <c r="E1013" s="222" t="n">
        <v>0.4</v>
      </c>
      <c r="F1013" s="222" t="n">
        <v>6.5</v>
      </c>
      <c r="G1013" s="222" t="n">
        <v>2.1</v>
      </c>
      <c r="H1013" s="222" t="inlineStr">
        <is>
          <t>Closed</t>
        </is>
      </c>
      <c r="I1013" s="222" t="inlineStr">
        <is>
          <t>26-22</t>
        </is>
      </c>
      <c r="J1013" s="222" t="inlineStr">
        <is>
          <t>JOB-SETUP, OPS/LK, JOB-CLOSEUP</t>
        </is>
      </c>
    </row>
    <row r="1014">
      <c r="A1014" s="222" t="inlineStr">
        <is>
          <t>309</t>
        </is>
      </c>
      <c r="B1014" s="222" t="inlineStr">
        <is>
          <t>262200-06-1</t>
        </is>
      </c>
      <c r="C1014" s="222" t="inlineStr">
        <is>
          <t>262200-06-1 (5) / APU FIRE PUSH BUTTON &amp; LP FUEL VLV</t>
        </is>
      </c>
      <c r="D1014" s="222" t="inlineStr">
        <is>
          <t>1</t>
        </is>
      </c>
      <c r="E1014" s="222" t="n">
        <v>0.7</v>
      </c>
      <c r="F1014" s="222" t="n">
        <v>4.5</v>
      </c>
      <c r="G1014" s="222" t="n">
        <v>2.8</v>
      </c>
      <c r="H1014" s="222" t="inlineStr">
        <is>
          <t>Closed</t>
        </is>
      </c>
      <c r="I1014" s="222" t="inlineStr">
        <is>
          <t>26-22</t>
        </is>
      </c>
      <c r="J1014" s="222" t="inlineStr">
        <is>
          <t>OPS/LK</t>
        </is>
      </c>
    </row>
    <row r="1015">
      <c r="A1015" s="222" t="inlineStr">
        <is>
          <t>310</t>
        </is>
      </c>
      <c r="B1015" s="222" t="inlineStr">
        <is>
          <t>262300-02-1</t>
        </is>
      </c>
      <c r="C1015" s="222" t="inlineStr">
        <is>
          <t>262300-02-1 (05) / CARGO COMP FIRNG CIRCT CONTU CHK</t>
        </is>
      </c>
      <c r="D1015" s="222" t="inlineStr">
        <is>
          <t>1</t>
        </is>
      </c>
      <c r="E1015" s="222" t="n">
        <v>1.3</v>
      </c>
      <c r="F1015" s="222" t="n">
        <v>11</v>
      </c>
      <c r="G1015" s="222" t="n">
        <v>3.4</v>
      </c>
      <c r="H1015" s="222" t="inlineStr">
        <is>
          <t>Closed</t>
        </is>
      </c>
      <c r="I1015" s="222" t="inlineStr">
        <is>
          <t>26-23</t>
        </is>
      </c>
      <c r="J1015" s="222" t="inlineStr">
        <is>
          <t>JOB-SETUP, OPS/LK, OPS/LK, JOB-CLOSEUP</t>
        </is>
      </c>
    </row>
    <row r="1016">
      <c r="A1016" s="222" t="inlineStr">
        <is>
          <t>312</t>
        </is>
      </c>
      <c r="B1016" s="222" t="inlineStr">
        <is>
          <t>262541-04-1</t>
        </is>
      </c>
      <c r="C1016" s="222" t="inlineStr">
        <is>
          <t>262541-04-1 (3) / LAVATORY FIRE EXTG PRESS READING CHK</t>
        </is>
      </c>
      <c r="D1016" s="222" t="inlineStr">
        <is>
          <t>1</t>
        </is>
      </c>
      <c r="E1016" s="222" t="n">
        <v>0.2</v>
      </c>
      <c r="F1016" s="222" t="n">
        <v>0.8</v>
      </c>
      <c r="G1016" s="222" t="n">
        <v>0.8</v>
      </c>
      <c r="H1016" s="222" t="inlineStr">
        <is>
          <t>Closed</t>
        </is>
      </c>
      <c r="I1016" s="222" t="inlineStr">
        <is>
          <t>26-25</t>
        </is>
      </c>
      <c r="J1016" s="222" t="inlineStr">
        <is>
          <t>INSPECTION</t>
        </is>
      </c>
    </row>
    <row r="1017">
      <c r="A1017" s="222" t="inlineStr">
        <is>
          <t>313</t>
        </is>
      </c>
      <c r="B1017" s="222" t="inlineStr">
        <is>
          <t>271400-01-1</t>
        </is>
      </c>
      <c r="C1017" s="222" t="inlineStr">
        <is>
          <t>271400-01-1 (3) / AILERON DAMPING MEASUREMENT OPS TEST</t>
        </is>
      </c>
      <c r="D1017" s="222" t="inlineStr">
        <is>
          <t>1</t>
        </is>
      </c>
      <c r="E1017" s="222" t="n">
        <v>0.2</v>
      </c>
      <c r="F1017" s="222" t="n">
        <v>3</v>
      </c>
      <c r="G1017" s="222" t="n">
        <v>1.5</v>
      </c>
      <c r="H1017" s="222" t="inlineStr">
        <is>
          <t>Closed</t>
        </is>
      </c>
      <c r="I1017" s="222" t="inlineStr">
        <is>
          <t>27-14</t>
        </is>
      </c>
      <c r="J1017" s="222" t="inlineStr">
        <is>
          <t>JOB-SETUP, OPS/LK, JOB-CLOSEUP</t>
        </is>
      </c>
    </row>
    <row r="1018">
      <c r="A1018" s="222" t="inlineStr">
        <is>
          <t>314</t>
        </is>
      </c>
      <c r="B1018" s="222" t="inlineStr">
        <is>
          <t>271400-02-2-001</t>
        </is>
      </c>
      <c r="C1018" s="222" t="inlineStr">
        <is>
          <t>271400-02-2-001 (04) / L/H AILERON SERVO EXCESSIVE PLAY CHK</t>
        </is>
      </c>
      <c r="D1018" s="222" t="inlineStr">
        <is>
          <t>1</t>
        </is>
      </c>
      <c r="E1018" s="222" t="n">
        <v>4.4</v>
      </c>
      <c r="F1018" s="222" t="n">
        <v>13.2</v>
      </c>
      <c r="G1018" s="222" t="n">
        <v>139.7</v>
      </c>
      <c r="H1018" s="222" t="inlineStr">
        <is>
          <t>Closed</t>
        </is>
      </c>
      <c r="I1018" s="222" t="inlineStr">
        <is>
          <t>27-14</t>
        </is>
      </c>
      <c r="J1018" s="222" t="inlineStr">
        <is>
          <t>PRE HGR, PRE HGR, PRE HGR, PRE HGR</t>
        </is>
      </c>
    </row>
    <row r="1019">
      <c r="A1019" s="222" t="inlineStr">
        <is>
          <t>315</t>
        </is>
      </c>
      <c r="B1019" s="222" t="inlineStr">
        <is>
          <t>271400-02-2-002</t>
        </is>
      </c>
      <c r="C1019" s="222" t="inlineStr">
        <is>
          <t>271400-02-2-002 (04) / RH AIL SERVO EXCESSIVE PLAY CHK</t>
        </is>
      </c>
      <c r="D1019" s="222" t="inlineStr">
        <is>
          <t>1</t>
        </is>
      </c>
      <c r="E1019" s="222" t="n">
        <v>4.4</v>
      </c>
      <c r="F1019" s="222" t="n">
        <v>7.7</v>
      </c>
      <c r="G1019" s="222" t="n">
        <v>137.3</v>
      </c>
      <c r="H1019" s="222" t="inlineStr">
        <is>
          <t>Closed</t>
        </is>
      </c>
      <c r="I1019" s="222" t="inlineStr">
        <is>
          <t>27-14</t>
        </is>
      </c>
      <c r="J1019" s="222" t="inlineStr">
        <is>
          <t>PRE HGR, PRE HGR, PRE HGR, PRE HGR</t>
        </is>
      </c>
    </row>
    <row r="1020">
      <c r="A1020" s="222" t="inlineStr">
        <is>
          <t>321</t>
        </is>
      </c>
      <c r="B1020" s="222" t="inlineStr">
        <is>
          <t>272100-07-1</t>
        </is>
      </c>
      <c r="C1020" s="222" t="inlineStr">
        <is>
          <t>272100-07-1 (02) / RUDDER MECHANICAL CONTROL LINKAGE</t>
        </is>
      </c>
      <c r="D1020" s="222" t="inlineStr">
        <is>
          <t>1</t>
        </is>
      </c>
      <c r="E1020" s="222" t="n">
        <v>0.2</v>
      </c>
      <c r="F1020" s="222" t="n">
        <v>37</v>
      </c>
      <c r="G1020" s="222" t="n">
        <v>148.4</v>
      </c>
      <c r="H1020" s="222" t="inlineStr">
        <is>
          <t>Closed</t>
        </is>
      </c>
      <c r="I1020" s="222" t="inlineStr">
        <is>
          <t>27-21</t>
        </is>
      </c>
      <c r="J1020" s="222" t="inlineStr">
        <is>
          <t>INSPECTION</t>
        </is>
      </c>
    </row>
    <row r="1021">
      <c r="A1021" s="222" t="inlineStr">
        <is>
          <t>324</t>
        </is>
      </c>
      <c r="B1021" s="222" t="inlineStr">
        <is>
          <t>272400-02-1</t>
        </is>
      </c>
      <c r="C1021" s="222" t="inlineStr">
        <is>
          <t>272400-02-1 (04) / FUNCTIONAL CHK OF RUDDER HYDRAULIC ACTUATION</t>
        </is>
      </c>
      <c r="D1021" s="222" t="inlineStr">
        <is>
          <t>1</t>
        </is>
      </c>
      <c r="E1021" s="222" t="n">
        <v>2.2</v>
      </c>
      <c r="F1021" s="222" t="n">
        <v>40.6</v>
      </c>
      <c r="G1021" s="222" t="n">
        <v>7.4</v>
      </c>
      <c r="H1021" s="222" t="inlineStr">
        <is>
          <t>Closed</t>
        </is>
      </c>
      <c r="I1021" s="222" t="inlineStr">
        <is>
          <t>27-24</t>
        </is>
      </c>
      <c r="J1021" s="222" t="inlineStr">
        <is>
          <t>PRE HGR, PRE HGR, PRE HGR, PRE HGR, PRE HGR, PRE HGR, PRE HGR, PRE HGR</t>
        </is>
      </c>
    </row>
    <row r="1022">
      <c r="A1022" s="222" t="inlineStr">
        <is>
          <t>325</t>
        </is>
      </c>
      <c r="B1022" s="222" t="inlineStr">
        <is>
          <t>273400-02-1</t>
        </is>
      </c>
      <c r="C1022" s="222" t="inlineStr">
        <is>
          <t>273400-02-1 (04) / FUNCTIONAL CHECK OF ELEV SERVO CONT &amp; HINGE BEARING PLAY</t>
        </is>
      </c>
      <c r="D1022" s="222" t="inlineStr">
        <is>
          <t>1</t>
        </is>
      </c>
      <c r="E1022" s="222" t="n">
        <v>5.5</v>
      </c>
      <c r="F1022" s="222" t="n">
        <v>36.8</v>
      </c>
      <c r="G1022" s="222" t="n">
        <v>9.199999999999999</v>
      </c>
      <c r="H1022" s="222" t="inlineStr">
        <is>
          <t>Closed</t>
        </is>
      </c>
      <c r="I1022" s="222" t="inlineStr">
        <is>
          <t>27-34</t>
        </is>
      </c>
      <c r="J1022" s="222" t="inlineStr">
        <is>
          <t>PRE HGR, PRE HGR, PRE HGR, PRE HGR</t>
        </is>
      </c>
    </row>
    <row r="1023">
      <c r="A1023" s="222" t="inlineStr">
        <is>
          <t>327</t>
        </is>
      </c>
      <c r="B1023" s="222" t="inlineStr">
        <is>
          <t>274000-04-1</t>
        </is>
      </c>
      <c r="C1023" s="222" t="inlineStr">
        <is>
          <t>274000-04-1 (3) / THS ACTUATOR WITH ELECTRIC MOTOR OPC</t>
        </is>
      </c>
      <c r="D1023" s="222" t="inlineStr">
        <is>
          <t>1</t>
        </is>
      </c>
      <c r="E1023" s="222" t="n">
        <v>0.2</v>
      </c>
      <c r="F1023" s="222" t="n">
        <v>21</v>
      </c>
      <c r="G1023" s="222" t="n">
        <v>8.800000000000001</v>
      </c>
      <c r="H1023" s="222" t="inlineStr">
        <is>
          <t>Closed</t>
        </is>
      </c>
      <c r="I1023" s="222" t="inlineStr">
        <is>
          <t>27-96</t>
        </is>
      </c>
      <c r="J1023" s="222" t="inlineStr">
        <is>
          <t>PRE HGR, PRE HGR, PRE HGR</t>
        </is>
      </c>
    </row>
    <row r="1024">
      <c r="A1024" s="222" t="inlineStr">
        <is>
          <t>333</t>
        </is>
      </c>
      <c r="B1024" s="222" t="inlineStr">
        <is>
          <t>274451-06-1</t>
        </is>
      </c>
      <c r="C1024" s="222" t="inlineStr">
        <is>
          <t>274451-06-1 (3) / THS ACT THREADED NUT INSPECTION</t>
        </is>
      </c>
      <c r="D1024" s="222" t="inlineStr">
        <is>
          <t>1</t>
        </is>
      </c>
      <c r="E1024" s="222" t="n">
        <v>0.1</v>
      </c>
      <c r="F1024" s="222" t="n">
        <v>0.5</v>
      </c>
      <c r="G1024" s="222" t="n">
        <v>0.5</v>
      </c>
      <c r="H1024" s="222" t="inlineStr">
        <is>
          <t>Closed</t>
        </is>
      </c>
      <c r="I1024" s="222" t="inlineStr">
        <is>
          <t>27-44</t>
        </is>
      </c>
      <c r="J1024" s="222" t="inlineStr">
        <is>
          <t>PRE INSP</t>
        </is>
      </c>
    </row>
    <row r="1025">
      <c r="A1025" s="222" t="inlineStr">
        <is>
          <t>336</t>
        </is>
      </c>
      <c r="B1025" s="222" t="inlineStr">
        <is>
          <t>274451-14-1</t>
        </is>
      </c>
      <c r="C1025" s="222" t="inlineStr">
        <is>
          <t>274451-14-1 (4) / THS ACTUATOR ELECTRICAL LOAD OPC</t>
        </is>
      </c>
      <c r="D1025" s="222" t="inlineStr">
        <is>
          <t>1</t>
        </is>
      </c>
      <c r="E1025" s="222" t="n">
        <v>0.7</v>
      </c>
      <c r="F1025" s="222" t="n">
        <v>8</v>
      </c>
      <c r="G1025" s="222" t="n">
        <v>4.3</v>
      </c>
      <c r="H1025" s="222" t="inlineStr">
        <is>
          <t>Closed</t>
        </is>
      </c>
      <c r="I1025" s="222" t="inlineStr">
        <is>
          <t>27-44</t>
        </is>
      </c>
      <c r="J1025" s="222" t="inlineStr">
        <is>
          <t>OPS/LK</t>
        </is>
      </c>
    </row>
    <row r="1026">
      <c r="A1026" s="222" t="inlineStr">
        <is>
          <t>337</t>
        </is>
      </c>
      <c r="B1026" s="222" t="inlineStr">
        <is>
          <t>275100-01-2</t>
        </is>
      </c>
      <c r="C1026" s="222" t="inlineStr">
        <is>
          <t>275100-01-2 (4) / FLAP SYSTEM WING TIP BRAKE OPC</t>
        </is>
      </c>
      <c r="D1026" s="222" t="inlineStr">
        <is>
          <t>1</t>
        </is>
      </c>
      <c r="E1026" s="222" t="n">
        <v>0.7</v>
      </c>
      <c r="F1026" s="222" t="n">
        <v>9</v>
      </c>
      <c r="G1026" s="222" t="n">
        <v>4</v>
      </c>
      <c r="H1026" s="222" t="inlineStr">
        <is>
          <t>Closed</t>
        </is>
      </c>
      <c r="I1026" s="222" t="inlineStr">
        <is>
          <t>27-51</t>
        </is>
      </c>
      <c r="J1026" s="222" t="inlineStr">
        <is>
          <t>PRE HGR, PRE HGR, PRE HGR</t>
        </is>
      </c>
    </row>
    <row r="1027">
      <c r="A1027" s="222" t="inlineStr">
        <is>
          <t>338</t>
        </is>
      </c>
      <c r="B1027" s="222" t="inlineStr">
        <is>
          <t>275100-02-1-001</t>
        </is>
      </c>
      <c r="C1027" s="222" t="inlineStr">
        <is>
          <t>275100-02-1-001 (03) / L/H WING FLAP INTERCONNECTING STRUT</t>
        </is>
      </c>
      <c r="D1027" s="222" t="inlineStr">
        <is>
          <t>1</t>
        </is>
      </c>
      <c r="E1027" s="222" t="n">
        <v>0.2</v>
      </c>
      <c r="F1027" s="222" t="n">
        <v>20</v>
      </c>
      <c r="G1027" s="222" t="n">
        <v>37.8</v>
      </c>
      <c r="H1027" s="222" t="inlineStr">
        <is>
          <t>Closed</t>
        </is>
      </c>
      <c r="I1027" s="222" t="inlineStr">
        <is>
          <t>27-51</t>
        </is>
      </c>
      <c r="J1027" s="222" t="inlineStr">
        <is>
          <t>PRE HGR, PRE HGR, PRE HGR</t>
        </is>
      </c>
    </row>
    <row r="1028">
      <c r="A1028" s="222" t="inlineStr">
        <is>
          <t>339</t>
        </is>
      </c>
      <c r="B1028" s="222" t="inlineStr">
        <is>
          <t>275100-02-1-002</t>
        </is>
      </c>
      <c r="C1028" s="222" t="inlineStr">
        <is>
          <t>275100-02-1-002 (03) / R/H WING FLAP INTERCONNECTING STRUT</t>
        </is>
      </c>
      <c r="D1028" s="222" t="inlineStr">
        <is>
          <t>1</t>
        </is>
      </c>
      <c r="E1028" s="222" t="n">
        <v>0.2</v>
      </c>
      <c r="F1028" s="222" t="n">
        <v>14.8</v>
      </c>
      <c r="G1028" s="222" t="n">
        <v>37.8</v>
      </c>
      <c r="H1028" s="222" t="inlineStr">
        <is>
          <t>Closed</t>
        </is>
      </c>
      <c r="I1028" s="222" t="inlineStr">
        <is>
          <t>27-51</t>
        </is>
      </c>
      <c r="J1028" s="222" t="inlineStr">
        <is>
          <t>PRE HGR, PRE HGR, PRE HGR</t>
        </is>
      </c>
    </row>
    <row r="1029">
      <c r="A1029" s="222" t="inlineStr">
        <is>
          <t>340</t>
        </is>
      </c>
      <c r="B1029" s="222" t="inlineStr">
        <is>
          <t>275100-03-1-001</t>
        </is>
      </c>
      <c r="C1029" s="222" t="inlineStr">
        <is>
          <t>275100-03-1-001 (05) / L/H WING FLAP TRANSMISSION SYS CHK</t>
        </is>
      </c>
      <c r="D1029" s="222" t="inlineStr">
        <is>
          <t>1</t>
        </is>
      </c>
      <c r="E1029" s="222" t="n">
        <v>1.8</v>
      </c>
      <c r="F1029" s="222" t="n">
        <v>0.7</v>
      </c>
      <c r="G1029" s="222" t="n">
        <v>52.6</v>
      </c>
      <c r="H1029" s="222" t="inlineStr">
        <is>
          <t>Closed</t>
        </is>
      </c>
      <c r="I1029" s="222" t="inlineStr">
        <is>
          <t>27-54</t>
        </is>
      </c>
      <c r="J1029" s="222" t="inlineStr">
        <is>
          <t>JOB-SETUP, INSPECTION, JOB-CLOSEUP</t>
        </is>
      </c>
    </row>
    <row r="1030">
      <c r="A1030" s="222" t="inlineStr">
        <is>
          <t>341</t>
        </is>
      </c>
      <c r="B1030" s="222" t="inlineStr">
        <is>
          <t>275100-03-1-002</t>
        </is>
      </c>
      <c r="C1030" s="222" t="inlineStr">
        <is>
          <t>275100-03-1-002 (05) / R/H WING FLAP TRANSMISSION SYS CHK</t>
        </is>
      </c>
      <c r="D1030" s="222" t="inlineStr">
        <is>
          <t>1</t>
        </is>
      </c>
      <c r="E1030" s="222" t="n">
        <v>1.8</v>
      </c>
      <c r="F1030" s="222" t="n">
        <v>0.6</v>
      </c>
      <c r="G1030" s="222" t="n">
        <v>42.8</v>
      </c>
      <c r="H1030" s="222" t="inlineStr">
        <is>
          <t>Closed</t>
        </is>
      </c>
      <c r="I1030" s="222" t="inlineStr">
        <is>
          <t>27-54</t>
        </is>
      </c>
      <c r="J1030" s="222" t="inlineStr">
        <is>
          <t>JOB-SETUP, INSPECTION, JOB-CLOSEUP</t>
        </is>
      </c>
    </row>
    <row r="1031">
      <c r="A1031" s="222" t="inlineStr">
        <is>
          <t>342</t>
        </is>
      </c>
      <c r="B1031" s="222" t="inlineStr">
        <is>
          <t>275144-01-1-001</t>
        </is>
      </c>
      <c r="C1031" s="222" t="inlineStr">
        <is>
          <t>275144-01-1-001 (03) / L/H WING FLAP INTERCONNECTING STRUT</t>
        </is>
      </c>
      <c r="D1031" s="222" t="inlineStr">
        <is>
          <t>1</t>
        </is>
      </c>
      <c r="E1031" s="222" t="n">
        <v>1.4</v>
      </c>
      <c r="F1031" s="222" t="n">
        <v>11</v>
      </c>
      <c r="G1031" s="222" t="n">
        <v>37.7</v>
      </c>
      <c r="H1031" s="222" t="inlineStr">
        <is>
          <t>Closed</t>
        </is>
      </c>
      <c r="I1031" s="222" t="inlineStr">
        <is>
          <t>27-51</t>
        </is>
      </c>
      <c r="J1031" s="222" t="inlineStr">
        <is>
          <t>JOB-SETUP, INSPECTION, OPS/LK, JOB-CLOSEUP</t>
        </is>
      </c>
    </row>
    <row r="1032">
      <c r="A1032" s="222" t="inlineStr">
        <is>
          <t>343</t>
        </is>
      </c>
      <c r="B1032" s="222" t="inlineStr">
        <is>
          <t>275144-01-1-002</t>
        </is>
      </c>
      <c r="C1032" s="222" t="inlineStr">
        <is>
          <t>275144-01-1-002 (03) / R/H WING FLAP INTERCONNECTING STRUT</t>
        </is>
      </c>
      <c r="D1032" s="222" t="inlineStr">
        <is>
          <t>1</t>
        </is>
      </c>
      <c r="E1032" s="222" t="n">
        <v>1.4</v>
      </c>
      <c r="F1032" s="222" t="n">
        <v>10.8</v>
      </c>
      <c r="G1032" s="222" t="n">
        <v>37.7</v>
      </c>
      <c r="H1032" s="222" t="inlineStr">
        <is>
          <t>Closed</t>
        </is>
      </c>
      <c r="I1032" s="222" t="inlineStr">
        <is>
          <t>27-51</t>
        </is>
      </c>
      <c r="J1032" s="222" t="inlineStr">
        <is>
          <t>JOB-SETUP, INSPECTION, OPS/LK, JOB-CLOSEUP</t>
        </is>
      </c>
    </row>
    <row r="1033">
      <c r="A1033" s="222" t="inlineStr">
        <is>
          <t>344</t>
        </is>
      </c>
      <c r="B1033" s="222" t="inlineStr">
        <is>
          <t>275400-01-1-001</t>
        </is>
      </c>
      <c r="C1033" s="222" t="inlineStr">
        <is>
          <t>275400-01-1-001 (02) / L/H FLAP TRANSMISSION ASSEMBLY INSP</t>
        </is>
      </c>
      <c r="D1033" s="222" t="inlineStr">
        <is>
          <t>1</t>
        </is>
      </c>
      <c r="E1033" s="222" t="n">
        <v>4.5</v>
      </c>
      <c r="F1033" s="222" t="n">
        <v>9</v>
      </c>
      <c r="G1033" s="222" t="n">
        <v>2.6</v>
      </c>
      <c r="H1033" s="222" t="inlineStr">
        <is>
          <t>Closed</t>
        </is>
      </c>
      <c r="I1033" s="222" t="inlineStr">
        <is>
          <t>27-54</t>
        </is>
      </c>
      <c r="J1033" s="222" t="inlineStr">
        <is>
          <t>INSPECTION</t>
        </is>
      </c>
    </row>
    <row r="1034">
      <c r="A1034" s="222" t="inlineStr">
        <is>
          <t>345</t>
        </is>
      </c>
      <c r="B1034" s="222" t="inlineStr">
        <is>
          <t>275400-01-1-002</t>
        </is>
      </c>
      <c r="C1034" s="222" t="inlineStr">
        <is>
          <t>275400-01-1-002 (02) / R/H FLAP TRANSMISSION ASSEMBLY INSP</t>
        </is>
      </c>
      <c r="D1034" s="222" t="inlineStr">
        <is>
          <t>1</t>
        </is>
      </c>
      <c r="E1034" s="222" t="n">
        <v>4.5</v>
      </c>
      <c r="F1034" s="222" t="n">
        <v>13</v>
      </c>
      <c r="G1034" s="222" t="n">
        <v>3.3</v>
      </c>
      <c r="H1034" s="222" t="inlineStr">
        <is>
          <t>Closed</t>
        </is>
      </c>
      <c r="I1034" s="222" t="inlineStr">
        <is>
          <t>27-54</t>
        </is>
      </c>
      <c r="J1034" s="222" t="inlineStr">
        <is>
          <t>INSPECTION</t>
        </is>
      </c>
    </row>
    <row r="1035">
      <c r="A1035" s="222" t="inlineStr">
        <is>
          <t>351</t>
        </is>
      </c>
      <c r="B1035" s="222" t="inlineStr">
        <is>
          <t>276400-02-1-001</t>
        </is>
      </c>
      <c r="C1035" s="222" t="inlineStr">
        <is>
          <t>276400-02-1-001 (05) / L/H SPOILER AND HYDRAULIC ACTUATION</t>
        </is>
      </c>
      <c r="D1035" s="222" t="inlineStr">
        <is>
          <t>1</t>
        </is>
      </c>
      <c r="E1035" s="222" t="n">
        <v>6.2</v>
      </c>
      <c r="F1035" s="222" t="n">
        <v>10.7</v>
      </c>
      <c r="G1035" s="222" t="n">
        <v>13.8</v>
      </c>
      <c r="H1035" s="222" t="inlineStr">
        <is>
          <t>Closed</t>
        </is>
      </c>
      <c r="I1035" s="222" t="inlineStr">
        <is>
          <t>27-64</t>
        </is>
      </c>
      <c r="J1035" s="222" t="inlineStr">
        <is>
          <t>JOB-SETUP, INSPECTION, INSPECTION, INSPECTION, INSPECTION, INSPECTION, JOB-CLOSEUP</t>
        </is>
      </c>
    </row>
    <row r="1036">
      <c r="A1036" s="222" t="inlineStr">
        <is>
          <t>352</t>
        </is>
      </c>
      <c r="B1036" s="222" t="inlineStr">
        <is>
          <t>276400-02-1-002</t>
        </is>
      </c>
      <c r="C1036" s="222" t="inlineStr">
        <is>
          <t>276400-02-1-002 (05) / RH SPOILER AND HYDRAULIC ACTUATION</t>
        </is>
      </c>
      <c r="D1036" s="222" t="inlineStr">
        <is>
          <t>1</t>
        </is>
      </c>
      <c r="E1036" s="222" t="n">
        <v>6.2</v>
      </c>
      <c r="F1036" s="222" t="n">
        <v>8.699999999999999</v>
      </c>
      <c r="G1036" s="222" t="n">
        <v>13.7</v>
      </c>
      <c r="H1036" s="222" t="inlineStr">
        <is>
          <t>Closed</t>
        </is>
      </c>
      <c r="I1036" s="222" t="inlineStr">
        <is>
          <t>27-64</t>
        </is>
      </c>
      <c r="J1036" s="222" t="inlineStr">
        <is>
          <t>JOB-SETUP, INSPECTION, INSPECTION, INSPECTION, INSPECTION, INSPECTION, JOB-CLOSEUP</t>
        </is>
      </c>
    </row>
    <row r="1037">
      <c r="A1037" s="222" t="inlineStr">
        <is>
          <t>354</t>
        </is>
      </c>
      <c r="B1037" s="222" t="inlineStr">
        <is>
          <t>278100-04-1-001</t>
        </is>
      </c>
      <c r="C1037" s="222" t="inlineStr">
        <is>
          <t>278100-04-1-001 (03) / L/H SLAT XMISION INSPECTION</t>
        </is>
      </c>
      <c r="D1037" s="222" t="inlineStr">
        <is>
          <t>1</t>
        </is>
      </c>
      <c r="E1037" s="222" t="n">
        <v>0.4</v>
      </c>
      <c r="F1037" s="222" t="n">
        <v>3</v>
      </c>
      <c r="G1037" s="222" t="n">
        <v>42</v>
      </c>
      <c r="H1037" s="222" t="inlineStr">
        <is>
          <t>Closed</t>
        </is>
      </c>
      <c r="I1037" s="222" t="inlineStr">
        <is>
          <t>27-84</t>
        </is>
      </c>
      <c r="J1037" s="222" t="inlineStr">
        <is>
          <t>JOB-SETUP, INSPECTION, JOB-CLOSEUP</t>
        </is>
      </c>
    </row>
    <row r="1038">
      <c r="A1038" s="222" t="inlineStr">
        <is>
          <t>355</t>
        </is>
      </c>
      <c r="B1038" s="222" t="inlineStr">
        <is>
          <t>278100-04-1-002</t>
        </is>
      </c>
      <c r="C1038" s="222" t="inlineStr">
        <is>
          <t>278100-04-1-002 (03) / R/H SLAT XMISION INSPECTION</t>
        </is>
      </c>
      <c r="D1038" s="222" t="inlineStr">
        <is>
          <t>1</t>
        </is>
      </c>
      <c r="E1038" s="222" t="n">
        <v>0.4</v>
      </c>
      <c r="F1038" s="222" t="n">
        <v>1.8</v>
      </c>
      <c r="G1038" s="222" t="n">
        <v>43.3</v>
      </c>
      <c r="H1038" s="222" t="inlineStr">
        <is>
          <t>Closed</t>
        </is>
      </c>
      <c r="I1038" s="222" t="inlineStr">
        <is>
          <t>27-84</t>
        </is>
      </c>
      <c r="J1038" s="222" t="inlineStr">
        <is>
          <t>JOB-SETUP, INSPECTION, JOB-CLOSEUP</t>
        </is>
      </c>
    </row>
    <row r="1039">
      <c r="A1039" s="222" t="inlineStr">
        <is>
          <t>361</t>
        </is>
      </c>
      <c r="B1039" s="222" t="inlineStr">
        <is>
          <t>281247-01-1-001</t>
        </is>
      </c>
      <c r="C1039" s="222" t="inlineStr">
        <is>
          <t>281247-01-1-001 (02) / L/H NACA INTAKE FOR SIGN OF BLOCLAGE</t>
        </is>
      </c>
      <c r="D1039" s="222" t="inlineStr">
        <is>
          <t>1</t>
        </is>
      </c>
      <c r="E1039" s="222" t="n">
        <v>0.1</v>
      </c>
      <c r="F1039" s="222" t="n">
        <v>0.9</v>
      </c>
      <c r="G1039" s="222" t="n">
        <v>0.9</v>
      </c>
      <c r="H1039" s="222" t="inlineStr">
        <is>
          <t>Closed</t>
        </is>
      </c>
      <c r="I1039" s="222" t="inlineStr">
        <is>
          <t>28-12</t>
        </is>
      </c>
      <c r="J1039" s="222" t="inlineStr">
        <is>
          <t>PRE INSP</t>
        </is>
      </c>
    </row>
    <row r="1040">
      <c r="A1040" s="222" t="inlineStr">
        <is>
          <t>362</t>
        </is>
      </c>
      <c r="B1040" s="222" t="inlineStr">
        <is>
          <t>281247-01-1-002</t>
        </is>
      </c>
      <c r="C1040" s="222" t="inlineStr">
        <is>
          <t>281247-01-1-002 (02) / R/H NACA INTAKE FOR SIGN OF BLOCKAGE</t>
        </is>
      </c>
      <c r="D1040" s="222" t="inlineStr">
        <is>
          <t>1</t>
        </is>
      </c>
      <c r="E1040" s="222" t="n">
        <v>0.1</v>
      </c>
      <c r="F1040" s="222" t="n">
        <v>1</v>
      </c>
      <c r="G1040" s="222" t="n">
        <v>1</v>
      </c>
      <c r="H1040" s="222" t="inlineStr">
        <is>
          <t>Closed</t>
        </is>
      </c>
      <c r="I1040" s="222" t="inlineStr">
        <is>
          <t>28-12</t>
        </is>
      </c>
      <c r="J1040" s="222" t="inlineStr">
        <is>
          <t>PRE INSP</t>
        </is>
      </c>
    </row>
    <row r="1041">
      <c r="A1041" s="222" t="inlineStr">
        <is>
          <t>367</t>
        </is>
      </c>
      <c r="B1041" s="222" t="inlineStr">
        <is>
          <t>282100-05-1-001</t>
        </is>
      </c>
      <c r="C1041" s="222" t="inlineStr">
        <is>
          <t>282100-05-1-001 (03) / NO. 1 ENGINE PIPES, COUPLINGS INSP</t>
        </is>
      </c>
      <c r="D1041" s="222" t="inlineStr">
        <is>
          <t>1</t>
        </is>
      </c>
      <c r="E1041" s="222" t="n">
        <v>0.4</v>
      </c>
      <c r="F1041" s="222" t="n">
        <v>6</v>
      </c>
      <c r="G1041" s="222" t="n">
        <v>3.9</v>
      </c>
      <c r="H1041" s="222" t="inlineStr">
        <is>
          <t>Closed</t>
        </is>
      </c>
      <c r="I1041" s="222" t="inlineStr">
        <is>
          <t>28-21</t>
        </is>
      </c>
      <c r="J1041" s="222" t="inlineStr">
        <is>
          <t>JOB-SETUP, INSPECTION, JOB-CLOSEUP</t>
        </is>
      </c>
    </row>
    <row r="1042">
      <c r="A1042" s="222" t="inlineStr">
        <is>
          <t>368</t>
        </is>
      </c>
      <c r="B1042" s="222" t="inlineStr">
        <is>
          <t>282100-05-1-002</t>
        </is>
      </c>
      <c r="C1042" s="222" t="inlineStr">
        <is>
          <t>282100-05-1-002 (03) / NO. 2 ENGINE PIPES, COUPLINGS INSP</t>
        </is>
      </c>
      <c r="D1042" s="222" t="inlineStr">
        <is>
          <t>1</t>
        </is>
      </c>
      <c r="E1042" s="222" t="n">
        <v>0.4</v>
      </c>
      <c r="F1042" s="222" t="n">
        <v>5</v>
      </c>
      <c r="G1042" s="222" t="n">
        <v>3.8</v>
      </c>
      <c r="H1042" s="222" t="inlineStr">
        <is>
          <t>Closed</t>
        </is>
      </c>
      <c r="I1042" s="222" t="inlineStr">
        <is>
          <t>28-21</t>
        </is>
      </c>
      <c r="J1042" s="222" t="inlineStr">
        <is>
          <t>JOB-SETUP, INSPECTION, JOB-CLOSEUP</t>
        </is>
      </c>
    </row>
    <row r="1043">
      <c r="A1043" s="222" t="inlineStr">
        <is>
          <t>369</t>
        </is>
      </c>
      <c r="B1043" s="222" t="inlineStr">
        <is>
          <t>282300-01-2</t>
        </is>
      </c>
      <c r="C1043" s="222" t="inlineStr">
        <is>
          <t>282300-01-2 (04) / FUEL CROSSFEED VALVE OPERATIONAL</t>
        </is>
      </c>
      <c r="D1043" s="222" t="inlineStr">
        <is>
          <t>1</t>
        </is>
      </c>
      <c r="E1043" s="222" t="n">
        <v>0.2</v>
      </c>
      <c r="F1043" s="222" t="n">
        <v>10</v>
      </c>
      <c r="G1043" s="222" t="n">
        <v>3</v>
      </c>
      <c r="H1043" s="222" t="inlineStr">
        <is>
          <t>Closed</t>
        </is>
      </c>
      <c r="I1043" s="222" t="inlineStr">
        <is>
          <t>28-23</t>
        </is>
      </c>
      <c r="J1043" s="222" t="inlineStr">
        <is>
          <t>PRE HGR, PRE HGR, JOB-CLOSEUP</t>
        </is>
      </c>
    </row>
    <row r="1044">
      <c r="A1044" s="222" t="inlineStr">
        <is>
          <t>370</t>
        </is>
      </c>
      <c r="B1044" s="222" t="inlineStr">
        <is>
          <t>282541-01-1-001</t>
        </is>
      </c>
      <c r="C1044" s="222" t="inlineStr">
        <is>
          <t>282541-01-1-001 (04) / L/H REFUEL DEFUEL COUPLING DET INSP</t>
        </is>
      </c>
      <c r="D1044" s="222" t="inlineStr">
        <is>
          <t>1</t>
        </is>
      </c>
      <c r="E1044" s="222" t="n">
        <v>0.4</v>
      </c>
      <c r="F1044" s="222" t="n">
        <v>2.5</v>
      </c>
      <c r="G1044" s="222" t="n">
        <v>8.199999999999999</v>
      </c>
      <c r="H1044" s="222" t="inlineStr">
        <is>
          <t>Closed</t>
        </is>
      </c>
      <c r="I1044" s="222" t="inlineStr">
        <is>
          <t>28-25</t>
        </is>
      </c>
      <c r="J1044" s="222" t="inlineStr">
        <is>
          <t>JOB-SETUP, INSPECTION, JOB-CLOSEUP</t>
        </is>
      </c>
    </row>
    <row r="1045">
      <c r="A1045" s="222" t="inlineStr">
        <is>
          <t>371</t>
        </is>
      </c>
      <c r="B1045" s="222" t="inlineStr">
        <is>
          <t>282541-01-1-002</t>
        </is>
      </c>
      <c r="C1045" s="222" t="inlineStr">
        <is>
          <t>282541-01-1-002 (04) / R/H REFUEL DEFUEL COUPLING DET INSP</t>
        </is>
      </c>
      <c r="D1045" s="222" t="inlineStr">
        <is>
          <t>1</t>
        </is>
      </c>
      <c r="E1045" s="222" t="n">
        <v>0.4</v>
      </c>
      <c r="F1045" s="222" t="n">
        <v>4.2</v>
      </c>
      <c r="G1045" s="222" t="n">
        <v>8.199999999999999</v>
      </c>
      <c r="H1045" s="222" t="inlineStr">
        <is>
          <t>Closed</t>
        </is>
      </c>
      <c r="I1045" s="222" t="inlineStr">
        <is>
          <t>28-25</t>
        </is>
      </c>
      <c r="J1045" s="222" t="inlineStr">
        <is>
          <t>JOB-SETUP, INSPECTION, JOB-CLOSEUP</t>
        </is>
      </c>
    </row>
    <row r="1046">
      <c r="A1046" s="222" t="inlineStr">
        <is>
          <t>373</t>
        </is>
      </c>
      <c r="B1046" s="222" t="inlineStr">
        <is>
          <t>282800-05-2</t>
        </is>
      </c>
      <c r="C1046" s="222" t="inlineStr">
        <is>
          <t>282800-05-2 (3) / ADD CTR TANK MANL TRX OPC</t>
        </is>
      </c>
      <c r="D1046" s="222" t="inlineStr">
        <is>
          <t>1</t>
        </is>
      </c>
      <c r="E1046" s="222" t="n">
        <v>0.9</v>
      </c>
      <c r="F1046" s="222" t="n">
        <v>6</v>
      </c>
      <c r="G1046" s="222" t="n">
        <v>3</v>
      </c>
      <c r="H1046" s="222" t="inlineStr">
        <is>
          <t>Closed</t>
        </is>
      </c>
      <c r="I1046" s="222" t="inlineStr">
        <is>
          <t>28-28</t>
        </is>
      </c>
      <c r="J1046" s="222" t="inlineStr">
        <is>
          <t>OPS/LK</t>
        </is>
      </c>
    </row>
    <row r="1047">
      <c r="A1047" s="222" t="inlineStr">
        <is>
          <t>377</t>
        </is>
      </c>
      <c r="B1047" s="222" t="inlineStr">
        <is>
          <t>291000-06-1</t>
        </is>
      </c>
      <c r="C1047" s="222" t="inlineStr">
        <is>
          <t>291000-06-1 (3) / PTU YELLOW TO GREEN FUNCTIONAL CHECK</t>
        </is>
      </c>
      <c r="D1047" s="222" t="inlineStr">
        <is>
          <t>1</t>
        </is>
      </c>
      <c r="E1047" s="222" t="n">
        <v>0.2</v>
      </c>
      <c r="F1047" s="222" t="n">
        <v>4</v>
      </c>
      <c r="G1047" s="222" t="n">
        <v>2</v>
      </c>
      <c r="H1047" s="222" t="inlineStr">
        <is>
          <t>Closed</t>
        </is>
      </c>
      <c r="I1047" s="222" t="inlineStr">
        <is>
          <t>29-23</t>
        </is>
      </c>
      <c r="J1047" s="222" t="inlineStr">
        <is>
          <t>OPS/LK</t>
        </is>
      </c>
    </row>
    <row r="1048">
      <c r="A1048" s="222" t="inlineStr">
        <is>
          <t>378</t>
        </is>
      </c>
      <c r="B1048" s="222" t="inlineStr">
        <is>
          <t>291000-09-1</t>
        </is>
      </c>
      <c r="C1048" s="222" t="inlineStr">
        <is>
          <t>291000-09-1 (4) / HYDRAULIC FIRE SHUT OFF VALVES OPC</t>
        </is>
      </c>
      <c r="D1048" s="222" t="inlineStr">
        <is>
          <t>1</t>
        </is>
      </c>
      <c r="E1048" s="222" t="n">
        <v>0.4</v>
      </c>
      <c r="F1048" s="222" t="n">
        <v>4</v>
      </c>
      <c r="G1048" s="222" t="n">
        <v>2</v>
      </c>
      <c r="H1048" s="222" t="inlineStr">
        <is>
          <t>Closed</t>
        </is>
      </c>
      <c r="I1048" s="222" t="inlineStr">
        <is>
          <t>29-10</t>
        </is>
      </c>
      <c r="J1048" s="222" t="inlineStr">
        <is>
          <t>OPS/LK</t>
        </is>
      </c>
    </row>
    <row r="1049">
      <c r="A1049" s="222" t="inlineStr">
        <is>
          <t>380</t>
        </is>
      </c>
      <c r="B1049" s="222" t="inlineStr">
        <is>
          <t>291000-19-1</t>
        </is>
      </c>
      <c r="C1049" s="222" t="inlineStr">
        <is>
          <t>291000-19-1 (4) / PTU INHIBITION LOGIC OPERATION CHECK</t>
        </is>
      </c>
      <c r="D1049" s="222" t="inlineStr">
        <is>
          <t>1</t>
        </is>
      </c>
      <c r="E1049" s="222" t="n">
        <v>1.6</v>
      </c>
      <c r="F1049" s="222" t="n">
        <v>8</v>
      </c>
      <c r="G1049" s="222" t="n">
        <v>2</v>
      </c>
      <c r="H1049" s="222" t="inlineStr">
        <is>
          <t>Closed</t>
        </is>
      </c>
      <c r="I1049" s="222" t="inlineStr">
        <is>
          <t>29-23</t>
        </is>
      </c>
      <c r="J1049" s="222" t="inlineStr">
        <is>
          <t>OPS/LK, OPS/LK</t>
        </is>
      </c>
    </row>
    <row r="1050">
      <c r="A1050" s="222" t="inlineStr">
        <is>
          <t>386</t>
        </is>
      </c>
      <c r="B1050" s="222" t="inlineStr">
        <is>
          <t>302149-C1-1-001</t>
        </is>
      </c>
      <c r="C1050" s="222" t="inlineStr">
        <is>
          <t>302149-C1-1-001 (02) / NO.1 ENG INTAKE ANTI-ICE DUCT INSP</t>
        </is>
      </c>
      <c r="D1050" s="222" t="inlineStr">
        <is>
          <t>1</t>
        </is>
      </c>
      <c r="E1050" s="222" t="n">
        <v>0.9</v>
      </c>
      <c r="F1050" s="222" t="n">
        <v>2.5</v>
      </c>
      <c r="G1050" s="222" t="n">
        <v>16.3</v>
      </c>
      <c r="H1050" s="222" t="inlineStr">
        <is>
          <t>Closed</t>
        </is>
      </c>
      <c r="I1050" s="222" t="inlineStr">
        <is>
          <t>30-21</t>
        </is>
      </c>
      <c r="J1050" s="222" t="inlineStr">
        <is>
          <t>JOB-SETUP, INSPECTION, JOB-CLOSEUP</t>
        </is>
      </c>
    </row>
    <row r="1051">
      <c r="A1051" s="222" t="inlineStr">
        <is>
          <t>387</t>
        </is>
      </c>
      <c r="B1051" s="222" t="inlineStr">
        <is>
          <t>302149-C1-1-002</t>
        </is>
      </c>
      <c r="C1051" s="222" t="inlineStr">
        <is>
          <t>302149-C1-1-002 (02) / NO.2 ENG INTAKE ANTI-ICE DUCT INSP</t>
        </is>
      </c>
      <c r="D1051" s="222" t="inlineStr">
        <is>
          <t>1</t>
        </is>
      </c>
      <c r="E1051" s="222" t="n">
        <v>0.9</v>
      </c>
      <c r="F1051" s="222" t="n">
        <v>6.5</v>
      </c>
      <c r="G1051" s="222" t="n">
        <v>5.6</v>
      </c>
      <c r="H1051" s="222" t="inlineStr">
        <is>
          <t>Closed</t>
        </is>
      </c>
      <c r="I1051" s="222" t="inlineStr">
        <is>
          <t>30-21</t>
        </is>
      </c>
      <c r="J1051" s="222" t="inlineStr">
        <is>
          <t>JOB-SETUP, INSPECTION, JOB-CLOSEUP</t>
        </is>
      </c>
    </row>
    <row r="1052">
      <c r="A1052" s="222" t="inlineStr">
        <is>
          <t>388</t>
        </is>
      </c>
      <c r="B1052" s="222" t="inlineStr">
        <is>
          <t>303100-01-1</t>
        </is>
      </c>
      <c r="C1052" s="222" t="inlineStr">
        <is>
          <t>303100-01-1 (3) / PITOT PROBE HETR INSULATION RES FNC</t>
        </is>
      </c>
      <c r="D1052" s="222" t="inlineStr">
        <is>
          <t>1</t>
        </is>
      </c>
      <c r="E1052" s="222" t="n">
        <v>0.6</v>
      </c>
      <c r="F1052" s="222" t="n">
        <v>9</v>
      </c>
      <c r="G1052" s="222" t="n">
        <v>2.1</v>
      </c>
      <c r="H1052" s="222" t="inlineStr">
        <is>
          <t>Closed</t>
        </is>
      </c>
      <c r="I1052" s="222" t="inlineStr">
        <is>
          <t>30-31</t>
        </is>
      </c>
      <c r="J1052" s="222" t="inlineStr">
        <is>
          <t>JOB-SETUP, OPS/LK, JOB-CLOSEUP</t>
        </is>
      </c>
    </row>
    <row r="1053">
      <c r="A1053" s="222" t="inlineStr">
        <is>
          <t>389</t>
        </is>
      </c>
      <c r="B1053" s="222" t="inlineStr">
        <is>
          <t>313300-03-1</t>
        </is>
      </c>
      <c r="C1053" s="222" t="inlineStr">
        <is>
          <t>313300-03-1 (05) / DFDR SYSTEM INTERCONNECTION OPC</t>
        </is>
      </c>
      <c r="D1053" s="222" t="inlineStr">
        <is>
          <t>1</t>
        </is>
      </c>
      <c r="E1053" s="222" t="n">
        <v>0.3</v>
      </c>
      <c r="F1053" s="222" t="n">
        <v>4</v>
      </c>
      <c r="G1053" s="222" t="n">
        <v>2</v>
      </c>
      <c r="H1053" s="222" t="inlineStr">
        <is>
          <t>Closed</t>
        </is>
      </c>
      <c r="I1053" s="222" t="inlineStr">
        <is>
          <t>31-33</t>
        </is>
      </c>
      <c r="J1053" s="222" t="inlineStr">
        <is>
          <t>OPS/LK</t>
        </is>
      </c>
    </row>
    <row r="1054">
      <c r="A1054" s="222" t="inlineStr">
        <is>
          <t>391</t>
        </is>
      </c>
      <c r="B1054" s="222" t="inlineStr">
        <is>
          <t>315000-01-1</t>
        </is>
      </c>
      <c r="C1054" s="222" t="inlineStr">
        <is>
          <t>315000-01-1 (3) / PFD-ND AND ECAM-ND MANUAL TRANS OPC</t>
        </is>
      </c>
      <c r="D1054" s="222" t="inlineStr">
        <is>
          <t>1</t>
        </is>
      </c>
      <c r="E1054" s="222" t="n">
        <v>0.4</v>
      </c>
      <c r="F1054" s="222" t="n">
        <v>4</v>
      </c>
      <c r="G1054" s="222" t="n">
        <v>2</v>
      </c>
      <c r="H1054" s="222" t="inlineStr">
        <is>
          <t>Closed</t>
        </is>
      </c>
      <c r="I1054" s="222" t="inlineStr">
        <is>
          <t>31-50</t>
        </is>
      </c>
      <c r="J1054" s="222" t="inlineStr">
        <is>
          <t>OPS/LK</t>
        </is>
      </c>
    </row>
    <row r="1055">
      <c r="A1055" s="222" t="inlineStr">
        <is>
          <t>392</t>
        </is>
      </c>
      <c r="B1055" s="222" t="inlineStr">
        <is>
          <t>315000-02-1</t>
        </is>
      </c>
      <c r="C1055" s="222" t="inlineStr">
        <is>
          <t>315000-02-1 (4) / EFIS &amp; ECAM DMC OPS CHK</t>
        </is>
      </c>
      <c r="D1055" s="222" t="inlineStr">
        <is>
          <t>1</t>
        </is>
      </c>
      <c r="E1055" s="222" t="n">
        <v>0.9</v>
      </c>
      <c r="F1055" s="222" t="n">
        <v>4</v>
      </c>
      <c r="G1055" s="222" t="n">
        <v>1</v>
      </c>
      <c r="H1055" s="222" t="inlineStr">
        <is>
          <t>Closed</t>
        </is>
      </c>
      <c r="I1055" s="222" t="inlineStr">
        <is>
          <t>31-60</t>
        </is>
      </c>
      <c r="J1055" s="222" t="inlineStr">
        <is>
          <t>JOB-SETUP, OPS/LK</t>
        </is>
      </c>
    </row>
    <row r="1056">
      <c r="A1056" s="222" t="inlineStr">
        <is>
          <t>393</t>
        </is>
      </c>
      <c r="B1056" s="222" t="inlineStr">
        <is>
          <t>315000-04-1</t>
        </is>
      </c>
      <c r="C1056" s="222" t="inlineStr">
        <is>
          <t>315000-04-1 (4) / DMC3 POWER SUPPLY TRASF OPS CHK</t>
        </is>
      </c>
      <c r="D1056" s="222" t="inlineStr">
        <is>
          <t>1</t>
        </is>
      </c>
      <c r="E1056" s="222" t="n">
        <v>0.4</v>
      </c>
      <c r="F1056" s="222" t="n">
        <v>4</v>
      </c>
      <c r="G1056" s="222" t="n">
        <v>1</v>
      </c>
      <c r="H1056" s="222" t="inlineStr">
        <is>
          <t>Closed</t>
        </is>
      </c>
      <c r="I1056" s="222" t="inlineStr">
        <is>
          <t>31-60</t>
        </is>
      </c>
      <c r="J1056" s="222" t="inlineStr">
        <is>
          <t>JOB-SETUP, OPS/LK</t>
        </is>
      </c>
    </row>
    <row r="1057">
      <c r="A1057" s="222" t="inlineStr">
        <is>
          <t>394</t>
        </is>
      </c>
      <c r="B1057" s="222" t="inlineStr">
        <is>
          <t>321113-03-1-001</t>
        </is>
      </c>
      <c r="C1057" s="222" t="inlineStr">
        <is>
          <t>321113-03-1-001 (03) / LH MLG SHOCK ABSORBER FLUID LEVL CHK</t>
        </is>
      </c>
      <c r="D1057" s="222" t="inlineStr">
        <is>
          <t>1</t>
        </is>
      </c>
      <c r="E1057" s="222" t="n">
        <v>13.6</v>
      </c>
      <c r="F1057" s="222" t="n">
        <v>4.5</v>
      </c>
      <c r="G1057" s="222" t="n">
        <v>1.5</v>
      </c>
      <c r="H1057" s="222" t="inlineStr">
        <is>
          <t>Closed</t>
        </is>
      </c>
      <c r="I1057" s="222" t="inlineStr">
        <is>
          <t>12-12</t>
        </is>
      </c>
      <c r="J1057" s="222" t="inlineStr">
        <is>
          <t>JOB-SETUP, TC/P, JOB-CLOSEUP</t>
        </is>
      </c>
    </row>
    <row r="1058">
      <c r="A1058" s="222" t="inlineStr">
        <is>
          <t>395</t>
        </is>
      </c>
      <c r="B1058" s="222" t="inlineStr">
        <is>
          <t>321113-03-1-002</t>
        </is>
      </c>
      <c r="C1058" s="222" t="inlineStr">
        <is>
          <t>321113-03-1-002 (03) / RH MLG SHOCK ABSORBER FLUID LEVL CHK</t>
        </is>
      </c>
      <c r="D1058" s="222" t="inlineStr">
        <is>
          <t>1</t>
        </is>
      </c>
      <c r="E1058" s="222" t="n">
        <v>13.6</v>
      </c>
      <c r="F1058" s="222" t="n">
        <v>5</v>
      </c>
      <c r="G1058" s="222" t="n">
        <v>72.7</v>
      </c>
      <c r="H1058" s="222" t="inlineStr">
        <is>
          <t>Closed</t>
        </is>
      </c>
      <c r="I1058" s="222" t="inlineStr">
        <is>
          <t>12-12</t>
        </is>
      </c>
      <c r="J1058" s="222" t="inlineStr">
        <is>
          <t>JOB-SETUP, TC/P, JOB-CLOSEUP</t>
        </is>
      </c>
    </row>
    <row r="1059">
      <c r="A1059" s="222" t="inlineStr">
        <is>
          <t>396</t>
        </is>
      </c>
      <c r="B1059" s="222" t="inlineStr">
        <is>
          <t>321113-04-1-001</t>
        </is>
      </c>
      <c r="C1059" s="222" t="inlineStr">
        <is>
          <t>321113-04-1-001 (03) / L/H MLG SHOCK ABSORBER PRESS CHK</t>
        </is>
      </c>
      <c r="D1059" s="222" t="inlineStr">
        <is>
          <t>1</t>
        </is>
      </c>
      <c r="E1059" s="222" t="n">
        <v>1.8</v>
      </c>
      <c r="F1059" s="222" t="n">
        <v>13</v>
      </c>
      <c r="G1059" s="222" t="n">
        <v>8</v>
      </c>
      <c r="H1059" s="222" t="inlineStr">
        <is>
          <t>Closed</t>
        </is>
      </c>
      <c r="I1059" s="222" t="inlineStr">
        <is>
          <t>12-14</t>
        </is>
      </c>
      <c r="J1059" s="222" t="inlineStr">
        <is>
          <t>OPS/LK</t>
        </is>
      </c>
    </row>
    <row r="1060">
      <c r="A1060" s="222" t="inlineStr">
        <is>
          <t>397</t>
        </is>
      </c>
      <c r="B1060" s="222" t="inlineStr">
        <is>
          <t>321113-04-1-002</t>
        </is>
      </c>
      <c r="C1060" s="222" t="inlineStr">
        <is>
          <t>321113-04-1-002 (03) / R/H MLG SHOCK ABSORBER PRESS CHK</t>
        </is>
      </c>
      <c r="D1060" s="222" t="inlineStr">
        <is>
          <t>1</t>
        </is>
      </c>
      <c r="E1060" s="222" t="n">
        <v>1.8</v>
      </c>
      <c r="F1060" s="222" t="n">
        <v>7</v>
      </c>
      <c r="G1060" s="222" t="n">
        <v>2</v>
      </c>
      <c r="H1060" s="222" t="inlineStr">
        <is>
          <t>Closed</t>
        </is>
      </c>
      <c r="I1060" s="222" t="inlineStr">
        <is>
          <t>12-14</t>
        </is>
      </c>
      <c r="J1060" s="222" t="inlineStr">
        <is>
          <t>OPS/LK</t>
        </is>
      </c>
    </row>
    <row r="1061">
      <c r="A1061" s="222" t="inlineStr">
        <is>
          <t>400</t>
        </is>
      </c>
      <c r="B1061" s="222" t="inlineStr">
        <is>
          <t>322113-01-1</t>
        </is>
      </c>
      <c r="C1061" s="222" t="inlineStr">
        <is>
          <t>322113-01-1 (4) / NLG SHOCK ABSORBR CHARGE PRSS CHK</t>
        </is>
      </c>
      <c r="D1061" s="222" t="inlineStr">
        <is>
          <t>1</t>
        </is>
      </c>
      <c r="E1061" s="222" t="n">
        <v>0.9</v>
      </c>
      <c r="F1061" s="222" t="n">
        <v>3</v>
      </c>
      <c r="G1061" s="222" t="n">
        <v>1</v>
      </c>
      <c r="H1061" s="222" t="inlineStr">
        <is>
          <t>Closed</t>
        </is>
      </c>
      <c r="I1061" s="222" t="inlineStr">
        <is>
          <t>12-12</t>
        </is>
      </c>
      <c r="J1061" s="222" t="inlineStr">
        <is>
          <t>OPS/LK</t>
        </is>
      </c>
    </row>
    <row r="1062">
      <c r="A1062" s="222" t="inlineStr">
        <is>
          <t>401</t>
        </is>
      </c>
      <c r="B1062" s="222" t="inlineStr">
        <is>
          <t>323000-17-1</t>
        </is>
      </c>
      <c r="C1062" s="222" t="inlineStr">
        <is>
          <t>323000-17-1 (5) / LGCIU POWER SUPPLY RELAYS FUNC CHK</t>
        </is>
      </c>
      <c r="D1062" s="222" t="inlineStr">
        <is>
          <t>1</t>
        </is>
      </c>
      <c r="E1062" s="222" t="n">
        <v>0.4</v>
      </c>
      <c r="F1062" s="222" t="n">
        <v>4.5</v>
      </c>
      <c r="G1062" s="222" t="n">
        <v>2.8</v>
      </c>
      <c r="H1062" s="222" t="inlineStr">
        <is>
          <t>Closed</t>
        </is>
      </c>
      <c r="I1062" s="222" t="inlineStr">
        <is>
          <t>32-31</t>
        </is>
      </c>
      <c r="J1062" s="222" t="inlineStr">
        <is>
          <t>OPS/LK</t>
        </is>
      </c>
    </row>
    <row r="1063">
      <c r="A1063" s="222" t="inlineStr">
        <is>
          <t>403</t>
        </is>
      </c>
      <c r="B1063" s="222" t="inlineStr">
        <is>
          <t>323100-05-1</t>
        </is>
      </c>
      <c r="C1063" s="222" t="inlineStr">
        <is>
          <t>323100-05-1 (2) / NLG DOOR OPERATING MECHANISM INSP</t>
        </is>
      </c>
      <c r="D1063" s="222" t="inlineStr">
        <is>
          <t>1</t>
        </is>
      </c>
      <c r="E1063" s="222" t="n">
        <v>0.7</v>
      </c>
      <c r="F1063" s="222" t="n">
        <v>1</v>
      </c>
      <c r="G1063" s="222" t="n">
        <v>1</v>
      </c>
      <c r="H1063" s="222" t="inlineStr">
        <is>
          <t>Closed</t>
        </is>
      </c>
      <c r="I1063" s="222" t="inlineStr">
        <is>
          <t>32-30</t>
        </is>
      </c>
      <c r="J1063" s="222" t="inlineStr">
        <is>
          <t>PRE INSP</t>
        </is>
      </c>
    </row>
    <row r="1064">
      <c r="A1064" s="222" t="inlineStr">
        <is>
          <t>411</t>
        </is>
      </c>
      <c r="B1064" s="222" t="inlineStr">
        <is>
          <t>324300-02-1</t>
        </is>
      </c>
      <c r="C1064" s="222" t="inlineStr">
        <is>
          <t>324300-02-1 (5) / OPERATIONAL CHECK OF ANTISKID INHIBITION</t>
        </is>
      </c>
      <c r="D1064" s="222" t="inlineStr">
        <is>
          <t>1</t>
        </is>
      </c>
      <c r="E1064" s="222" t="n">
        <v>0.2</v>
      </c>
      <c r="F1064" s="222" t="n">
        <v>8</v>
      </c>
      <c r="G1064" s="222" t="n">
        <v>3</v>
      </c>
      <c r="H1064" s="222" t="inlineStr">
        <is>
          <t>Closed</t>
        </is>
      </c>
      <c r="I1064" s="222" t="inlineStr">
        <is>
          <t>32-42</t>
        </is>
      </c>
      <c r="J1064" s="222" t="inlineStr">
        <is>
          <t>JOB-SETUP, OPS/LK, JOB-CLOSEUP</t>
        </is>
      </c>
    </row>
    <row r="1065">
      <c r="A1065" s="222" t="inlineStr">
        <is>
          <t>412</t>
        </is>
      </c>
      <c r="B1065" s="222" t="inlineStr">
        <is>
          <t>324500-01-2</t>
        </is>
      </c>
      <c r="C1065" s="222" t="inlineStr">
        <is>
          <t>324500-01-2 (4) / PARKING BRAKE SYSTEM OPS CHK</t>
        </is>
      </c>
      <c r="D1065" s="222" t="inlineStr">
        <is>
          <t>1</t>
        </is>
      </c>
      <c r="E1065" s="222" t="n">
        <v>1.8</v>
      </c>
      <c r="F1065" s="222" t="n">
        <v>10</v>
      </c>
      <c r="G1065" s="222" t="n">
        <v>3</v>
      </c>
      <c r="H1065" s="222" t="inlineStr">
        <is>
          <t>Closed</t>
        </is>
      </c>
      <c r="I1065" s="222" t="inlineStr">
        <is>
          <t>32-45</t>
        </is>
      </c>
      <c r="J1065" s="222" t="inlineStr">
        <is>
          <t>JOB-SETUP, OPS/LK</t>
        </is>
      </c>
    </row>
    <row r="1066">
      <c r="A1066" s="222" t="inlineStr">
        <is>
          <t>413</t>
        </is>
      </c>
      <c r="B1066" s="222" t="inlineStr">
        <is>
          <t>335100-11-1</t>
        </is>
      </c>
      <c r="C1066" s="222" t="inlineStr">
        <is>
          <t>335100-11-1 (1) / CABIN EMERGENCY LIGHTING</t>
        </is>
      </c>
      <c r="D1066" s="222" t="inlineStr">
        <is>
          <t>1</t>
        </is>
      </c>
      <c r="E1066" s="222" t="n">
        <v>0.2</v>
      </c>
      <c r="F1066" s="222" t="n">
        <v>9</v>
      </c>
      <c r="G1066" s="222" t="n">
        <v>3.1</v>
      </c>
      <c r="H1066" s="222" t="inlineStr">
        <is>
          <t>Closed</t>
        </is>
      </c>
      <c r="I1066" s="222" t="inlineStr">
        <is>
          <t>33-51</t>
        </is>
      </c>
      <c r="J1066" s="222" t="inlineStr">
        <is>
          <t>JOB-SETUP, OPS/LK, JOB-CLOSEUP</t>
        </is>
      </c>
    </row>
    <row r="1067">
      <c r="A1067" s="222" t="inlineStr">
        <is>
          <t>414</t>
        </is>
      </c>
      <c r="B1067" s="222" t="inlineStr">
        <is>
          <t>34-55-00-03-A</t>
        </is>
      </c>
      <c r="C1067" s="222" t="inlineStr">
        <is>
          <t>34-55-00-03-A (04) / VOR SYSTEM TEST</t>
        </is>
      </c>
      <c r="D1067" s="222" t="inlineStr">
        <is>
          <t>1</t>
        </is>
      </c>
      <c r="E1067" s="222" t="n">
        <v>1</v>
      </c>
      <c r="F1067" s="222" t="n">
        <v>6.5</v>
      </c>
      <c r="G1067" s="222" t="n">
        <v>2.6</v>
      </c>
      <c r="H1067" s="222" t="inlineStr">
        <is>
          <t>Closed</t>
        </is>
      </c>
      <c r="I1067" s="222" t="inlineStr">
        <is>
          <t>34-55</t>
        </is>
      </c>
      <c r="J1067" s="222" t="inlineStr">
        <is>
          <t>JOB-SETUP, OPS/LK, JOB-CLOSEUP</t>
        </is>
      </c>
    </row>
    <row r="1068">
      <c r="A1068" s="222" t="inlineStr">
        <is>
          <t>415</t>
        </is>
      </c>
      <c r="B1068" s="222" t="inlineStr">
        <is>
          <t>341300-01-1</t>
        </is>
      </c>
      <c r="C1068" s="222" t="inlineStr">
        <is>
          <t>341300-01-1 (3) / VMO/MMO OVERSPEED WARNING OPC</t>
        </is>
      </c>
      <c r="D1068" s="222" t="inlineStr">
        <is>
          <t>1</t>
        </is>
      </c>
      <c r="E1068" s="222" t="n">
        <v>0.4</v>
      </c>
      <c r="F1068" s="222" t="n">
        <v>8</v>
      </c>
      <c r="G1068" s="222" t="n">
        <v>1</v>
      </c>
      <c r="H1068" s="222" t="inlineStr">
        <is>
          <t>Closed</t>
        </is>
      </c>
      <c r="I1068" s="222" t="inlineStr">
        <is>
          <t>34-13</t>
        </is>
      </c>
      <c r="J1068" s="222" t="inlineStr">
        <is>
          <t>JOB-SETUP, OPS/LK, OPS/LK, JOB-CLOSEUP</t>
        </is>
      </c>
    </row>
    <row r="1069">
      <c r="A1069" s="222" t="inlineStr">
        <is>
          <t>416</t>
        </is>
      </c>
      <c r="B1069" s="222" t="inlineStr">
        <is>
          <t>341300-02-1</t>
        </is>
      </c>
      <c r="C1069" s="222" t="inlineStr">
        <is>
          <t>341300-02-1 (3) / AIR DATA SWITCHING FUNCTION OPC</t>
        </is>
      </c>
      <c r="D1069" s="222" t="inlineStr">
        <is>
          <t>1</t>
        </is>
      </c>
      <c r="E1069" s="222" t="n">
        <v>0.2</v>
      </c>
      <c r="F1069" s="222" t="n">
        <v>6</v>
      </c>
      <c r="G1069" s="222" t="n">
        <v>1</v>
      </c>
      <c r="H1069" s="222" t="inlineStr">
        <is>
          <t>Closed</t>
        </is>
      </c>
      <c r="I1069" s="222" t="inlineStr">
        <is>
          <t>34-13</t>
        </is>
      </c>
      <c r="J1069" s="222" t="inlineStr">
        <is>
          <t>JOB-SETUP, OPS/LK, JOB-CLOSEUP</t>
        </is>
      </c>
    </row>
    <row r="1070">
      <c r="A1070" s="222" t="inlineStr">
        <is>
          <t>417</t>
        </is>
      </c>
      <c r="B1070" s="222" t="inlineStr">
        <is>
          <t>341300-03-1</t>
        </is>
      </c>
      <c r="C1070" s="222" t="inlineStr">
        <is>
          <t>341300-03-1 (3) / OVERSPEED WARNINGS (VFE/VLE) OPC</t>
        </is>
      </c>
      <c r="D1070" s="222" t="inlineStr">
        <is>
          <t>1</t>
        </is>
      </c>
      <c r="E1070" s="222" t="n">
        <v>0.4</v>
      </c>
      <c r="F1070" s="222" t="n">
        <v>8</v>
      </c>
      <c r="G1070" s="222" t="n">
        <v>1</v>
      </c>
      <c r="H1070" s="222" t="inlineStr">
        <is>
          <t>Closed</t>
        </is>
      </c>
      <c r="I1070" s="222" t="inlineStr">
        <is>
          <t>34-13</t>
        </is>
      </c>
      <c r="J1070" s="222" t="inlineStr">
        <is>
          <t>JOB-SETUP, OPS/LK, OPS/LK, JOB-CLOSEUP</t>
        </is>
      </c>
    </row>
    <row r="1071">
      <c r="A1071" s="222" t="inlineStr">
        <is>
          <t>418</t>
        </is>
      </c>
      <c r="B1071" s="222" t="inlineStr">
        <is>
          <t>341300-05-1</t>
        </is>
      </c>
      <c r="C1071" s="222" t="inlineStr">
        <is>
          <t>341300-05-1 (4) / ADIRU 5-MINUTE TIME DELAY OPC</t>
        </is>
      </c>
      <c r="D1071" s="222" t="inlineStr">
        <is>
          <t>1</t>
        </is>
      </c>
      <c r="E1071" s="222" t="n">
        <v>0.4</v>
      </c>
      <c r="F1071" s="222" t="n">
        <v>4</v>
      </c>
      <c r="G1071" s="222" t="n">
        <v>2</v>
      </c>
      <c r="H1071" s="222" t="inlineStr">
        <is>
          <t>Closed</t>
        </is>
      </c>
      <c r="I1071" s="222" t="inlineStr">
        <is>
          <t>34-13</t>
        </is>
      </c>
      <c r="J1071" s="222" t="inlineStr">
        <is>
          <t>OPS/LK</t>
        </is>
      </c>
    </row>
    <row r="1072">
      <c r="A1072" s="222" t="inlineStr">
        <is>
          <t>419</t>
        </is>
      </c>
      <c r="B1072" s="222" t="inlineStr">
        <is>
          <t>341300-09-1</t>
        </is>
      </c>
      <c r="C1072" s="222" t="inlineStr">
        <is>
          <t>341300-09-1 (3) / BACK-UP SPEED &amp; ALTTITUDE SCALES OPC</t>
        </is>
      </c>
      <c r="D1072" s="222" t="inlineStr">
        <is>
          <t>1</t>
        </is>
      </c>
      <c r="E1072" s="222" t="n">
        <v>0.4</v>
      </c>
      <c r="F1072" s="222" t="n">
        <v>4</v>
      </c>
      <c r="G1072" s="222" t="n">
        <v>2</v>
      </c>
      <c r="H1072" s="222" t="inlineStr">
        <is>
          <t>Closed</t>
        </is>
      </c>
      <c r="I1072" s="222" t="inlineStr">
        <is>
          <t>34-13</t>
        </is>
      </c>
      <c r="J1072" s="222" t="inlineStr">
        <is>
          <t>OPS/LK</t>
        </is>
      </c>
    </row>
    <row r="1073">
      <c r="A1073" s="222" t="inlineStr">
        <is>
          <t>420</t>
        </is>
      </c>
      <c r="B1073" s="222" t="inlineStr">
        <is>
          <t>342000-03-1</t>
        </is>
      </c>
      <c r="C1073" s="222" t="inlineStr">
        <is>
          <t>342000-03-1 (3) / (ISIS) DC HOT BUS SUPPLY OPS CHK</t>
        </is>
      </c>
      <c r="D1073" s="222" t="inlineStr">
        <is>
          <t>1</t>
        </is>
      </c>
      <c r="E1073" s="222" t="n">
        <v>0.7</v>
      </c>
      <c r="F1073" s="222" t="n">
        <v>4</v>
      </c>
      <c r="G1073" s="222" t="n">
        <v>2</v>
      </c>
      <c r="H1073" s="222" t="inlineStr">
        <is>
          <t>Closed</t>
        </is>
      </c>
      <c r="I1073" s="222" t="inlineStr">
        <is>
          <t>34-20</t>
        </is>
      </c>
      <c r="J1073" s="222" t="inlineStr">
        <is>
          <t>OPS/LK</t>
        </is>
      </c>
    </row>
    <row r="1074">
      <c r="A1074" s="222" t="inlineStr">
        <is>
          <t>421</t>
        </is>
      </c>
      <c r="B1074" s="222" t="inlineStr">
        <is>
          <t>342200-01-1</t>
        </is>
      </c>
      <c r="C1074" s="222" t="inlineStr">
        <is>
          <t>342200-01-1 (5) / STANDBY COMPASS OPS CHK &amp; GVI</t>
        </is>
      </c>
      <c r="D1074" s="222" t="inlineStr">
        <is>
          <t>1</t>
        </is>
      </c>
      <c r="E1074" s="222" t="n">
        <v>0.2</v>
      </c>
      <c r="F1074" s="222" t="n">
        <v>4.5</v>
      </c>
      <c r="G1074" s="222" t="n">
        <v>1.4</v>
      </c>
      <c r="H1074" s="222" t="inlineStr">
        <is>
          <t>Closed</t>
        </is>
      </c>
      <c r="I1074" s="222" t="inlineStr">
        <is>
          <t>34-22</t>
        </is>
      </c>
      <c r="J1074" s="222" t="inlineStr">
        <is>
          <t>JOB-SETUP, OPS/LK, OPS/LK, JOB-CLOSEUP</t>
        </is>
      </c>
    </row>
    <row r="1075">
      <c r="A1075" s="222" t="inlineStr">
        <is>
          <t>422</t>
        </is>
      </c>
      <c r="B1075" s="222" t="inlineStr">
        <is>
          <t>342200-05-1</t>
        </is>
      </c>
      <c r="C1075" s="222" t="inlineStr">
        <is>
          <t>342200-05-1 (3) / STBY PNEM CIRCUT LOW RANG LEAK TEST</t>
        </is>
      </c>
      <c r="D1075" s="222" t="inlineStr">
        <is>
          <t>1</t>
        </is>
      </c>
      <c r="E1075" s="222" t="n">
        <v>0.9</v>
      </c>
      <c r="F1075" s="222" t="n">
        <v>13</v>
      </c>
      <c r="G1075" s="222" t="n">
        <v>2.2</v>
      </c>
      <c r="H1075" s="222" t="inlineStr">
        <is>
          <t>Closed</t>
        </is>
      </c>
      <c r="I1075" s="222" t="inlineStr">
        <is>
          <t>34-22</t>
        </is>
      </c>
      <c r="J1075" s="222" t="inlineStr">
        <is>
          <t>JOB-SETUP, OPS/LK, JOB-CLOSEUP</t>
        </is>
      </c>
    </row>
    <row r="1076">
      <c r="A1076" s="222" t="inlineStr">
        <is>
          <t>423</t>
        </is>
      </c>
      <c r="B1076" s="222" t="inlineStr">
        <is>
          <t>344800-03-1</t>
        </is>
      </c>
      <c r="C1076" s="222" t="inlineStr">
        <is>
          <t>344800-03-1 (04) / TERRAIN AWARENESS WARNING SYSTEM RA OPC</t>
        </is>
      </c>
      <c r="D1076" s="222" t="inlineStr">
        <is>
          <t>1</t>
        </is>
      </c>
      <c r="E1076" s="222" t="n">
        <v>0.4</v>
      </c>
      <c r="F1076" s="222" t="n">
        <v>4</v>
      </c>
      <c r="G1076" s="222" t="n">
        <v>2</v>
      </c>
      <c r="H1076" s="222" t="inlineStr">
        <is>
          <t>Closed</t>
        </is>
      </c>
      <c r="I1076" s="222" t="inlineStr">
        <is>
          <t>34-48</t>
        </is>
      </c>
      <c r="J1076" s="222" t="inlineStr">
        <is>
          <t>TC/P</t>
        </is>
      </c>
    </row>
    <row r="1077">
      <c r="A1077" s="222" t="inlineStr">
        <is>
          <t>424</t>
        </is>
      </c>
      <c r="B1077" s="222" t="inlineStr">
        <is>
          <t>345200-02-1</t>
        </is>
      </c>
      <c r="C1077" s="222" t="inlineStr">
        <is>
          <t>345200-02-1 (3) / ATC ANTENNAS FUNCTIONAL CHECK</t>
        </is>
      </c>
      <c r="D1077" s="222" t="inlineStr">
        <is>
          <t>1</t>
        </is>
      </c>
      <c r="E1077" s="222" t="n">
        <v>0.2</v>
      </c>
      <c r="F1077" s="222" t="n">
        <v>8</v>
      </c>
      <c r="G1077" s="222" t="n">
        <v>1</v>
      </c>
      <c r="H1077" s="222" t="inlineStr">
        <is>
          <t>Closed</t>
        </is>
      </c>
      <c r="I1077" s="222" t="inlineStr">
        <is>
          <t>34-52</t>
        </is>
      </c>
      <c r="J1077" s="222" t="inlineStr">
        <is>
          <t>JOB-SETUP, OPS/LK, OPS/LK, JOB-CLOSEUP</t>
        </is>
      </c>
    </row>
    <row r="1078">
      <c r="A1078" s="222" t="inlineStr">
        <is>
          <t>426</t>
        </is>
      </c>
      <c r="B1078" s="222" t="inlineStr">
        <is>
          <t>351241-01-1</t>
        </is>
      </c>
      <c r="C1078" s="222" t="inlineStr">
        <is>
          <t>351241-01-1 (3) / CREW OXYGEN MASKS INSPECTION</t>
        </is>
      </c>
      <c r="D1078" s="222" t="inlineStr">
        <is>
          <t>1</t>
        </is>
      </c>
      <c r="E1078" s="222" t="n">
        <v>0.6</v>
      </c>
      <c r="F1078" s="222" t="n">
        <v>10</v>
      </c>
      <c r="G1078" s="222" t="n">
        <v>4.4</v>
      </c>
      <c r="H1078" s="222" t="inlineStr">
        <is>
          <t>Closed</t>
        </is>
      </c>
      <c r="I1078" s="222" t="inlineStr">
        <is>
          <t>35-12</t>
        </is>
      </c>
      <c r="J1078" s="222" t="inlineStr">
        <is>
          <t>JOB-SETUP, INSPECTION, JOB-CLOSEUP</t>
        </is>
      </c>
    </row>
    <row r="1079">
      <c r="A1079" s="222" t="inlineStr">
        <is>
          <t>429</t>
        </is>
      </c>
      <c r="B1079" s="222" t="inlineStr">
        <is>
          <t>353000-06-1-SVA</t>
        </is>
      </c>
      <c r="C1079" s="222" t="inlineStr">
        <is>
          <t>353000-06-1-SVA (03) / COCKPIT (PBE) INSPECTION</t>
        </is>
      </c>
      <c r="D1079" s="222" t="inlineStr">
        <is>
          <t>1</t>
        </is>
      </c>
      <c r="E1079" s="222" t="n">
        <v>2.2</v>
      </c>
      <c r="F1079" s="222" t="n">
        <v>3.5</v>
      </c>
      <c r="G1079" s="222" t="n">
        <v>1.6</v>
      </c>
      <c r="H1079" s="222" t="inlineStr">
        <is>
          <t>Closed</t>
        </is>
      </c>
      <c r="I1079" s="222" t="inlineStr">
        <is>
          <t>25-64</t>
        </is>
      </c>
      <c r="J1079" s="222" t="inlineStr">
        <is>
          <t>JOB-SETUP, INSPECTION, JOB-CLOSEUP</t>
        </is>
      </c>
    </row>
    <row r="1080">
      <c r="A1080" s="222" t="inlineStr">
        <is>
          <t>430</t>
        </is>
      </c>
      <c r="B1080" s="222" t="inlineStr">
        <is>
          <t>353000-07-1</t>
        </is>
      </c>
      <c r="C1080" s="222" t="inlineStr">
        <is>
          <t>353000-07-1 (4) / PORTABLE OXYGEN MASKS INSPECTION</t>
        </is>
      </c>
      <c r="D1080" s="222" t="inlineStr">
        <is>
          <t>1</t>
        </is>
      </c>
      <c r="E1080" s="222" t="n">
        <v>0.4</v>
      </c>
      <c r="F1080" s="222" t="n">
        <v>3.5</v>
      </c>
      <c r="G1080" s="222" t="n">
        <v>3.3</v>
      </c>
      <c r="H1080" s="222" t="inlineStr">
        <is>
          <t>Closed</t>
        </is>
      </c>
      <c r="I1080" s="222" t="inlineStr">
        <is>
          <t>35-30</t>
        </is>
      </c>
      <c r="J1080" s="222" t="inlineStr">
        <is>
          <t>JOB-SETUP, INSPECTION, JOB-CLOSEUP</t>
        </is>
      </c>
    </row>
    <row r="1081">
      <c r="A1081" s="222" t="inlineStr">
        <is>
          <t>436</t>
        </is>
      </c>
      <c r="B1081" s="222" t="inlineStr">
        <is>
          <t>361200-02-1</t>
        </is>
      </c>
      <c r="C1081" s="222" t="inlineStr">
        <is>
          <t>361200-02-1 (3) / APU BLEED AIR SUPPLY &amp; CROSSBLEED</t>
        </is>
      </c>
      <c r="D1081" s="222" t="inlineStr">
        <is>
          <t>1</t>
        </is>
      </c>
      <c r="E1081" s="222" t="n">
        <v>4.4</v>
      </c>
      <c r="F1081" s="222" t="n">
        <v>42.7</v>
      </c>
      <c r="G1081" s="222" t="n">
        <v>22.3</v>
      </c>
      <c r="H1081" s="222" t="inlineStr">
        <is>
          <t>Closed</t>
        </is>
      </c>
      <c r="I1081" s="222" t="inlineStr">
        <is>
          <t>36-12</t>
        </is>
      </c>
      <c r="J1081" s="222" t="inlineStr">
        <is>
          <t>JOB-SETUP, OPS/LK, JOB-CLOSEUP</t>
        </is>
      </c>
    </row>
    <row r="1082">
      <c r="A1082" s="222" t="inlineStr">
        <is>
          <t>437</t>
        </is>
      </c>
      <c r="B1082" s="222" t="inlineStr">
        <is>
          <t>361200-03-1</t>
        </is>
      </c>
      <c r="C1082" s="222" t="inlineStr">
        <is>
          <t>361200-03-1 (3) / APU BLEED AIR SUPPLY &amp; CROSSBLEED LEAK CHECK</t>
        </is>
      </c>
      <c r="D1082" s="222" t="inlineStr">
        <is>
          <t>1</t>
        </is>
      </c>
      <c r="E1082" s="222" t="n">
        <v>2.2</v>
      </c>
      <c r="F1082" s="222" t="n">
        <v>41.3</v>
      </c>
      <c r="G1082" s="222" t="n">
        <v>20.3</v>
      </c>
      <c r="H1082" s="222" t="inlineStr">
        <is>
          <t>Closed</t>
        </is>
      </c>
      <c r="I1082" s="222" t="inlineStr">
        <is>
          <t>36-12</t>
        </is>
      </c>
      <c r="J1082" s="222" t="inlineStr">
        <is>
          <t>JOB-SETUP, OPS/LK, JOB-CLOSEUP</t>
        </is>
      </c>
    </row>
    <row r="1083">
      <c r="A1083" s="222" t="inlineStr">
        <is>
          <t>441</t>
        </is>
      </c>
      <c r="B1083" s="222" t="inlineStr">
        <is>
          <t>384241-01-1</t>
        </is>
      </c>
      <c r="C1083" s="222" t="inlineStr">
        <is>
          <t>384241-01-1 (4) / AIR SUPPLY COMPSSOR INLET FLTER INSP</t>
        </is>
      </c>
      <c r="D1083" s="222" t="inlineStr">
        <is>
          <t>1</t>
        </is>
      </c>
      <c r="E1083" s="222" t="n">
        <v>0.2</v>
      </c>
      <c r="F1083" s="222" t="n">
        <v>15</v>
      </c>
      <c r="G1083" s="222" t="n">
        <v>3</v>
      </c>
      <c r="H1083" s="222" t="inlineStr">
        <is>
          <t>Closed</t>
        </is>
      </c>
      <c r="I1083" s="222" t="inlineStr">
        <is>
          <t>38-42</t>
        </is>
      </c>
      <c r="J1083" s="222" t="inlineStr">
        <is>
          <t>JOB-SETUP, TC/P, JOB-CLOSEUP</t>
        </is>
      </c>
    </row>
    <row r="1084">
      <c r="A1084" s="222" t="inlineStr">
        <is>
          <t>443</t>
        </is>
      </c>
      <c r="B1084" s="222" t="inlineStr">
        <is>
          <t>491300-B1-1</t>
        </is>
      </c>
      <c r="C1084" s="222" t="inlineStr">
        <is>
          <t>491300-B1-1 (02) / GENERAL VISUAL INSPECTION OF ALL APU COMPARTMENT FIRE WALLS AND SEALS.</t>
        </is>
      </c>
      <c r="D1084" s="222" t="inlineStr">
        <is>
          <t>1</t>
        </is>
      </c>
      <c r="E1084" s="222" t="n">
        <v>3.1</v>
      </c>
      <c r="F1084" s="222" t="n">
        <v>3.5</v>
      </c>
      <c r="G1084" s="222" t="n">
        <v>36.7</v>
      </c>
      <c r="H1084" s="222" t="inlineStr">
        <is>
          <t>Closed</t>
        </is>
      </c>
      <c r="I1084" s="222" t="inlineStr">
        <is>
          <t>49-13</t>
        </is>
      </c>
      <c r="J1084" s="222" t="inlineStr">
        <is>
          <t>JOB-SETUP, INSPECTION, JOB-CLOSEUP</t>
        </is>
      </c>
    </row>
    <row r="1085">
      <c r="A1085" s="222" t="inlineStr">
        <is>
          <t>444</t>
        </is>
      </c>
      <c r="B1085" s="222" t="inlineStr">
        <is>
          <t>491600-B1-1</t>
        </is>
      </c>
      <c r="C1085" s="222" t="inlineStr">
        <is>
          <t>491600-B1-1 (02) / DETAILED INSPECTION OF APU AIR INTAKE, DIFFUSER ELBOW, SEALS AND FELT METAL</t>
        </is>
      </c>
      <c r="D1085" s="222" t="inlineStr">
        <is>
          <t>1</t>
        </is>
      </c>
      <c r="E1085" s="222" t="n">
        <v>0.3</v>
      </c>
      <c r="F1085" s="222" t="n">
        <v>6</v>
      </c>
      <c r="G1085" s="222" t="n">
        <v>34</v>
      </c>
      <c r="H1085" s="222" t="inlineStr">
        <is>
          <t>Closed</t>
        </is>
      </c>
      <c r="I1085" s="222" t="inlineStr">
        <is>
          <t>49-16</t>
        </is>
      </c>
      <c r="J1085" s="222" t="inlineStr">
        <is>
          <t>JOB-SETUP, INSPECTION, JOB-CLOSEUP</t>
        </is>
      </c>
    </row>
    <row r="1086">
      <c r="A1086" s="222" t="inlineStr">
        <is>
          <t>445</t>
        </is>
      </c>
      <c r="B1086" s="222" t="inlineStr">
        <is>
          <t>498000-B1-1</t>
        </is>
      </c>
      <c r="C1086" s="222" t="inlineStr">
        <is>
          <t>498000-B1-1 (02) / GENERAL VISUAL INSPECTION OF APU COMPARTMENT EXHAUST MUFFLER INSULATION COVERS AND BELLOWS</t>
        </is>
      </c>
      <c r="D1086" s="222" t="inlineStr">
        <is>
          <t>1</t>
        </is>
      </c>
      <c r="E1086" s="222" t="n">
        <v>0.2</v>
      </c>
      <c r="F1086" s="222" t="n">
        <v>0.5</v>
      </c>
      <c r="G1086" s="222" t="n">
        <v>0.5</v>
      </c>
      <c r="H1086" s="222" t="inlineStr">
        <is>
          <t>Closed</t>
        </is>
      </c>
      <c r="I1086" s="222" t="inlineStr">
        <is>
          <t>49-81</t>
        </is>
      </c>
      <c r="J1086" s="222" t="inlineStr">
        <is>
          <t>INSPECTION</t>
        </is>
      </c>
    </row>
    <row r="1087">
      <c r="A1087" s="222" t="inlineStr">
        <is>
          <t>455</t>
        </is>
      </c>
      <c r="B1087" s="222" t="inlineStr">
        <is>
          <t>521000-05-1</t>
        </is>
      </c>
      <c r="C1087" s="222" t="inlineStr">
        <is>
          <t>521000-05-1 (4) / PAX/CREW DOOR LOCKING MECHANISM CHK</t>
        </is>
      </c>
      <c r="D1087" s="222" t="inlineStr">
        <is>
          <t>1</t>
        </is>
      </c>
      <c r="E1087" s="222" t="n">
        <v>0.9</v>
      </c>
      <c r="F1087" s="222" t="n">
        <v>7.5</v>
      </c>
      <c r="G1087" s="222" t="n">
        <v>2.5</v>
      </c>
      <c r="H1087" s="222" t="inlineStr">
        <is>
          <t>Closed</t>
        </is>
      </c>
      <c r="I1087" s="222" t="inlineStr">
        <is>
          <t>52-10</t>
        </is>
      </c>
      <c r="J1087" s="222" t="inlineStr">
        <is>
          <t>OPS/LK, OPS/LK, OPS/LK, OPS/LK</t>
        </is>
      </c>
    </row>
    <row r="1088">
      <c r="A1088" s="222" t="inlineStr">
        <is>
          <t>456</t>
        </is>
      </c>
      <c r="B1088" s="222" t="inlineStr">
        <is>
          <t>521000-06-1</t>
        </is>
      </c>
      <c r="C1088" s="222" t="inlineStr">
        <is>
          <t>521000-06-1 (4) / PASS/CRW DOOR EMER ESC SLIDE FUNCHK</t>
        </is>
      </c>
      <c r="D1088" s="222" t="inlineStr">
        <is>
          <t>1</t>
        </is>
      </c>
      <c r="E1088" s="222" t="n">
        <v>1.8</v>
      </c>
      <c r="F1088" s="222" t="n">
        <v>8.5</v>
      </c>
      <c r="G1088" s="222" t="n">
        <v>3.4</v>
      </c>
      <c r="H1088" s="222" t="inlineStr">
        <is>
          <t>Closed</t>
        </is>
      </c>
      <c r="I1088" s="222" t="inlineStr">
        <is>
          <t>52-10</t>
        </is>
      </c>
      <c r="J1088" s="222" t="inlineStr">
        <is>
          <t>OPS/LK, OPS/LK, OPS/LK, OPS/LK</t>
        </is>
      </c>
    </row>
    <row r="1089">
      <c r="A1089" s="222" t="inlineStr">
        <is>
          <t>459</t>
        </is>
      </c>
      <c r="B1089" s="222" t="inlineStr">
        <is>
          <t>521000-08-1</t>
        </is>
      </c>
      <c r="C1089" s="222" t="inlineStr">
        <is>
          <t>521000-08-1 (5) / PASS/CREW DOORS INTRLK MECHANISM OPC</t>
        </is>
      </c>
      <c r="D1089" s="222" t="inlineStr">
        <is>
          <t>1</t>
        </is>
      </c>
      <c r="E1089" s="222" t="n">
        <v>0.9</v>
      </c>
      <c r="F1089" s="222" t="n">
        <v>11.5</v>
      </c>
      <c r="G1089" s="222" t="n">
        <v>3.9</v>
      </c>
      <c r="H1089" s="222" t="inlineStr">
        <is>
          <t>Closed</t>
        </is>
      </c>
      <c r="I1089" s="222" t="inlineStr">
        <is>
          <t>52-10</t>
        </is>
      </c>
      <c r="J1089" s="222" t="inlineStr">
        <is>
          <t>OPS/LK, OPS/LK, OPS/LK, OPS/LK</t>
        </is>
      </c>
    </row>
    <row r="1090">
      <c r="A1090" s="222" t="inlineStr">
        <is>
          <t>460</t>
        </is>
      </c>
      <c r="B1090" s="222" t="inlineStr">
        <is>
          <t>521000-09-1</t>
        </is>
      </c>
      <c r="C1090" s="222" t="inlineStr">
        <is>
          <t>521000-09-1 (6) / PASS/CREW DOOR MECH LOCK IND FUN CHK</t>
        </is>
      </c>
      <c r="D1090" s="222" t="inlineStr">
        <is>
          <t>1</t>
        </is>
      </c>
      <c r="E1090" s="222" t="n">
        <v>0.9</v>
      </c>
      <c r="F1090" s="222" t="n">
        <v>7.5</v>
      </c>
      <c r="G1090" s="222" t="n">
        <v>4.6</v>
      </c>
      <c r="H1090" s="222" t="inlineStr">
        <is>
          <t>Closed</t>
        </is>
      </c>
      <c r="I1090" s="222" t="inlineStr">
        <is>
          <t>52-10</t>
        </is>
      </c>
      <c r="J1090" s="222" t="inlineStr">
        <is>
          <t>OPS/LK, OPS/LK, OPS/LK, OPS/LK</t>
        </is>
      </c>
    </row>
    <row r="1091">
      <c r="A1091" s="222" t="inlineStr">
        <is>
          <t>461</t>
        </is>
      </c>
      <c r="B1091" s="222" t="inlineStr">
        <is>
          <t>521000-10-1</t>
        </is>
      </c>
      <c r="C1091" s="222" t="inlineStr">
        <is>
          <t>521000-10-1 (6) / PASS/CREW DOOR DAMPING FUNC CHECK</t>
        </is>
      </c>
      <c r="D1091" s="222" t="inlineStr">
        <is>
          <t>1</t>
        </is>
      </c>
      <c r="E1091" s="222" t="n">
        <v>0.4</v>
      </c>
      <c r="F1091" s="222" t="n">
        <v>8</v>
      </c>
      <c r="G1091" s="222" t="n">
        <v>5.4</v>
      </c>
      <c r="H1091" s="222" t="inlineStr">
        <is>
          <t>Closed</t>
        </is>
      </c>
      <c r="I1091" s="222" t="inlineStr">
        <is>
          <t>52-10</t>
        </is>
      </c>
      <c r="J1091" s="222" t="inlineStr">
        <is>
          <t>OPS/LK, OPS/LK, OPS/LK, OPS/LK</t>
        </is>
      </c>
    </row>
    <row r="1092">
      <c r="A1092" s="222" t="inlineStr">
        <is>
          <t>463</t>
        </is>
      </c>
      <c r="B1092" s="222" t="inlineStr">
        <is>
          <t>521000-12-1</t>
        </is>
      </c>
      <c r="C1092" s="222" t="inlineStr">
        <is>
          <t>521000-12-1 (6) / PASS/CREW DOOR ESCAB SLIDE DIS OPC</t>
        </is>
      </c>
      <c r="D1092" s="222" t="inlineStr">
        <is>
          <t>1</t>
        </is>
      </c>
      <c r="E1092" s="222" t="n">
        <v>0.4</v>
      </c>
      <c r="F1092" s="222" t="n">
        <v>16</v>
      </c>
      <c r="G1092" s="222" t="n">
        <v>47</v>
      </c>
      <c r="H1092" s="222" t="inlineStr">
        <is>
          <t>Closed</t>
        </is>
      </c>
      <c r="I1092" s="222" t="inlineStr">
        <is>
          <t>52-10</t>
        </is>
      </c>
      <c r="J1092" s="222" t="inlineStr">
        <is>
          <t>OPS/LK, OPS/LK, OPS/LK, OPS/LK</t>
        </is>
      </c>
    </row>
    <row r="1093">
      <c r="A1093" s="222" t="inlineStr">
        <is>
          <t>464</t>
        </is>
      </c>
      <c r="B1093" s="222" t="inlineStr">
        <is>
          <t>521000-18-1</t>
        </is>
      </c>
      <c r="C1093" s="222" t="inlineStr">
        <is>
          <t>521000-18-1 (3) / FUNCTIONAL CHECK OF ESCAPE SLIDE DISARMING WHEN DOOR IS OPENED FROM OUTSIDE.</t>
        </is>
      </c>
      <c r="D1093" s="222" t="inlineStr">
        <is>
          <t>1</t>
        </is>
      </c>
      <c r="E1093" s="222" t="n">
        <v>3.7</v>
      </c>
      <c r="F1093" s="222" t="n">
        <v>12.5</v>
      </c>
      <c r="G1093" s="222" t="n">
        <v>47.5</v>
      </c>
      <c r="H1093" s="222" t="inlineStr">
        <is>
          <t>Closed</t>
        </is>
      </c>
      <c r="I1093" s="222" t="inlineStr">
        <is>
          <t>52-10</t>
        </is>
      </c>
      <c r="J1093" s="222" t="inlineStr">
        <is>
          <t>JOB-SETUP, OPS/LK, JOB-CLOSEUP</t>
        </is>
      </c>
    </row>
    <row r="1094">
      <c r="A1094" s="222" t="inlineStr">
        <is>
          <t>473</t>
        </is>
      </c>
      <c r="B1094" s="222" t="inlineStr">
        <is>
          <t>525111-01-1</t>
        </is>
      </c>
      <c r="C1094" s="222" t="inlineStr">
        <is>
          <t>525111-01-1 (3) / COCKPIT DOOR LOCKING SYS MECH PARTS INSP</t>
        </is>
      </c>
      <c r="D1094" s="222" t="inlineStr">
        <is>
          <t>1</t>
        </is>
      </c>
      <c r="E1094" s="222" t="n">
        <v>0.6</v>
      </c>
      <c r="F1094" s="222" t="n">
        <v>7.8</v>
      </c>
      <c r="G1094" s="222" t="n">
        <v>3.9</v>
      </c>
      <c r="H1094" s="222" t="inlineStr">
        <is>
          <t>Closed</t>
        </is>
      </c>
      <c r="I1094" s="222" t="inlineStr">
        <is>
          <t>52-51</t>
        </is>
      </c>
      <c r="J1094" s="222" t="inlineStr">
        <is>
          <t>JOB-SETUP, INSPECTION, JOB-CLOSEUP</t>
        </is>
      </c>
    </row>
    <row r="1095">
      <c r="A1095" s="222" t="inlineStr">
        <is>
          <t>474</t>
        </is>
      </c>
      <c r="B1095" s="222" t="inlineStr">
        <is>
          <t>525111-02-1</t>
        </is>
      </c>
      <c r="C1095" s="222" t="inlineStr">
        <is>
          <t>525111-02-1 (3) / COCKPIT DOOR PRESS SENSING CHANNELS</t>
        </is>
      </c>
      <c r="D1095" s="222" t="inlineStr">
        <is>
          <t>1</t>
        </is>
      </c>
      <c r="E1095" s="222" t="n">
        <v>0.3</v>
      </c>
      <c r="F1095" s="222" t="n">
        <v>4.8</v>
      </c>
      <c r="G1095" s="222" t="n">
        <v>3</v>
      </c>
      <c r="H1095" s="222" t="inlineStr">
        <is>
          <t>Closed</t>
        </is>
      </c>
      <c r="I1095" s="222" t="inlineStr">
        <is>
          <t>52-51</t>
        </is>
      </c>
      <c r="J1095" s="222" t="inlineStr">
        <is>
          <t>OPS/LK</t>
        </is>
      </c>
    </row>
    <row r="1096">
      <c r="A1096" s="222" t="inlineStr">
        <is>
          <t>475</t>
        </is>
      </c>
      <c r="B1096" s="222" t="inlineStr">
        <is>
          <t>525111-03-1</t>
        </is>
      </c>
      <c r="C1096" s="222" t="inlineStr">
        <is>
          <t>525111-03-1 (4) / COCKPIT DOOR MANUAL SWITCH OVER OPS</t>
        </is>
      </c>
      <c r="D1096" s="222" t="inlineStr">
        <is>
          <t>1</t>
        </is>
      </c>
      <c r="E1096" s="222" t="n">
        <v>0.4</v>
      </c>
      <c r="F1096" s="222" t="n">
        <v>4</v>
      </c>
      <c r="G1096" s="222" t="n">
        <v>2</v>
      </c>
      <c r="H1096" s="222" t="inlineStr">
        <is>
          <t>Closed</t>
        </is>
      </c>
      <c r="I1096" s="222" t="inlineStr">
        <is>
          <t>52-51</t>
        </is>
      </c>
      <c r="J1096" s="222" t="inlineStr">
        <is>
          <t>OPS/LK</t>
        </is>
      </c>
    </row>
    <row r="1097">
      <c r="A1097" s="222" t="inlineStr">
        <is>
          <t>476</t>
        </is>
      </c>
      <c r="B1097" s="222" t="inlineStr">
        <is>
          <t>525111-04-1</t>
        </is>
      </c>
      <c r="C1097" s="222" t="inlineStr">
        <is>
          <t>525111-04-1 (3) / COCKPIT DOOR OPENING WITH POWER OFF</t>
        </is>
      </c>
      <c r="D1097" s="222" t="inlineStr">
        <is>
          <t>1</t>
        </is>
      </c>
      <c r="E1097" s="222" t="n">
        <v>0.1</v>
      </c>
      <c r="F1097" s="222" t="n">
        <v>4.5</v>
      </c>
      <c r="G1097" s="222" t="n">
        <v>3.1</v>
      </c>
      <c r="H1097" s="222" t="inlineStr">
        <is>
          <t>Closed</t>
        </is>
      </c>
      <c r="I1097" s="222" t="inlineStr">
        <is>
          <t>52-51</t>
        </is>
      </c>
      <c r="J1097" s="222" t="inlineStr">
        <is>
          <t>OPS/LK</t>
        </is>
      </c>
    </row>
    <row r="1098">
      <c r="A1098" s="222" t="inlineStr">
        <is>
          <t>477</t>
        </is>
      </c>
      <c r="B1098" s="222" t="inlineStr">
        <is>
          <t>525111-05-1</t>
        </is>
      </c>
      <c r="C1098" s="222" t="inlineStr">
        <is>
          <t>525111-05-1 (3) / COCKPIT DOOR OPENING BY EMERG CODE</t>
        </is>
      </c>
      <c r="D1098" s="222" t="inlineStr">
        <is>
          <t>1</t>
        </is>
      </c>
      <c r="E1098" s="222" t="n">
        <v>0.1</v>
      </c>
      <c r="F1098" s="222" t="n">
        <v>4</v>
      </c>
      <c r="G1098" s="222" t="n">
        <v>2</v>
      </c>
      <c r="H1098" s="222" t="inlineStr">
        <is>
          <t>Closed</t>
        </is>
      </c>
      <c r="I1098" s="222" t="inlineStr">
        <is>
          <t>52-51</t>
        </is>
      </c>
      <c r="J1098" s="222" t="inlineStr">
        <is>
          <t>OPS/LK</t>
        </is>
      </c>
    </row>
    <row r="1099">
      <c r="A1099" s="222" t="inlineStr">
        <is>
          <t>478</t>
        </is>
      </c>
      <c r="B1099" s="222" t="inlineStr">
        <is>
          <t>527100-01-1</t>
        </is>
      </c>
      <c r="C1099" s="222" t="inlineStr">
        <is>
          <t>527100-01-1 (6) / DOOR WARNING SYSTEM OPERATIONAL TEST</t>
        </is>
      </c>
      <c r="D1099" s="222" t="inlineStr">
        <is>
          <t>1</t>
        </is>
      </c>
      <c r="E1099" s="222" t="n">
        <v>0.1</v>
      </c>
      <c r="F1099" s="222" t="n">
        <v>6</v>
      </c>
      <c r="G1099" s="222" t="n">
        <v>3</v>
      </c>
      <c r="H1099" s="222" t="inlineStr">
        <is>
          <t>Closed</t>
        </is>
      </c>
      <c r="I1099" s="222" t="inlineStr">
        <is>
          <t>52-71</t>
        </is>
      </c>
      <c r="J1099" s="222" t="inlineStr">
        <is>
          <t>OPS/LK</t>
        </is>
      </c>
    </row>
    <row r="1100">
      <c r="A1100" s="222" t="inlineStr">
        <is>
          <t>480</t>
        </is>
      </c>
      <c r="B1100" s="222" t="inlineStr">
        <is>
          <t>527300-02-1</t>
        </is>
      </c>
      <c r="C1100" s="222" t="inlineStr">
        <is>
          <t>527300-02-1 (3) / EMERGENCY ESCAPE SLIDE RELEASE AND OVERPRESSURE WARNING SYSTEMS</t>
        </is>
      </c>
      <c r="D1100" s="222" t="inlineStr">
        <is>
          <t>1</t>
        </is>
      </c>
      <c r="E1100" s="222" t="n">
        <v>0.2</v>
      </c>
      <c r="F1100" s="222" t="n">
        <v>10</v>
      </c>
      <c r="G1100" s="222" t="n">
        <v>4.2</v>
      </c>
      <c r="H1100" s="222" t="inlineStr">
        <is>
          <t>Closed</t>
        </is>
      </c>
      <c r="I1100" s="222" t="inlineStr">
        <is>
          <t>52-73</t>
        </is>
      </c>
      <c r="J1100" s="222" t="inlineStr">
        <is>
          <t>OPS/LK</t>
        </is>
      </c>
    </row>
    <row r="1101">
      <c r="A1101" s="222" t="inlineStr">
        <is>
          <t>482</t>
        </is>
      </c>
      <c r="B1101" s="222" t="inlineStr">
        <is>
          <t>531176-02-1</t>
        </is>
      </c>
      <c r="C1101" s="222" t="inlineStr">
        <is>
          <t>531176-02-1 (1) / GVI OF COCKPIT SIDE WINDOWS, EXTERNAL VISIBLE PORTION OF FRAMEWORK, BETWEEN FR 4 AND FR 12, LH/RH.</t>
        </is>
      </c>
      <c r="D1101" s="222" t="inlineStr">
        <is>
          <t>1</t>
        </is>
      </c>
      <c r="E1101" s="222" t="n">
        <v>0.4</v>
      </c>
      <c r="F1101" s="222" t="n">
        <v>2.2</v>
      </c>
      <c r="G1101" s="222" t="n">
        <v>7.2</v>
      </c>
      <c r="H1101" s="222" t="inlineStr">
        <is>
          <t>Closed</t>
        </is>
      </c>
      <c r="I1101" s="222" t="inlineStr">
        <is>
          <t>53-11</t>
        </is>
      </c>
      <c r="J1101" s="222" t="inlineStr">
        <is>
          <t>JOB-SETUP, INSPECTION, JOB-CLOSEUP</t>
        </is>
      </c>
    </row>
    <row r="1102">
      <c r="A1102" s="222" t="inlineStr">
        <is>
          <t>486</t>
        </is>
      </c>
      <c r="B1102" s="222" t="inlineStr">
        <is>
          <t>531900-10-1</t>
        </is>
      </c>
      <c r="C1102" s="222" t="inlineStr">
        <is>
          <t>531900-10-1 (1) / FUSELAGE DRAINAGE</t>
        </is>
      </c>
      <c r="D1102" s="222" t="inlineStr">
        <is>
          <t>1</t>
        </is>
      </c>
      <c r="E1102" s="222" t="n">
        <v>1.5</v>
      </c>
      <c r="F1102" s="222" t="n">
        <v>3</v>
      </c>
      <c r="G1102" s="222" t="n">
        <v>2.6</v>
      </c>
      <c r="H1102" s="222" t="inlineStr">
        <is>
          <t>Closed</t>
        </is>
      </c>
      <c r="I1102" s="222" t="inlineStr">
        <is>
          <t>53</t>
        </is>
      </c>
      <c r="J1102" s="222" t="inlineStr">
        <is>
          <t>JOB-SETUP, INSPECTION, JOB-CLOSEUP</t>
        </is>
      </c>
    </row>
    <row r="1103">
      <c r="A1103" s="222" t="inlineStr">
        <is>
          <t>487</t>
        </is>
      </c>
      <c r="B1103" s="222" t="inlineStr">
        <is>
          <t>532137-01-1</t>
        </is>
      </c>
      <c r="C1103" s="222" t="inlineStr">
        <is>
          <t>532137-01-1 (03) / FWD CARGO DOOR CUTOUT PANEL INSP</t>
        </is>
      </c>
      <c r="D1103" s="222" t="inlineStr">
        <is>
          <t>1</t>
        </is>
      </c>
      <c r="E1103" s="222" t="n">
        <v>1.1</v>
      </c>
      <c r="F1103" s="222" t="n">
        <v>6</v>
      </c>
      <c r="G1103" s="222" t="n">
        <v>5.9</v>
      </c>
      <c r="H1103" s="222" t="inlineStr">
        <is>
          <t>Closed</t>
        </is>
      </c>
      <c r="I1103" s="222" t="inlineStr">
        <is>
          <t>53-21</t>
        </is>
      </c>
      <c r="J1103" s="222" t="inlineStr">
        <is>
          <t>PRE INSP, PRE INSP</t>
        </is>
      </c>
    </row>
    <row r="1104">
      <c r="A1104" s="222" t="inlineStr">
        <is>
          <t>488</t>
        </is>
      </c>
      <c r="B1104" s="222" t="inlineStr">
        <is>
          <t>532176-01-1</t>
        </is>
      </c>
      <c r="C1104" s="222" t="inlineStr">
        <is>
          <t>532176-01-1 (0) / FORWARD FUSELAGE</t>
        </is>
      </c>
      <c r="D1104" s="222" t="inlineStr">
        <is>
          <t>1</t>
        </is>
      </c>
      <c r="E1104" s="222" t="n">
        <v>4</v>
      </c>
      <c r="F1104" s="222" t="n">
        <v>2.5</v>
      </c>
      <c r="G1104" s="222" t="n">
        <v>34</v>
      </c>
      <c r="H1104" s="222" t="inlineStr">
        <is>
          <t>Closed</t>
        </is>
      </c>
      <c r="I1104" s="222" t="inlineStr">
        <is>
          <t>53</t>
        </is>
      </c>
      <c r="J1104" s="222" t="inlineStr">
        <is>
          <t>JOB-SETUP, INSPECTION, JOB-CLOSEUP</t>
        </is>
      </c>
    </row>
    <row r="1105">
      <c r="A1105" s="222" t="inlineStr">
        <is>
          <t>489</t>
        </is>
      </c>
      <c r="B1105" s="222" t="inlineStr">
        <is>
          <t>532181-02-1</t>
        </is>
      </c>
      <c r="C1105" s="222" t="inlineStr">
        <is>
          <t>532181-02-1 (0) / FORWARD FUSELAGE</t>
        </is>
      </c>
      <c r="D1105" s="222" t="inlineStr">
        <is>
          <t>1</t>
        </is>
      </c>
      <c r="E1105" s="222" t="n">
        <v>3</v>
      </c>
      <c r="F1105" s="222" t="n">
        <v>5</v>
      </c>
      <c r="G1105" s="222" t="n">
        <v>77.09999999999999</v>
      </c>
      <c r="H1105" s="222" t="inlineStr">
        <is>
          <t>Closed</t>
        </is>
      </c>
      <c r="I1105" s="222" t="inlineStr">
        <is>
          <t>53</t>
        </is>
      </c>
      <c r="J1105" s="222" t="inlineStr"/>
    </row>
    <row r="1106">
      <c r="A1106" s="222" t="inlineStr">
        <is>
          <t>493</t>
        </is>
      </c>
      <c r="B1106" s="222" t="inlineStr">
        <is>
          <t>534307-03-1</t>
        </is>
      </c>
      <c r="C1106" s="222" t="inlineStr">
        <is>
          <t>534307-03-1 (0) / REAR FUSELAGE</t>
        </is>
      </c>
      <c r="D1106" s="222" t="inlineStr">
        <is>
          <t>1</t>
        </is>
      </c>
      <c r="E1106" s="222" t="n">
        <v>1.5</v>
      </c>
      <c r="F1106" s="222" t="n">
        <v>3.5</v>
      </c>
      <c r="G1106" s="222" t="n">
        <v>12.3</v>
      </c>
      <c r="H1106" s="222" t="inlineStr">
        <is>
          <t>Closed</t>
        </is>
      </c>
      <c r="I1106" s="222" t="inlineStr">
        <is>
          <t>53-41</t>
        </is>
      </c>
      <c r="J1106" s="222" t="inlineStr">
        <is>
          <t>JOB-SETUP, INSPECTION, JOB-CLOSEUP</t>
        </is>
      </c>
    </row>
    <row r="1107">
      <c r="A1107" s="222" t="inlineStr">
        <is>
          <t>494</t>
        </is>
      </c>
      <c r="B1107" s="222" t="inlineStr">
        <is>
          <t>534308-02-1</t>
        </is>
      </c>
      <c r="C1107" s="222" t="inlineStr">
        <is>
          <t>534308-02-1 (0) / REAR FUSELAGE</t>
        </is>
      </c>
      <c r="D1107" s="222" t="inlineStr">
        <is>
          <t>1</t>
        </is>
      </c>
      <c r="E1107" s="222" t="n">
        <v>37.5</v>
      </c>
      <c r="F1107" s="222" t="n">
        <v>5</v>
      </c>
      <c r="G1107" s="222" t="n">
        <v>12.8</v>
      </c>
      <c r="H1107" s="222" t="inlineStr">
        <is>
          <t>Closed</t>
        </is>
      </c>
      <c r="I1107" s="222" t="inlineStr">
        <is>
          <t>53-41</t>
        </is>
      </c>
      <c r="J1107" s="222" t="inlineStr">
        <is>
          <t>JOB-SETUP, CLEAN-UP, INSPECTION, JOB-CLOSEUP</t>
        </is>
      </c>
    </row>
    <row r="1108">
      <c r="A1108" s="222" t="inlineStr">
        <is>
          <t>497</t>
        </is>
      </c>
      <c r="B1108" s="222" t="inlineStr">
        <is>
          <t>545000-01-1-001</t>
        </is>
      </c>
      <c r="C1108" s="222" t="inlineStr">
        <is>
          <t>545000-01-1-001 (02) / NO. 1 ENGINE PYLON DRAIN SYS INSP</t>
        </is>
      </c>
      <c r="D1108" s="222" t="inlineStr">
        <is>
          <t>1</t>
        </is>
      </c>
      <c r="E1108" s="222" t="n">
        <v>0.4</v>
      </c>
      <c r="F1108" s="222" t="n">
        <v>4.2</v>
      </c>
      <c r="G1108" s="222" t="n">
        <v>41.7</v>
      </c>
      <c r="H1108" s="222" t="inlineStr">
        <is>
          <t>Closed</t>
        </is>
      </c>
      <c r="I1108" s="222" t="inlineStr">
        <is>
          <t>54-50</t>
        </is>
      </c>
      <c r="J1108" s="222" t="inlineStr">
        <is>
          <t>JOB-SETUP, INSPECTION, JOB-CLOSEUP</t>
        </is>
      </c>
    </row>
    <row r="1109">
      <c r="A1109" s="222" t="inlineStr">
        <is>
          <t>498</t>
        </is>
      </c>
      <c r="B1109" s="222" t="inlineStr">
        <is>
          <t>545000-01-1-002</t>
        </is>
      </c>
      <c r="C1109" s="222" t="inlineStr">
        <is>
          <t>545000-01-1-002 (02) / NO. 2 ENGINE PYLON DRAIN SYSTEM INSP</t>
        </is>
      </c>
      <c r="D1109" s="222" t="inlineStr">
        <is>
          <t>1</t>
        </is>
      </c>
      <c r="E1109" s="222" t="n">
        <v>0.4</v>
      </c>
      <c r="F1109" s="222" t="n">
        <v>3.2</v>
      </c>
      <c r="G1109" s="222" t="n">
        <v>40.6</v>
      </c>
      <c r="H1109" s="222" t="inlineStr">
        <is>
          <t>Closed</t>
        </is>
      </c>
      <c r="I1109" s="222" t="inlineStr">
        <is>
          <t>54-50</t>
        </is>
      </c>
      <c r="J1109" s="222" t="inlineStr">
        <is>
          <t>JOB-SETUP, INSPECTION, JOB-CLOSEUP</t>
        </is>
      </c>
    </row>
    <row r="1110">
      <c r="A1110" s="222" t="inlineStr">
        <is>
          <t>499</t>
        </is>
      </c>
      <c r="B1110" s="222" t="inlineStr">
        <is>
          <t>545000-04-1-001</t>
        </is>
      </c>
      <c r="C1110" s="222" t="inlineStr">
        <is>
          <t>545000-04-1-001 (02) / NO.1 ENG PYLN COMPT DRAIN SYS INSP</t>
        </is>
      </c>
      <c r="D1110" s="222" t="inlineStr">
        <is>
          <t>1</t>
        </is>
      </c>
      <c r="E1110" s="222" t="n">
        <v>2.6</v>
      </c>
      <c r="F1110" s="222" t="n">
        <v>2.5</v>
      </c>
      <c r="G1110" s="222" t="n">
        <v>39.8</v>
      </c>
      <c r="H1110" s="222" t="inlineStr">
        <is>
          <t>Closed</t>
        </is>
      </c>
      <c r="I1110" s="222" t="inlineStr">
        <is>
          <t>54-50</t>
        </is>
      </c>
      <c r="J1110" s="222" t="inlineStr">
        <is>
          <t>JOB-SETUP, INSPECTION, JOB-CLOSEUP</t>
        </is>
      </c>
    </row>
    <row r="1111">
      <c r="A1111" s="222" t="inlineStr">
        <is>
          <t>500</t>
        </is>
      </c>
      <c r="B1111" s="222" t="inlineStr">
        <is>
          <t>545000-04-1-002</t>
        </is>
      </c>
      <c r="C1111" s="222" t="inlineStr">
        <is>
          <t>545000-04-1-002 (02) / NO.2 ENG PYLN COMPT DRAIN SYS INSP</t>
        </is>
      </c>
      <c r="D1111" s="222" t="inlineStr">
        <is>
          <t>1</t>
        </is>
      </c>
      <c r="E1111" s="222" t="n">
        <v>2.6</v>
      </c>
      <c r="F1111" s="222" t="n">
        <v>3.5</v>
      </c>
      <c r="G1111" s="222" t="n">
        <v>40.8</v>
      </c>
      <c r="H1111" s="222" t="inlineStr">
        <is>
          <t>Closed</t>
        </is>
      </c>
      <c r="I1111" s="222" t="inlineStr">
        <is>
          <t>54-50</t>
        </is>
      </c>
      <c r="J1111" s="222" t="inlineStr">
        <is>
          <t>JOB-SETUP, INSPECTION, JOB-CLOSEUP</t>
        </is>
      </c>
    </row>
    <row r="1112">
      <c r="A1112" s="222" t="inlineStr">
        <is>
          <t>503</t>
        </is>
      </c>
      <c r="B1112" s="222" t="inlineStr">
        <is>
          <t>545000-06-1-001</t>
        </is>
      </c>
      <c r="C1112" s="222" t="inlineStr">
        <is>
          <t>545000-06-1-001 (01) / L/H PYLONS CAF 4 SEALANT INSP</t>
        </is>
      </c>
      <c r="D1112" s="222" t="inlineStr">
        <is>
          <t>1</t>
        </is>
      </c>
      <c r="E1112" s="222" t="n">
        <v>1.1</v>
      </c>
      <c r="F1112" s="222" t="n">
        <v>5.6</v>
      </c>
      <c r="G1112" s="222" t="n">
        <v>39.9</v>
      </c>
      <c r="H1112" s="222" t="inlineStr">
        <is>
          <t>Closed</t>
        </is>
      </c>
      <c r="I1112" s="222" t="inlineStr">
        <is>
          <t>05-21</t>
        </is>
      </c>
      <c r="J1112" s="222" t="inlineStr">
        <is>
          <t>JOB-SETUP, INSPECTION, JOB-CLOSEUP</t>
        </is>
      </c>
    </row>
    <row r="1113">
      <c r="A1113" s="222" t="inlineStr">
        <is>
          <t>504</t>
        </is>
      </c>
      <c r="B1113" s="222" t="inlineStr">
        <is>
          <t>545000-06-1-002</t>
        </is>
      </c>
      <c r="C1113" s="222" t="inlineStr">
        <is>
          <t>545000-06-1-002 (01) / R/H PYLONS CAF 4 SEALANT INSP</t>
        </is>
      </c>
      <c r="D1113" s="222" t="inlineStr">
        <is>
          <t>1</t>
        </is>
      </c>
      <c r="E1113" s="222" t="n">
        <v>1.1</v>
      </c>
      <c r="F1113" s="222" t="n">
        <v>2.3</v>
      </c>
      <c r="G1113" s="222" t="n">
        <v>40.5</v>
      </c>
      <c r="H1113" s="222" t="inlineStr">
        <is>
          <t>Closed</t>
        </is>
      </c>
      <c r="I1113" s="222" t="inlineStr">
        <is>
          <t>05-21</t>
        </is>
      </c>
      <c r="J1113" s="222" t="inlineStr">
        <is>
          <t>JOB-SETUP, INSPECTION, JOB-CLOSEUP</t>
        </is>
      </c>
    </row>
    <row r="1114">
      <c r="A1114" s="222" t="inlineStr">
        <is>
          <t>505</t>
        </is>
      </c>
      <c r="B1114" s="222" t="inlineStr">
        <is>
          <t>545103-01-2-001</t>
        </is>
      </c>
      <c r="C1114" s="222" t="inlineStr">
        <is>
          <t>545103-01-2-001 (03) / NO. 1 ENG PYLON FWD MOUNT FTTNG INSP</t>
        </is>
      </c>
      <c r="D1114" s="222" t="inlineStr">
        <is>
          <t>1</t>
        </is>
      </c>
      <c r="E1114" s="222" t="n">
        <v>0.9</v>
      </c>
      <c r="F1114" s="222" t="n">
        <v>6</v>
      </c>
      <c r="G1114" s="222" t="n">
        <v>40.1</v>
      </c>
      <c r="H1114" s="222" t="inlineStr">
        <is>
          <t>Closed</t>
        </is>
      </c>
      <c r="I1114" s="222" t="inlineStr">
        <is>
          <t>54-51</t>
        </is>
      </c>
      <c r="J1114" s="222" t="inlineStr">
        <is>
          <t>JOB-SETUP, INSPECTION, JOB-CLOSEUP</t>
        </is>
      </c>
    </row>
    <row r="1115">
      <c r="A1115" s="222" t="inlineStr">
        <is>
          <t>506</t>
        </is>
      </c>
      <c r="B1115" s="222" t="inlineStr">
        <is>
          <t>545103-01-2-002</t>
        </is>
      </c>
      <c r="C1115" s="222" t="inlineStr">
        <is>
          <t>545103-01-2-002 (03) / NO. 2 ENG PYLON FWD MOUNT FTTNG INSP</t>
        </is>
      </c>
      <c r="D1115" s="222" t="inlineStr">
        <is>
          <t>1</t>
        </is>
      </c>
      <c r="E1115" s="222" t="n">
        <v>0.9</v>
      </c>
      <c r="F1115" s="222" t="n">
        <v>3.8</v>
      </c>
      <c r="G1115" s="222" t="n">
        <v>41</v>
      </c>
      <c r="H1115" s="222" t="inlineStr">
        <is>
          <t>Closed</t>
        </is>
      </c>
      <c r="I1115" s="222" t="inlineStr">
        <is>
          <t>54-51</t>
        </is>
      </c>
      <c r="J1115" s="222" t="inlineStr">
        <is>
          <t>JOB-SETUP, INSPECTION, JOB-CLOSEUP</t>
        </is>
      </c>
    </row>
    <row r="1116">
      <c r="A1116" s="222" t="inlineStr">
        <is>
          <t>514</t>
        </is>
      </c>
      <c r="B1116" s="222" t="inlineStr">
        <is>
          <t>711000-C1-1-001</t>
        </is>
      </c>
      <c r="C1116" s="222" t="inlineStr">
        <is>
          <t>711000-C1-1-001 (03) / #1 ENG INTAKE COWL AFT BULKHEAD INSP</t>
        </is>
      </c>
      <c r="D1116" s="222" t="inlineStr">
        <is>
          <t>1</t>
        </is>
      </c>
      <c r="E1116" s="222" t="n">
        <v>0.2</v>
      </c>
      <c r="F1116" s="222" t="n">
        <v>0.5</v>
      </c>
      <c r="G1116" s="222" t="n">
        <v>0.5</v>
      </c>
      <c r="H1116" s="222" t="inlineStr">
        <is>
          <t>Closed</t>
        </is>
      </c>
      <c r="I1116" s="222" t="inlineStr">
        <is>
          <t>71-10</t>
        </is>
      </c>
      <c r="J1116" s="222" t="inlineStr">
        <is>
          <t>INSPECTION</t>
        </is>
      </c>
    </row>
    <row r="1117">
      <c r="A1117" s="222" t="inlineStr">
        <is>
          <t>515</t>
        </is>
      </c>
      <c r="B1117" s="222" t="inlineStr">
        <is>
          <t>711000-C1-1-002</t>
        </is>
      </c>
      <c r="C1117" s="222" t="inlineStr">
        <is>
          <t>711000-C1-1-002 (03) / #2 ENG INTAKE COWL AFT BULKHEAD INSP</t>
        </is>
      </c>
      <c r="D1117" s="222" t="inlineStr">
        <is>
          <t>1</t>
        </is>
      </c>
      <c r="E1117" s="222" t="n">
        <v>0.2</v>
      </c>
      <c r="F1117" s="222" t="n">
        <v>0.5</v>
      </c>
      <c r="G1117" s="222" t="n">
        <v>0.5</v>
      </c>
      <c r="H1117" s="222" t="inlineStr">
        <is>
          <t>Closed</t>
        </is>
      </c>
      <c r="I1117" s="222" t="inlineStr">
        <is>
          <t>71-10</t>
        </is>
      </c>
      <c r="J1117" s="222" t="inlineStr">
        <is>
          <t>INSPECTION</t>
        </is>
      </c>
    </row>
    <row r="1118">
      <c r="A1118" s="222" t="inlineStr">
        <is>
          <t>516</t>
        </is>
      </c>
      <c r="B1118" s="222" t="inlineStr">
        <is>
          <t>711000-C4-2-001</t>
        </is>
      </c>
      <c r="C1118" s="222" t="inlineStr">
        <is>
          <t>711000-C4-2-001 (03) / GENERAL VISUAL INSPECTION OF FAN COWL DOORS</t>
        </is>
      </c>
      <c r="D1118" s="222" t="inlineStr">
        <is>
          <t>1</t>
        </is>
      </c>
      <c r="E1118" s="222" t="n">
        <v>2</v>
      </c>
      <c r="F1118" s="222" t="n">
        <v>2</v>
      </c>
      <c r="G1118" s="222" t="n">
        <v>16</v>
      </c>
      <c r="H1118" s="222" t="inlineStr">
        <is>
          <t>Closed</t>
        </is>
      </c>
      <c r="I1118" s="222" t="inlineStr">
        <is>
          <t>71-13</t>
        </is>
      </c>
      <c r="J1118" s="222" t="inlineStr">
        <is>
          <t>OPEN-UP, INSPECTION, CLOSE-UP</t>
        </is>
      </c>
    </row>
    <row r="1119">
      <c r="A1119" s="222" t="inlineStr">
        <is>
          <t>517</t>
        </is>
      </c>
      <c r="B1119" s="222" t="inlineStr">
        <is>
          <t>711000-C4-2-002</t>
        </is>
      </c>
      <c r="C1119" s="222" t="inlineStr">
        <is>
          <t>711000-C4-2-002 (03) / GENERAL VISUAL INSPECTION OF FAN COWL DOORS</t>
        </is>
      </c>
      <c r="D1119" s="222" t="inlineStr">
        <is>
          <t>1</t>
        </is>
      </c>
      <c r="E1119" s="222" t="n">
        <v>2</v>
      </c>
      <c r="F1119" s="222" t="n">
        <v>5.8</v>
      </c>
      <c r="G1119" s="222" t="n">
        <v>4.6</v>
      </c>
      <c r="H1119" s="222" t="inlineStr">
        <is>
          <t>Closed</t>
        </is>
      </c>
      <c r="I1119" s="222" t="inlineStr">
        <is>
          <t>71-13</t>
        </is>
      </c>
      <c r="J1119" s="222" t="inlineStr">
        <is>
          <t>JOB-SETUP, INSPECTION, JOB-CLOSEUP</t>
        </is>
      </c>
    </row>
    <row r="1120">
      <c r="A1120" s="222" t="inlineStr">
        <is>
          <t>518</t>
        </is>
      </c>
      <c r="B1120" s="222" t="inlineStr">
        <is>
          <t>711000-C5-1-001</t>
        </is>
      </c>
      <c r="C1120" s="222" t="inlineStr">
        <is>
          <t>711000-C5-1-001 (02) / NO. 1 ENG PRESSURE RELIEF DOOR FUC</t>
        </is>
      </c>
      <c r="D1120" s="222" t="inlineStr">
        <is>
          <t>1</t>
        </is>
      </c>
      <c r="E1120" s="222" t="n">
        <v>1.1</v>
      </c>
      <c r="F1120" s="222" t="n">
        <v>3</v>
      </c>
      <c r="G1120" s="222" t="n">
        <v>3</v>
      </c>
      <c r="H1120" s="222" t="inlineStr">
        <is>
          <t>Closed</t>
        </is>
      </c>
      <c r="I1120" s="222" t="inlineStr">
        <is>
          <t>73-13</t>
        </is>
      </c>
      <c r="J1120" s="222" t="inlineStr">
        <is>
          <t>JOB-SETUP, OPS/LK, JOB-CLOSEUP</t>
        </is>
      </c>
    </row>
    <row r="1121">
      <c r="A1121" s="222" t="inlineStr">
        <is>
          <t>519</t>
        </is>
      </c>
      <c r="B1121" s="222" t="inlineStr">
        <is>
          <t>711000-C5-1-002</t>
        </is>
      </c>
      <c r="C1121" s="222" t="inlineStr">
        <is>
          <t>711000-C5-1-002 (02) / NO. 2 ENG PRESSURE RELIEF DOOR FUC</t>
        </is>
      </c>
      <c r="D1121" s="222" t="inlineStr">
        <is>
          <t>1</t>
        </is>
      </c>
      <c r="E1121" s="222" t="n">
        <v>1.1</v>
      </c>
      <c r="F1121" s="222" t="n">
        <v>3</v>
      </c>
      <c r="G1121" s="222" t="n">
        <v>3</v>
      </c>
      <c r="H1121" s="222" t="inlineStr">
        <is>
          <t>Closed</t>
        </is>
      </c>
      <c r="I1121" s="222" t="inlineStr">
        <is>
          <t>73-13</t>
        </is>
      </c>
      <c r="J1121" s="222" t="inlineStr">
        <is>
          <t>JOB-SETUP, OPS/LK, JOB-CLOSEUP</t>
        </is>
      </c>
    </row>
    <row r="1122">
      <c r="A1122" s="222" t="inlineStr">
        <is>
          <t>520</t>
        </is>
      </c>
      <c r="B1122" s="222" t="inlineStr">
        <is>
          <t>711000-C6-1-001</t>
        </is>
      </c>
      <c r="C1122" s="222" t="inlineStr">
        <is>
          <t>711000-C6-1-001 (03) / NO.1 ENG FAN COW LATCH &amp; AJCNT INSP</t>
        </is>
      </c>
      <c r="D1122" s="222" t="inlineStr">
        <is>
          <t>1</t>
        </is>
      </c>
      <c r="E1122" s="222" t="n">
        <v>1.8</v>
      </c>
      <c r="F1122" s="222" t="n">
        <v>3</v>
      </c>
      <c r="G1122" s="222" t="n">
        <v>16.3</v>
      </c>
      <c r="H1122" s="222" t="inlineStr">
        <is>
          <t>Closed</t>
        </is>
      </c>
      <c r="I1122" s="222" t="inlineStr">
        <is>
          <t>71-13</t>
        </is>
      </c>
      <c r="J1122" s="222" t="inlineStr">
        <is>
          <t>INSPECTION</t>
        </is>
      </c>
    </row>
    <row r="1123">
      <c r="A1123" s="222" t="inlineStr">
        <is>
          <t>521</t>
        </is>
      </c>
      <c r="B1123" s="222" t="inlineStr">
        <is>
          <t>711000-C6-1-002</t>
        </is>
      </c>
      <c r="C1123" s="222" t="inlineStr">
        <is>
          <t>711000-C6-1-002 (02) / NO.2 ENG FAN COW LATCH &amp; AJCNT INSP</t>
        </is>
      </c>
      <c r="D1123" s="222" t="inlineStr">
        <is>
          <t>1</t>
        </is>
      </c>
      <c r="E1123" s="222" t="n">
        <v>1.8</v>
      </c>
      <c r="F1123" s="222" t="n">
        <v>2</v>
      </c>
      <c r="G1123" s="222" t="n">
        <v>3.5</v>
      </c>
      <c r="H1123" s="222" t="inlineStr">
        <is>
          <t>Closed</t>
        </is>
      </c>
      <c r="I1123" s="222" t="inlineStr">
        <is>
          <t>71-13</t>
        </is>
      </c>
      <c r="J1123" s="222" t="inlineStr">
        <is>
          <t>INSPECTION</t>
        </is>
      </c>
    </row>
    <row r="1124">
      <c r="A1124" s="222" t="inlineStr">
        <is>
          <t>522</t>
        </is>
      </c>
      <c r="B1124" s="222" t="inlineStr">
        <is>
          <t>711000-C7-1-001</t>
        </is>
      </c>
      <c r="C1124" s="222" t="inlineStr">
        <is>
          <t>711000-C7-1-001 (02) / NO.1 ENG FAN COWL DOOR FIRESEAL INSP</t>
        </is>
      </c>
      <c r="D1124" s="222" t="inlineStr">
        <is>
          <t>1</t>
        </is>
      </c>
      <c r="E1124" s="222" t="n">
        <v>1.8</v>
      </c>
      <c r="F1124" s="222" t="n">
        <v>1.8</v>
      </c>
      <c r="G1124" s="222" t="n">
        <v>16.1</v>
      </c>
      <c r="H1124" s="222" t="inlineStr">
        <is>
          <t>Closed</t>
        </is>
      </c>
      <c r="I1124" s="222" t="inlineStr">
        <is>
          <t>71-13</t>
        </is>
      </c>
      <c r="J1124" s="222" t="inlineStr">
        <is>
          <t>JOB-SETUP, INSPECTION, JOB-CLOSEUP</t>
        </is>
      </c>
    </row>
    <row r="1125">
      <c r="A1125" s="222" t="inlineStr">
        <is>
          <t>523</t>
        </is>
      </c>
      <c r="B1125" s="222" t="inlineStr">
        <is>
          <t>711000-C7-1-002</t>
        </is>
      </c>
      <c r="C1125" s="222" t="inlineStr">
        <is>
          <t>711000-C7-1-002 (02) / NO.2 ENG FAN COWL DOOR FIRESEAL INSP</t>
        </is>
      </c>
      <c r="D1125" s="222" t="inlineStr">
        <is>
          <t>1</t>
        </is>
      </c>
      <c r="E1125" s="222" t="n">
        <v>1.8</v>
      </c>
      <c r="F1125" s="222" t="n">
        <v>6.5</v>
      </c>
      <c r="G1125" s="222" t="n">
        <v>4.8</v>
      </c>
      <c r="H1125" s="222" t="inlineStr">
        <is>
          <t>Closed</t>
        </is>
      </c>
      <c r="I1125" s="222" t="inlineStr">
        <is>
          <t>71-13</t>
        </is>
      </c>
      <c r="J1125" s="222" t="inlineStr">
        <is>
          <t>JOB-SETUP, INSPECTION, JOB-CLOSEUP</t>
        </is>
      </c>
    </row>
    <row r="1126">
      <c r="A1126" s="222" t="inlineStr">
        <is>
          <t>524</t>
        </is>
      </c>
      <c r="B1126" s="222" t="inlineStr">
        <is>
          <t>711300-01-2</t>
        </is>
      </c>
      <c r="C1126" s="222" t="inlineStr">
        <is>
          <t>711300-01-2 (00) / GENERAL VISUAL INSPECTION OF FAN COWL DOOR HINGE FITTINGS AND SURROUNDING STRUCTURE.</t>
        </is>
      </c>
      <c r="D1126" s="222" t="inlineStr">
        <is>
          <t>1</t>
        </is>
      </c>
      <c r="E1126" s="222" t="n">
        <v>0.5</v>
      </c>
      <c r="F1126" s="222" t="n">
        <v>1</v>
      </c>
      <c r="G1126" s="222" t="n">
        <v>1</v>
      </c>
      <c r="H1126" s="222" t="inlineStr">
        <is>
          <t>Closed</t>
        </is>
      </c>
      <c r="I1126" s="222" t="inlineStr">
        <is>
          <t>71-13</t>
        </is>
      </c>
      <c r="J1126" s="222" t="inlineStr"/>
    </row>
    <row r="1127">
      <c r="A1127" s="222" t="inlineStr">
        <is>
          <t>527</t>
        </is>
      </c>
      <c r="B1127" s="222" t="inlineStr">
        <is>
          <t>712111-05-4-001</t>
        </is>
      </c>
      <c r="C1127" s="222" t="inlineStr">
        <is>
          <t>712111-05-4-001 (03) / NO. 1 ENGINE FWD MOUNT PYLON BOLTS INSP</t>
        </is>
      </c>
      <c r="D1127" s="222" t="inlineStr">
        <is>
          <t>1</t>
        </is>
      </c>
      <c r="E1127" s="222" t="n">
        <v>2.5</v>
      </c>
      <c r="F1127" s="222" t="n">
        <v>13</v>
      </c>
      <c r="G1127" s="222" t="n">
        <v>4.3</v>
      </c>
      <c r="H1127" s="222" t="inlineStr">
        <is>
          <t>Closed</t>
        </is>
      </c>
      <c r="I1127" s="222" t="inlineStr">
        <is>
          <t>71-21</t>
        </is>
      </c>
      <c r="J1127" s="222" t="inlineStr">
        <is>
          <t>JOB-SETUP, INSPECTION, JOB-CLOSEUP</t>
        </is>
      </c>
    </row>
    <row r="1128">
      <c r="A1128" s="222" t="inlineStr">
        <is>
          <t>528</t>
        </is>
      </c>
      <c r="B1128" s="222" t="inlineStr">
        <is>
          <t>712111-05-4-002</t>
        </is>
      </c>
      <c r="C1128" s="222" t="inlineStr">
        <is>
          <t>712111-05-4-002 (03) / NO.2 ENGINE FWD MOUNT PYLON BOLTS INSP</t>
        </is>
      </c>
      <c r="D1128" s="222" t="inlineStr">
        <is>
          <t>1</t>
        </is>
      </c>
      <c r="E1128" s="222" t="n">
        <v>2.5</v>
      </c>
      <c r="F1128" s="222" t="n">
        <v>17</v>
      </c>
      <c r="G1128" s="222" t="n">
        <v>4.8</v>
      </c>
      <c r="H1128" s="222" t="inlineStr">
        <is>
          <t>Closed</t>
        </is>
      </c>
      <c r="I1128" s="222" t="inlineStr">
        <is>
          <t>71-21</t>
        </is>
      </c>
      <c r="J1128" s="222" t="inlineStr">
        <is>
          <t>JOB-SETUP, INSPECTION, JOB-CLOSEUP</t>
        </is>
      </c>
    </row>
    <row r="1129">
      <c r="A1129" s="222" t="inlineStr">
        <is>
          <t>529</t>
        </is>
      </c>
      <c r="B1129" s="222" t="inlineStr">
        <is>
          <t>712112-01-1-001</t>
        </is>
      </c>
      <c r="C1129" s="222" t="inlineStr">
        <is>
          <t>712112-01-1-001 (03) / NO. 1 ENGINE FWD MOUNT LINK LUGS INSP</t>
        </is>
      </c>
      <c r="D1129" s="222" t="inlineStr">
        <is>
          <t>1</t>
        </is>
      </c>
      <c r="E1129" s="222" t="n">
        <v>2.4</v>
      </c>
      <c r="F1129" s="222" t="n">
        <v>1.2</v>
      </c>
      <c r="G1129" s="222" t="n">
        <v>41.2</v>
      </c>
      <c r="H1129" s="222" t="inlineStr">
        <is>
          <t>Closed</t>
        </is>
      </c>
      <c r="I1129" s="222" t="inlineStr">
        <is>
          <t>71-21</t>
        </is>
      </c>
      <c r="J1129" s="222" t="inlineStr">
        <is>
          <t>PRE INSP, PRE INSP, PRE INSP</t>
        </is>
      </c>
    </row>
    <row r="1130">
      <c r="A1130" s="222" t="inlineStr">
        <is>
          <t>530</t>
        </is>
      </c>
      <c r="B1130" s="222" t="inlineStr">
        <is>
          <t>712112-01-1-002</t>
        </is>
      </c>
      <c r="C1130" s="222" t="inlineStr">
        <is>
          <t>712112-01-1-002 (03) / NO. 2 ENGINE FWD MOUNT LINK LUGS INSP</t>
        </is>
      </c>
      <c r="D1130" s="222" t="inlineStr">
        <is>
          <t>1</t>
        </is>
      </c>
      <c r="E1130" s="222" t="n">
        <v>2.4</v>
      </c>
      <c r="F1130" s="222" t="n">
        <v>1.2</v>
      </c>
      <c r="G1130" s="222" t="n">
        <v>41.5</v>
      </c>
      <c r="H1130" s="222" t="inlineStr">
        <is>
          <t>Closed</t>
        </is>
      </c>
      <c r="I1130" s="222" t="inlineStr">
        <is>
          <t>71-21</t>
        </is>
      </c>
      <c r="J1130" s="222" t="inlineStr">
        <is>
          <t>PRE INSP, PRE INSP, PRE INSP</t>
        </is>
      </c>
    </row>
    <row r="1131">
      <c r="A1131" s="222" t="inlineStr">
        <is>
          <t>531</t>
        </is>
      </c>
      <c r="B1131" s="222" t="inlineStr">
        <is>
          <t>712211-03-1-001</t>
        </is>
      </c>
      <c r="C1131" s="222" t="inlineStr">
        <is>
          <t>712211-03-1-001 (03) / NO.1 AFT ENG MOUNT INSTALLATION INSP EXPOSED SURFACES</t>
        </is>
      </c>
      <c r="D1131" s="222" t="inlineStr">
        <is>
          <t>1</t>
        </is>
      </c>
      <c r="E1131" s="222" t="n">
        <v>1.3</v>
      </c>
      <c r="F1131" s="222" t="n">
        <v>1</v>
      </c>
      <c r="G1131" s="222" t="n">
        <v>1</v>
      </c>
      <c r="H1131" s="222" t="inlineStr">
        <is>
          <t>Closed</t>
        </is>
      </c>
      <c r="I1131" s="222" t="inlineStr">
        <is>
          <t>71-22</t>
        </is>
      </c>
      <c r="J1131" s="222" t="inlineStr">
        <is>
          <t>PRE INSP</t>
        </is>
      </c>
    </row>
    <row r="1132">
      <c r="A1132" s="222" t="inlineStr">
        <is>
          <t>532</t>
        </is>
      </c>
      <c r="B1132" s="222" t="inlineStr">
        <is>
          <t>712211-03-1-002</t>
        </is>
      </c>
      <c r="C1132" s="222" t="inlineStr">
        <is>
          <t>712211-03-1-002 (03) / NO.2 AFT ENG MOUNT INSTALLATION INSP EXPOSED SURFACES</t>
        </is>
      </c>
      <c r="D1132" s="222" t="inlineStr">
        <is>
          <t>1</t>
        </is>
      </c>
      <c r="E1132" s="222" t="n">
        <v>1.3</v>
      </c>
      <c r="F1132" s="222" t="n">
        <v>1</v>
      </c>
      <c r="G1132" s="222" t="n">
        <v>1</v>
      </c>
      <c r="H1132" s="222" t="inlineStr">
        <is>
          <t>Closed</t>
        </is>
      </c>
      <c r="I1132" s="222" t="inlineStr">
        <is>
          <t>71-22</t>
        </is>
      </c>
      <c r="J1132" s="222" t="inlineStr">
        <is>
          <t>PRE INSP</t>
        </is>
      </c>
    </row>
    <row r="1133">
      <c r="A1133" s="222" t="inlineStr">
        <is>
          <t>533</t>
        </is>
      </c>
      <c r="B1133" s="222" t="inlineStr">
        <is>
          <t>712211-05-1-001</t>
        </is>
      </c>
      <c r="C1133" s="222" t="inlineStr">
        <is>
          <t>712211-05-1-001 (02) / NO. 1 ENG AFT MOUNT PYLON BOLTS INSP</t>
        </is>
      </c>
      <c r="D1133" s="222" t="inlineStr">
        <is>
          <t>1</t>
        </is>
      </c>
      <c r="E1133" s="222" t="n">
        <v>2.2</v>
      </c>
      <c r="F1133" s="222" t="n">
        <v>13</v>
      </c>
      <c r="G1133" s="222" t="n">
        <v>4.3</v>
      </c>
      <c r="H1133" s="222" t="inlineStr">
        <is>
          <t>Closed</t>
        </is>
      </c>
      <c r="I1133" s="222" t="inlineStr">
        <is>
          <t>71-22</t>
        </is>
      </c>
      <c r="J1133" s="222" t="inlineStr">
        <is>
          <t>JOB-SETUP, INSPECTION, JOB-CLOSEUP</t>
        </is>
      </c>
    </row>
    <row r="1134">
      <c r="A1134" s="222" t="inlineStr">
        <is>
          <t>534</t>
        </is>
      </c>
      <c r="B1134" s="222" t="inlineStr">
        <is>
          <t>712211-05-1-002</t>
        </is>
      </c>
      <c r="C1134" s="222" t="inlineStr">
        <is>
          <t>712211-05-1-002 (02) / NO. 2 ENG AFT MOUNT PYLON BOLTS INSP</t>
        </is>
      </c>
      <c r="D1134" s="222" t="inlineStr">
        <is>
          <t>1</t>
        </is>
      </c>
      <c r="E1134" s="222" t="n">
        <v>2.2</v>
      </c>
      <c r="F1134" s="222" t="n">
        <v>21</v>
      </c>
      <c r="G1134" s="222" t="n">
        <v>4.8</v>
      </c>
      <c r="H1134" s="222" t="inlineStr">
        <is>
          <t>Closed</t>
        </is>
      </c>
      <c r="I1134" s="222" t="inlineStr">
        <is>
          <t>71-22</t>
        </is>
      </c>
      <c r="J1134" s="222" t="inlineStr">
        <is>
          <t>JOB-SETUP, INSPECTION, JOB-CLOSEUP</t>
        </is>
      </c>
    </row>
    <row r="1135">
      <c r="A1135" s="222" t="inlineStr">
        <is>
          <t>535</t>
        </is>
      </c>
      <c r="B1135" s="222" t="inlineStr">
        <is>
          <t>712212-01-1-001</t>
        </is>
      </c>
      <c r="C1135" s="222" t="inlineStr">
        <is>
          <t>712212-01-1-001 (02) / NO. 1 ENG AFT MOUNT LINK LUGS INSP</t>
        </is>
      </c>
      <c r="D1135" s="222" t="inlineStr">
        <is>
          <t>1</t>
        </is>
      </c>
      <c r="E1135" s="222" t="n">
        <v>2.8</v>
      </c>
      <c r="F1135" s="222" t="n">
        <v>1.4</v>
      </c>
      <c r="G1135" s="222" t="n">
        <v>40.9</v>
      </c>
      <c r="H1135" s="222" t="inlineStr">
        <is>
          <t>Closed</t>
        </is>
      </c>
      <c r="I1135" s="222" t="inlineStr">
        <is>
          <t>71-22</t>
        </is>
      </c>
      <c r="J1135" s="222" t="inlineStr">
        <is>
          <t>PRE INSP, PRE INSP, PRE INSP</t>
        </is>
      </c>
    </row>
    <row r="1136">
      <c r="A1136" s="222" t="inlineStr">
        <is>
          <t>536</t>
        </is>
      </c>
      <c r="B1136" s="222" t="inlineStr">
        <is>
          <t>712212-01-1-002</t>
        </is>
      </c>
      <c r="C1136" s="222" t="inlineStr">
        <is>
          <t>712212-01-1-002 (02) / NO. 2 ENG AFT MOUNT LINK LUGS INSP</t>
        </is>
      </c>
      <c r="D1136" s="222" t="inlineStr">
        <is>
          <t>1</t>
        </is>
      </c>
      <c r="E1136" s="222" t="n">
        <v>2.8</v>
      </c>
      <c r="F1136" s="222" t="n">
        <v>1.2</v>
      </c>
      <c r="G1136" s="222" t="n">
        <v>41.2</v>
      </c>
      <c r="H1136" s="222" t="inlineStr">
        <is>
          <t>Closed</t>
        </is>
      </c>
      <c r="I1136" s="222" t="inlineStr">
        <is>
          <t>71-22</t>
        </is>
      </c>
      <c r="J1136" s="222" t="inlineStr">
        <is>
          <t>PRE INSP, PRE INSP, PRE INSP</t>
        </is>
      </c>
    </row>
    <row r="1137">
      <c r="A1137" s="222" t="inlineStr">
        <is>
          <t>539</t>
        </is>
      </c>
      <c r="B1137" s="222" t="inlineStr">
        <is>
          <t>72-00-00-25-0-SVA-001</t>
        </is>
      </c>
      <c r="C1137" s="222" t="inlineStr">
        <is>
          <t>72-00-00-25-0-SVA-001 (01) / PRE C-CHK PRESERVATION ON ENG#1 OIL</t>
        </is>
      </c>
      <c r="D1137" s="222" t="inlineStr">
        <is>
          <t>1</t>
        </is>
      </c>
      <c r="E1137" s="222" t="n">
        <v>2</v>
      </c>
      <c r="F1137" s="222" t="n">
        <v>9</v>
      </c>
      <c r="G1137" s="222" t="n">
        <v>4</v>
      </c>
      <c r="H1137" s="222" t="inlineStr">
        <is>
          <t>Closed</t>
        </is>
      </c>
      <c r="I1137" s="222" t="inlineStr">
        <is>
          <t>72</t>
        </is>
      </c>
      <c r="J1137" s="222" t="inlineStr">
        <is>
          <t>OPS/LK</t>
        </is>
      </c>
    </row>
    <row r="1138">
      <c r="A1138" s="222" t="inlineStr">
        <is>
          <t>540</t>
        </is>
      </c>
      <c r="B1138" s="222" t="inlineStr">
        <is>
          <t>72-00-00-25-0-SVA-002</t>
        </is>
      </c>
      <c r="C1138" s="222" t="inlineStr">
        <is>
          <t>72-00-00-25-0-SVA-002 (01) / PRE C-CHK PRESERVATION ON ENG#2 OIL</t>
        </is>
      </c>
      <c r="D1138" s="222" t="inlineStr">
        <is>
          <t>1</t>
        </is>
      </c>
      <c r="E1138" s="222" t="n">
        <v>2</v>
      </c>
      <c r="F1138" s="222" t="n">
        <v>9</v>
      </c>
      <c r="G1138" s="222" t="n">
        <v>4</v>
      </c>
      <c r="H1138" s="222" t="inlineStr">
        <is>
          <t>Closed</t>
        </is>
      </c>
      <c r="I1138" s="222" t="inlineStr">
        <is>
          <t>72</t>
        </is>
      </c>
      <c r="J1138" s="222" t="inlineStr">
        <is>
          <t>OPS/LK</t>
        </is>
      </c>
    </row>
    <row r="1139">
      <c r="A1139" s="222" t="inlineStr">
        <is>
          <t>545</t>
        </is>
      </c>
      <c r="B1139" s="222" t="inlineStr">
        <is>
          <t>783000-C4-1-001</t>
        </is>
      </c>
      <c r="C1139" s="222" t="inlineStr">
        <is>
          <t>783000-C4-1-001 (02) / NO.1 ENG T/R TENSION HOK&amp;AJCNT INSP</t>
        </is>
      </c>
      <c r="D1139" s="222" t="inlineStr">
        <is>
          <t>1</t>
        </is>
      </c>
      <c r="E1139" s="222" t="n">
        <v>0.9</v>
      </c>
      <c r="F1139" s="222" t="n">
        <v>4</v>
      </c>
      <c r="G1139" s="222" t="n">
        <v>16</v>
      </c>
      <c r="H1139" s="222" t="inlineStr">
        <is>
          <t>Closed</t>
        </is>
      </c>
      <c r="I1139" s="222" t="inlineStr">
        <is>
          <t>78-36</t>
        </is>
      </c>
      <c r="J1139" s="222" t="inlineStr">
        <is>
          <t>JOB-SETUP, INSPECTION, JOB-CLOSEUP</t>
        </is>
      </c>
    </row>
    <row r="1140">
      <c r="A1140" s="222" t="inlineStr">
        <is>
          <t>546</t>
        </is>
      </c>
      <c r="B1140" s="222" t="inlineStr">
        <is>
          <t>783000-C4-1-002</t>
        </is>
      </c>
      <c r="C1140" s="222" t="inlineStr">
        <is>
          <t>783000-C4-1-002 (02) / NO.2 ENG T/R TENSSION HOK AJCNT INSP</t>
        </is>
      </c>
      <c r="D1140" s="222" t="inlineStr">
        <is>
          <t>1</t>
        </is>
      </c>
      <c r="E1140" s="222" t="n">
        <v>0.9</v>
      </c>
      <c r="F1140" s="222" t="n">
        <v>10.3</v>
      </c>
      <c r="G1140" s="222" t="n">
        <v>4.4</v>
      </c>
      <c r="H1140" s="222" t="inlineStr">
        <is>
          <t>Closed</t>
        </is>
      </c>
      <c r="I1140" s="222" t="inlineStr">
        <is>
          <t>78-36</t>
        </is>
      </c>
      <c r="J1140" s="222" t="inlineStr">
        <is>
          <t>JOB-SETUP, INSPECTION, JOB-CLOSEUP</t>
        </is>
      </c>
    </row>
    <row r="1141">
      <c r="A1141" s="222" t="inlineStr">
        <is>
          <t>547</t>
        </is>
      </c>
      <c r="B1141" s="222" t="inlineStr">
        <is>
          <t>783100-C6-1-001</t>
        </is>
      </c>
      <c r="C1141" s="222" t="inlineStr">
        <is>
          <t>783100-C6-1-001 (02) / NO.1 ENGINE ACTU SECONDARY LOCK INSP</t>
        </is>
      </c>
      <c r="D1141" s="222" t="inlineStr">
        <is>
          <t>1</t>
        </is>
      </c>
      <c r="E1141" s="222" t="n">
        <v>0.9</v>
      </c>
      <c r="F1141" s="222" t="n">
        <v>14.5</v>
      </c>
      <c r="G1141" s="222" t="n">
        <v>6</v>
      </c>
      <c r="H1141" s="222" t="inlineStr">
        <is>
          <t>Closed</t>
        </is>
      </c>
      <c r="I1141" s="222" t="inlineStr">
        <is>
          <t>78-31</t>
        </is>
      </c>
      <c r="J1141" s="222" t="inlineStr">
        <is>
          <t>JOB-SETUP, OPS/LK, JOB-CLOSEUP</t>
        </is>
      </c>
    </row>
    <row r="1142">
      <c r="A1142" s="222" t="inlineStr">
        <is>
          <t>548</t>
        </is>
      </c>
      <c r="B1142" s="222" t="inlineStr">
        <is>
          <t>783100-C6-1-002</t>
        </is>
      </c>
      <c r="C1142" s="222" t="inlineStr">
        <is>
          <t>783100-C6-1-002 (02) / NO.2 ENGINE ACTU SECONDARY LOCK INSP</t>
        </is>
      </c>
      <c r="D1142" s="222" t="inlineStr">
        <is>
          <t>1</t>
        </is>
      </c>
      <c r="E1142" s="222" t="n">
        <v>0.9</v>
      </c>
      <c r="F1142" s="222" t="n">
        <v>14.5</v>
      </c>
      <c r="G1142" s="222" t="n">
        <v>6</v>
      </c>
      <c r="H1142" s="222" t="inlineStr">
        <is>
          <t>Closed</t>
        </is>
      </c>
      <c r="I1142" s="222" t="inlineStr">
        <is>
          <t>78-31</t>
        </is>
      </c>
      <c r="J1142" s="222" t="inlineStr">
        <is>
          <t>JOB-SETUP, OPS/LK, JOB-CLOSEUP</t>
        </is>
      </c>
    </row>
    <row r="1143">
      <c r="A1143" s="222" t="inlineStr">
        <is>
          <t>554</t>
        </is>
      </c>
      <c r="B1143" s="222" t="inlineStr">
        <is>
          <t>ZL-100-02-1</t>
        </is>
      </c>
      <c r="C1143" s="222" t="inlineStr">
        <is>
          <t>ZL-100-02-1 (04) / LOWER HALF OF FUSELAGE ZONAL INSP</t>
        </is>
      </c>
      <c r="D1143" s="222" t="inlineStr">
        <is>
          <t>1</t>
        </is>
      </c>
      <c r="E1143" s="222" t="n">
        <v>12.5</v>
      </c>
      <c r="F1143" s="222" t="n">
        <v>1.3</v>
      </c>
      <c r="G1143" s="222" t="n">
        <v>1</v>
      </c>
      <c r="H1143" s="222" t="inlineStr">
        <is>
          <t>Closed</t>
        </is>
      </c>
      <c r="I1143" s="222" t="inlineStr">
        <is>
          <t>05-21</t>
        </is>
      </c>
      <c r="J1143" s="222" t="inlineStr">
        <is>
          <t>PRE INSP</t>
        </is>
      </c>
    </row>
    <row r="1144">
      <c r="A1144" s="222" t="inlineStr">
        <is>
          <t>555</t>
        </is>
      </c>
      <c r="B1144" s="222" t="inlineStr">
        <is>
          <t>ZL-123-02-1</t>
        </is>
      </c>
      <c r="C1144" s="222" t="inlineStr">
        <is>
          <t>ZL-123-02-1 (4) / NOSE LANDING GEAR WELL ZONAL INSP</t>
        </is>
      </c>
      <c r="D1144" s="222" t="inlineStr">
        <is>
          <t>1</t>
        </is>
      </c>
      <c r="E1144" s="222" t="n">
        <v>0.9</v>
      </c>
      <c r="F1144" s="222" t="n">
        <v>1</v>
      </c>
      <c r="G1144" s="222" t="n">
        <v>1</v>
      </c>
      <c r="H1144" s="222" t="inlineStr">
        <is>
          <t>Closed</t>
        </is>
      </c>
      <c r="I1144" s="222" t="inlineStr">
        <is>
          <t>05-21</t>
        </is>
      </c>
      <c r="J1144" s="222" t="inlineStr">
        <is>
          <t>PRE INSP</t>
        </is>
      </c>
    </row>
    <row r="1145">
      <c r="A1145" s="222" t="inlineStr">
        <is>
          <t>556</t>
        </is>
      </c>
      <c r="B1145" s="222" t="inlineStr">
        <is>
          <t>ZL-131-01-1</t>
        </is>
      </c>
      <c r="C1145" s="222" t="inlineStr">
        <is>
          <t>ZL-131-01-1 (05) / FWD CARGO COMPARTMENT ZONAL INSP</t>
        </is>
      </c>
      <c r="D1145" s="222" t="inlineStr">
        <is>
          <t>1</t>
        </is>
      </c>
      <c r="E1145" s="222" t="n">
        <v>0.4</v>
      </c>
      <c r="F1145" s="222" t="n">
        <v>0.2</v>
      </c>
      <c r="G1145" s="222" t="n">
        <v>0.2</v>
      </c>
      <c r="H1145" s="222" t="inlineStr">
        <is>
          <t>Closed</t>
        </is>
      </c>
      <c r="I1145" s="222" t="inlineStr">
        <is>
          <t>05-21</t>
        </is>
      </c>
      <c r="J1145" s="222" t="inlineStr">
        <is>
          <t>INSPECTION</t>
        </is>
      </c>
    </row>
    <row r="1146">
      <c r="A1146" s="222" t="inlineStr">
        <is>
          <t>557</t>
        </is>
      </c>
      <c r="B1146" s="222" t="inlineStr">
        <is>
          <t>ZL-151-01-1</t>
        </is>
      </c>
      <c r="C1146" s="222" t="inlineStr">
        <is>
          <t>ZL-151-01-1 (3) / AFT CARGO COMPARTMENT ZONAL INSP</t>
        </is>
      </c>
      <c r="D1146" s="222" t="inlineStr">
        <is>
          <t>1</t>
        </is>
      </c>
      <c r="E1146" s="222" t="n">
        <v>0.4</v>
      </c>
      <c r="F1146" s="222" t="n">
        <v>0.2</v>
      </c>
      <c r="G1146" s="222" t="n">
        <v>0.2</v>
      </c>
      <c r="H1146" s="222" t="inlineStr">
        <is>
          <t>Closed</t>
        </is>
      </c>
      <c r="I1146" s="222" t="inlineStr">
        <is>
          <t>05-21</t>
        </is>
      </c>
      <c r="J1146" s="222" t="inlineStr">
        <is>
          <t>INSPECTION</t>
        </is>
      </c>
    </row>
    <row r="1147">
      <c r="A1147" s="222" t="inlineStr">
        <is>
          <t>558</t>
        </is>
      </c>
      <c r="B1147" s="222" t="inlineStr">
        <is>
          <t>ZL-161-01-1</t>
        </is>
      </c>
      <c r="C1147" s="222" t="inlineStr">
        <is>
          <t>ZL-161-01-1 (3) / BULK CARGO COMPARTMENT ZONAL INSP</t>
        </is>
      </c>
      <c r="D1147" s="222" t="inlineStr">
        <is>
          <t>1</t>
        </is>
      </c>
      <c r="E1147" s="222" t="n">
        <v>0.4</v>
      </c>
      <c r="F1147" s="222" t="n">
        <v>0.1</v>
      </c>
      <c r="G1147" s="222" t="n">
        <v>0.1</v>
      </c>
      <c r="H1147" s="222" t="inlineStr">
        <is>
          <t>Closed</t>
        </is>
      </c>
      <c r="I1147" s="222" t="inlineStr">
        <is>
          <t>05-21</t>
        </is>
      </c>
      <c r="J1147" s="222" t="inlineStr">
        <is>
          <t>INSPECTION</t>
        </is>
      </c>
    </row>
    <row r="1148">
      <c r="A1148" s="222" t="inlineStr">
        <is>
          <t>559</t>
        </is>
      </c>
      <c r="B1148" s="222" t="inlineStr">
        <is>
          <t>ZL-161-02-1</t>
        </is>
      </c>
      <c r="C1148" s="222" t="inlineStr">
        <is>
          <t>ZL-161-02-1 (02) / BULK CARGO COMPARTMENT ZONAL INSP</t>
        </is>
      </c>
      <c r="D1148" s="222" t="inlineStr">
        <is>
          <t>1</t>
        </is>
      </c>
      <c r="E1148" s="222" t="n">
        <v>75.7</v>
      </c>
      <c r="F1148" s="222" t="n">
        <v>0.5</v>
      </c>
      <c r="G1148" s="222" t="n">
        <v>0.5</v>
      </c>
      <c r="H1148" s="222" t="inlineStr">
        <is>
          <t>Closed</t>
        </is>
      </c>
      <c r="I1148" s="222" t="inlineStr">
        <is>
          <t>05-21</t>
        </is>
      </c>
      <c r="J1148" s="222" t="inlineStr">
        <is>
          <t>INSPECTION</t>
        </is>
      </c>
    </row>
    <row r="1149">
      <c r="A1149" s="222" t="inlineStr">
        <is>
          <t>560</t>
        </is>
      </c>
      <c r="B1149" s="222" t="inlineStr">
        <is>
          <t>ZL-171-01-2</t>
        </is>
      </c>
      <c r="C1149" s="222" t="inlineStr">
        <is>
          <t>ZL-171-01-2 (04) / AFT CAB UNDERFLOOR COMP. ZONAL INSP</t>
        </is>
      </c>
      <c r="D1149" s="222" t="inlineStr">
        <is>
          <t>1</t>
        </is>
      </c>
      <c r="E1149" s="222" t="n">
        <v>1.1</v>
      </c>
      <c r="F1149" s="222" t="n">
        <v>8.300000000000001</v>
      </c>
      <c r="G1149" s="222" t="n">
        <v>17.1</v>
      </c>
      <c r="H1149" s="222" t="inlineStr">
        <is>
          <t>Closed</t>
        </is>
      </c>
      <c r="I1149" s="222" t="inlineStr">
        <is>
          <t>05-21</t>
        </is>
      </c>
      <c r="J1149" s="222" t="inlineStr">
        <is>
          <t>INSPECTION</t>
        </is>
      </c>
    </row>
    <row r="1150">
      <c r="A1150" s="222" t="inlineStr">
        <is>
          <t>561</t>
        </is>
      </c>
      <c r="B1150" s="222" t="inlineStr">
        <is>
          <t>ZL-300-02-1</t>
        </is>
      </c>
      <c r="C1150" s="222" t="inlineStr">
        <is>
          <t>ZL-300-02-1 (05) / STABILIZERS&amp;CONE/REAR FUSELAGE INSP</t>
        </is>
      </c>
      <c r="D1150" s="222" t="inlineStr">
        <is>
          <t>1</t>
        </is>
      </c>
      <c r="E1150" s="222" t="n">
        <v>0.4</v>
      </c>
      <c r="F1150" s="222" t="n">
        <v>8</v>
      </c>
      <c r="G1150" s="222" t="n">
        <v>49.7</v>
      </c>
      <c r="H1150" s="222" t="inlineStr">
        <is>
          <t>Closed</t>
        </is>
      </c>
      <c r="I1150" s="222" t="inlineStr">
        <is>
          <t>05-23</t>
        </is>
      </c>
      <c r="J1150" s="222" t="inlineStr">
        <is>
          <t>INSPECTION</t>
        </is>
      </c>
    </row>
    <row r="1151">
      <c r="A1151" s="222" t="inlineStr">
        <is>
          <t>562</t>
        </is>
      </c>
      <c r="B1151" s="222" t="inlineStr">
        <is>
          <t>ZL-315-01-1</t>
        </is>
      </c>
      <c r="C1151" s="222" t="inlineStr">
        <is>
          <t>ZL-315-01-1 (02) / GENERAL VISUAL INSPECTION OF TAIL CONE APU AND ACCESSORY COMPARTMENT (EWIS)</t>
        </is>
      </c>
      <c r="D1151" s="222" t="inlineStr">
        <is>
          <t>1</t>
        </is>
      </c>
      <c r="E1151" s="222" t="n">
        <v>1.3</v>
      </c>
      <c r="F1151" s="222" t="n">
        <v>0.8</v>
      </c>
      <c r="G1151" s="222" t="n">
        <v>0.8</v>
      </c>
      <c r="H1151" s="222" t="inlineStr">
        <is>
          <t>Closed</t>
        </is>
      </c>
      <c r="I1151" s="222" t="inlineStr">
        <is>
          <t>05-23</t>
        </is>
      </c>
      <c r="J1151" s="222" t="inlineStr">
        <is>
          <t>INSPECTION</t>
        </is>
      </c>
    </row>
    <row r="1152">
      <c r="A1152" s="222" t="inlineStr">
        <is>
          <t>563</t>
        </is>
      </c>
      <c r="B1152" s="222" t="inlineStr">
        <is>
          <t>ZL-334-01-1</t>
        </is>
      </c>
      <c r="C1152" s="222" t="inlineStr">
        <is>
          <t>ZL-334-01-1 (4) / THS TRAILING EDGE ZONAL INSPECTION</t>
        </is>
      </c>
      <c r="D1152" s="222" t="inlineStr">
        <is>
          <t>1</t>
        </is>
      </c>
      <c r="E1152" s="222" t="n">
        <v>0.9</v>
      </c>
      <c r="F1152" s="222" t="n">
        <v>46.8</v>
      </c>
      <c r="G1152" s="222" t="n">
        <v>5.2</v>
      </c>
      <c r="H1152" s="222" t="inlineStr">
        <is>
          <t>Closed</t>
        </is>
      </c>
      <c r="I1152" s="222" t="inlineStr">
        <is>
          <t>05-23</t>
        </is>
      </c>
      <c r="J1152" s="222" t="inlineStr">
        <is>
          <t>INSPECTION</t>
        </is>
      </c>
    </row>
    <row r="1153">
      <c r="A1153" s="222" t="inlineStr">
        <is>
          <t>564</t>
        </is>
      </c>
      <c r="B1153" s="222" t="inlineStr">
        <is>
          <t>ZL-411-01-3-001</t>
        </is>
      </c>
      <c r="C1153" s="222" t="inlineStr">
        <is>
          <t>ZL-411-01-3-001 (05) / NO. 1 ENGINE UPPER FORWARD PYLON</t>
        </is>
      </c>
      <c r="D1153" s="222" t="inlineStr">
        <is>
          <t>1</t>
        </is>
      </c>
      <c r="E1153" s="222" t="n">
        <v>0.4</v>
      </c>
      <c r="F1153" s="222" t="n">
        <v>1.8</v>
      </c>
      <c r="G1153" s="222" t="n">
        <v>1</v>
      </c>
      <c r="H1153" s="222" t="inlineStr">
        <is>
          <t>Closed</t>
        </is>
      </c>
      <c r="I1153" s="222" t="inlineStr">
        <is>
          <t>05-24</t>
        </is>
      </c>
      <c r="J1153" s="222" t="inlineStr">
        <is>
          <t>INSPECTION</t>
        </is>
      </c>
    </row>
    <row r="1154">
      <c r="A1154" s="222" t="inlineStr">
        <is>
          <t>565</t>
        </is>
      </c>
      <c r="B1154" s="222" t="inlineStr">
        <is>
          <t>ZL-411-01-3-002</t>
        </is>
      </c>
      <c r="C1154" s="222" t="inlineStr">
        <is>
          <t>ZL-411-01-3-002 (05) / NO. 2 ENGINE UPPER FORWARD PYLON</t>
        </is>
      </c>
      <c r="D1154" s="222" t="inlineStr">
        <is>
          <t>1</t>
        </is>
      </c>
      <c r="E1154" s="222" t="n">
        <v>0.4</v>
      </c>
      <c r="F1154" s="222" t="n">
        <v>2</v>
      </c>
      <c r="G1154" s="222" t="n">
        <v>1.1</v>
      </c>
      <c r="H1154" s="222" t="inlineStr">
        <is>
          <t>Closed</t>
        </is>
      </c>
      <c r="I1154" s="222" t="inlineStr">
        <is>
          <t>05-24</t>
        </is>
      </c>
      <c r="J1154" s="222" t="inlineStr">
        <is>
          <t>INSPECTION</t>
        </is>
      </c>
    </row>
    <row r="1155">
      <c r="A1155" s="222" t="inlineStr">
        <is>
          <t>566</t>
        </is>
      </c>
      <c r="B1155" s="222" t="inlineStr">
        <is>
          <t>ZL-437-01-1-001</t>
        </is>
      </c>
      <c r="C1155" s="222" t="inlineStr">
        <is>
          <t>ZL-437-01-1-001 (05) / GENERAL VISUAL INSPECTION OF FAN COWL NO.1 ENGINE</t>
        </is>
      </c>
      <c r="D1155" s="222" t="inlineStr">
        <is>
          <t>1</t>
        </is>
      </c>
      <c r="E1155" s="222" t="n">
        <v>0.9</v>
      </c>
      <c r="F1155" s="222" t="n">
        <v>1</v>
      </c>
      <c r="G1155" s="222" t="n">
        <v>1</v>
      </c>
      <c r="H1155" s="222" t="inlineStr">
        <is>
          <t>Closed</t>
        </is>
      </c>
      <c r="I1155" s="222" t="inlineStr">
        <is>
          <t>05-24</t>
        </is>
      </c>
      <c r="J1155" s="222" t="inlineStr">
        <is>
          <t>INSPECTION</t>
        </is>
      </c>
    </row>
    <row r="1156">
      <c r="A1156" s="222" t="inlineStr">
        <is>
          <t>567</t>
        </is>
      </c>
      <c r="B1156" s="222" t="inlineStr">
        <is>
          <t>ZL-437-01-1-002</t>
        </is>
      </c>
      <c r="C1156" s="222" t="inlineStr">
        <is>
          <t>ZL-437-01-1-002 (05) / GENERAL VISUAL INSPECTION OF FAN COWL NO.2 ENGINE</t>
        </is>
      </c>
      <c r="D1156" s="222" t="inlineStr">
        <is>
          <t>1</t>
        </is>
      </c>
      <c r="E1156" s="222" t="n">
        <v>0.9</v>
      </c>
      <c r="F1156" s="222" t="n">
        <v>1</v>
      </c>
      <c r="G1156" s="222" t="n">
        <v>1</v>
      </c>
      <c r="H1156" s="222" t="inlineStr">
        <is>
          <t>Closed</t>
        </is>
      </c>
      <c r="I1156" s="222" t="inlineStr">
        <is>
          <t>05-24</t>
        </is>
      </c>
      <c r="J1156" s="222" t="inlineStr">
        <is>
          <t>INSPECTION</t>
        </is>
      </c>
    </row>
    <row r="1157">
      <c r="A1157" s="222" t="inlineStr">
        <is>
          <t>568</t>
        </is>
      </c>
      <c r="B1157" s="222" t="inlineStr">
        <is>
          <t>ZL-451-01-1-001</t>
        </is>
      </c>
      <c r="C1157" s="222" t="inlineStr">
        <is>
          <t>ZL-451-01-1-001 (04) / NO. 1 ENGINE THRUST REVERSER COWLING</t>
        </is>
      </c>
      <c r="D1157" s="222" t="inlineStr">
        <is>
          <t>1</t>
        </is>
      </c>
      <c r="E1157" s="222" t="n">
        <v>0.9</v>
      </c>
      <c r="F1157" s="222" t="n">
        <v>7.5</v>
      </c>
      <c r="G1157" s="222" t="n">
        <v>62.7</v>
      </c>
      <c r="H1157" s="222" t="inlineStr">
        <is>
          <t>Closed</t>
        </is>
      </c>
      <c r="I1157" s="222" t="inlineStr">
        <is>
          <t>05-24</t>
        </is>
      </c>
      <c r="J1157" s="222" t="inlineStr">
        <is>
          <t>JOB-SETUP, INSPECTION, JOB-CLOSEUP</t>
        </is>
      </c>
    </row>
    <row r="1158">
      <c r="A1158" s="222" t="inlineStr">
        <is>
          <t>569</t>
        </is>
      </c>
      <c r="B1158" s="222" t="inlineStr">
        <is>
          <t>ZL-451-01-1-002</t>
        </is>
      </c>
      <c r="C1158" s="222" t="inlineStr">
        <is>
          <t>ZL-451-01-1-002 (04) / NO. 2 ENGINE THRUST REVERSER COWLING</t>
        </is>
      </c>
      <c r="D1158" s="222" t="inlineStr">
        <is>
          <t>1</t>
        </is>
      </c>
      <c r="E1158" s="222" t="n">
        <v>0.9</v>
      </c>
      <c r="F1158" s="222" t="n">
        <v>12</v>
      </c>
      <c r="G1158" s="222" t="n">
        <v>50.6</v>
      </c>
      <c r="H1158" s="222" t="inlineStr">
        <is>
          <t>Closed</t>
        </is>
      </c>
      <c r="I1158" s="222" t="inlineStr">
        <is>
          <t>05-24</t>
        </is>
      </c>
      <c r="J1158" s="222" t="inlineStr">
        <is>
          <t>JOB-SETUP, INSPECTION, JOB-CLOSEUP</t>
        </is>
      </c>
    </row>
    <row r="1159">
      <c r="A1159" s="222" t="inlineStr">
        <is>
          <t>570</t>
        </is>
      </c>
      <c r="B1159" s="222" t="inlineStr">
        <is>
          <t>ZL-453-01-1-001</t>
        </is>
      </c>
      <c r="C1159" s="222" t="inlineStr">
        <is>
          <t>ZL-453-01-1-001 (05) / NO.1 ENGINE HOT SECTION ZONAL INSP</t>
        </is>
      </c>
      <c r="D1159" s="222" t="inlineStr">
        <is>
          <t>1</t>
        </is>
      </c>
      <c r="E1159" s="222" t="n">
        <v>0.9</v>
      </c>
      <c r="F1159" s="222" t="n">
        <v>1</v>
      </c>
      <c r="G1159" s="222" t="n">
        <v>1</v>
      </c>
      <c r="H1159" s="222" t="inlineStr">
        <is>
          <t>Closed</t>
        </is>
      </c>
      <c r="I1159" s="222" t="inlineStr">
        <is>
          <t>05-24</t>
        </is>
      </c>
      <c r="J1159" s="222" t="inlineStr">
        <is>
          <t>INSPECTION</t>
        </is>
      </c>
    </row>
    <row r="1160">
      <c r="A1160" s="222" t="inlineStr">
        <is>
          <t>571</t>
        </is>
      </c>
      <c r="B1160" s="222" t="inlineStr">
        <is>
          <t>ZL-453-01-1-002</t>
        </is>
      </c>
      <c r="C1160" s="222" t="inlineStr">
        <is>
          <t>ZL-453-01-1-002 (05) / NO.2 ENGINE HOT SECTION ZONAL INSP</t>
        </is>
      </c>
      <c r="D1160" s="222" t="inlineStr">
        <is>
          <t>1</t>
        </is>
      </c>
      <c r="E1160" s="222" t="n">
        <v>0.9</v>
      </c>
      <c r="F1160" s="222" t="n">
        <v>1</v>
      </c>
      <c r="G1160" s="222" t="n">
        <v>1</v>
      </c>
      <c r="H1160" s="222" t="inlineStr">
        <is>
          <t>Closed</t>
        </is>
      </c>
      <c r="I1160" s="222" t="inlineStr">
        <is>
          <t>05-24</t>
        </is>
      </c>
      <c r="J1160" s="222" t="inlineStr">
        <is>
          <t>INSPECTION</t>
        </is>
      </c>
    </row>
    <row r="1161">
      <c r="A1161" s="222" t="inlineStr">
        <is>
          <t>572</t>
        </is>
      </c>
      <c r="B1161" s="222" t="inlineStr">
        <is>
          <t>ZL-471-01-4-001</t>
        </is>
      </c>
      <c r="C1161" s="222" t="inlineStr">
        <is>
          <t>ZL-471-01-4-001 (04) / NO.1 ENG PYLON L/E AND LOWER FAIRING</t>
        </is>
      </c>
      <c r="D1161" s="222" t="inlineStr">
        <is>
          <t>1</t>
        </is>
      </c>
      <c r="E1161" s="222" t="n">
        <v>0.7</v>
      </c>
      <c r="F1161" s="222" t="n">
        <v>0.8</v>
      </c>
      <c r="G1161" s="222" t="n">
        <v>0.6</v>
      </c>
      <c r="H1161" s="222" t="inlineStr">
        <is>
          <t>Closed</t>
        </is>
      </c>
      <c r="I1161" s="222" t="inlineStr">
        <is>
          <t>05-24</t>
        </is>
      </c>
      <c r="J1161" s="222" t="inlineStr">
        <is>
          <t>INSPECTION</t>
        </is>
      </c>
    </row>
    <row r="1162">
      <c r="A1162" s="222" t="inlineStr">
        <is>
          <t>573</t>
        </is>
      </c>
      <c r="B1162" s="222" t="inlineStr">
        <is>
          <t>ZL-471-01-4-002</t>
        </is>
      </c>
      <c r="C1162" s="222" t="inlineStr">
        <is>
          <t>ZL-471-01-4-002 (04) / NO.2 ENG PYLON L/E AND LOWER FAIRING</t>
        </is>
      </c>
      <c r="D1162" s="222" t="inlineStr">
        <is>
          <t>1</t>
        </is>
      </c>
      <c r="E1162" s="222" t="n">
        <v>0.7</v>
      </c>
      <c r="F1162" s="222" t="n">
        <v>1.2</v>
      </c>
      <c r="G1162" s="222" t="n">
        <v>1</v>
      </c>
      <c r="H1162" s="222" t="inlineStr">
        <is>
          <t>Closed</t>
        </is>
      </c>
      <c r="I1162" s="222" t="inlineStr">
        <is>
          <t>05-24</t>
        </is>
      </c>
      <c r="J1162" s="222" t="inlineStr">
        <is>
          <t>INSPECTION</t>
        </is>
      </c>
    </row>
    <row r="1163">
      <c r="A1163" s="222" t="inlineStr">
        <is>
          <t>574</t>
        </is>
      </c>
      <c r="B1163" s="222" t="inlineStr">
        <is>
          <t>ZL-500-02-1-001</t>
        </is>
      </c>
      <c r="C1163" s="222" t="inlineStr">
        <is>
          <t>ZL-500-02-1-001 (05) / L/H WING LOWER SURFACE ZONAL INSP</t>
        </is>
      </c>
      <c r="D1163" s="222" t="inlineStr">
        <is>
          <t>1</t>
        </is>
      </c>
      <c r="E1163" s="222" t="n">
        <v>1.4</v>
      </c>
      <c r="F1163" s="222" t="n">
        <v>1</v>
      </c>
      <c r="G1163" s="222" t="n">
        <v>1</v>
      </c>
      <c r="H1163" s="222" t="inlineStr">
        <is>
          <t>Closed</t>
        </is>
      </c>
      <c r="I1163" s="222" t="inlineStr">
        <is>
          <t>05-25</t>
        </is>
      </c>
      <c r="J1163" s="222" t="inlineStr">
        <is>
          <t>INSPECTION</t>
        </is>
      </c>
    </row>
    <row r="1164">
      <c r="A1164" s="222" t="inlineStr">
        <is>
          <t>575</t>
        </is>
      </c>
      <c r="B1164" s="222" t="inlineStr">
        <is>
          <t>ZL-500-02-1-002</t>
        </is>
      </c>
      <c r="C1164" s="222" t="inlineStr">
        <is>
          <t>ZL-500-02-1-002 (05) / R/H WING LOWER SURFACE ZONAL INSP</t>
        </is>
      </c>
      <c r="D1164" s="222" t="inlineStr">
        <is>
          <t>1</t>
        </is>
      </c>
      <c r="E1164" s="222" t="n">
        <v>1.4</v>
      </c>
      <c r="F1164" s="222" t="n">
        <v>1</v>
      </c>
      <c r="G1164" s="222" t="n">
        <v>1</v>
      </c>
      <c r="H1164" s="222" t="inlineStr">
        <is>
          <t>Closed</t>
        </is>
      </c>
      <c r="I1164" s="222" t="inlineStr">
        <is>
          <t>05-25</t>
        </is>
      </c>
      <c r="J1164" s="222" t="inlineStr">
        <is>
          <t>INSPECTION</t>
        </is>
      </c>
    </row>
    <row r="1165">
      <c r="A1165" s="222" t="inlineStr">
        <is>
          <t>576</t>
        </is>
      </c>
      <c r="B1165" s="222" t="inlineStr">
        <is>
          <t>ZL-575-01-1-001</t>
        </is>
      </c>
      <c r="C1165" s="222" t="inlineStr">
        <is>
          <t>ZL-575-01-1-001 (04) / L/H OUTB FIXED TRAILING EDGE INSP</t>
        </is>
      </c>
      <c r="D1165" s="222" t="inlineStr">
        <is>
          <t>1</t>
        </is>
      </c>
      <c r="E1165" s="222" t="n">
        <v>1.4</v>
      </c>
      <c r="F1165" s="222" t="n">
        <v>1.2</v>
      </c>
      <c r="G1165" s="222" t="n">
        <v>49.9</v>
      </c>
      <c r="H1165" s="222" t="inlineStr">
        <is>
          <t>Closed</t>
        </is>
      </c>
      <c r="I1165" s="222" t="inlineStr">
        <is>
          <t>05-25</t>
        </is>
      </c>
      <c r="J1165" s="222" t="inlineStr">
        <is>
          <t>INSPECTION</t>
        </is>
      </c>
    </row>
    <row r="1166">
      <c r="A1166" s="222" t="inlineStr">
        <is>
          <t>577</t>
        </is>
      </c>
      <c r="B1166" s="222" t="inlineStr">
        <is>
          <t>ZL-575-01-1-002</t>
        </is>
      </c>
      <c r="C1166" s="222" t="inlineStr">
        <is>
          <t>ZL-575-01-1-002 (04) / R/H OUTB FIXED TRAILING EDGE INSP</t>
        </is>
      </c>
      <c r="D1166" s="222" t="inlineStr">
        <is>
          <t>1</t>
        </is>
      </c>
      <c r="E1166" s="222" t="n">
        <v>1.4</v>
      </c>
      <c r="F1166" s="222" t="n">
        <v>1.5</v>
      </c>
      <c r="G1166" s="222" t="n">
        <v>2.4</v>
      </c>
      <c r="H1166" s="222" t="inlineStr">
        <is>
          <t>Closed</t>
        </is>
      </c>
      <c r="I1166" s="222" t="inlineStr">
        <is>
          <t>05-25</t>
        </is>
      </c>
      <c r="J1166" s="222" t="inlineStr">
        <is>
          <t>INSPECTION</t>
        </is>
      </c>
    </row>
    <row r="1167">
      <c r="A1167" s="222" t="inlineStr">
        <is>
          <t>578</t>
        </is>
      </c>
      <c r="B1167" s="222" t="inlineStr">
        <is>
          <t>ZL-734-01-1</t>
        </is>
      </c>
      <c r="C1167" s="222" t="inlineStr">
        <is>
          <t>ZL-734-01-1 (3) / MLG MAIN DOOR ZONAL INSPECTION</t>
        </is>
      </c>
      <c r="D1167" s="222" t="inlineStr">
        <is>
          <t>1</t>
        </is>
      </c>
      <c r="E1167" s="222" t="n">
        <v>0.4</v>
      </c>
      <c r="F1167" s="222" t="n">
        <v>0.5</v>
      </c>
      <c r="G1167" s="222" t="n">
        <v>0.5</v>
      </c>
      <c r="H1167" s="222" t="inlineStr">
        <is>
          <t>Closed</t>
        </is>
      </c>
      <c r="I1167" s="222" t="inlineStr">
        <is>
          <t>05-27</t>
        </is>
      </c>
      <c r="J1167" s="222" t="inlineStr">
        <is>
          <t>PRE INSP, PRE INSP</t>
        </is>
      </c>
    </row>
    <row r="1168">
      <c r="A1168" s="222" t="inlineStr">
        <is>
          <t>579</t>
        </is>
      </c>
      <c r="B1168" s="222" t="inlineStr">
        <is>
          <t>ZL-825-01-1</t>
        </is>
      </c>
      <c r="C1168" s="222" t="inlineStr">
        <is>
          <t>ZL-825-01-1 (04) / FORWARD CARGO COMP. DOOR ZONAL INSP</t>
        </is>
      </c>
      <c r="D1168" s="222" t="inlineStr">
        <is>
          <t>1</t>
        </is>
      </c>
      <c r="E1168" s="222" t="n">
        <v>0.2</v>
      </c>
      <c r="F1168" s="222" t="n">
        <v>0.2</v>
      </c>
      <c r="G1168" s="222" t="n">
        <v>0.2</v>
      </c>
      <c r="H1168" s="222" t="inlineStr">
        <is>
          <t>Closed</t>
        </is>
      </c>
      <c r="I1168" s="222" t="inlineStr">
        <is>
          <t>05-28</t>
        </is>
      </c>
      <c r="J1168" s="222" t="inlineStr">
        <is>
          <t>PRE INSP</t>
        </is>
      </c>
    </row>
    <row r="1169">
      <c r="A1169" s="222" t="inlineStr">
        <is>
          <t>580</t>
        </is>
      </c>
      <c r="B1169" s="222" t="inlineStr">
        <is>
          <t>ZL-826-01-1</t>
        </is>
      </c>
      <c r="C1169" s="222" t="inlineStr">
        <is>
          <t>ZL-826-01-1 (04) / AFT CARGO COMP. DOOR ZONAL INSP</t>
        </is>
      </c>
      <c r="D1169" s="222" t="inlineStr">
        <is>
          <t>1</t>
        </is>
      </c>
      <c r="E1169" s="222" t="n">
        <v>0.2</v>
      </c>
      <c r="F1169" s="222" t="n">
        <v>0.7</v>
      </c>
      <c r="G1169" s="222" t="n">
        <v>0.7</v>
      </c>
      <c r="H1169" s="222" t="inlineStr">
        <is>
          <t>Closed</t>
        </is>
      </c>
      <c r="I1169" s="222" t="inlineStr">
        <is>
          <t>05-28</t>
        </is>
      </c>
      <c r="J1169" s="222" t="inlineStr">
        <is>
          <t>PRE INSP</t>
        </is>
      </c>
    </row>
    <row r="1170">
      <c r="A1170" s="222" t="inlineStr">
        <is>
          <t>581</t>
        </is>
      </c>
      <c r="B1170" s="222" t="inlineStr">
        <is>
          <t>ZL-827-01-1</t>
        </is>
      </c>
      <c r="C1170" s="222" t="inlineStr">
        <is>
          <t>ZL-827-01-1 (06) / BULK CARGO COMP. DOOR ZONAL INSP</t>
        </is>
      </c>
      <c r="D1170" s="222" t="inlineStr">
        <is>
          <t>1</t>
        </is>
      </c>
      <c r="E1170" s="222" t="n">
        <v>0.4</v>
      </c>
      <c r="F1170" s="222" t="n">
        <v>0.1</v>
      </c>
      <c r="G1170" s="222" t="n">
        <v>0.1</v>
      </c>
      <c r="H1170" s="222" t="inlineStr">
        <is>
          <t>Closed</t>
        </is>
      </c>
      <c r="I1170" s="222" t="inlineStr">
        <is>
          <t>05-28</t>
        </is>
      </c>
      <c r="J1170" s="222" t="inlineStr">
        <is>
          <t>PRE INSP</t>
        </is>
      </c>
    </row>
    <row r="1171">
      <c r="A1171" s="222" t="inlineStr">
        <is>
          <t>593</t>
        </is>
      </c>
      <c r="B1171" s="222" t="inlineStr">
        <is>
          <t>494000-B2-1</t>
        </is>
      </c>
      <c r="C1171" s="222" t="inlineStr">
        <is>
          <t>494000-B2-1 (02) / DETAILED INSPECTION OF IGNITER PLUG</t>
        </is>
      </c>
      <c r="D1171" s="222" t="inlineStr">
        <is>
          <t>1</t>
        </is>
      </c>
      <c r="E1171" s="222" t="n">
        <v>0.5</v>
      </c>
      <c r="F1171" s="222" t="n">
        <v>3.5</v>
      </c>
      <c r="G1171" s="222" t="n">
        <v>32.8</v>
      </c>
      <c r="H1171" s="222" t="inlineStr">
        <is>
          <t>Closed</t>
        </is>
      </c>
      <c r="I1171" s="222" t="inlineStr">
        <is>
          <t>49-41</t>
        </is>
      </c>
      <c r="J1171" s="222" t="inlineStr">
        <is>
          <t>JOB-SETUP, INSPECTION, JOB-CLOSEUP</t>
        </is>
      </c>
    </row>
    <row r="1172">
      <c r="A1172" s="222" t="inlineStr">
        <is>
          <t>596</t>
        </is>
      </c>
      <c r="B1172" s="222" t="inlineStr">
        <is>
          <t>532178-01-1</t>
        </is>
      </c>
      <c r="C1172" s="222" t="inlineStr">
        <is>
          <t>532178-01-1 (0) / FUSELAGE EXTERNAL SKIN COVERED BY LA</t>
        </is>
      </c>
      <c r="D1172" s="222" t="inlineStr">
        <is>
          <t>1</t>
        </is>
      </c>
      <c r="E1172" s="222" t="n">
        <v>0.1</v>
      </c>
      <c r="F1172" s="222" t="n">
        <v>7</v>
      </c>
      <c r="G1172" s="222" t="n">
        <v>5.4</v>
      </c>
      <c r="H1172" s="222" t="inlineStr">
        <is>
          <t>Closed</t>
        </is>
      </c>
      <c r="I1172" s="222" t="inlineStr">
        <is>
          <t>53</t>
        </is>
      </c>
      <c r="J1172" s="222" t="inlineStr"/>
    </row>
    <row r="1173">
      <c r="A1173" s="222" t="inlineStr">
        <is>
          <t>600</t>
        </is>
      </c>
      <c r="B1173" s="222" t="inlineStr">
        <is>
          <t>572610-02-2</t>
        </is>
      </c>
      <c r="C1173" s="222" t="inlineStr">
        <is>
          <t>572610-02-2 (0) / OUTER WING</t>
        </is>
      </c>
      <c r="D1173" s="222" t="inlineStr">
        <is>
          <t>1</t>
        </is>
      </c>
      <c r="E1173" s="222" t="n">
        <v>2.5</v>
      </c>
      <c r="F1173" s="222" t="n">
        <v>0.5</v>
      </c>
      <c r="G1173" s="222" t="n">
        <v>53.3</v>
      </c>
      <c r="H1173" s="222" t="inlineStr">
        <is>
          <t>Closed</t>
        </is>
      </c>
      <c r="I1173" s="222" t="inlineStr">
        <is>
          <t>57-26</t>
        </is>
      </c>
      <c r="J1173" s="222" t="inlineStr">
        <is>
          <t>JOB-SETUP, CLEAN-UP, INSPECTION, JOB-CLOSEUP</t>
        </is>
      </c>
    </row>
    <row r="1174">
      <c r="A1174" s="222" t="inlineStr">
        <is>
          <t>601</t>
        </is>
      </c>
      <c r="B1174" s="222" t="inlineStr">
        <is>
          <t>ZL-191-01-2</t>
        </is>
      </c>
      <c r="C1174" s="222" t="inlineStr">
        <is>
          <t>ZL-191-01-2 (9) / AIR CONDITION COMPARTMENT ZONAL INSP</t>
        </is>
      </c>
      <c r="D1174" s="222" t="inlineStr">
        <is>
          <t>1</t>
        </is>
      </c>
      <c r="E1174" s="222" t="n">
        <v>0.9</v>
      </c>
      <c r="F1174" s="222" t="n">
        <v>1</v>
      </c>
      <c r="G1174" s="222" t="n">
        <v>1</v>
      </c>
      <c r="H1174" s="222" t="inlineStr">
        <is>
          <t>Closed</t>
        </is>
      </c>
      <c r="I1174" s="222" t="inlineStr">
        <is>
          <t>05-21</t>
        </is>
      </c>
      <c r="J1174" s="222" t="inlineStr">
        <is>
          <t>PRE INSP</t>
        </is>
      </c>
    </row>
    <row r="1175">
      <c r="A1175" s="222" t="inlineStr">
        <is>
          <t>602</t>
        </is>
      </c>
      <c r="B1175" s="222" t="inlineStr">
        <is>
          <t>ZL-831-01-1</t>
        </is>
      </c>
      <c r="C1175" s="222" t="inlineStr">
        <is>
          <t>ZL-831-01-1 (05) / AFT PASSENGER/CREW DOOR</t>
        </is>
      </c>
      <c r="D1175" s="222" t="inlineStr">
        <is>
          <t>1</t>
        </is>
      </c>
      <c r="E1175" s="222" t="n">
        <v>0.2</v>
      </c>
      <c r="F1175" s="222" t="n">
        <v>1</v>
      </c>
      <c r="G1175" s="222" t="n">
        <v>1</v>
      </c>
      <c r="H1175" s="222" t="inlineStr">
        <is>
          <t>Closed</t>
        </is>
      </c>
      <c r="I1175" s="222" t="inlineStr">
        <is>
          <t>05-28</t>
        </is>
      </c>
      <c r="J1175" s="222" t="inlineStr">
        <is>
          <t>PRE INSP, PRE INSP</t>
        </is>
      </c>
    </row>
    <row r="1176">
      <c r="A1176" s="222" t="inlineStr">
        <is>
          <t>609</t>
        </is>
      </c>
      <c r="B1176" s="222" t="inlineStr">
        <is>
          <t>521000-20-1</t>
        </is>
      </c>
      <c r="C1176" s="222" t="inlineStr">
        <is>
          <t>521000-20-1 (1) / OPERATIONAL CHECK OF DOOR DAMPING.</t>
        </is>
      </c>
      <c r="D1176" s="222" t="inlineStr">
        <is>
          <t>1</t>
        </is>
      </c>
      <c r="E1176" s="222" t="n">
        <v>2.5</v>
      </c>
      <c r="F1176" s="222" t="n">
        <v>2.5</v>
      </c>
      <c r="G1176" s="222" t="n">
        <v>0.5</v>
      </c>
      <c r="H1176" s="222" t="inlineStr">
        <is>
          <t>Closed</t>
        </is>
      </c>
      <c r="I1176" s="222" t="inlineStr">
        <is>
          <t>52-10</t>
        </is>
      </c>
      <c r="J1176" s="222" t="inlineStr"/>
    </row>
    <row r="1177">
      <c r="A1177" s="222" t="inlineStr">
        <is>
          <t>622</t>
        </is>
      </c>
      <c r="B1177" s="222" t="inlineStr">
        <is>
          <t>532170-01-1</t>
        </is>
      </c>
      <c r="C1177" s="222" t="inlineStr">
        <is>
          <t>532170-01-1 (5) / FWD CARGO DOOR LOCK FITTINGS INSP</t>
        </is>
      </c>
      <c r="D1177" s="222" t="inlineStr">
        <is>
          <t>1</t>
        </is>
      </c>
      <c r="E1177" s="222" t="n">
        <v>0.7</v>
      </c>
      <c r="F1177" s="222" t="n">
        <v>13.5</v>
      </c>
      <c r="G1177" s="222" t="n">
        <v>2.8</v>
      </c>
      <c r="H1177" s="222" t="inlineStr">
        <is>
          <t>Closed</t>
        </is>
      </c>
      <c r="I1177" s="222" t="inlineStr">
        <is>
          <t>53-21</t>
        </is>
      </c>
      <c r="J1177" s="222" t="inlineStr">
        <is>
          <t>PRE INSP, PRE INSP, PRE INSP</t>
        </is>
      </c>
    </row>
    <row r="1178">
      <c r="A1178" s="222" t="inlineStr">
        <is>
          <t>624</t>
        </is>
      </c>
      <c r="B1178" s="222" t="inlineStr">
        <is>
          <t>532180-04-2</t>
        </is>
      </c>
      <c r="C1178" s="222" t="inlineStr">
        <is>
          <t>532180-04-2 (0) / FORWARD FUSELAGE</t>
        </is>
      </c>
      <c r="D1178" s="222" t="inlineStr">
        <is>
          <t>1</t>
        </is>
      </c>
      <c r="E1178" s="222" t="n">
        <v>3</v>
      </c>
      <c r="F1178" s="222" t="n">
        <v>3</v>
      </c>
      <c r="G1178" s="222" t="n">
        <v>33.5</v>
      </c>
      <c r="H1178" s="222" t="inlineStr">
        <is>
          <t>Closed</t>
        </is>
      </c>
      <c r="I1178" s="222" t="inlineStr">
        <is>
          <t>53</t>
        </is>
      </c>
      <c r="J1178" s="222" t="inlineStr"/>
    </row>
    <row r="1179">
      <c r="A1179" s="222" t="inlineStr">
        <is>
          <t>625</t>
        </is>
      </c>
      <c r="B1179" s="222" t="inlineStr">
        <is>
          <t>533111-01-1</t>
        </is>
      </c>
      <c r="C1179" s="222" t="inlineStr">
        <is>
          <t>533111-01-1 (03) / PRESS DEK MEMBRANES LWR SURFACE INSP</t>
        </is>
      </c>
      <c r="D1179" s="222" t="inlineStr">
        <is>
          <t>1</t>
        </is>
      </c>
      <c r="E1179" s="222" t="n">
        <v>3.3</v>
      </c>
      <c r="F1179" s="222" t="n">
        <v>1</v>
      </c>
      <c r="G1179" s="222" t="n">
        <v>3.5</v>
      </c>
      <c r="H1179" s="222" t="inlineStr">
        <is>
          <t>Closed</t>
        </is>
      </c>
      <c r="I1179" s="222" t="inlineStr">
        <is>
          <t>53-31</t>
        </is>
      </c>
      <c r="J1179" s="222" t="inlineStr">
        <is>
          <t>CLEAN-UP, INSPECTION</t>
        </is>
      </c>
    </row>
    <row r="1180">
      <c r="A1180" s="222" t="inlineStr">
        <is>
          <t>629</t>
        </is>
      </c>
      <c r="B1180" s="222" t="inlineStr">
        <is>
          <t>534107-03-1</t>
        </is>
      </c>
      <c r="C1180" s="222" t="inlineStr">
        <is>
          <t>534107-03-1 (0) / REAR FUSELAGE</t>
        </is>
      </c>
      <c r="D1180" s="222" t="inlineStr">
        <is>
          <t>1</t>
        </is>
      </c>
      <c r="E1180" s="222" t="n">
        <v>0.6</v>
      </c>
      <c r="F1180" s="222" t="n">
        <v>2.8</v>
      </c>
      <c r="G1180" s="222" t="n">
        <v>18.3</v>
      </c>
      <c r="H1180" s="222" t="inlineStr">
        <is>
          <t>Closed</t>
        </is>
      </c>
      <c r="I1180" s="222" t="inlineStr">
        <is>
          <t>53-41</t>
        </is>
      </c>
      <c r="J1180" s="222" t="inlineStr">
        <is>
          <t>JOB-SETUP, INSPECTION, JOB-CLOSEUP</t>
        </is>
      </c>
    </row>
    <row r="1181">
      <c r="A1181" s="222" t="inlineStr">
        <is>
          <t>637</t>
        </is>
      </c>
      <c r="B1181" s="222" t="inlineStr">
        <is>
          <t>545107-01-1-001</t>
        </is>
      </c>
      <c r="C1181" s="222" t="inlineStr">
        <is>
          <t>545107-01-1-001 (04) / NO. 1 ENGINE AFT ATTACH BEAM INSP</t>
        </is>
      </c>
      <c r="D1181" s="222" t="inlineStr">
        <is>
          <t>1</t>
        </is>
      </c>
      <c r="E1181" s="222" t="n">
        <v>1.2</v>
      </c>
      <c r="F1181" s="222" t="n">
        <v>7</v>
      </c>
      <c r="G1181" s="222" t="n">
        <v>40.3</v>
      </c>
      <c r="H1181" s="222" t="inlineStr">
        <is>
          <t>Closed</t>
        </is>
      </c>
      <c r="I1181" s="222" t="inlineStr">
        <is>
          <t>54-51</t>
        </is>
      </c>
      <c r="J1181" s="222" t="inlineStr">
        <is>
          <t>JOB-SETUP, CLEAN-UP, INSPECTION, JOB-CLOSEUP</t>
        </is>
      </c>
    </row>
    <row r="1182">
      <c r="A1182" s="222" t="inlineStr">
        <is>
          <t>638</t>
        </is>
      </c>
      <c r="B1182" s="222" t="inlineStr">
        <is>
          <t>545107-01-1-002</t>
        </is>
      </c>
      <c r="C1182" s="222" t="inlineStr">
        <is>
          <t>545107-01-1-002 (04) / NO. 2 ENGINE AFT ATTACH BEAM INSP</t>
        </is>
      </c>
      <c r="D1182" s="222" t="inlineStr">
        <is>
          <t>1</t>
        </is>
      </c>
      <c r="E1182" s="222" t="n">
        <v>0.9</v>
      </c>
      <c r="F1182" s="222" t="n">
        <v>3.8</v>
      </c>
      <c r="G1182" s="222" t="n">
        <v>23.6</v>
      </c>
      <c r="H1182" s="222" t="inlineStr">
        <is>
          <t>Closed</t>
        </is>
      </c>
      <c r="I1182" s="222" t="inlineStr">
        <is>
          <t>54-51</t>
        </is>
      </c>
      <c r="J1182" s="222" t="inlineStr">
        <is>
          <t>JOB-SETUP, CLEAN-UP, INSPECTION, JOB-CLOSEUP</t>
        </is>
      </c>
    </row>
    <row r="1183">
      <c r="A1183" s="222" t="inlineStr">
        <is>
          <t>651</t>
        </is>
      </c>
      <c r="B1183" s="222" t="inlineStr">
        <is>
          <t>572044-01-2-001</t>
        </is>
      </c>
      <c r="C1183" s="222" t="inlineStr">
        <is>
          <t>572044-01-2-001 (01) / L/H WING BOTTOM SKN LWR SURFACE INSP</t>
        </is>
      </c>
      <c r="D1183" s="222" t="inlineStr">
        <is>
          <t>1</t>
        </is>
      </c>
      <c r="E1183" s="222" t="n">
        <v>0.4</v>
      </c>
      <c r="F1183" s="222" t="n">
        <v>1.5</v>
      </c>
      <c r="G1183" s="222" t="n">
        <v>29.1</v>
      </c>
      <c r="H1183" s="222" t="inlineStr">
        <is>
          <t>Closed</t>
        </is>
      </c>
      <c r="I1183" s="222" t="inlineStr">
        <is>
          <t>57-20</t>
        </is>
      </c>
      <c r="J1183" s="222" t="inlineStr">
        <is>
          <t>JOB-SETUP, CLEAN-UP, INSPECTION, JOB-CLOSEUP</t>
        </is>
      </c>
    </row>
    <row r="1184">
      <c r="A1184" s="222" t="inlineStr">
        <is>
          <t>652</t>
        </is>
      </c>
      <c r="B1184" s="222" t="inlineStr">
        <is>
          <t>572044-01-2-002</t>
        </is>
      </c>
      <c r="C1184" s="222" t="inlineStr">
        <is>
          <t>572044-01-2-002 (02) / R/H WING BOTTOM SKN LWR SURFACE INSP</t>
        </is>
      </c>
      <c r="D1184" s="222" t="inlineStr">
        <is>
          <t>1</t>
        </is>
      </c>
      <c r="E1184" s="222" t="n">
        <v>0.4</v>
      </c>
      <c r="F1184" s="222" t="n">
        <v>8.199999999999999</v>
      </c>
      <c r="G1184" s="222" t="n">
        <v>4.2</v>
      </c>
      <c r="H1184" s="222" t="inlineStr">
        <is>
          <t>Closed</t>
        </is>
      </c>
      <c r="I1184" s="222" t="inlineStr">
        <is>
          <t>57-20</t>
        </is>
      </c>
      <c r="J1184" s="222" t="inlineStr">
        <is>
          <t>JOB-SETUP, CLEAN-UP, INSPECTION, JOB-SETUP</t>
        </is>
      </c>
    </row>
    <row r="1185">
      <c r="A1185" s="222" t="inlineStr">
        <is>
          <t>653</t>
        </is>
      </c>
      <c r="B1185" s="222" t="inlineStr">
        <is>
          <t>572062-01-1-001</t>
        </is>
      </c>
      <c r="C1185" s="222" t="inlineStr">
        <is>
          <t>572062-01-1-001 (03) / L OUTER WING FIXED TRAING EDGE INSP</t>
        </is>
      </c>
      <c r="D1185" s="222" t="inlineStr">
        <is>
          <t>1</t>
        </is>
      </c>
      <c r="E1185" s="222" t="n">
        <v>0.9</v>
      </c>
      <c r="F1185" s="222" t="n">
        <v>2.8</v>
      </c>
      <c r="G1185" s="222" t="n">
        <v>52.9</v>
      </c>
      <c r="H1185" s="222" t="inlineStr">
        <is>
          <t>Closed</t>
        </is>
      </c>
      <c r="I1185" s="222" t="inlineStr">
        <is>
          <t>57-20</t>
        </is>
      </c>
      <c r="J1185" s="222" t="inlineStr">
        <is>
          <t>JOB-SETUP, CLEAN-UP, INSPECTION, JOB-CLOSEUP</t>
        </is>
      </c>
    </row>
    <row r="1186">
      <c r="A1186" s="222" t="inlineStr">
        <is>
          <t>654</t>
        </is>
      </c>
      <c r="B1186" s="222" t="inlineStr">
        <is>
          <t>572062-01-1-002</t>
        </is>
      </c>
      <c r="C1186" s="222" t="inlineStr">
        <is>
          <t>572062-01-1-002 (03) / R OUTER WING FIXED TRAIING EDGE INSP</t>
        </is>
      </c>
      <c r="D1186" s="222" t="inlineStr">
        <is>
          <t>1</t>
        </is>
      </c>
      <c r="E1186" s="222" t="n">
        <v>0.9</v>
      </c>
      <c r="F1186" s="222" t="n">
        <v>1.2</v>
      </c>
      <c r="G1186" s="222" t="n">
        <v>0.9</v>
      </c>
      <c r="H1186" s="222" t="inlineStr">
        <is>
          <t>Closed</t>
        </is>
      </c>
      <c r="I1186" s="222" t="inlineStr">
        <is>
          <t>57-20</t>
        </is>
      </c>
      <c r="J1186" s="222" t="inlineStr">
        <is>
          <t>JOB-SETUP, CLEAN-UP, INSPECTION, JOB-CLOSEUP</t>
        </is>
      </c>
    </row>
    <row r="1187">
      <c r="A1187" s="222" t="inlineStr">
        <is>
          <t>659</t>
        </is>
      </c>
      <c r="B1187" s="222" t="inlineStr">
        <is>
          <t>572111-01-1-001</t>
        </is>
      </c>
      <c r="C1187" s="222" t="inlineStr">
        <is>
          <t>572111-01-1-001 (03) / LH WING REAR SPAR AFT FACE INSP</t>
        </is>
      </c>
      <c r="D1187" s="222" t="inlineStr">
        <is>
          <t>1</t>
        </is>
      </c>
      <c r="E1187" s="222" t="n">
        <v>0.9</v>
      </c>
      <c r="F1187" s="222" t="n">
        <v>1.5</v>
      </c>
      <c r="G1187" s="222" t="n">
        <v>53</v>
      </c>
      <c r="H1187" s="222" t="inlineStr">
        <is>
          <t>Closed</t>
        </is>
      </c>
      <c r="I1187" s="222" t="inlineStr">
        <is>
          <t>57-21</t>
        </is>
      </c>
      <c r="J1187" s="222" t="inlineStr">
        <is>
          <t>JOB-SETUP, CLEAN-UP, INSPECTION, JOB-CLOSEUP</t>
        </is>
      </c>
    </row>
    <row r="1188">
      <c r="A1188" s="222" t="inlineStr">
        <is>
          <t>660</t>
        </is>
      </c>
      <c r="B1188" s="222" t="inlineStr">
        <is>
          <t>572111-01-1-002</t>
        </is>
      </c>
      <c r="C1188" s="222" t="inlineStr">
        <is>
          <t>572111-01-1-002 (03) / RH WING REAR SPAR AFT FACE INSP</t>
        </is>
      </c>
      <c r="D1188" s="222" t="inlineStr">
        <is>
          <t>1</t>
        </is>
      </c>
      <c r="E1188" s="222" t="n">
        <v>0.9</v>
      </c>
      <c r="F1188" s="222" t="n">
        <v>1.2</v>
      </c>
      <c r="G1188" s="222" t="n">
        <v>1</v>
      </c>
      <c r="H1188" s="222" t="inlineStr">
        <is>
          <t>Closed</t>
        </is>
      </c>
      <c r="I1188" s="222" t="inlineStr">
        <is>
          <t>57-21</t>
        </is>
      </c>
      <c r="J1188" s="222" t="inlineStr">
        <is>
          <t>JOB-SETUP, CLEAN-UP, INSPECTION, JOB-CLOSEUP</t>
        </is>
      </c>
    </row>
    <row r="1189">
      <c r="A1189" s="222" t="inlineStr">
        <is>
          <t>661</t>
        </is>
      </c>
      <c r="B1189" s="222" t="inlineStr">
        <is>
          <t>572111-02-1</t>
        </is>
      </c>
      <c r="C1189" s="222" t="inlineStr">
        <is>
          <t>572111-02-1 (0) / OUTER WING REAR SPAR AFT FACE RIB 8-</t>
        </is>
      </c>
      <c r="D1189" s="222" t="inlineStr">
        <is>
          <t>1</t>
        </is>
      </c>
      <c r="E1189" s="222" t="n">
        <v>0.4</v>
      </c>
      <c r="F1189" s="222" t="n">
        <v>0.9</v>
      </c>
      <c r="G1189" s="222" t="n">
        <v>53.9</v>
      </c>
      <c r="H1189" s="222" t="inlineStr">
        <is>
          <t>Closed</t>
        </is>
      </c>
      <c r="I1189" s="222" t="inlineStr">
        <is>
          <t>57</t>
        </is>
      </c>
      <c r="J1189" s="222" t="inlineStr">
        <is>
          <t>JOB-SETUP, INSPECTION, JOB-CLOSEUP</t>
        </is>
      </c>
    </row>
    <row r="1190">
      <c r="A1190" s="222" t="inlineStr">
        <is>
          <t>662</t>
        </is>
      </c>
      <c r="B1190" s="222" t="inlineStr">
        <is>
          <t>572112-01-1-001</t>
        </is>
      </c>
      <c r="C1190" s="222" t="inlineStr">
        <is>
          <t>572112-01-1-001 (01) / L/H OUTER WING REAR SPAR AFT FACE INSP</t>
        </is>
      </c>
      <c r="D1190" s="222" t="inlineStr">
        <is>
          <t>1</t>
        </is>
      </c>
      <c r="E1190" s="222" t="n">
        <v>3.3</v>
      </c>
      <c r="F1190" s="222" t="n">
        <v>2.2</v>
      </c>
      <c r="G1190" s="222" t="n">
        <v>53</v>
      </c>
      <c r="H1190" s="222" t="inlineStr">
        <is>
          <t>Closed</t>
        </is>
      </c>
      <c r="I1190" s="222" t="inlineStr">
        <is>
          <t>57-21</t>
        </is>
      </c>
      <c r="J1190" s="222" t="inlineStr">
        <is>
          <t>JOB-SETUP, CLEAN-UP, INSPECTION, JOB-CLOSEUP</t>
        </is>
      </c>
    </row>
    <row r="1191">
      <c r="A1191" s="222" t="inlineStr">
        <is>
          <t>663</t>
        </is>
      </c>
      <c r="B1191" s="222" t="inlineStr">
        <is>
          <t>572112-01-1-002</t>
        </is>
      </c>
      <c r="C1191" s="222" t="inlineStr">
        <is>
          <t>572112-01-1-002 (01) / R/H OUTER WING REAR SPAR AFT FACE INSP</t>
        </is>
      </c>
      <c r="D1191" s="222" t="inlineStr">
        <is>
          <t>1</t>
        </is>
      </c>
      <c r="E1191" s="222" t="n">
        <v>3.3</v>
      </c>
      <c r="F1191" s="222" t="n">
        <v>1.2</v>
      </c>
      <c r="G1191" s="222" t="n">
        <v>43.1</v>
      </c>
      <c r="H1191" s="222" t="inlineStr">
        <is>
          <t>Closed</t>
        </is>
      </c>
      <c r="I1191" s="222" t="inlineStr">
        <is>
          <t>57-21</t>
        </is>
      </c>
      <c r="J1191" s="222" t="inlineStr">
        <is>
          <t>JOB-SETUP, CLEAN-UP, INSPECTION, JOB-CLOSEUP</t>
        </is>
      </c>
    </row>
    <row r="1192">
      <c r="A1192" s="222" t="inlineStr">
        <is>
          <t>668</t>
        </is>
      </c>
      <c r="B1192" s="222" t="inlineStr">
        <is>
          <t>572607-01-1-001</t>
        </is>
      </c>
      <c r="C1192" s="222" t="inlineStr">
        <is>
          <t>572607-01-1-001 (2) / L/FLAP TRACK BEAMS FWD SPIGOT ATTACH</t>
        </is>
      </c>
      <c r="D1192" s="222" t="inlineStr">
        <is>
          <t>1</t>
        </is>
      </c>
      <c r="E1192" s="222" t="n">
        <v>1.3</v>
      </c>
      <c r="F1192" s="222" t="n">
        <v>3.9</v>
      </c>
      <c r="G1192" s="222" t="n">
        <v>52.8</v>
      </c>
      <c r="H1192" s="222" t="inlineStr">
        <is>
          <t>Closed</t>
        </is>
      </c>
      <c r="I1192" s="222" t="inlineStr">
        <is>
          <t>57-26</t>
        </is>
      </c>
      <c r="J1192" s="222" t="inlineStr">
        <is>
          <t>JOB-SETUP, CLEAN-UP, INSPECTION, JOB-CLOSEUP</t>
        </is>
      </c>
    </row>
    <row r="1193">
      <c r="A1193" s="222" t="inlineStr">
        <is>
          <t>669</t>
        </is>
      </c>
      <c r="B1193" s="222" t="inlineStr">
        <is>
          <t>572607-01-1-002</t>
        </is>
      </c>
      <c r="C1193" s="222" t="inlineStr">
        <is>
          <t>572607-01-1-002 (2) / R/FLAP TRACK BEAMS FWD SPIGOT ATTACH</t>
        </is>
      </c>
      <c r="D1193" s="222" t="inlineStr">
        <is>
          <t>1</t>
        </is>
      </c>
      <c r="E1193" s="222" t="n">
        <v>1.3</v>
      </c>
      <c r="F1193" s="222" t="n">
        <v>7.2</v>
      </c>
      <c r="G1193" s="222" t="n">
        <v>4.3</v>
      </c>
      <c r="H1193" s="222" t="inlineStr">
        <is>
          <t>Closed</t>
        </is>
      </c>
      <c r="I1193" s="222" t="inlineStr">
        <is>
          <t>57-26</t>
        </is>
      </c>
      <c r="J1193" s="222" t="inlineStr">
        <is>
          <t>JOB-SETUP, CLEAN-UP, INSPECTION, JOB-CLOSEUP</t>
        </is>
      </c>
    </row>
    <row r="1194">
      <c r="A1194" s="222" t="inlineStr">
        <is>
          <t>670</t>
        </is>
      </c>
      <c r="B1194" s="222" t="inlineStr">
        <is>
          <t>572610-02-1-001</t>
        </is>
      </c>
      <c r="C1194" s="222" t="inlineStr">
        <is>
          <t>572610-02-1-001 (03) / LH FLAP TRACK BEAMS INSP</t>
        </is>
      </c>
      <c r="D1194" s="222" t="inlineStr">
        <is>
          <t>1</t>
        </is>
      </c>
      <c r="E1194" s="222" t="n">
        <v>1.4</v>
      </c>
      <c r="F1194" s="222" t="n">
        <v>7</v>
      </c>
      <c r="G1194" s="222" t="n">
        <v>153.7</v>
      </c>
      <c r="H1194" s="222" t="inlineStr">
        <is>
          <t>Closed</t>
        </is>
      </c>
      <c r="I1194" s="222" t="inlineStr">
        <is>
          <t>57-26</t>
        </is>
      </c>
      <c r="J1194" s="222" t="inlineStr">
        <is>
          <t>JOB-SETUP, CLEAN-UP, INSPECTION, JOB-CLOSEUP</t>
        </is>
      </c>
    </row>
    <row r="1195">
      <c r="A1195" s="222" t="inlineStr">
        <is>
          <t>671</t>
        </is>
      </c>
      <c r="B1195" s="222" t="inlineStr">
        <is>
          <t>572610-02-1-002</t>
        </is>
      </c>
      <c r="C1195" s="222" t="inlineStr">
        <is>
          <t>572610-02-1-002 (03) / RH FLAP TRACK BEAMS INSP</t>
        </is>
      </c>
      <c r="D1195" s="222" t="inlineStr">
        <is>
          <t>1</t>
        </is>
      </c>
      <c r="E1195" s="222" t="n">
        <v>1.4</v>
      </c>
      <c r="F1195" s="222" t="n">
        <v>12.8</v>
      </c>
      <c r="G1195" s="222" t="n">
        <v>81.5</v>
      </c>
      <c r="H1195" s="222" t="inlineStr">
        <is>
          <t>Closed</t>
        </is>
      </c>
      <c r="I1195" s="222" t="inlineStr">
        <is>
          <t>57-26</t>
        </is>
      </c>
      <c r="J1195" s="222" t="inlineStr">
        <is>
          <t>JOB-SETUP, CLEAN-UP, INSPECTION, JOB-CLOSEUP</t>
        </is>
      </c>
    </row>
    <row r="1196">
      <c r="A1196" s="222" t="inlineStr">
        <is>
          <t>672</t>
        </is>
      </c>
      <c r="B1196" s="222" t="inlineStr">
        <is>
          <t>574101-01-3-001</t>
        </is>
      </c>
      <c r="C1196" s="222" t="inlineStr">
        <is>
          <t>574101-01-3-001 (03) / L/H FIXED LE ROLLER PIN HOLES INSP</t>
        </is>
      </c>
      <c r="D1196" s="222" t="inlineStr">
        <is>
          <t>1</t>
        </is>
      </c>
      <c r="E1196" s="222" t="n">
        <v>6.4</v>
      </c>
      <c r="F1196" s="222" t="n">
        <v>2</v>
      </c>
      <c r="G1196" s="222" t="n">
        <v>41.6</v>
      </c>
      <c r="H1196" s="222" t="inlineStr">
        <is>
          <t>Closed</t>
        </is>
      </c>
      <c r="I1196" s="222" t="inlineStr">
        <is>
          <t>57-41</t>
        </is>
      </c>
      <c r="J1196" s="222" t="inlineStr">
        <is>
          <t>JOB-SETUP, CLEAN-UP, INSPECTION, JOB-CLOSEUP</t>
        </is>
      </c>
    </row>
    <row r="1197">
      <c r="A1197" s="222" t="inlineStr">
        <is>
          <t>673</t>
        </is>
      </c>
      <c r="B1197" s="222" t="inlineStr">
        <is>
          <t>574101-01-3-002</t>
        </is>
      </c>
      <c r="C1197" s="222" t="inlineStr">
        <is>
          <t>574101-01-3-002 (03) / R/H FIXED LE ROLLER PIN HOLES INSP</t>
        </is>
      </c>
      <c r="D1197" s="222" t="inlineStr">
        <is>
          <t>1</t>
        </is>
      </c>
      <c r="E1197" s="222" t="n">
        <v>6.4</v>
      </c>
      <c r="F1197" s="222" t="n">
        <v>8.800000000000001</v>
      </c>
      <c r="G1197" s="222" t="n">
        <v>67.8</v>
      </c>
      <c r="H1197" s="222" t="inlineStr">
        <is>
          <t>Closed</t>
        </is>
      </c>
      <c r="I1197" s="222" t="inlineStr">
        <is>
          <t>57-41</t>
        </is>
      </c>
      <c r="J1197" s="222" t="inlineStr">
        <is>
          <t>JOB-SETUP, CLEAN-UP, INSPECTION, JOB-CLOSEUP</t>
        </is>
      </c>
    </row>
    <row r="1198">
      <c r="A1198" s="222" t="inlineStr">
        <is>
          <t>674</t>
        </is>
      </c>
      <c r="B1198" s="222" t="inlineStr">
        <is>
          <t>574202-01-2-001</t>
        </is>
      </c>
      <c r="C1198" s="222" t="inlineStr">
        <is>
          <t>574202-01-2-001 (02) / L/H SLAT 1 TRACKS 1-4 ATACHMNTS INSP</t>
        </is>
      </c>
      <c r="D1198" s="222" t="inlineStr">
        <is>
          <t>1</t>
        </is>
      </c>
      <c r="E1198" s="222" t="n">
        <v>0.9</v>
      </c>
      <c r="F1198" s="222" t="n">
        <v>5</v>
      </c>
      <c r="G1198" s="222" t="n">
        <v>13.1</v>
      </c>
      <c r="H1198" s="222" t="inlineStr">
        <is>
          <t>Closed</t>
        </is>
      </c>
      <c r="I1198" s="222" t="inlineStr">
        <is>
          <t>57-42</t>
        </is>
      </c>
      <c r="J1198" s="222" t="inlineStr">
        <is>
          <t>JOB-SETUP, CLEAN-UP, INSPECTION, JOB-CLOSEUP</t>
        </is>
      </c>
    </row>
    <row r="1199">
      <c r="A1199" s="222" t="inlineStr">
        <is>
          <t>676</t>
        </is>
      </c>
      <c r="B1199" s="222" t="inlineStr">
        <is>
          <t>574205-01-1-001</t>
        </is>
      </c>
      <c r="C1199" s="222" t="inlineStr">
        <is>
          <t>574205-01-1-001 (02) / L/H SLAT 1 TRAILING EDGE INSP</t>
        </is>
      </c>
      <c r="D1199" s="222" t="inlineStr">
        <is>
          <t>1</t>
        </is>
      </c>
      <c r="E1199" s="222" t="n">
        <v>0.5</v>
      </c>
      <c r="F1199" s="222" t="n">
        <v>0.6</v>
      </c>
      <c r="G1199" s="222" t="n">
        <v>41</v>
      </c>
      <c r="H1199" s="222" t="inlineStr">
        <is>
          <t>Closed</t>
        </is>
      </c>
      <c r="I1199" s="222" t="inlineStr">
        <is>
          <t>57-42</t>
        </is>
      </c>
      <c r="J1199" s="222" t="inlineStr">
        <is>
          <t>JOB-SETUP, CLEAN-UP, INSPECTION, JOB-CLOSEUP</t>
        </is>
      </c>
    </row>
    <row r="1200">
      <c r="A1200" s="222" t="inlineStr">
        <is>
          <t>677</t>
        </is>
      </c>
      <c r="B1200" s="222" t="inlineStr">
        <is>
          <t>574205-01-1-002</t>
        </is>
      </c>
      <c r="C1200" s="222" t="inlineStr">
        <is>
          <t>574205-01-1-002 (02) / R/H SLAT 1 TRAILING EDGE INSP</t>
        </is>
      </c>
      <c r="D1200" s="222" t="inlineStr">
        <is>
          <t>1</t>
        </is>
      </c>
      <c r="E1200" s="222" t="n">
        <v>0.5</v>
      </c>
      <c r="F1200" s="222" t="n">
        <v>1.3</v>
      </c>
      <c r="G1200" s="222" t="n">
        <v>42.6</v>
      </c>
      <c r="H1200" s="222" t="inlineStr">
        <is>
          <t>Closed</t>
        </is>
      </c>
      <c r="I1200" s="222" t="inlineStr">
        <is>
          <t>57-42</t>
        </is>
      </c>
      <c r="J1200" s="222" t="inlineStr">
        <is>
          <t>JOB-SETUP, CLEAN-UP, INSPECTION, JOB-CLOSEUP</t>
        </is>
      </c>
    </row>
    <row r="1201">
      <c r="A1201" s="222" t="inlineStr">
        <is>
          <t>678</t>
        </is>
      </c>
      <c r="B1201" s="222" t="inlineStr">
        <is>
          <t>574302-01-2-001</t>
        </is>
      </c>
      <c r="C1201" s="222" t="inlineStr">
        <is>
          <t>574302-01-2-001 (02) / L/H SLAT 2 TRACK 5-6 ATTACHMNTS INSP</t>
        </is>
      </c>
      <c r="D1201" s="222" t="inlineStr">
        <is>
          <t>1</t>
        </is>
      </c>
      <c r="E1201" s="222" t="n">
        <v>0.5</v>
      </c>
      <c r="F1201" s="222" t="n">
        <v>1.5</v>
      </c>
      <c r="G1201" s="222" t="n">
        <v>1.9</v>
      </c>
      <c r="H1201" s="222" t="inlineStr">
        <is>
          <t>Closed</t>
        </is>
      </c>
      <c r="I1201" s="222" t="inlineStr">
        <is>
          <t>57-43</t>
        </is>
      </c>
      <c r="J1201" s="222" t="inlineStr">
        <is>
          <t>JOB-SETUP, CLEAN-UP, INSPECTION, JOB-CLOSEUP</t>
        </is>
      </c>
    </row>
    <row r="1202">
      <c r="A1202" s="222" t="inlineStr">
        <is>
          <t>679</t>
        </is>
      </c>
      <c r="B1202" s="222" t="inlineStr">
        <is>
          <t>574302-01-2-002</t>
        </is>
      </c>
      <c r="C1202" s="222" t="inlineStr">
        <is>
          <t>574302-01-2-002 (02) / R/H SLAT 2 TRACK 5-6 ATTACHMNTS INSP</t>
        </is>
      </c>
      <c r="D1202" s="222" t="inlineStr">
        <is>
          <t>1</t>
        </is>
      </c>
      <c r="E1202" s="222" t="n">
        <v>0.5</v>
      </c>
      <c r="F1202" s="222" t="n">
        <v>4.3</v>
      </c>
      <c r="G1202" s="222" t="n">
        <v>77.40000000000001</v>
      </c>
      <c r="H1202" s="222" t="inlineStr">
        <is>
          <t>Closed</t>
        </is>
      </c>
      <c r="I1202" s="222" t="inlineStr">
        <is>
          <t>57-43</t>
        </is>
      </c>
      <c r="J1202" s="222" t="inlineStr">
        <is>
          <t>JOB-SETUP, CLEAN-UP, INSPECTION, JOB-CLOSEUP</t>
        </is>
      </c>
    </row>
    <row r="1203">
      <c r="A1203" s="222" t="inlineStr">
        <is>
          <t>680</t>
        </is>
      </c>
      <c r="B1203" s="222" t="inlineStr">
        <is>
          <t>574305-01-1-001</t>
        </is>
      </c>
      <c r="C1203" s="222" t="inlineStr">
        <is>
          <t>574305-01-1-001 (02) / L/H SLAT 2 TRAILING EDGE INSP</t>
        </is>
      </c>
      <c r="D1203" s="222" t="inlineStr">
        <is>
          <t>1</t>
        </is>
      </c>
      <c r="E1203" s="222" t="n">
        <v>0.5</v>
      </c>
      <c r="F1203" s="222" t="n">
        <v>2.5</v>
      </c>
      <c r="G1203" s="222" t="n">
        <v>42.2</v>
      </c>
      <c r="H1203" s="222" t="inlineStr">
        <is>
          <t>Closed</t>
        </is>
      </c>
      <c r="I1203" s="222" t="inlineStr">
        <is>
          <t>57-43</t>
        </is>
      </c>
      <c r="J1203" s="222" t="inlineStr">
        <is>
          <t>JOB-SETUP, --, INSPECTION, JOB-CLOSEUP</t>
        </is>
      </c>
    </row>
    <row r="1204">
      <c r="A1204" s="222" t="inlineStr">
        <is>
          <t>681</t>
        </is>
      </c>
      <c r="B1204" s="222" t="inlineStr">
        <is>
          <t>574305-01-1-002</t>
        </is>
      </c>
      <c r="C1204" s="222" t="inlineStr">
        <is>
          <t>574305-01-1-002 (02) / R/H SLAT 2 TRAILING EDGE INSP</t>
        </is>
      </c>
      <c r="D1204" s="222" t="inlineStr">
        <is>
          <t>1</t>
        </is>
      </c>
      <c r="E1204" s="222" t="n">
        <v>0.5</v>
      </c>
      <c r="F1204" s="222" t="n">
        <v>1.1</v>
      </c>
      <c r="G1204" s="222" t="n">
        <v>42.9</v>
      </c>
      <c r="H1204" s="222" t="inlineStr">
        <is>
          <t>Closed</t>
        </is>
      </c>
      <c r="I1204" s="222" t="inlineStr">
        <is>
          <t>57-43</t>
        </is>
      </c>
      <c r="J1204" s="222" t="inlineStr">
        <is>
          <t>JOB-SETUP, CLEAN-UP, INSPECTION, JOB-CLOSEUP</t>
        </is>
      </c>
    </row>
    <row r="1205">
      <c r="A1205" s="222" t="inlineStr">
        <is>
          <t>682</t>
        </is>
      </c>
      <c r="B1205" s="222" t="inlineStr">
        <is>
          <t>574402-01-2-001</t>
        </is>
      </c>
      <c r="C1205" s="222" t="inlineStr">
        <is>
          <t>574402-01-2-001 (02) / L/H SLAT 3 TRACK 7-8 ATTACHMENTS INSP</t>
        </is>
      </c>
      <c r="D1205" s="222" t="inlineStr">
        <is>
          <t>1</t>
        </is>
      </c>
      <c r="E1205" s="222" t="n">
        <v>0.5</v>
      </c>
      <c r="F1205" s="222" t="n">
        <v>1.5</v>
      </c>
      <c r="G1205" s="222" t="n">
        <v>2.1</v>
      </c>
      <c r="H1205" s="222" t="inlineStr">
        <is>
          <t>Closed</t>
        </is>
      </c>
      <c r="I1205" s="222" t="inlineStr">
        <is>
          <t>57-44</t>
        </is>
      </c>
      <c r="J1205" s="222" t="inlineStr">
        <is>
          <t>JOB-SETUP, CLEAN-UP, INSPECTION, JOB-CLOSEUP</t>
        </is>
      </c>
    </row>
    <row r="1206">
      <c r="A1206" s="222" t="inlineStr">
        <is>
          <t>683</t>
        </is>
      </c>
      <c r="B1206" s="222" t="inlineStr">
        <is>
          <t>574402-01-2-002</t>
        </is>
      </c>
      <c r="C1206" s="222" t="inlineStr">
        <is>
          <t>574402-01-2-002 (02) / R/H SLAT 3 TRACK 7-8 ATTACHMENTS INSP</t>
        </is>
      </c>
      <c r="D1206" s="222" t="inlineStr">
        <is>
          <t>1</t>
        </is>
      </c>
      <c r="E1206" s="222" t="n">
        <v>0.5</v>
      </c>
      <c r="F1206" s="222" t="n">
        <v>5.3</v>
      </c>
      <c r="G1206" s="222" t="n">
        <v>43</v>
      </c>
      <c r="H1206" s="222" t="inlineStr">
        <is>
          <t>Closed</t>
        </is>
      </c>
      <c r="I1206" s="222" t="inlineStr">
        <is>
          <t>57-44</t>
        </is>
      </c>
      <c r="J1206" s="222" t="inlineStr">
        <is>
          <t>JOB-SETUP, CLEAN-UP, INSPECTION, JOB-CLOSEUP</t>
        </is>
      </c>
    </row>
    <row r="1207">
      <c r="A1207" s="222" t="inlineStr">
        <is>
          <t>684</t>
        </is>
      </c>
      <c r="B1207" s="222" t="inlineStr">
        <is>
          <t>574405-01-1-001</t>
        </is>
      </c>
      <c r="C1207" s="222" t="inlineStr">
        <is>
          <t>574405-01-1-001 (02) / L/H SLAT 3 TRAILING EDGE INSPECTION</t>
        </is>
      </c>
      <c r="D1207" s="222" t="inlineStr">
        <is>
          <t>1</t>
        </is>
      </c>
      <c r="E1207" s="222" t="n">
        <v>0.5</v>
      </c>
      <c r="F1207" s="222" t="n">
        <v>3.5</v>
      </c>
      <c r="G1207" s="222" t="n">
        <v>42.4</v>
      </c>
      <c r="H1207" s="222" t="inlineStr">
        <is>
          <t>Closed</t>
        </is>
      </c>
      <c r="I1207" s="222" t="inlineStr">
        <is>
          <t>57-44</t>
        </is>
      </c>
      <c r="J1207" s="222" t="inlineStr">
        <is>
          <t>JOB-SETUP, CLEAN-UP, INSPECTION, JOB-CLOSEUP</t>
        </is>
      </c>
    </row>
    <row r="1208">
      <c r="A1208" s="222" t="inlineStr">
        <is>
          <t>685</t>
        </is>
      </c>
      <c r="B1208" s="222" t="inlineStr">
        <is>
          <t>574405-01-1-002</t>
        </is>
      </c>
      <c r="C1208" s="222" t="inlineStr">
        <is>
          <t>574405-01-1-002 (02) / R/H SLAT 3 TRAILING EDGE INSPECTION</t>
        </is>
      </c>
      <c r="D1208" s="222" t="inlineStr">
        <is>
          <t>1</t>
        </is>
      </c>
      <c r="E1208" s="222" t="n">
        <v>0.5</v>
      </c>
      <c r="F1208" s="222" t="n">
        <v>2</v>
      </c>
      <c r="G1208" s="222" t="n">
        <v>43</v>
      </c>
      <c r="H1208" s="222" t="inlineStr">
        <is>
          <t>Closed</t>
        </is>
      </c>
      <c r="I1208" s="222" t="inlineStr">
        <is>
          <t>57-44</t>
        </is>
      </c>
      <c r="J1208" s="222" t="inlineStr">
        <is>
          <t>JOB-SETUP, CLEAN-UP, INSPECTION, JOB-CLOSEUP</t>
        </is>
      </c>
    </row>
    <row r="1209">
      <c r="A1209" s="222" t="inlineStr">
        <is>
          <t>686</t>
        </is>
      </c>
      <c r="B1209" s="222" t="inlineStr">
        <is>
          <t>574502-01-2-001</t>
        </is>
      </c>
      <c r="C1209" s="222" t="inlineStr">
        <is>
          <t>574502-01-2-001 (02) / L/H SLAT 4 TRACK 9-10 ATTACHMENTS INSP</t>
        </is>
      </c>
      <c r="D1209" s="222" t="inlineStr">
        <is>
          <t>1</t>
        </is>
      </c>
      <c r="E1209" s="222" t="n">
        <v>0.5</v>
      </c>
      <c r="F1209" s="222" t="n">
        <v>0.7</v>
      </c>
      <c r="G1209" s="222" t="n">
        <v>3.3</v>
      </c>
      <c r="H1209" s="222" t="inlineStr">
        <is>
          <t>Closed</t>
        </is>
      </c>
      <c r="I1209" s="222" t="inlineStr">
        <is>
          <t>57-45</t>
        </is>
      </c>
      <c r="J1209" s="222" t="inlineStr">
        <is>
          <t>JOB-SETUP, CLEAN-UP, INSPECTION, JOB-CLOSEUP</t>
        </is>
      </c>
    </row>
    <row r="1210">
      <c r="A1210" s="222" t="inlineStr">
        <is>
          <t>687</t>
        </is>
      </c>
      <c r="B1210" s="222" t="inlineStr">
        <is>
          <t>574502-01-2-002</t>
        </is>
      </c>
      <c r="C1210" s="222" t="inlineStr">
        <is>
          <t>574502-01-2-002 (02) / R/H SLAT 4 TRACK 9-10 ATTACHMENTS INSP</t>
        </is>
      </c>
      <c r="D1210" s="222" t="inlineStr">
        <is>
          <t>1</t>
        </is>
      </c>
      <c r="E1210" s="222" t="n">
        <v>0.5</v>
      </c>
      <c r="F1210" s="222" t="n">
        <v>5.1</v>
      </c>
      <c r="G1210" s="222" t="n">
        <v>42.6</v>
      </c>
      <c r="H1210" s="222" t="inlineStr">
        <is>
          <t>Closed</t>
        </is>
      </c>
      <c r="I1210" s="222" t="inlineStr">
        <is>
          <t>57-45</t>
        </is>
      </c>
      <c r="J1210" s="222" t="inlineStr">
        <is>
          <t>JOB-SETUP, CLEAN-UP, INSPECTION, JOB-CLOSEUP</t>
        </is>
      </c>
    </row>
    <row r="1211">
      <c r="A1211" s="222" t="inlineStr">
        <is>
          <t>688</t>
        </is>
      </c>
      <c r="B1211" s="222" t="inlineStr">
        <is>
          <t>574505-01-1-001</t>
        </is>
      </c>
      <c r="C1211" s="222" t="inlineStr">
        <is>
          <t>574505-01-1-001 (02) / L/H SLAT 4 TRAILING EDGE INSPECTION</t>
        </is>
      </c>
      <c r="D1211" s="222" t="inlineStr">
        <is>
          <t>1</t>
        </is>
      </c>
      <c r="E1211" s="222" t="n">
        <v>0.5</v>
      </c>
      <c r="F1211" s="222" t="n">
        <v>3</v>
      </c>
      <c r="G1211" s="222" t="n">
        <v>42</v>
      </c>
      <c r="H1211" s="222" t="inlineStr">
        <is>
          <t>Closed</t>
        </is>
      </c>
      <c r="I1211" s="222" t="inlineStr">
        <is>
          <t>57-45</t>
        </is>
      </c>
      <c r="J1211" s="222" t="inlineStr">
        <is>
          <t>JOB-SETUP, CLEAN-UP, INSPECTION, JOB-CLOSEUP</t>
        </is>
      </c>
    </row>
    <row r="1212">
      <c r="A1212" s="222" t="inlineStr">
        <is>
          <t>689</t>
        </is>
      </c>
      <c r="B1212" s="222" t="inlineStr">
        <is>
          <t>574505-01-1-002</t>
        </is>
      </c>
      <c r="C1212" s="222" t="inlineStr">
        <is>
          <t>574505-01-1-002 (02) / R/H SLAT 4 TRAILING EDGE INSPECTION</t>
        </is>
      </c>
      <c r="D1212" s="222" t="inlineStr">
        <is>
          <t>1</t>
        </is>
      </c>
      <c r="E1212" s="222" t="n">
        <v>0.5</v>
      </c>
      <c r="F1212" s="222" t="n">
        <v>1.1</v>
      </c>
      <c r="G1212" s="222" t="n">
        <v>43.5</v>
      </c>
      <c r="H1212" s="222" t="inlineStr">
        <is>
          <t>Closed</t>
        </is>
      </c>
      <c r="I1212" s="222" t="inlineStr">
        <is>
          <t>57-45</t>
        </is>
      </c>
      <c r="J1212" s="222" t="inlineStr">
        <is>
          <t>JOB-SETUP, CLEAN-UP, INSPECTION, JOB-CLOSEUP</t>
        </is>
      </c>
    </row>
    <row r="1213">
      <c r="A1213" s="222" t="inlineStr">
        <is>
          <t>690</t>
        </is>
      </c>
      <c r="B1213" s="222" t="inlineStr">
        <is>
          <t>574602-01-2-001</t>
        </is>
      </c>
      <c r="C1213" s="222" t="inlineStr">
        <is>
          <t>574602-01-2-001 (02) / L/H SLAT 5 TRACK 11-12 ATTACHMENTS INSP</t>
        </is>
      </c>
      <c r="D1213" s="222" t="inlineStr">
        <is>
          <t>1</t>
        </is>
      </c>
      <c r="E1213" s="222" t="n">
        <v>0.5</v>
      </c>
      <c r="F1213" s="222" t="n">
        <v>2.2</v>
      </c>
      <c r="G1213" s="222" t="n">
        <v>3.3</v>
      </c>
      <c r="H1213" s="222" t="inlineStr">
        <is>
          <t>Closed</t>
        </is>
      </c>
      <c r="I1213" s="222" t="inlineStr">
        <is>
          <t>57-46</t>
        </is>
      </c>
      <c r="J1213" s="222" t="inlineStr">
        <is>
          <t>JOB-SETUP, CLEAN-UP, INSPECTION, JOB-CLOSEUP</t>
        </is>
      </c>
    </row>
    <row r="1214">
      <c r="A1214" s="222" t="inlineStr">
        <is>
          <t>691</t>
        </is>
      </c>
      <c r="B1214" s="222" t="inlineStr">
        <is>
          <t>574602-01-2-002</t>
        </is>
      </c>
      <c r="C1214" s="222" t="inlineStr">
        <is>
          <t>574602-01-2-002 (02) / R/H SLAT 5 TRACK 11-12 ATTACHMENTS INSP</t>
        </is>
      </c>
      <c r="D1214" s="222" t="inlineStr">
        <is>
          <t>1</t>
        </is>
      </c>
      <c r="E1214" s="222" t="n">
        <v>0.5</v>
      </c>
      <c r="F1214" s="222" t="n">
        <v>0.6</v>
      </c>
      <c r="G1214" s="222" t="n">
        <v>44.7</v>
      </c>
      <c r="H1214" s="222" t="inlineStr">
        <is>
          <t>Closed</t>
        </is>
      </c>
      <c r="I1214" s="222" t="inlineStr">
        <is>
          <t>57-46</t>
        </is>
      </c>
      <c r="J1214" s="222" t="inlineStr">
        <is>
          <t>JOB-SETUP, CLEAN-UP, INSPECTION, JOB-CLOSEUP</t>
        </is>
      </c>
    </row>
    <row r="1215">
      <c r="A1215" s="222" t="inlineStr">
        <is>
          <t>692</t>
        </is>
      </c>
      <c r="B1215" s="222" t="inlineStr">
        <is>
          <t>574605-01-1-001</t>
        </is>
      </c>
      <c r="C1215" s="222" t="inlineStr">
        <is>
          <t>574605-01-1-001 (02) / L/H SLAT 5 TRAILING EDGE INSPECTION</t>
        </is>
      </c>
      <c r="D1215" s="222" t="inlineStr">
        <is>
          <t>1</t>
        </is>
      </c>
      <c r="E1215" s="222" t="n">
        <v>0.7</v>
      </c>
      <c r="F1215" s="222" t="n">
        <v>3</v>
      </c>
      <c r="G1215" s="222" t="n">
        <v>42.1</v>
      </c>
      <c r="H1215" s="222" t="inlineStr">
        <is>
          <t>Closed</t>
        </is>
      </c>
      <c r="I1215" s="222" t="inlineStr">
        <is>
          <t>57-46</t>
        </is>
      </c>
      <c r="J1215" s="222" t="inlineStr">
        <is>
          <t>JOB-SETUP, CLEAN-UP, INSPECTION, JOB-CLOSEUP</t>
        </is>
      </c>
    </row>
    <row r="1216">
      <c r="A1216" s="222" t="inlineStr">
        <is>
          <t>693</t>
        </is>
      </c>
      <c r="B1216" s="222" t="inlineStr">
        <is>
          <t>574605-01-1-002</t>
        </is>
      </c>
      <c r="C1216" s="222" t="inlineStr">
        <is>
          <t>574605-01-1-002 (02) / R/H SLAT 5 TRAILING EDGE INSPECTION</t>
        </is>
      </c>
      <c r="D1216" s="222" t="inlineStr">
        <is>
          <t>1</t>
        </is>
      </c>
      <c r="E1216" s="222" t="n">
        <v>0.7</v>
      </c>
      <c r="F1216" s="222" t="n">
        <v>2.1</v>
      </c>
      <c r="G1216" s="222" t="n">
        <v>45.4</v>
      </c>
      <c r="H1216" s="222" t="inlineStr">
        <is>
          <t>Closed</t>
        </is>
      </c>
      <c r="I1216" s="222" t="inlineStr">
        <is>
          <t>57-46</t>
        </is>
      </c>
      <c r="J1216" s="222" t="inlineStr">
        <is>
          <t>JOB-SETUP, CLEAN-UP, INSPECTION, JOB-CLOSEUP</t>
        </is>
      </c>
    </row>
    <row r="1217">
      <c r="A1217" s="222" t="inlineStr">
        <is>
          <t>694</t>
        </is>
      </c>
      <c r="B1217" s="222" t="inlineStr">
        <is>
          <t>575107-01-1-001</t>
        </is>
      </c>
      <c r="C1217" s="222" t="inlineStr">
        <is>
          <t>575107-01-1-001 (02) / L/H TRALNG EDGE SPOILER 2-5 FITINGS INSP</t>
        </is>
      </c>
      <c r="D1217" s="222" t="inlineStr">
        <is>
          <t>1</t>
        </is>
      </c>
      <c r="E1217" s="222" t="n">
        <v>5.4</v>
      </c>
      <c r="F1217" s="222" t="n">
        <v>25</v>
      </c>
      <c r="G1217" s="222" t="n">
        <v>26.5</v>
      </c>
      <c r="H1217" s="222" t="inlineStr">
        <is>
          <t>Closed</t>
        </is>
      </c>
      <c r="I1217" s="222" t="inlineStr">
        <is>
          <t>57-51</t>
        </is>
      </c>
      <c r="J1217" s="222" t="inlineStr">
        <is>
          <t>JOB-SETUP, CLEAN-UP, INSPECTION, JOB-CLOSEUP</t>
        </is>
      </c>
    </row>
    <row r="1218">
      <c r="A1218" s="222" t="inlineStr">
        <is>
          <t>695</t>
        </is>
      </c>
      <c r="B1218" s="222" t="inlineStr">
        <is>
          <t>575107-01-1-002</t>
        </is>
      </c>
      <c r="C1218" s="222" t="inlineStr">
        <is>
          <t>575107-01-1-002 (02) / R/H TRALNG EDGE SPOILER 2-5 FITINGS INSP</t>
        </is>
      </c>
      <c r="D1218" s="222" t="inlineStr">
        <is>
          <t>1</t>
        </is>
      </c>
      <c r="E1218" s="222" t="n">
        <v>5.4</v>
      </c>
      <c r="F1218" s="222" t="n">
        <v>0.6</v>
      </c>
      <c r="G1218" s="222" t="n">
        <v>42.5</v>
      </c>
      <c r="H1218" s="222" t="inlineStr">
        <is>
          <t>Closed</t>
        </is>
      </c>
      <c r="I1218" s="222" t="inlineStr">
        <is>
          <t>57-51</t>
        </is>
      </c>
      <c r="J1218" s="222" t="inlineStr">
        <is>
          <t>JOB-SETUP, CLEAN-UP, INSPECTION, JOB-CLOSEUP</t>
        </is>
      </c>
    </row>
    <row r="1219">
      <c r="A1219" s="222" t="inlineStr">
        <is>
          <t>697</t>
        </is>
      </c>
      <c r="B1219" s="222" t="inlineStr">
        <is>
          <t>575120-03-1-002</t>
        </is>
      </c>
      <c r="C1219" s="222" t="inlineStr">
        <is>
          <t>575120-03-1-002 (02) / TRALING EDGE AILERON HINGE PINS INSP</t>
        </is>
      </c>
      <c r="D1219" s="222" t="inlineStr">
        <is>
          <t>1</t>
        </is>
      </c>
      <c r="E1219" s="222" t="n">
        <v>2.6</v>
      </c>
      <c r="F1219" s="222" t="n">
        <v>1.6</v>
      </c>
      <c r="G1219" s="222" t="n">
        <v>30.2</v>
      </c>
      <c r="H1219" s="222" t="inlineStr">
        <is>
          <t>Closed</t>
        </is>
      </c>
      <c r="I1219" s="222" t="inlineStr">
        <is>
          <t>57-51</t>
        </is>
      </c>
      <c r="J1219" s="222" t="inlineStr">
        <is>
          <t>JOB-SETUP, CLEAN-UP, INSPECTION, JOB-CLOSEUP</t>
        </is>
      </c>
    </row>
    <row r="1220">
      <c r="A1220" s="222" t="inlineStr">
        <is>
          <t>698</t>
        </is>
      </c>
      <c r="B1220" s="222" t="inlineStr">
        <is>
          <t>575150-01-2-001</t>
        </is>
      </c>
      <c r="C1220" s="222" t="inlineStr">
        <is>
          <t>575150-01-2-001 (03) / L/H OUTER WING MLG SUPPORT RIBS INSP</t>
        </is>
      </c>
      <c r="D1220" s="222" t="inlineStr">
        <is>
          <t>1</t>
        </is>
      </c>
      <c r="E1220" s="222" t="n">
        <v>2.2</v>
      </c>
      <c r="F1220" s="222" t="n">
        <v>14.7</v>
      </c>
      <c r="G1220" s="222" t="n">
        <v>166.6</v>
      </c>
      <c r="H1220" s="222" t="inlineStr">
        <is>
          <t>Closed</t>
        </is>
      </c>
      <c r="I1220" s="222" t="inlineStr">
        <is>
          <t>57-51</t>
        </is>
      </c>
      <c r="J1220" s="222" t="inlineStr">
        <is>
          <t>JOB-SETUP, CLEAN-UP, INSPECTION, JOB-CLOSEUP</t>
        </is>
      </c>
    </row>
    <row r="1221">
      <c r="A1221" s="222" t="inlineStr">
        <is>
          <t>700</t>
        </is>
      </c>
      <c r="B1221" s="222" t="inlineStr">
        <is>
          <t>575158-01-5-001</t>
        </is>
      </c>
      <c r="C1221" s="222" t="inlineStr">
        <is>
          <t>575158-01-5-001 (02) / L/H WNG BOTTOM SKN LWR SURFACE INSP</t>
        </is>
      </c>
      <c r="D1221" s="222" t="inlineStr">
        <is>
          <t>1</t>
        </is>
      </c>
      <c r="E1221" s="222" t="n">
        <v>0.4</v>
      </c>
      <c r="F1221" s="222" t="n">
        <v>1.5</v>
      </c>
      <c r="G1221" s="222" t="n">
        <v>28.1</v>
      </c>
      <c r="H1221" s="222" t="inlineStr">
        <is>
          <t>Closed</t>
        </is>
      </c>
      <c r="I1221" s="222" t="inlineStr">
        <is>
          <t>57-51</t>
        </is>
      </c>
      <c r="J1221" s="222" t="inlineStr">
        <is>
          <t>JOB-SETUP, CLEAN-UP, INSPECTION, JOB-CLOSEUP</t>
        </is>
      </c>
    </row>
    <row r="1222">
      <c r="A1222" s="222" t="inlineStr">
        <is>
          <t>703</t>
        </is>
      </c>
      <c r="B1222" s="222" t="inlineStr">
        <is>
          <t>22586962</t>
        </is>
      </c>
      <c r="C1222" s="222" t="inlineStr">
        <is>
          <t>92339 (0) / TOILET SERVICES PANEL REINFORCEMENTS DOUBLER WITH CORROSION</t>
        </is>
      </c>
      <c r="D1222" s="222" t="inlineStr">
        <is>
          <t>1</t>
        </is>
      </c>
      <c r="E1222" s="222" t="n"/>
      <c r="F1222" s="222" t="n">
        <v>0.2</v>
      </c>
      <c r="G1222" s="222" t="n">
        <v>0.2</v>
      </c>
      <c r="H1222" s="222" t="inlineStr">
        <is>
          <t>Closed</t>
        </is>
      </c>
      <c r="I1222" s="222" t="inlineStr">
        <is>
          <t>53</t>
        </is>
      </c>
      <c r="J1222" s="222" t="inlineStr"/>
    </row>
    <row r="1223">
      <c r="A1223" s="222" t="inlineStr">
        <is>
          <t>704</t>
        </is>
      </c>
      <c r="B1223" s="222" t="inlineStr">
        <is>
          <t>23464908</t>
        </is>
      </c>
      <c r="C1223" s="222" t="inlineStr">
        <is>
          <t>92341 (0) / TOILET SERVICES PANEL REINFORCEMENTS DOUBLER WITH CORROSION2</t>
        </is>
      </c>
      <c r="D1223" s="222" t="inlineStr">
        <is>
          <t>1</t>
        </is>
      </c>
      <c r="E1223" s="222" t="n"/>
      <c r="F1223" s="222" t="n">
        <v>0.2</v>
      </c>
      <c r="G1223" s="222" t="n">
        <v>0.2</v>
      </c>
      <c r="H1223" s="222" t="inlineStr">
        <is>
          <t>Closed</t>
        </is>
      </c>
      <c r="I1223" s="222" t="inlineStr">
        <is>
          <t>53</t>
        </is>
      </c>
      <c r="J1223" s="222" t="inlineStr"/>
    </row>
    <row r="1224">
      <c r="A1224" s="222" t="inlineStr">
        <is>
          <t>705</t>
        </is>
      </c>
      <c r="B1224" s="222" t="inlineStr">
        <is>
          <t>31905379</t>
        </is>
      </c>
      <c r="C1224" s="222" t="inlineStr">
        <is>
          <t>TPIS DEACTIVATION (0) / TPIS DEACTIVATION</t>
        </is>
      </c>
      <c r="D1224" s="222" t="inlineStr">
        <is>
          <t>RI</t>
        </is>
      </c>
      <c r="E1224" s="222" t="n">
        <v>0.5</v>
      </c>
      <c r="F1224" s="222" t="n">
        <v>3</v>
      </c>
      <c r="G1224" s="222" t="n">
        <v>72.59999999999999</v>
      </c>
      <c r="H1224" s="222" t="inlineStr">
        <is>
          <t>Closed</t>
        </is>
      </c>
      <c r="I1224" s="222" t="inlineStr">
        <is>
          <t>32</t>
        </is>
      </c>
      <c r="J1224" s="222" t="inlineStr"/>
    </row>
    <row r="1225">
      <c r="A1225" s="222" t="inlineStr">
        <is>
          <t>706</t>
        </is>
      </c>
      <c r="B1225" s="222" t="inlineStr">
        <is>
          <t>29294847</t>
        </is>
      </c>
      <c r="C1225" s="222" t="inlineStr">
        <is>
          <t>252582/AD-A320/A321, INSPECTION OF ALL LAVATORY WASTE RECEPTACLE DOORS</t>
        </is>
      </c>
      <c r="D1225" s="222" t="inlineStr">
        <is>
          <t>1</t>
        </is>
      </c>
      <c r="E1225" s="222" t="n">
        <v>1.5</v>
      </c>
      <c r="F1225" s="222" t="n">
        <v>5</v>
      </c>
      <c r="G1225" s="222" t="n">
        <v>3.6</v>
      </c>
      <c r="H1225" s="222" t="inlineStr">
        <is>
          <t>Closed</t>
        </is>
      </c>
      <c r="I1225" s="222" t="inlineStr">
        <is>
          <t>25</t>
        </is>
      </c>
      <c r="J1225" s="222" t="inlineStr"/>
    </row>
    <row r="1226">
      <c r="A1226" s="222" t="inlineStr">
        <is>
          <t>717</t>
        </is>
      </c>
      <c r="B1226" s="222" t="inlineStr">
        <is>
          <t>30482091</t>
        </is>
      </c>
      <c r="C1226" s="222" t="inlineStr">
        <is>
          <t>EOD-320-31-00006-R00/ACTIVATE HIGHSPEED UPLOADING (ARINC 615A) - EIS2</t>
        </is>
      </c>
      <c r="D1226" s="222" t="inlineStr">
        <is>
          <t>ACHK</t>
        </is>
      </c>
      <c r="E1226" s="222" t="n">
        <v>2</v>
      </c>
      <c r="F1226" s="222" t="n">
        <v>20</v>
      </c>
      <c r="G1226" s="222" t="n">
        <v>29.3</v>
      </c>
      <c r="H1226" s="222" t="inlineStr">
        <is>
          <t>Closed</t>
        </is>
      </c>
      <c r="I1226" s="222" t="inlineStr">
        <is>
          <t>31</t>
        </is>
      </c>
      <c r="J1226" s="222" t="inlineStr"/>
    </row>
    <row r="1227">
      <c r="A1227" s="222" t="inlineStr">
        <is>
          <t>749</t>
        </is>
      </c>
      <c r="B1227" s="222" t="inlineStr">
        <is>
          <t>32362499</t>
        </is>
      </c>
      <c r="C1227" s="222" t="inlineStr">
        <is>
          <t>S21-R10347/A320FAM - CEHCK THE TORQUE VALUES OF ACM &lt;-&gt; MHX DUCT CONNECTION</t>
        </is>
      </c>
      <c r="D1227" s="222" t="inlineStr">
        <is>
          <t>ACHK</t>
        </is>
      </c>
      <c r="E1227" s="222" t="n">
        <v>6.5</v>
      </c>
      <c r="F1227" s="222" t="n">
        <v>2.6</v>
      </c>
      <c r="G1227" s="222" t="n">
        <v>10.7</v>
      </c>
      <c r="H1227" s="222" t="inlineStr">
        <is>
          <t>Closed</t>
        </is>
      </c>
      <c r="I1227" s="222" t="inlineStr">
        <is>
          <t>21-52</t>
        </is>
      </c>
      <c r="J1227" s="222" t="inlineStr">
        <is>
          <t>--, --, --, CLOSE-UP</t>
        </is>
      </c>
    </row>
    <row r="1228">
      <c r="A1228" s="222" t="inlineStr">
        <is>
          <t>782</t>
        </is>
      </c>
      <c r="B1228" s="222" t="inlineStr">
        <is>
          <t>STJC-20-00-00-01-GA-GO</t>
        </is>
      </c>
      <c r="C1228" s="222" t="inlineStr">
        <is>
          <t>HEAVY CHK AIRCRAFT (PRE-INSP)</t>
        </is>
      </c>
      <c r="D1228" s="222" t="inlineStr">
        <is>
          <t>N</t>
        </is>
      </c>
      <c r="E1228" s="222" t="n">
        <v>9</v>
      </c>
      <c r="F1228" s="222" t="n">
        <v>1.7</v>
      </c>
      <c r="G1228" s="222" t="n">
        <v>12.4</v>
      </c>
      <c r="H1228" s="222" t="inlineStr">
        <is>
          <t>Closed</t>
        </is>
      </c>
      <c r="I1228" s="222" t="inlineStr">
        <is>
          <t>20</t>
        </is>
      </c>
      <c r="J1228" s="222" t="inlineStr">
        <is>
          <t>PRE INSP, PRE INSP, PRE INSP, PRE INSP, PRE INSP, PRE INSP, PRE INSP, PRE INSP, PRE INSP</t>
        </is>
      </c>
    </row>
    <row r="1229">
      <c r="A1229" s="222" t="inlineStr">
        <is>
          <t>802</t>
        </is>
      </c>
      <c r="B1229" s="222" t="inlineStr">
        <is>
          <t>242400-01-2</t>
        </is>
      </c>
      <c r="C1229" s="222" t="inlineStr">
        <is>
          <t>242400-01-2 (2) / AC EMERGENCY GENERATION OPC</t>
        </is>
      </c>
      <c r="D1229" s="222" t="inlineStr">
        <is>
          <t>1</t>
        </is>
      </c>
      <c r="E1229" s="222" t="n">
        <v>0</v>
      </c>
      <c r="F1229" s="222" t="n">
        <v>4.5</v>
      </c>
      <c r="G1229" s="222" t="n">
        <v>2.9</v>
      </c>
      <c r="H1229" s="222" t="inlineStr">
        <is>
          <t>Closed</t>
        </is>
      </c>
      <c r="I1229" s="222" t="inlineStr">
        <is>
          <t>24-24</t>
        </is>
      </c>
      <c r="J1229" s="222" t="inlineStr">
        <is>
          <t>OPS/LK</t>
        </is>
      </c>
    </row>
    <row r="1230">
      <c r="A1230" s="222" t="inlineStr">
        <is>
          <t>814</t>
        </is>
      </c>
      <c r="B1230" s="222" t="inlineStr">
        <is>
          <t>32977684</t>
        </is>
      </c>
      <c r="C1230" s="222" t="inlineStr">
        <is>
          <t>LOWER FUSELAGE---PNT---NO CALLBACK DURING INSP, FOUND THE FF DECALS FADED  1. GROUND SUPPLY AIR CONDITIONG DECAL 2. GROUND HYD CONN BLUE</t>
        </is>
      </c>
      <c r="D1230" s="222" t="inlineStr">
        <is>
          <t>1</t>
        </is>
      </c>
      <c r="E1230" s="222" t="n">
        <v>2</v>
      </c>
      <c r="F1230" s="222" t="n">
        <v>4</v>
      </c>
      <c r="G1230" s="222" t="n">
        <v>2</v>
      </c>
      <c r="H1230" s="222" t="inlineStr">
        <is>
          <t>Closed</t>
        </is>
      </c>
      <c r="I1230" s="222" t="inlineStr">
        <is>
          <t>05-21</t>
        </is>
      </c>
      <c r="J1230" s="222" t="inlineStr"/>
    </row>
    <row r="1231">
      <c r="A1231" s="222" t="inlineStr">
        <is>
          <t>820</t>
        </is>
      </c>
      <c r="B1231" s="222" t="inlineStr">
        <is>
          <t>32977881</t>
        </is>
      </c>
      <c r="C1231" s="222" t="inlineStr">
        <is>
          <t>PRE---UPPER FUSELAGE---NOCALLBACK---PNT PASSENGER ENTRY DOORS EXTERNAL SURFACE HOIST POINT COVERS FOUND TORN AND PEELED OFF.</t>
        </is>
      </c>
      <c r="D1231" s="222" t="inlineStr">
        <is>
          <t>1</t>
        </is>
      </c>
      <c r="E1231" s="222" t="n">
        <v>2</v>
      </c>
      <c r="F1231" s="222" t="n">
        <v>1</v>
      </c>
      <c r="G1231" s="222" t="n">
        <v>1</v>
      </c>
      <c r="H1231" s="222" t="inlineStr">
        <is>
          <t>Closed</t>
        </is>
      </c>
      <c r="I1231" s="222" t="inlineStr">
        <is>
          <t>05-21</t>
        </is>
      </c>
      <c r="J1231" s="222" t="inlineStr"/>
    </row>
    <row r="1232">
      <c r="A1232" s="222" t="inlineStr">
        <is>
          <t>824</t>
        </is>
      </c>
      <c r="B1232" s="222" t="inlineStr">
        <is>
          <t>32977904</t>
        </is>
      </c>
      <c r="C1232" s="222" t="inlineStr">
        <is>
          <t>PRE---L/H AND R/H WING---NOCALLBACK---PNT L/H AND R/H WING ALL SLATS EXTERNAL SURFACE HOIST POINT COVERS FOUND MISSING, TORN AND WORNOUT.</t>
        </is>
      </c>
      <c r="D1232" s="222" t="inlineStr">
        <is>
          <t>1</t>
        </is>
      </c>
      <c r="E1232" s="222" t="n">
        <v>4</v>
      </c>
      <c r="F1232" s="222" t="n">
        <v>8</v>
      </c>
      <c r="G1232" s="222" t="n">
        <v>4</v>
      </c>
      <c r="H1232" s="222" t="inlineStr">
        <is>
          <t>Closed</t>
        </is>
      </c>
      <c r="I1232" s="222" t="inlineStr">
        <is>
          <t>05-25</t>
        </is>
      </c>
      <c r="J1232" s="222" t="inlineStr"/>
    </row>
    <row r="1233">
      <c r="A1233" s="222" t="inlineStr">
        <is>
          <t>829</t>
        </is>
      </c>
      <c r="B1233" s="222" t="inlineStr">
        <is>
          <t>32977909</t>
        </is>
      </c>
      <c r="C1233" s="222" t="inlineStr">
        <is>
          <t>PRE---L/H AND R/H WING---NOCALLBACK---PNT L/H AND R/H WING UPPER OUTER SURFACE "GROUND HERE " DECAL FOUDN TORN WITH CRACKS.</t>
        </is>
      </c>
      <c r="D1233" s="222" t="inlineStr">
        <is>
          <t>1</t>
        </is>
      </c>
      <c r="E1233" s="222" t="n">
        <v>2</v>
      </c>
      <c r="F1233" s="222" t="n">
        <v>2</v>
      </c>
      <c r="G1233" s="222" t="n">
        <v>1</v>
      </c>
      <c r="H1233" s="222" t="inlineStr">
        <is>
          <t>Closed</t>
        </is>
      </c>
      <c r="I1233" s="222" t="inlineStr">
        <is>
          <t>05-25</t>
        </is>
      </c>
      <c r="J1233" s="222" t="inlineStr"/>
    </row>
    <row r="1234">
      <c r="A1234" s="222" t="inlineStr">
        <is>
          <t>831</t>
        </is>
      </c>
      <c r="B1234" s="222" t="inlineStr">
        <is>
          <t>32977911</t>
        </is>
      </c>
      <c r="C1234" s="222" t="inlineStr">
        <is>
          <t>PRE---L/H AND R/H WING---NOCALLBACK---PNT L/H AND R/H WING UPPER SURFACE MULTIPLE SCREW HEADS FOUND WITH PAINT CHIPPED OFF.</t>
        </is>
      </c>
      <c r="D1234" s="222" t="inlineStr">
        <is>
          <t>1</t>
        </is>
      </c>
      <c r="E1234" s="222" t="n">
        <v>4</v>
      </c>
      <c r="F1234" s="222" t="n">
        <v>4</v>
      </c>
      <c r="G1234" s="222" t="n">
        <v>4</v>
      </c>
      <c r="H1234" s="222" t="inlineStr">
        <is>
          <t>Closed</t>
        </is>
      </c>
      <c r="I1234" s="222" t="inlineStr">
        <is>
          <t>05-25</t>
        </is>
      </c>
      <c r="J1234" s="222" t="inlineStr"/>
    </row>
    <row r="1235">
      <c r="A1235" s="222" t="inlineStr">
        <is>
          <t>833</t>
        </is>
      </c>
      <c r="B1235" s="222" t="inlineStr">
        <is>
          <t>32978236</t>
        </is>
      </c>
      <c r="C1235" s="222" t="inlineStr">
        <is>
          <t>NLG DOOR---PNT---NO CALL BACK---- NLG LH AND RH AFT DOOR MOUNT HINGES WITH PNT CHIP-OFF.</t>
        </is>
      </c>
      <c r="D1235" s="222" t="inlineStr">
        <is>
          <t>1</t>
        </is>
      </c>
      <c r="E1235" s="222" t="n">
        <v>4</v>
      </c>
      <c r="F1235" s="222" t="n">
        <v>4</v>
      </c>
      <c r="G1235" s="222" t="n">
        <v>4</v>
      </c>
      <c r="H1235" s="222" t="inlineStr">
        <is>
          <t>Closed</t>
        </is>
      </c>
      <c r="I1235" s="222" t="inlineStr">
        <is>
          <t>05-21</t>
        </is>
      </c>
      <c r="J1235" s="222" t="inlineStr"/>
    </row>
    <row r="1236">
      <c r="A1236" s="222" t="inlineStr">
        <is>
          <t>836</t>
        </is>
      </c>
      <c r="B1236" s="222" t="inlineStr">
        <is>
          <t>32978243</t>
        </is>
      </c>
      <c r="C1236" s="222" t="inlineStr">
        <is>
          <t>NLG----PNT---- NO CALL BACK---- NLG LEG LWR DECAL SEVERAL TORN</t>
        </is>
      </c>
      <c r="D1236" s="222" t="inlineStr">
        <is>
          <t>1</t>
        </is>
      </c>
      <c r="E1236" s="222" t="n">
        <v>2</v>
      </c>
      <c r="F1236" s="222" t="n">
        <v>3</v>
      </c>
      <c r="G1236" s="222" t="n">
        <v>1.5</v>
      </c>
      <c r="H1236" s="222" t="inlineStr">
        <is>
          <t>Closed</t>
        </is>
      </c>
      <c r="I1236" s="222" t="inlineStr">
        <is>
          <t>05-21</t>
        </is>
      </c>
      <c r="J1236" s="222" t="inlineStr"/>
    </row>
    <row r="1237">
      <c r="A1237" s="222" t="inlineStr">
        <is>
          <t>838</t>
        </is>
      </c>
      <c r="B1237" s="222" t="inlineStr">
        <is>
          <t>32978249</t>
        </is>
      </c>
      <c r="C1237" s="222" t="inlineStr">
        <is>
          <t>NLG----PNT---NO CALL BACK---- NLG HCU SURFACE WITH PNT CHIP-OFF.</t>
        </is>
      </c>
      <c r="D1237" s="222" t="inlineStr">
        <is>
          <t>1</t>
        </is>
      </c>
      <c r="E1237" s="222" t="n">
        <v>3</v>
      </c>
      <c r="F1237" s="222" t="n">
        <v>3</v>
      </c>
      <c r="G1237" s="222" t="n">
        <v>3</v>
      </c>
      <c r="H1237" s="222" t="inlineStr">
        <is>
          <t>Closed</t>
        </is>
      </c>
      <c r="I1237" s="222" t="inlineStr">
        <is>
          <t>05-21</t>
        </is>
      </c>
      <c r="J1237" s="222" t="inlineStr"/>
    </row>
    <row r="1238">
      <c r="A1238" s="222" t="inlineStr">
        <is>
          <t>839</t>
        </is>
      </c>
      <c r="B1238" s="222" t="inlineStr">
        <is>
          <t>32978253</t>
        </is>
      </c>
      <c r="C1238" s="222" t="inlineStr">
        <is>
          <t>LH MLG---PNT---NO CALL BACK---- LH MLG LEG  2EA DECALS FADED.</t>
        </is>
      </c>
      <c r="D1238" s="222" t="inlineStr">
        <is>
          <t>1</t>
        </is>
      </c>
      <c r="E1238" s="222" t="n">
        <v>2</v>
      </c>
      <c r="F1238" s="222" t="n">
        <v>2</v>
      </c>
      <c r="G1238" s="222" t="n">
        <v>2</v>
      </c>
      <c r="H1238" s="222" t="inlineStr">
        <is>
          <t>Closed</t>
        </is>
      </c>
      <c r="I1238" s="222" t="inlineStr">
        <is>
          <t>05-25</t>
        </is>
      </c>
      <c r="J1238" s="222" t="inlineStr"/>
    </row>
    <row r="1239">
      <c r="A1239" s="222" t="inlineStr">
        <is>
          <t>843</t>
        </is>
      </c>
      <c r="B1239" s="222" t="inlineStr">
        <is>
          <t>32978273</t>
        </is>
      </c>
      <c r="C1239" s="222" t="inlineStr">
        <is>
          <t>MLG----FS---NO CALL BACK----- INSIDE MLG DOOR ON KELL BEAM AREA DIRTY AND FULL OF WATER.</t>
        </is>
      </c>
      <c r="D1239" s="222" t="inlineStr">
        <is>
          <t>1</t>
        </is>
      </c>
      <c r="E1239" s="222" t="n">
        <v>10</v>
      </c>
      <c r="F1239" s="222" t="n">
        <v>10</v>
      </c>
      <c r="G1239" s="222" t="n">
        <v>5</v>
      </c>
      <c r="H1239" s="222" t="inlineStr">
        <is>
          <t>Closed</t>
        </is>
      </c>
      <c r="I1239" s="222" t="inlineStr">
        <is>
          <t>05-27</t>
        </is>
      </c>
      <c r="J1239" s="222" t="inlineStr"/>
    </row>
    <row r="1240">
      <c r="A1240" s="222" t="inlineStr">
        <is>
          <t>844</t>
        </is>
      </c>
      <c r="B1240" s="222" t="inlineStr">
        <is>
          <t>32978279</t>
        </is>
      </c>
      <c r="C1240" s="222" t="inlineStr">
        <is>
          <t>RH MLG---PNT---NO CALL BACK---- RH MLG LEG TIRE PRESSURE DECAL TORN.</t>
        </is>
      </c>
      <c r="D1240" s="222" t="inlineStr">
        <is>
          <t>1</t>
        </is>
      </c>
      <c r="E1240" s="222" t="n">
        <v>2</v>
      </c>
      <c r="F1240" s="222" t="n">
        <v>2</v>
      </c>
      <c r="G1240" s="222" t="n">
        <v>2</v>
      </c>
      <c r="H1240" s="222" t="inlineStr">
        <is>
          <t>Closed</t>
        </is>
      </c>
      <c r="I1240" s="222" t="inlineStr">
        <is>
          <t>05-25</t>
        </is>
      </c>
      <c r="J1240" s="222" t="inlineStr"/>
    </row>
    <row r="1241">
      <c r="A1241" s="222" t="inlineStr">
        <is>
          <t>848</t>
        </is>
      </c>
      <c r="B1241" s="222" t="inlineStr">
        <is>
          <t>32978291</t>
        </is>
      </c>
      <c r="C1241" s="222" t="inlineStr">
        <is>
          <t>RH MLG DOOR---PNT---NO CALL BACK--- RH MLG DOOR ACTUATOR SURFACE WITH PNT CHIP-OFF.</t>
        </is>
      </c>
      <c r="D1241" s="222" t="inlineStr">
        <is>
          <t>1</t>
        </is>
      </c>
      <c r="E1241" s="222" t="n">
        <v>3</v>
      </c>
      <c r="F1241" s="222" t="n">
        <v>3</v>
      </c>
      <c r="G1241" s="222" t="n">
        <v>1.5</v>
      </c>
      <c r="H1241" s="222" t="inlineStr">
        <is>
          <t>Closed</t>
        </is>
      </c>
      <c r="I1241" s="222" t="inlineStr">
        <is>
          <t>05-25</t>
        </is>
      </c>
      <c r="J1241" s="222" t="inlineStr"/>
    </row>
    <row r="1242">
      <c r="A1242" s="222" t="inlineStr">
        <is>
          <t>849</t>
        </is>
      </c>
      <c r="B1242" s="222" t="inlineStr">
        <is>
          <t>32978481</t>
        </is>
      </c>
      <c r="C1242" s="222" t="inlineStr">
        <is>
          <t>RH MLG---AP---CALL BACK---- RH MLG DOWN LOCK SPRING RUSTY.</t>
        </is>
      </c>
      <c r="D1242" s="222" t="inlineStr">
        <is>
          <t>1</t>
        </is>
      </c>
      <c r="E1242" s="222" t="n">
        <v>2</v>
      </c>
      <c r="F1242" s="222" t="n">
        <v>9.5</v>
      </c>
      <c r="G1242" s="222" t="n">
        <v>6.8</v>
      </c>
      <c r="H1242" s="222" t="inlineStr">
        <is>
          <t>Closed</t>
        </is>
      </c>
      <c r="I1242" s="222" t="inlineStr">
        <is>
          <t>32-30</t>
        </is>
      </c>
      <c r="J1242" s="222" t="inlineStr"/>
    </row>
    <row r="1243">
      <c r="A1243" s="222" t="inlineStr">
        <is>
          <t>850</t>
        </is>
      </c>
      <c r="B1243" s="222" t="inlineStr">
        <is>
          <t>32978506</t>
        </is>
      </c>
      <c r="C1243" s="222" t="inlineStr">
        <is>
          <t>LH MLG---AP---CALL BACK---- LH MLG DOWNLOCK SPRING RUSTY.</t>
        </is>
      </c>
      <c r="D1243" s="222" t="inlineStr">
        <is>
          <t>1</t>
        </is>
      </c>
      <c r="E1243" s="222" t="n">
        <v>2</v>
      </c>
      <c r="F1243" s="222" t="n">
        <v>1.2</v>
      </c>
      <c r="G1243" s="222" t="n">
        <v>1.1</v>
      </c>
      <c r="H1243" s="222" t="inlineStr">
        <is>
          <t>Closed</t>
        </is>
      </c>
      <c r="I1243" s="222" t="inlineStr">
        <is>
          <t>32-30</t>
        </is>
      </c>
      <c r="J1243" s="222" t="inlineStr"/>
    </row>
    <row r="1244">
      <c r="A1244" s="222" t="inlineStr">
        <is>
          <t>859</t>
        </is>
      </c>
      <c r="B1244" s="222" t="inlineStr">
        <is>
          <t>32978570</t>
        </is>
      </c>
      <c r="C1244" s="222" t="inlineStr">
        <is>
          <t>FWD CARGO DOOR---AP---CALL BACK---- FWD CARGO DOOR BOTH ACTUATOR SURFACE RUSTY</t>
        </is>
      </c>
      <c r="D1244" s="222" t="inlineStr">
        <is>
          <t>1</t>
        </is>
      </c>
      <c r="E1244" s="222" t="n">
        <v>4</v>
      </c>
      <c r="F1244" s="222" t="n">
        <v>16.2</v>
      </c>
      <c r="G1244" s="222" t="n">
        <v>4.2</v>
      </c>
      <c r="H1244" s="222" t="inlineStr">
        <is>
          <t>Closed</t>
        </is>
      </c>
      <c r="I1244" s="222" t="inlineStr">
        <is>
          <t>05-28</t>
        </is>
      </c>
      <c r="J1244" s="222" t="inlineStr"/>
    </row>
    <row r="1245">
      <c r="A1245" s="222" t="inlineStr">
        <is>
          <t>860</t>
        </is>
      </c>
      <c r="B1245" s="222" t="inlineStr">
        <is>
          <t>32978583</t>
        </is>
      </c>
      <c r="C1245" s="222" t="inlineStr">
        <is>
          <t>FWD CARGO DOOR----FS---NO CALL BACK--- FWD CARGO DOOR LINING DIRTY.</t>
        </is>
      </c>
      <c r="D1245" s="222" t="inlineStr">
        <is>
          <t>1</t>
        </is>
      </c>
      <c r="E1245" s="222" t="n">
        <v>8</v>
      </c>
      <c r="F1245" s="222" t="n">
        <v>8</v>
      </c>
      <c r="G1245" s="222" t="n">
        <v>3.5</v>
      </c>
      <c r="H1245" s="222" t="inlineStr">
        <is>
          <t>Closed</t>
        </is>
      </c>
      <c r="I1245" s="222" t="inlineStr">
        <is>
          <t>05-28</t>
        </is>
      </c>
      <c r="J1245" s="222" t="inlineStr"/>
    </row>
    <row r="1246">
      <c r="A1246" s="222" t="inlineStr">
        <is>
          <t>862</t>
        </is>
      </c>
      <c r="B1246" s="222" t="inlineStr">
        <is>
          <t>32978590</t>
        </is>
      </c>
      <c r="C1246" s="222" t="inlineStr">
        <is>
          <t>FWD CARGO DOOR---FS---NO CALL BACK---- FWD CARGO DOOR ALL LWR ATTACHEMENT ROLLER DIRTY.</t>
        </is>
      </c>
      <c r="D1246" s="222" t="inlineStr">
        <is>
          <t>1</t>
        </is>
      </c>
      <c r="E1246" s="222" t="n">
        <v>8</v>
      </c>
      <c r="F1246" s="222" t="n">
        <v>8</v>
      </c>
      <c r="G1246" s="222" t="n">
        <v>2</v>
      </c>
      <c r="H1246" s="222" t="inlineStr">
        <is>
          <t>Closed</t>
        </is>
      </c>
      <c r="I1246" s="222" t="inlineStr">
        <is>
          <t>05-28</t>
        </is>
      </c>
      <c r="J1246" s="222" t="inlineStr"/>
    </row>
    <row r="1247">
      <c r="A1247" s="222" t="inlineStr">
        <is>
          <t>870</t>
        </is>
      </c>
      <c r="B1247" s="222" t="inlineStr">
        <is>
          <t>32978648</t>
        </is>
      </c>
      <c r="C1247" s="222" t="inlineStr">
        <is>
          <t>BULK CARGO DOOR---FS---NO CALL BACK--- BULK CARGO DOOR AREA AND LINING DIRTY.</t>
        </is>
      </c>
      <c r="D1247" s="222" t="inlineStr">
        <is>
          <t>1</t>
        </is>
      </c>
      <c r="E1247" s="222" t="n">
        <v>6</v>
      </c>
      <c r="F1247" s="222" t="n">
        <v>6</v>
      </c>
      <c r="G1247" s="222" t="n">
        <v>6</v>
      </c>
      <c r="H1247" s="222" t="inlineStr">
        <is>
          <t>Closed</t>
        </is>
      </c>
      <c r="I1247" s="222" t="inlineStr">
        <is>
          <t>05-28</t>
        </is>
      </c>
      <c r="J1247" s="222" t="inlineStr"/>
    </row>
    <row r="1248">
      <c r="A1248" s="222" t="inlineStr">
        <is>
          <t>871</t>
        </is>
      </c>
      <c r="B1248" s="222" t="inlineStr">
        <is>
          <t>32978649</t>
        </is>
      </c>
      <c r="C1248" s="222" t="inlineStr">
        <is>
          <t>AFT CARGO DOOR---FS---NO CALL BACK--- AFT CARGO DOOR ALL ATTACHMENT FITTING ROLLER DIRTY.</t>
        </is>
      </c>
      <c r="D1248" s="222" t="inlineStr">
        <is>
          <t>1</t>
        </is>
      </c>
      <c r="E1248" s="222" t="n">
        <v>6.5</v>
      </c>
      <c r="F1248" s="222" t="n">
        <v>6.5</v>
      </c>
      <c r="G1248" s="222" t="n">
        <v>6.5</v>
      </c>
      <c r="H1248" s="222" t="inlineStr">
        <is>
          <t>Closed</t>
        </is>
      </c>
      <c r="I1248" s="222" t="inlineStr">
        <is>
          <t>05-28</t>
        </is>
      </c>
      <c r="J1248" s="222" t="inlineStr"/>
    </row>
    <row r="1249">
      <c r="A1249" s="222" t="inlineStr">
        <is>
          <t>872</t>
        </is>
      </c>
      <c r="B1249" s="222" t="inlineStr">
        <is>
          <t>32978650</t>
        </is>
      </c>
      <c r="C1249" s="222" t="inlineStr">
        <is>
          <t>AFT CARGO DOOR---FS---NO CALL BACK--- AFT CARGO DOOR LINING DIRTY</t>
        </is>
      </c>
      <c r="D1249" s="222" t="inlineStr">
        <is>
          <t>1</t>
        </is>
      </c>
      <c r="E1249" s="222" t="n">
        <v>8</v>
      </c>
      <c r="F1249" s="222" t="n">
        <v>12</v>
      </c>
      <c r="G1249" s="222" t="n">
        <v>6</v>
      </c>
      <c r="H1249" s="222" t="inlineStr">
        <is>
          <t>Closed</t>
        </is>
      </c>
      <c r="I1249" s="222" t="inlineStr">
        <is>
          <t>05-28</t>
        </is>
      </c>
      <c r="J1249" s="222" t="inlineStr"/>
    </row>
    <row r="1250">
      <c r="A1250" s="222" t="inlineStr">
        <is>
          <t>874</t>
        </is>
      </c>
      <c r="B1250" s="222" t="inlineStr">
        <is>
          <t>32978848</t>
        </is>
      </c>
      <c r="C1250" s="222" t="inlineStr">
        <is>
          <t>FINDING (NRC) TASKCARD 25-SVA-03 (01) / ITEM ONE ALL B/C SEAT STRUCTURE  DIRTY</t>
        </is>
      </c>
      <c r="D1250" s="222" t="inlineStr">
        <is>
          <t>1</t>
        </is>
      </c>
      <c r="E1250" s="222" t="n">
        <v>12</v>
      </c>
      <c r="F1250" s="222" t="n">
        <v>12</v>
      </c>
      <c r="G1250" s="222" t="n">
        <v>6</v>
      </c>
      <c r="H1250" s="222" t="inlineStr">
        <is>
          <t>Closed</t>
        </is>
      </c>
      <c r="I1250" s="222" t="inlineStr">
        <is>
          <t>25-21</t>
        </is>
      </c>
      <c r="J1250" s="222" t="inlineStr"/>
    </row>
    <row r="1251">
      <c r="A1251" s="222" t="inlineStr">
        <is>
          <t>875</t>
        </is>
      </c>
      <c r="B1251" s="222" t="inlineStr">
        <is>
          <t>32978869</t>
        </is>
      </c>
      <c r="C1251" s="222" t="inlineStr">
        <is>
          <t>FINDING (NRC) TASKCARD 25-SVA-03 (01) / ITEM ONE ALL B/C SEAT ARMCAP AISLE AND CTR DIRTY</t>
        </is>
      </c>
      <c r="D1251" s="222" t="inlineStr">
        <is>
          <t>1</t>
        </is>
      </c>
      <c r="E1251" s="222" t="n">
        <v>120</v>
      </c>
      <c r="F1251" s="222" t="n">
        <v>120.5</v>
      </c>
      <c r="G1251" s="222" t="n">
        <v>53.3</v>
      </c>
      <c r="H1251" s="222" t="inlineStr">
        <is>
          <t>Closed</t>
        </is>
      </c>
      <c r="I1251" s="222" t="inlineStr">
        <is>
          <t>25-21</t>
        </is>
      </c>
      <c r="J1251" s="222" t="inlineStr"/>
    </row>
    <row r="1252">
      <c r="A1252" s="222" t="inlineStr">
        <is>
          <t>877</t>
        </is>
      </c>
      <c r="B1252" s="222" t="inlineStr">
        <is>
          <t>32978900</t>
        </is>
      </c>
      <c r="C1252" s="222" t="inlineStr">
        <is>
          <t>FINDING (NRC) TASKCARD 25-SVA-03 (01) / ITEM ONE B/C SEAT# 1A,C,J , 2J,L , 3A,C,L 4C , 5C,J,L FOOD TRAY DOOR - SHROUD ASSEMBLY DAMAGED</t>
        </is>
      </c>
      <c r="D1252" s="222" t="inlineStr">
        <is>
          <t>1</t>
        </is>
      </c>
      <c r="E1252" s="222" t="n">
        <v>22</v>
      </c>
      <c r="F1252" s="222" t="n">
        <v>22</v>
      </c>
      <c r="G1252" s="222" t="n">
        <v>106.1</v>
      </c>
      <c r="H1252" s="222" t="inlineStr">
        <is>
          <t>Closed</t>
        </is>
      </c>
      <c r="I1252" s="222" t="inlineStr">
        <is>
          <t>25-21</t>
        </is>
      </c>
      <c r="J1252" s="222" t="inlineStr"/>
    </row>
    <row r="1253">
      <c r="A1253" s="222" t="inlineStr">
        <is>
          <t>878</t>
        </is>
      </c>
      <c r="B1253" s="222" t="inlineStr">
        <is>
          <t>32978919</t>
        </is>
      </c>
      <c r="C1253" s="222" t="inlineStr">
        <is>
          <t>FINDING (NRC) TASKCARD 25-SVA-03 (01) / ITEM ONE B/C SEATS OVERRIDE - MANUAL CABLE DAMAGED.  RECLINE CABLE AT SEAT # 4L LEGREST CABLE AT SEATS# 2J,3L,5A,J</t>
        </is>
      </c>
      <c r="D1253" s="222" t="inlineStr">
        <is>
          <t>1</t>
        </is>
      </c>
      <c r="E1253" s="222" t="n">
        <v>5</v>
      </c>
      <c r="F1253" s="222" t="n">
        <v>5</v>
      </c>
      <c r="G1253" s="222" t="n">
        <v>5</v>
      </c>
      <c r="H1253" s="222" t="inlineStr">
        <is>
          <t>Closed</t>
        </is>
      </c>
      <c r="I1253" s="222" t="inlineStr">
        <is>
          <t>25-21</t>
        </is>
      </c>
      <c r="J1253" s="222" t="inlineStr"/>
    </row>
    <row r="1254">
      <c r="A1254" s="222" t="inlineStr">
        <is>
          <t>879</t>
        </is>
      </c>
      <c r="B1254" s="222" t="inlineStr">
        <is>
          <t>32978925</t>
        </is>
      </c>
      <c r="C1254" s="222" t="inlineStr">
        <is>
          <t>FINDING (NRC) TASKCARD 25-SVA-03 (01) / ITEM ONE B/C SEAT# 1C , 2A , 4A ARMREST LOOSE</t>
        </is>
      </c>
      <c r="D1254" s="222" t="inlineStr">
        <is>
          <t>1</t>
        </is>
      </c>
      <c r="E1254" s="222" t="n">
        <v>3</v>
      </c>
      <c r="F1254" s="222" t="n">
        <v>3</v>
      </c>
      <c r="G1254" s="222" t="n">
        <v>1.5</v>
      </c>
      <c r="H1254" s="222" t="inlineStr">
        <is>
          <t>Closed</t>
        </is>
      </c>
      <c r="I1254" s="222" t="inlineStr">
        <is>
          <t>25-21</t>
        </is>
      </c>
      <c r="J1254" s="222" t="inlineStr"/>
    </row>
    <row r="1255">
      <c r="A1255" s="149" t="inlineStr">
        <is>
          <t>880</t>
        </is>
      </c>
      <c r="B1255" s="149" t="inlineStr">
        <is>
          <t>32978965</t>
        </is>
      </c>
      <c r="C1255" s="149" t="inlineStr">
        <is>
          <t>FINDING (NRC) TASKCARD 25-SVA-03 (01) / ITEM ONE B/C SEAT# 1J,2J,3J  RUBSTRIP - SHELL DAMAGED</t>
        </is>
      </c>
      <c r="D1255" s="149" t="inlineStr">
        <is>
          <t>1</t>
        </is>
      </c>
      <c r="E1255" s="149" t="n">
        <v>3</v>
      </c>
      <c r="F1255" s="149" t="n">
        <v>3</v>
      </c>
      <c r="G1255" s="149" t="n">
        <v>3</v>
      </c>
      <c r="H1255" s="149" t="inlineStr">
        <is>
          <t>Closed</t>
        </is>
      </c>
      <c r="I1255" s="149" t="inlineStr">
        <is>
          <t>25-21</t>
        </is>
      </c>
      <c r="J1255" s="149" t="inlineStr"/>
    </row>
    <row r="1256">
      <c r="A1256" s="149" t="inlineStr">
        <is>
          <t>881</t>
        </is>
      </c>
      <c r="B1256" s="149" t="inlineStr">
        <is>
          <t>32979121</t>
        </is>
      </c>
      <c r="C1256" s="149" t="inlineStr">
        <is>
          <t>FINDING (NRC) TASKCARD 25-SVA-03 (01) / ITEM ONE ALL B/C SEAT LANYARD AND PIN - DETENT  MISSING</t>
        </is>
      </c>
      <c r="D1256" s="149" t="inlineStr">
        <is>
          <t>1</t>
        </is>
      </c>
      <c r="E1256" s="149" t="n">
        <v>13</v>
      </c>
      <c r="F1256" s="149" t="n">
        <v>13</v>
      </c>
      <c r="G1256" s="149" t="n">
        <v>105.7</v>
      </c>
      <c r="H1256" s="149" t="inlineStr">
        <is>
          <t>Closed</t>
        </is>
      </c>
      <c r="I1256" s="149" t="inlineStr">
        <is>
          <t>25-21</t>
        </is>
      </c>
      <c r="J1256" s="149" t="inlineStr"/>
    </row>
    <row r="1257">
      <c r="A1257" s="149" t="inlineStr">
        <is>
          <t>882</t>
        </is>
      </c>
      <c r="B1257" s="149" t="inlineStr">
        <is>
          <t>32979157</t>
        </is>
      </c>
      <c r="C1257" s="149" t="inlineStr">
        <is>
          <t>FINDING (NRC) TASKCARD 25-SVA-03 (01) / ITEM ONE B/C SEAT# 1AC , 5AC SHROUD - CONSOLE, FRONT LOWER DAMAGED</t>
        </is>
      </c>
      <c r="D1257" s="149" t="inlineStr">
        <is>
          <t>1</t>
        </is>
      </c>
      <c r="E1257" s="149" t="n">
        <v>3</v>
      </c>
      <c r="F1257" s="149" t="n">
        <v>3</v>
      </c>
      <c r="G1257" s="149" t="n">
        <v>3</v>
      </c>
      <c r="H1257" s="149" t="inlineStr">
        <is>
          <t>Closed</t>
        </is>
      </c>
      <c r="I1257" s="149" t="inlineStr">
        <is>
          <t>25-21</t>
        </is>
      </c>
      <c r="J1257" s="149" t="inlineStr"/>
    </row>
    <row r="1258">
      <c r="A1258" s="149" t="inlineStr">
        <is>
          <t>883</t>
        </is>
      </c>
      <c r="B1258" s="149" t="inlineStr">
        <is>
          <t>32979156</t>
        </is>
      </c>
      <c r="C1258" s="149" t="inlineStr">
        <is>
          <t>FINDING (NRC) TASKCARD ZL-500-02-1-002 (05) RH WING  PNT--NO CALLBACK RH WING AROUND LANDING LIGHT BLACK PAINT MISSING.</t>
        </is>
      </c>
      <c r="D1258" s="149" t="inlineStr">
        <is>
          <t>1</t>
        </is>
      </c>
      <c r="E1258" s="149" t="n">
        <v>3</v>
      </c>
      <c r="F1258" s="149" t="n">
        <v>4</v>
      </c>
      <c r="G1258" s="149" t="n">
        <v>4.1</v>
      </c>
      <c r="H1258" s="149" t="inlineStr">
        <is>
          <t>Closed</t>
        </is>
      </c>
      <c r="I1258" s="149" t="inlineStr">
        <is>
          <t>05-25</t>
        </is>
      </c>
      <c r="J1258" s="149" t="inlineStr"/>
    </row>
    <row r="1259">
      <c r="A1259" s="149" t="inlineStr">
        <is>
          <t>884</t>
        </is>
      </c>
      <c r="B1259" s="149" t="inlineStr">
        <is>
          <t>32979222</t>
        </is>
      </c>
      <c r="C1259" s="149" t="inlineStr">
        <is>
          <t>FINDING (NRC) TASKCARD ZL-500-02-1-002 (05) RH WING  PNT-- NO CALLBACK RH  WING LWR SURFACE IN/B  UPPER MLG FIX DOOR WITH PAINT CRACKS</t>
        </is>
      </c>
      <c r="D1259" s="149" t="inlineStr">
        <is>
          <t>1</t>
        </is>
      </c>
      <c r="E1259" s="149" t="n">
        <v>5</v>
      </c>
      <c r="F1259" s="149" t="n">
        <v>5</v>
      </c>
      <c r="G1259" s="149" t="n">
        <v>2</v>
      </c>
      <c r="H1259" s="149" t="inlineStr">
        <is>
          <t>Closed</t>
        </is>
      </c>
      <c r="I1259" s="149" t="inlineStr">
        <is>
          <t>05-25</t>
        </is>
      </c>
      <c r="J1259" s="149" t="inlineStr"/>
    </row>
    <row r="1260">
      <c r="A1260" s="149" t="inlineStr">
        <is>
          <t>885</t>
        </is>
      </c>
      <c r="B1260" s="149" t="inlineStr">
        <is>
          <t>32979231</t>
        </is>
      </c>
      <c r="C1260" s="149" t="inlineStr">
        <is>
          <t>FINDING (NRC) TASKCARD 25-SVA-03 (01) / ITEM ONE B/C SEAT# 1C , 3J RUBSTRIP - FRONT DAMAGED</t>
        </is>
      </c>
      <c r="D1260" s="149" t="inlineStr">
        <is>
          <t>1</t>
        </is>
      </c>
      <c r="E1260" s="149" t="n">
        <v>2</v>
      </c>
      <c r="F1260" s="149" t="n">
        <v>2</v>
      </c>
      <c r="G1260" s="149" t="n">
        <v>2</v>
      </c>
      <c r="H1260" s="149" t="inlineStr">
        <is>
          <t>Closed</t>
        </is>
      </c>
      <c r="I1260" s="149" t="inlineStr">
        <is>
          <t>25-21</t>
        </is>
      </c>
      <c r="J1260" s="149" t="inlineStr"/>
    </row>
    <row r="1261">
      <c r="A1261" s="149" t="inlineStr">
        <is>
          <t>895</t>
        </is>
      </c>
      <c r="B1261" s="149" t="inlineStr">
        <is>
          <t>32979731</t>
        </is>
      </c>
      <c r="C1261" s="149" t="inlineStr">
        <is>
          <t>FWD AVIO COMP DOOR---AVIO---CALLBACK REQ CLEANING OF THE FWD AVIONIC COMPT AND DOOR (811) TO FACILITATE INSPECTION.</t>
        </is>
      </c>
      <c r="D1261" s="149" t="inlineStr">
        <is>
          <t>1</t>
        </is>
      </c>
      <c r="E1261" s="149" t="n">
        <v>4</v>
      </c>
      <c r="F1261" s="149" t="n">
        <v>5.5</v>
      </c>
      <c r="G1261" s="149" t="n">
        <v>2.9</v>
      </c>
      <c r="H1261" s="149" t="inlineStr">
        <is>
          <t>Closed</t>
        </is>
      </c>
      <c r="I1261" s="149" t="inlineStr">
        <is>
          <t>05-28</t>
        </is>
      </c>
      <c r="J1261" s="149" t="inlineStr"/>
    </row>
    <row r="1262">
      <c r="A1262" s="149" t="inlineStr">
        <is>
          <t>896</t>
        </is>
      </c>
      <c r="B1262" s="149" t="inlineStr">
        <is>
          <t>32979723</t>
        </is>
      </c>
      <c r="C1262" s="149" t="inlineStr">
        <is>
          <t>APU BLEED DUCT CONNECTION--AP--CALLBACK LEAK FOUND ON MISALIGNED FWD CLAMP OF VALVE ASSY-PRESSURE REGULATION</t>
        </is>
      </c>
      <c r="D1262" s="149" t="inlineStr">
        <is>
          <t>1</t>
        </is>
      </c>
      <c r="E1262" s="149" t="n">
        <v>4</v>
      </c>
      <c r="F1262" s="149" t="n">
        <v>13</v>
      </c>
      <c r="G1262" s="149" t="n">
        <v>8</v>
      </c>
      <c r="H1262" s="149" t="inlineStr">
        <is>
          <t>Closed</t>
        </is>
      </c>
      <c r="I1262" s="149" t="inlineStr">
        <is>
          <t>36-12</t>
        </is>
      </c>
      <c r="J1262" s="149" t="inlineStr"/>
    </row>
    <row r="1263">
      <c r="A1263" s="149" t="inlineStr">
        <is>
          <t>897</t>
        </is>
      </c>
      <c r="B1263" s="149" t="inlineStr">
        <is>
          <t>32979981</t>
        </is>
      </c>
      <c r="C1263" s="149" t="inlineStr">
        <is>
          <t>FINDING (NRC) TASKCARD 25-SVA-05 (01) / ITEM ONE ALL G/C SEAT MAGAZINE SPRING LOOSE</t>
        </is>
      </c>
      <c r="D1263" s="149" t="inlineStr">
        <is>
          <t>1</t>
        </is>
      </c>
      <c r="E1263" s="149" t="n">
        <v>24</v>
      </c>
      <c r="F1263" s="149" t="n">
        <v>24</v>
      </c>
      <c r="G1263" s="149" t="n">
        <v>128.6</v>
      </c>
      <c r="H1263" s="149" t="inlineStr">
        <is>
          <t>Closed</t>
        </is>
      </c>
      <c r="I1263" s="149" t="inlineStr">
        <is>
          <t>25-21</t>
        </is>
      </c>
      <c r="J1263" s="149" t="inlineStr"/>
    </row>
    <row r="1264">
      <c r="A1264" s="149" t="inlineStr">
        <is>
          <t>898</t>
        </is>
      </c>
      <c r="B1264" s="149" t="inlineStr">
        <is>
          <t>32980018</t>
        </is>
      </c>
      <c r="C1264" s="149" t="inlineStr">
        <is>
          <t>FINDING (NRC) TASKCARD 25-SVA-05 (01) / ITEM ONE ALL G/C SEAT STRUCTURE DIRTY</t>
        </is>
      </c>
      <c r="D1264" s="149" t="inlineStr">
        <is>
          <t>1</t>
        </is>
      </c>
      <c r="E1264" s="149" t="n">
        <v>24</v>
      </c>
      <c r="F1264" s="149" t="n">
        <v>24</v>
      </c>
      <c r="G1264" s="149" t="n">
        <v>8</v>
      </c>
      <c r="H1264" s="149" t="inlineStr">
        <is>
          <t>Closed</t>
        </is>
      </c>
      <c r="I1264" s="149" t="inlineStr">
        <is>
          <t>25-21</t>
        </is>
      </c>
      <c r="J1264" s="149" t="inlineStr"/>
    </row>
    <row r="1265">
      <c r="A1265" s="149" t="inlineStr">
        <is>
          <t>899</t>
        </is>
      </c>
      <c r="B1265" s="149" t="inlineStr">
        <is>
          <t>32980020</t>
        </is>
      </c>
      <c r="C1265" s="149" t="inlineStr">
        <is>
          <t>FINDING (NRC) TASKCARD 25-SVA-05 (01) / ITEM ONE ALL G/C SEAT ARMREST LOOSE</t>
        </is>
      </c>
      <c r="D1265" s="149" t="inlineStr">
        <is>
          <t>1</t>
        </is>
      </c>
      <c r="E1265" s="149" t="n">
        <v>47</v>
      </c>
      <c r="F1265" s="149" t="n">
        <v>47</v>
      </c>
      <c r="G1265" s="149" t="n">
        <v>56.1</v>
      </c>
      <c r="H1265" s="149" t="inlineStr">
        <is>
          <t>Closed</t>
        </is>
      </c>
      <c r="I1265" s="149" t="inlineStr">
        <is>
          <t>25-21</t>
        </is>
      </c>
    </row>
    <row r="1266">
      <c r="A1266" s="149" t="inlineStr">
        <is>
          <t>921</t>
        </is>
      </c>
      <c r="B1266" s="149" t="inlineStr">
        <is>
          <t>30205720</t>
        </is>
      </c>
      <c r="C1266" s="149" t="inlineStr">
        <is>
          <t>S32-R10322/A320 - LANDING GEAR - NLG MAIN AND AFT DOOR INSPECTION</t>
        </is>
      </c>
      <c r="D1266" s="149" t="inlineStr">
        <is>
          <t>ACHK</t>
        </is>
      </c>
      <c r="E1266" s="149" t="n">
        <v>1.5</v>
      </c>
      <c r="F1266" s="149" t="n">
        <v>1.7</v>
      </c>
      <c r="G1266" s="149" t="n">
        <v>1</v>
      </c>
      <c r="H1266" s="149" t="inlineStr">
        <is>
          <t>Closed</t>
        </is>
      </c>
      <c r="I1266" s="149" t="inlineStr">
        <is>
          <t>32</t>
        </is>
      </c>
      <c r="J1266" t="inlineStr">
        <is>
          <t>INSPECTION</t>
        </is>
      </c>
    </row>
    <row r="1267">
      <c r="A1267" s="149" t="inlineStr">
        <is>
          <t>925</t>
        </is>
      </c>
      <c r="B1267" s="149" t="inlineStr">
        <is>
          <t>32930830</t>
        </is>
      </c>
      <c r="C1267" s="149" t="inlineStr">
        <is>
          <t>S38-D10019/A320/21 - VERIFICATION OF WATER-HEATER; LAVATORY</t>
        </is>
      </c>
      <c r="D1267" s="149" t="inlineStr">
        <is>
          <t>RON</t>
        </is>
      </c>
      <c r="E1267" s="149" t="n">
        <v>2</v>
      </c>
      <c r="F1267" s="149" t="n">
        <v>4</v>
      </c>
      <c r="G1267" s="149" t="n">
        <v>4.4</v>
      </c>
      <c r="H1267" s="149" t="inlineStr">
        <is>
          <t>Closed</t>
        </is>
      </c>
      <c r="I1267" s="149" t="inlineStr">
        <is>
          <t>38</t>
        </is>
      </c>
    </row>
    <row r="1268">
      <c r="A1268" s="149" t="inlineStr">
        <is>
          <t>927</t>
        </is>
      </c>
      <c r="B1268" s="149" t="inlineStr">
        <is>
          <t>32980031</t>
        </is>
      </c>
      <c r="C1268" s="149" t="inlineStr">
        <is>
          <t>FINDING (NRC) TASKCARD 25-SVA-05 (01) / ITEM ONE G/C SEATS #30C LINER CRACKED</t>
        </is>
      </c>
      <c r="D1268" s="149" t="inlineStr">
        <is>
          <t>1</t>
        </is>
      </c>
      <c r="E1268" s="149" t="n">
        <v>1</v>
      </c>
      <c r="F1268" s="149" t="n">
        <v>1</v>
      </c>
      <c r="G1268" s="149" t="n">
        <v>1</v>
      </c>
      <c r="H1268" s="149" t="inlineStr">
        <is>
          <t>Closed</t>
        </is>
      </c>
      <c r="I1268" s="149" t="inlineStr">
        <is>
          <t>25-21</t>
        </is>
      </c>
    </row>
    <row r="1269">
      <c r="A1269" s="149" t="inlineStr">
        <is>
          <t>933</t>
        </is>
      </c>
      <c r="B1269" s="149" t="inlineStr">
        <is>
          <t>32980070</t>
        </is>
      </c>
      <c r="C1269" s="149" t="inlineStr">
        <is>
          <t>FINDING (NRC) TASKCARD 25-SVA-05 (01) / ITEM ONE G/C SEATS#30A,B,C,J,K,L  FOOD TRAY DIRTEY</t>
        </is>
      </c>
      <c r="D1269" s="149" t="inlineStr">
        <is>
          <t>1</t>
        </is>
      </c>
      <c r="E1269" s="149" t="n">
        <v>6.5</v>
      </c>
      <c r="F1269" s="149" t="n">
        <v>6.5</v>
      </c>
      <c r="G1269" s="149" t="n">
        <v>59.3</v>
      </c>
      <c r="H1269" s="149" t="inlineStr">
        <is>
          <t>Closed</t>
        </is>
      </c>
      <c r="I1269" s="149" t="inlineStr">
        <is>
          <t>25-21</t>
        </is>
      </c>
    </row>
    <row r="1270">
      <c r="A1270" s="149" t="inlineStr">
        <is>
          <t>940</t>
        </is>
      </c>
      <c r="B1270" s="149" t="inlineStr">
        <is>
          <t>32980087</t>
        </is>
      </c>
      <c r="C1270" s="149" t="inlineStr">
        <is>
          <t>FINDING (NRC) TASKCARD 25-SVA-05 (01) / ITEM ONE G/C SEATS# 33J, 34C,J ,37C, 38C, 40C, 41J AISLE BUMBER DAMAGE</t>
        </is>
      </c>
      <c r="D1270" s="149" t="inlineStr">
        <is>
          <t>1</t>
        </is>
      </c>
      <c r="E1270" s="149" t="n">
        <v>3.5</v>
      </c>
      <c r="F1270" s="149" t="n">
        <v>3</v>
      </c>
      <c r="G1270" s="149" t="n">
        <v>1.5</v>
      </c>
      <c r="H1270" s="149" t="inlineStr">
        <is>
          <t>Closed</t>
        </is>
      </c>
      <c r="I1270" s="149" t="inlineStr">
        <is>
          <t>25-21</t>
        </is>
      </c>
    </row>
    <row r="1271">
      <c r="A1271" s="149" t="inlineStr">
        <is>
          <t>942</t>
        </is>
      </c>
      <c r="B1271" s="149" t="inlineStr">
        <is>
          <t>32980133</t>
        </is>
      </c>
      <c r="C1271" s="149" t="inlineStr">
        <is>
          <t>FINDING (NRC) TASKCARD 25-SVA-05 (01) / ITEM ONE ALL G/C SEATS BACKREST LOOSE</t>
        </is>
      </c>
      <c r="D1271" s="149" t="inlineStr">
        <is>
          <t>1</t>
        </is>
      </c>
      <c r="E1271" s="149" t="n">
        <v>29</v>
      </c>
      <c r="F1271" s="149" t="n">
        <v>29</v>
      </c>
      <c r="G1271" s="149" t="n">
        <v>128.6</v>
      </c>
      <c r="H1271" s="149" t="inlineStr">
        <is>
          <t>Closed</t>
        </is>
      </c>
      <c r="I1271" s="149" t="inlineStr">
        <is>
          <t>25-21</t>
        </is>
      </c>
    </row>
    <row r="1272">
      <c r="A1272" s="149" t="inlineStr">
        <is>
          <t>946</t>
        </is>
      </c>
      <c r="B1272" s="149" t="inlineStr">
        <is>
          <t>32980135</t>
        </is>
      </c>
      <c r="C1272" s="149" t="inlineStr">
        <is>
          <t>FINDING (NRC) TASKCARD 25-SVA-05 (01) / ITEM ONE G/C SEAT#30L ARM MONITOR LOOSE</t>
        </is>
      </c>
      <c r="D1272" s="149" t="inlineStr">
        <is>
          <t>1</t>
        </is>
      </c>
      <c r="E1272" s="149" t="n">
        <v>2</v>
      </c>
      <c r="F1272" s="149" t="n">
        <v>2</v>
      </c>
      <c r="G1272" s="149" t="n">
        <v>2</v>
      </c>
      <c r="H1272" s="149" t="inlineStr">
        <is>
          <t>Closed</t>
        </is>
      </c>
      <c r="I1272" s="149" t="inlineStr">
        <is>
          <t>25-21</t>
        </is>
      </c>
    </row>
    <row r="1273">
      <c r="A1273" s="149" t="inlineStr">
        <is>
          <t>952</t>
        </is>
      </c>
      <c r="B1273" s="149" t="inlineStr">
        <is>
          <t>32980177</t>
        </is>
      </c>
      <c r="C1273" s="149" t="inlineStr">
        <is>
          <t>FINDING (NRC) TASKCARD ZL-500-02-1-001 (05) LH WING   PNT--NO CALLBACK LH WING IN/B FLAP AFT MID WITH PAINT PEELED OFF.</t>
        </is>
      </c>
      <c r="D1273" s="149" t="inlineStr">
        <is>
          <t>1</t>
        </is>
      </c>
      <c r="E1273" s="149" t="n">
        <v>4</v>
      </c>
      <c r="F1273" s="149" t="n">
        <v>5</v>
      </c>
      <c r="G1273" s="149" t="n">
        <v>2</v>
      </c>
      <c r="H1273" s="149" t="inlineStr">
        <is>
          <t>Closed</t>
        </is>
      </c>
      <c r="I1273" s="149" t="inlineStr">
        <is>
          <t>05-25</t>
        </is>
      </c>
    </row>
    <row r="1274">
      <c r="A1274" s="149" t="inlineStr">
        <is>
          <t>958</t>
        </is>
      </c>
      <c r="B1274" s="149" t="inlineStr">
        <is>
          <t>32981716</t>
        </is>
      </c>
      <c r="C1274" s="149" t="inlineStr">
        <is>
          <t>FINDING (NRC) TASKCARD 25-SVA-03 (01) / ITEM ONE B/C SEAT#2L, 4L, COVER - ARM SHROUD MISSING.</t>
        </is>
      </c>
      <c r="D1274" s="149" t="inlineStr">
        <is>
          <t>1</t>
        </is>
      </c>
      <c r="E1274" s="149" t="n">
        <v>2</v>
      </c>
      <c r="F1274" s="149" t="n">
        <v>2</v>
      </c>
      <c r="G1274" s="149" t="n">
        <v>2</v>
      </c>
      <c r="H1274" s="149" t="inlineStr">
        <is>
          <t>Closed</t>
        </is>
      </c>
      <c r="I1274" s="149" t="inlineStr">
        <is>
          <t>25-21</t>
        </is>
      </c>
    </row>
    <row r="1275">
      <c r="A1275" s="149" t="inlineStr">
        <is>
          <t>959</t>
        </is>
      </c>
      <c r="B1275" s="149" t="inlineStr">
        <is>
          <t>32981721</t>
        </is>
      </c>
      <c r="C1275" s="149" t="inlineStr">
        <is>
          <t>FINDING (NRC) TASKCARD 25-SVA-03 (01) / ITEM ONE B/C SEAT#1L, 2A,C, 3L, 4L, 5A, SEAT CLOSEOUT ASSEMBLY DAMAGED.</t>
        </is>
      </c>
      <c r="D1275" s="149" t="inlineStr">
        <is>
          <t>1</t>
        </is>
      </c>
      <c r="E1275" s="149" t="n">
        <v>6</v>
      </c>
      <c r="F1275" s="149" t="n">
        <v>6</v>
      </c>
      <c r="G1275" s="149" t="n">
        <v>6</v>
      </c>
      <c r="H1275" s="149" t="inlineStr">
        <is>
          <t>Closed</t>
        </is>
      </c>
      <c r="I1275" s="149" t="inlineStr">
        <is>
          <t>25-21</t>
        </is>
      </c>
    </row>
    <row r="1276">
      <c r="A1276" s="149" t="inlineStr">
        <is>
          <t>961</t>
        </is>
      </c>
      <c r="B1276" s="149" t="inlineStr">
        <is>
          <t>32981754</t>
        </is>
      </c>
      <c r="C1276" s="149" t="inlineStr">
        <is>
          <t>FINDING (NRC) TASKCARD 25-SVA-03 (01) / ITEM ONE B/C SEAT# 1L, 3L, 4A, 5A,C LIFE VEST DOOR, DUAL PAWL ASSEMBLY - NON LOCKABLE DAMAGED.</t>
        </is>
      </c>
      <c r="D1276" s="149" t="inlineStr">
        <is>
          <t>1</t>
        </is>
      </c>
      <c r="E1276" s="149" t="n">
        <v>5</v>
      </c>
      <c r="F1276" s="149" t="n">
        <v>5</v>
      </c>
      <c r="G1276" s="149" t="n">
        <v>3</v>
      </c>
      <c r="H1276" s="149" t="inlineStr">
        <is>
          <t>Closed</t>
        </is>
      </c>
      <c r="I1276" s="149" t="inlineStr">
        <is>
          <t>25-21</t>
        </is>
      </c>
    </row>
    <row r="1277">
      <c r="A1277" s="149" t="inlineStr">
        <is>
          <t>962</t>
        </is>
      </c>
      <c r="B1277" s="149" t="inlineStr">
        <is>
          <t>32981772</t>
        </is>
      </c>
      <c r="C1277" s="149" t="inlineStr">
        <is>
          <t>FINDING (NRC) TASKCARD 25-SVA-03 (01) / ITEM ONE B/C SEAT#2A, 4J  PANEL ASSEMBLY - ACCESS DAMAGED.</t>
        </is>
      </c>
      <c r="D1277" s="149" t="inlineStr">
        <is>
          <t>1</t>
        </is>
      </c>
      <c r="E1277" s="149" t="n">
        <v>2</v>
      </c>
      <c r="F1277" s="149" t="n">
        <v>2</v>
      </c>
      <c r="G1277" s="149" t="n">
        <v>44.3</v>
      </c>
      <c r="H1277" s="149" t="inlineStr">
        <is>
          <t>Closed</t>
        </is>
      </c>
      <c r="I1277" s="149" t="inlineStr">
        <is>
          <t>25-21</t>
        </is>
      </c>
    </row>
    <row r="1278">
      <c r="A1278" s="149" t="inlineStr">
        <is>
          <t>963</t>
        </is>
      </c>
      <c r="B1278" s="149" t="inlineStr">
        <is>
          <t>32981774</t>
        </is>
      </c>
      <c r="C1278" s="149" t="inlineStr">
        <is>
          <t>FINDING (NRC) TASKCARD 25-SVA-03 (01) / ITEM ONE B/C SEAT#3JL COCKTAIL TABLE ASSEMBLY  WITH SCRATCH.</t>
        </is>
      </c>
      <c r="D1278" s="149" t="inlineStr">
        <is>
          <t>1</t>
        </is>
      </c>
      <c r="E1278" s="149" t="n">
        <v>2</v>
      </c>
      <c r="F1278" s="149" t="n">
        <v>2</v>
      </c>
      <c r="G1278" s="149" t="n">
        <v>2</v>
      </c>
      <c r="H1278" s="149" t="inlineStr">
        <is>
          <t>Closed</t>
        </is>
      </c>
      <c r="I1278" s="149" t="inlineStr">
        <is>
          <t>25-21</t>
        </is>
      </c>
    </row>
    <row r="1279">
      <c r="A1279" s="149" t="inlineStr">
        <is>
          <t>965</t>
        </is>
      </c>
      <c r="B1279" s="149" t="inlineStr">
        <is>
          <t>32982133</t>
        </is>
      </c>
      <c r="C1279" s="149" t="inlineStr">
        <is>
          <t>CAB RII  - OXYGEN MASK F/O OXYGEN MASK VALVE DISK MISSING</t>
        </is>
      </c>
      <c r="D1279" s="149" t="inlineStr">
        <is>
          <t>1</t>
        </is>
      </c>
      <c r="E1279" s="149" t="n"/>
      <c r="F1279" s="149" t="n">
        <v>4.5</v>
      </c>
      <c r="G1279" s="149" t="n">
        <v>2.4</v>
      </c>
      <c r="H1279" s="149" t="inlineStr">
        <is>
          <t>Closed</t>
        </is>
      </c>
      <c r="I1279" s="149" t="inlineStr">
        <is>
          <t>35-12</t>
        </is>
      </c>
    </row>
    <row r="1280">
      <c r="A1280" s="149" t="inlineStr">
        <is>
          <t>967</t>
        </is>
      </c>
      <c r="B1280" s="149" t="inlineStr">
        <is>
          <t>32982191</t>
        </is>
      </c>
      <c r="C1280" s="149" t="inlineStr">
        <is>
          <t>S/M L2 STOWAGE LOWER DIVIDER PACKER WITH 4 EACH FROZEN SCREWS</t>
        </is>
      </c>
      <c r="D1280" s="149" t="inlineStr">
        <is>
          <t>1</t>
        </is>
      </c>
      <c r="E1280" s="149" t="n"/>
      <c r="F1280" s="149" t="n">
        <v>6</v>
      </c>
      <c r="G1280" s="149" t="n">
        <v>2.2</v>
      </c>
      <c r="H1280" s="149" t="inlineStr">
        <is>
          <t>Closed</t>
        </is>
      </c>
      <c r="I1280" s="149" t="inlineStr">
        <is>
          <t>25-30</t>
        </is>
      </c>
    </row>
    <row r="1281">
      <c r="A1281" s="149" t="inlineStr">
        <is>
          <t>975</t>
        </is>
      </c>
      <c r="B1281" s="149" t="inlineStr">
        <is>
          <t>32982253</t>
        </is>
      </c>
      <c r="C1281" s="149" t="inlineStr">
        <is>
          <t>L/H WING MULTABLE PANELS FROZEN SCREWS ----SM-----NO CALL LEFT HAND WING PANELS     -(522KB, 522QB AND 522UB)     -(575LB AND 575KB)     -(522AT UPPER SURFACE)  HAVE MULTIPLE FROZEN AND ROUNDED SCREWS (MARKED WITH TAPE) REQ S/M ACTION</t>
        </is>
      </c>
      <c r="D1281" s="149" t="inlineStr">
        <is>
          <t>1</t>
        </is>
      </c>
      <c r="E1281" s="149" t="n"/>
      <c r="F1281" s="149" t="n">
        <v>66.5</v>
      </c>
      <c r="G1281" s="149" t="n">
        <v>18.9</v>
      </c>
      <c r="H1281" s="149" t="inlineStr">
        <is>
          <t>Closed</t>
        </is>
      </c>
      <c r="I1281" s="149" t="inlineStr">
        <is>
          <t>27-84</t>
        </is>
      </c>
      <c r="J1281" s="226" t="inlineStr"/>
    </row>
    <row r="1282">
      <c r="A1282" s="226" t="inlineStr">
        <is>
          <t>976</t>
        </is>
      </c>
      <c r="B1282" s="226" t="inlineStr">
        <is>
          <t>32982260</t>
        </is>
      </c>
      <c r="C1282" s="226" t="inlineStr">
        <is>
          <t>R/H WING MULTABLE PANELS FROZEN SCREWS ----SM-----NO CALL RIGHT HAND WING PANELS     -(621AB)      -(622CB, 622HB AND 622JB)  HAVE MULTIPLE FROZEN SCREWS (MARKED WITH TAPE) REQ S/M ACTION</t>
        </is>
      </c>
      <c r="D1282" s="226" t="inlineStr">
        <is>
          <t>1</t>
        </is>
      </c>
      <c r="E1282" s="226" t="n"/>
      <c r="F1282" s="226" t="n">
        <v>68</v>
      </c>
      <c r="G1282" s="226" t="n">
        <v>19.5</v>
      </c>
      <c r="H1282" s="226" t="inlineStr">
        <is>
          <t>Closed</t>
        </is>
      </c>
      <c r="I1282" s="226" t="inlineStr">
        <is>
          <t>27-84</t>
        </is>
      </c>
      <c r="J1282" s="226" t="inlineStr"/>
    </row>
    <row r="1283">
      <c r="A1283" s="226" t="inlineStr">
        <is>
          <t>977</t>
        </is>
      </c>
      <c r="B1283" s="226" t="inlineStr">
        <is>
          <t>32982263</t>
        </is>
      </c>
      <c r="C1283" s="226" t="inlineStr">
        <is>
          <t>BELLY FAIRING PANELS FROZEN SCREWS ----SM-----NO CALLBACK BELLY FAIRING PANELS     -(192AB 1EA SCREW)     -(192LB 1 EA SCREW)     -( FWD PANEL STRIP 1 EA SCREW)  HAVE MULTIPLE FROZEN SCREWS (MARKED WITH TAPE) REQ S/M ACTION</t>
        </is>
      </c>
      <c r="D1283" s="226" t="inlineStr">
        <is>
          <t>1</t>
        </is>
      </c>
      <c r="E1283" s="226" t="n"/>
      <c r="F1283" s="226" t="n">
        <v>15.9</v>
      </c>
      <c r="G1283" s="226" t="n">
        <v>9.300000000000001</v>
      </c>
      <c r="H1283" s="226" t="inlineStr">
        <is>
          <t>Closed</t>
        </is>
      </c>
      <c r="I1283" s="226" t="inlineStr">
        <is>
          <t>53-41</t>
        </is>
      </c>
      <c r="J1283" s="226" t="inlineStr"/>
    </row>
    <row r="1284">
      <c r="A1284" s="226" t="inlineStr">
        <is>
          <t>980</t>
        </is>
      </c>
      <c r="B1284" s="226" t="inlineStr">
        <is>
          <t>32983866</t>
        </is>
      </c>
      <c r="C1284" s="226" t="inlineStr">
        <is>
          <t>PRE--MLG W/W---NOCALLBACK---FS MLG WHEELWELL KEEL BEAM AREA FOUND EXCESSIVE DIRTY WITH ACCUMULATED WATER.</t>
        </is>
      </c>
      <c r="D1284" s="226" t="inlineStr">
        <is>
          <t>1</t>
        </is>
      </c>
      <c r="E1284" s="226" t="n">
        <v>8</v>
      </c>
      <c r="F1284" s="226" t="n">
        <v>8</v>
      </c>
      <c r="G1284" s="226" t="n">
        <v>4</v>
      </c>
      <c r="H1284" s="226" t="inlineStr">
        <is>
          <t>Closed</t>
        </is>
      </c>
      <c r="I1284" s="226" t="inlineStr">
        <is>
          <t>05-21</t>
        </is>
      </c>
      <c r="J1284" s="226" t="inlineStr"/>
    </row>
    <row r="1285">
      <c r="A1285" s="226" t="inlineStr">
        <is>
          <t>982</t>
        </is>
      </c>
      <c r="B1285" s="226" t="inlineStr">
        <is>
          <t>32983882</t>
        </is>
      </c>
      <c r="C1285" s="226" t="inlineStr">
        <is>
          <t>PRE--MLG W/W---NOCALLBACK---PNT L/H AND R/H WHEEL WELL MULTIPLE RIVET HEADS FOUND WITH MISSING PAINT APPLICATION.</t>
        </is>
      </c>
      <c r="D1285" s="226" t="inlineStr">
        <is>
          <t>1</t>
        </is>
      </c>
      <c r="E1285" s="226" t="n">
        <v>4</v>
      </c>
      <c r="F1285" s="226" t="n">
        <v>5.5</v>
      </c>
      <c r="G1285" s="226" t="n">
        <v>2.5</v>
      </c>
      <c r="H1285" s="226" t="inlineStr">
        <is>
          <t>Closed</t>
        </is>
      </c>
      <c r="I1285" s="226" t="inlineStr">
        <is>
          <t>05-21</t>
        </is>
      </c>
      <c r="J1285" s="226" t="inlineStr"/>
    </row>
    <row r="1286">
      <c r="A1286" s="226" t="inlineStr">
        <is>
          <t>983</t>
        </is>
      </c>
      <c r="B1286" s="226" t="inlineStr">
        <is>
          <t>32983893</t>
        </is>
      </c>
      <c r="C1286" s="226" t="inlineStr">
        <is>
          <t>PRE---HYD COMPT---NOCALLBACK---PNT R/H HYD COMPT PANEL 196 BB OUTER AND INNER AREA DECALS FOUND MISSIN, TORN AND WORNOUT.</t>
        </is>
      </c>
      <c r="D1286" s="226" t="inlineStr">
        <is>
          <t>1</t>
        </is>
      </c>
      <c r="E1286" s="226" t="n">
        <v>3</v>
      </c>
      <c r="F1286" s="226" t="n">
        <v>3.5</v>
      </c>
      <c r="G1286" s="226" t="n">
        <v>3.5</v>
      </c>
      <c r="H1286" s="226" t="inlineStr">
        <is>
          <t>Closed</t>
        </is>
      </c>
      <c r="I1286" s="226" t="inlineStr">
        <is>
          <t>05-21</t>
        </is>
      </c>
      <c r="J1286" s="226" t="inlineStr"/>
    </row>
    <row r="1287">
      <c r="A1287" s="226" t="inlineStr">
        <is>
          <t>990</t>
        </is>
      </c>
      <c r="B1287" s="226" t="inlineStr">
        <is>
          <t>32983950</t>
        </is>
      </c>
      <c r="C1287" s="226" t="inlineStr">
        <is>
          <t>PRE---HYD COMPT---NOCALLBACK---PNT LOWER FUSELAGE ACCESS THROUGH L/H AND R/H HYD COMPT PANELS 195 BB AND 196 BB INNER AREA EDGE AND CORNER FITTING FOUND WITH MISSING PAINT APPLICATION.</t>
        </is>
      </c>
      <c r="D1287" s="226" t="inlineStr">
        <is>
          <t>1</t>
        </is>
      </c>
      <c r="E1287" s="226" t="n">
        <v>4</v>
      </c>
      <c r="F1287" s="226" t="n">
        <v>4</v>
      </c>
      <c r="G1287" s="226" t="n">
        <v>2</v>
      </c>
      <c r="H1287" s="226" t="inlineStr">
        <is>
          <t>Closed</t>
        </is>
      </c>
      <c r="I1287" s="226" t="inlineStr">
        <is>
          <t>05-21</t>
        </is>
      </c>
      <c r="J1287" s="226" t="inlineStr"/>
    </row>
    <row r="1288">
      <c r="A1288" s="226" t="inlineStr">
        <is>
          <t>995</t>
        </is>
      </c>
      <c r="B1288" s="226" t="inlineStr">
        <is>
          <t>32984158</t>
        </is>
      </c>
      <c r="C1288" s="226" t="inlineStr">
        <is>
          <t>PAINT---CALLBACK---LH ENG LH ENG FAN COWL RED LATCHES PAINT PEELED</t>
        </is>
      </c>
      <c r="D1288" s="226" t="inlineStr">
        <is>
          <t>1</t>
        </is>
      </c>
      <c r="E1288" s="226" t="n">
        <v>3</v>
      </c>
      <c r="F1288" s="226" t="n">
        <v>4.5</v>
      </c>
      <c r="G1288" s="226" t="n">
        <v>134.7</v>
      </c>
      <c r="H1288" s="226" t="inlineStr">
        <is>
          <t>Closed</t>
        </is>
      </c>
      <c r="I1288" s="226" t="inlineStr">
        <is>
          <t>71-13</t>
        </is>
      </c>
      <c r="J1288" s="226" t="inlineStr"/>
    </row>
    <row r="1289">
      <c r="A1289" s="226" t="inlineStr">
        <is>
          <t>998</t>
        </is>
      </c>
      <c r="B1289" s="226" t="inlineStr">
        <is>
          <t>32984375</t>
        </is>
      </c>
      <c r="C1289" s="226" t="inlineStr">
        <is>
          <t>FLAP TRACK AND FAIRINGS---PNT---NO CALLBACK CHIPPED PAINT ON 533 AB, 532 AB PANEL</t>
        </is>
      </c>
      <c r="D1289" s="226" t="inlineStr">
        <is>
          <t>1</t>
        </is>
      </c>
      <c r="E1289" s="226" t="n">
        <v>4</v>
      </c>
      <c r="F1289" s="226" t="n">
        <v>4</v>
      </c>
      <c r="G1289" s="226" t="n">
        <v>2</v>
      </c>
      <c r="H1289" s="226" t="inlineStr">
        <is>
          <t>Closed</t>
        </is>
      </c>
      <c r="I1289" s="226" t="inlineStr">
        <is>
          <t>05-25</t>
        </is>
      </c>
      <c r="J1289" s="226" t="inlineStr"/>
    </row>
    <row r="1290">
      <c r="A1290" s="226" t="inlineStr">
        <is>
          <t>1000</t>
        </is>
      </c>
      <c r="B1290" s="226" t="inlineStr">
        <is>
          <t>32984479</t>
        </is>
      </c>
      <c r="C1290" s="226" t="inlineStr">
        <is>
          <t>INBOARD/OUTBOARD FIXED TRAILING EDGE STR---FS---CALLBACK REQ CLEANING OF INBOARD/OUTBOARD FIXED TRAILING EDGE STRUCTURE TO FACILITATE INSPECTION</t>
        </is>
      </c>
      <c r="D1290" s="226" t="inlineStr">
        <is>
          <t>1</t>
        </is>
      </c>
      <c r="E1290" s="226" t="n">
        <v>18</v>
      </c>
      <c r="F1290" s="226" t="n">
        <v>19</v>
      </c>
      <c r="G1290" s="226" t="n">
        <v>14.4</v>
      </c>
      <c r="H1290" s="226" t="inlineStr">
        <is>
          <t>Closed</t>
        </is>
      </c>
      <c r="I1290" s="226" t="inlineStr">
        <is>
          <t>05-25</t>
        </is>
      </c>
      <c r="J1290" s="226" t="inlineStr"/>
    </row>
    <row r="1291">
      <c r="A1291" s="226" t="inlineStr">
        <is>
          <t>1002</t>
        </is>
      </c>
      <c r="B1291" s="226" t="inlineStr">
        <is>
          <t>32984550</t>
        </is>
      </c>
      <c r="C1291" s="226" t="inlineStr">
        <is>
          <t>R/H INBOARD/OUTBOARD FIXED T/E STRUCTURE---FS---CALLBACK REQ CLEANING OF R/H INBOARD/OUTBOARD FIXED T/E STRUCTURE TO FACILITATE INSPECTION</t>
        </is>
      </c>
      <c r="D1291" s="226" t="inlineStr">
        <is>
          <t>1</t>
        </is>
      </c>
      <c r="E1291" s="226" t="n">
        <v>18</v>
      </c>
      <c r="F1291" s="226" t="n">
        <v>19</v>
      </c>
      <c r="G1291" s="226" t="n">
        <v>14.5</v>
      </c>
      <c r="H1291" s="226" t="inlineStr">
        <is>
          <t>Closed</t>
        </is>
      </c>
      <c r="I1291" s="226" t="inlineStr">
        <is>
          <t>05-25</t>
        </is>
      </c>
      <c r="J1291" s="226" t="inlineStr"/>
    </row>
    <row r="1292">
      <c r="A1292" s="226" t="inlineStr">
        <is>
          <t>1009</t>
        </is>
      </c>
      <c r="B1292" s="226" t="inlineStr">
        <is>
          <t>32984823</t>
        </is>
      </c>
      <c r="C1292" s="226" t="inlineStr">
        <is>
          <t>PNT - NO CALLBACK - LAV A LAV A WASHBASIN PANEL PAINT SCRATCHED.</t>
        </is>
      </c>
      <c r="D1292" s="226" t="inlineStr">
        <is>
          <t>1</t>
        </is>
      </c>
      <c r="E1292" s="226" t="n">
        <v>4</v>
      </c>
      <c r="F1292" s="226" t="n">
        <v>4.5</v>
      </c>
      <c r="G1292" s="226" t="n">
        <v>4.5</v>
      </c>
      <c r="H1292" s="226" t="inlineStr">
        <is>
          <t>Closed</t>
        </is>
      </c>
      <c r="I1292" s="226" t="inlineStr">
        <is>
          <t>25-10</t>
        </is>
      </c>
      <c r="J1292" s="226" t="inlineStr"/>
    </row>
    <row r="1293">
      <c r="A1293" s="226" t="inlineStr">
        <is>
          <t>1013</t>
        </is>
      </c>
      <c r="B1293" s="226" t="inlineStr">
        <is>
          <t>32984883</t>
        </is>
      </c>
      <c r="C1293" s="226" t="inlineStr">
        <is>
          <t>PNT - NO CALLBACK - LAV A LAV A BABY NUSRING TABLE PAINT FADED.</t>
        </is>
      </c>
      <c r="D1293" s="226" t="inlineStr">
        <is>
          <t>1</t>
        </is>
      </c>
      <c r="E1293" s="226" t="n">
        <v>4</v>
      </c>
      <c r="F1293" s="226" t="n">
        <v>4</v>
      </c>
      <c r="G1293" s="226" t="n">
        <v>4</v>
      </c>
      <c r="H1293" s="226" t="inlineStr">
        <is>
          <t>Closed</t>
        </is>
      </c>
      <c r="I1293" s="226" t="inlineStr">
        <is>
          <t>25-10</t>
        </is>
      </c>
      <c r="J1293" s="226" t="inlineStr"/>
    </row>
    <row r="1294">
      <c r="A1294" s="226" t="inlineStr">
        <is>
          <t>1015</t>
        </is>
      </c>
      <c r="B1294" s="226" t="inlineStr">
        <is>
          <t>32984905</t>
        </is>
      </c>
      <c r="C1294" s="226" t="inlineStr">
        <is>
          <t>PNT - NO CALLBACK - LAV A LAV A DECAL "PLEASE LOCK THE DOOR" AND FINE DECAL DISCOLORED.</t>
        </is>
      </c>
      <c r="D1294" s="226" t="inlineStr">
        <is>
          <t>1</t>
        </is>
      </c>
      <c r="E1294" s="226" t="n">
        <v>2</v>
      </c>
      <c r="F1294" s="226" t="n">
        <v>2</v>
      </c>
      <c r="G1294" s="226" t="n">
        <v>1</v>
      </c>
      <c r="H1294" s="226" t="inlineStr">
        <is>
          <t>Closed</t>
        </is>
      </c>
      <c r="I1294" s="226" t="inlineStr">
        <is>
          <t>25-10</t>
        </is>
      </c>
      <c r="J1294" s="226" t="inlineStr"/>
    </row>
    <row r="1295">
      <c r="A1295" s="226" t="inlineStr">
        <is>
          <t>1016</t>
        </is>
      </c>
      <c r="B1295" s="226" t="inlineStr">
        <is>
          <t>32984942</t>
        </is>
      </c>
      <c r="C1295" s="226" t="inlineStr">
        <is>
          <t>FLAP TRACK NO. 3 AND FAIRING---FS---NO CALLBACK DURING INSP, FOUND FLAP TRACK NO. 3 FAIRINGS UPPER SURFACE DIRTY</t>
        </is>
      </c>
      <c r="D1295" s="226" t="inlineStr">
        <is>
          <t>1</t>
        </is>
      </c>
      <c r="E1295" s="226" t="n">
        <v>8</v>
      </c>
      <c r="F1295" s="226" t="n">
        <v>10.7</v>
      </c>
      <c r="G1295" s="226" t="n">
        <v>6.7</v>
      </c>
      <c r="H1295" s="226" t="inlineStr">
        <is>
          <t>Closed</t>
        </is>
      </c>
      <c r="I1295" s="226" t="inlineStr">
        <is>
          <t>05-25</t>
        </is>
      </c>
      <c r="J1295" s="226" t="inlineStr"/>
    </row>
    <row r="1296">
      <c r="A1296" s="226" t="inlineStr">
        <is>
          <t>1017</t>
        </is>
      </c>
      <c r="B1296" s="226" t="inlineStr">
        <is>
          <t>32984945</t>
        </is>
      </c>
      <c r="C1296" s="226" t="inlineStr">
        <is>
          <t>PNT - NO CALLBACK - GALLEY G2 GALLEY G2 COMP. 209 DOOR PAINT CHIPPED.</t>
        </is>
      </c>
      <c r="D1296" s="226" t="inlineStr">
        <is>
          <t>1</t>
        </is>
      </c>
      <c r="E1296" s="226" t="n">
        <v>3</v>
      </c>
      <c r="F1296" s="226" t="n">
        <v>4</v>
      </c>
      <c r="G1296" s="226" t="n">
        <v>4</v>
      </c>
      <c r="H1296" s="226" t="inlineStr">
        <is>
          <t>Closed</t>
        </is>
      </c>
      <c r="I1296" s="226" t="inlineStr">
        <is>
          <t>25-10</t>
        </is>
      </c>
      <c r="J1296" s="226" t="inlineStr"/>
    </row>
    <row r="1297">
      <c r="A1297" s="226" t="inlineStr">
        <is>
          <t>1018</t>
        </is>
      </c>
      <c r="B1297" s="226" t="inlineStr">
        <is>
          <t>32984975</t>
        </is>
      </c>
      <c r="C1297" s="226" t="inlineStr">
        <is>
          <t>PRE---APU COMPT---NOCALLBACK---AP APU COMPT, EXHAUST BELLOW AFT CLAMP FOUND LOOSE.</t>
        </is>
      </c>
      <c r="D1297" s="226" t="inlineStr">
        <is>
          <t>1</t>
        </is>
      </c>
      <c r="E1297" s="226" t="n">
        <v>6</v>
      </c>
      <c r="F1297" s="226" t="n">
        <v>2</v>
      </c>
      <c r="G1297" s="226" t="n">
        <v>2</v>
      </c>
      <c r="H1297" s="226" t="inlineStr">
        <is>
          <t>Closed</t>
        </is>
      </c>
      <c r="I1297" s="226" t="inlineStr">
        <is>
          <t>05-23</t>
        </is>
      </c>
      <c r="J1297" s="149" t="inlineStr"/>
    </row>
    <row r="1298">
      <c r="A1298" s="226" t="inlineStr">
        <is>
          <t>1024</t>
        </is>
      </c>
      <c r="B1298" s="226" t="inlineStr">
        <is>
          <t>32985016</t>
        </is>
      </c>
      <c r="C1298" s="226" t="inlineStr">
        <is>
          <t>PRE---APU COMPT---RII---AP APU COMPT, FWD L/H AND R/H APU MOUNT ISOLATER BOLT HEADS FOUND RUSTY.</t>
        </is>
      </c>
      <c r="D1298" s="226" t="inlineStr">
        <is>
          <t>1</t>
        </is>
      </c>
      <c r="E1298" s="226" t="n">
        <v>8</v>
      </c>
      <c r="F1298" s="226" t="n">
        <v>2.9</v>
      </c>
      <c r="G1298" s="226" t="n">
        <v>4.2</v>
      </c>
      <c r="H1298" s="226" t="inlineStr">
        <is>
          <t>Closed</t>
        </is>
      </c>
      <c r="I1298" s="226" t="inlineStr">
        <is>
          <t>05-23</t>
        </is>
      </c>
      <c r="J1298" s="149" t="inlineStr"/>
    </row>
    <row r="1299">
      <c r="A1299" s="226" t="inlineStr">
        <is>
          <t>1026</t>
        </is>
      </c>
      <c r="B1299" s="226" t="inlineStr">
        <is>
          <t>32985022</t>
        </is>
      </c>
      <c r="C1299" s="226" t="inlineStr">
        <is>
          <t>--SM--NO CALL BACK FROZEN SCREWS REQUIRE REMOVAL FOUND ON PANELS, 192LB,191JB,191GB AND 192AB</t>
        </is>
      </c>
      <c r="D1299" s="226" t="inlineStr">
        <is>
          <t>1</t>
        </is>
      </c>
      <c r="E1299" s="226" t="n">
        <v>4</v>
      </c>
      <c r="F1299" s="226" t="n">
        <v>3</v>
      </c>
      <c r="G1299" s="226" t="n">
        <v>1.5</v>
      </c>
      <c r="H1299" s="226" t="inlineStr">
        <is>
          <t>Closed</t>
        </is>
      </c>
      <c r="I1299" s="226" t="inlineStr">
        <is>
          <t>53-79</t>
        </is>
      </c>
      <c r="J1299" s="149" t="inlineStr"/>
    </row>
    <row r="1300">
      <c r="A1300" s="226" t="inlineStr">
        <is>
          <t>1032</t>
        </is>
      </c>
      <c r="B1300" s="226" t="inlineStr">
        <is>
          <t>32985081</t>
        </is>
      </c>
      <c r="C1300" s="226" t="inlineStr">
        <is>
          <t>PRE---TAIL SECTION---NOCALLBACK---PNT AFT FUSELAGE TAIL SECTION, TAIL CONE HOIST POINT COVERS FOUND MISSING AND WORNOUT.</t>
        </is>
      </c>
      <c r="D1300" s="226" t="inlineStr">
        <is>
          <t>1</t>
        </is>
      </c>
      <c r="E1300" s="226" t="n">
        <v>2</v>
      </c>
      <c r="F1300" s="226" t="n">
        <v>2</v>
      </c>
      <c r="G1300" s="226" t="n">
        <v>2</v>
      </c>
      <c r="H1300" s="226" t="inlineStr">
        <is>
          <t>Closed</t>
        </is>
      </c>
      <c r="I1300" s="226" t="inlineStr">
        <is>
          <t>05-24</t>
        </is>
      </c>
      <c r="J1300" s="149" t="inlineStr"/>
    </row>
    <row r="1301">
      <c r="A1301" s="226" t="inlineStr">
        <is>
          <t>1033</t>
        </is>
      </c>
      <c r="B1301" s="226" t="inlineStr">
        <is>
          <t>32985124</t>
        </is>
      </c>
      <c r="C1301" s="226" t="inlineStr">
        <is>
          <t>PRE---TAIL SECTION---RII---AP APU FIRE BOTTLE DISCHARGE DISK FOUND FADED AND WORNOUT.</t>
        </is>
      </c>
      <c r="D1301" s="226" t="inlineStr">
        <is>
          <t>1</t>
        </is>
      </c>
      <c r="E1301" s="226" t="n">
        <v>8</v>
      </c>
      <c r="F1301" s="226" t="n">
        <v>3.5</v>
      </c>
      <c r="G1301" s="226" t="n">
        <v>1.8</v>
      </c>
      <c r="H1301" s="226" t="inlineStr">
        <is>
          <t>Closed</t>
        </is>
      </c>
      <c r="I1301" s="226" t="inlineStr">
        <is>
          <t>05-24</t>
        </is>
      </c>
      <c r="J1301" s="149" t="inlineStr"/>
    </row>
    <row r="1302">
      <c r="A1302" s="226" t="inlineStr">
        <is>
          <t>1039</t>
        </is>
      </c>
      <c r="B1302" s="226" t="inlineStr">
        <is>
          <t>32985334</t>
        </is>
      </c>
      <c r="C1302" s="226" t="inlineStr">
        <is>
          <t>PNT - NO CALLBACK L1 DOOR INBOARD F/A SEAT LOWER BOTTOM CASE PAINT FADED</t>
        </is>
      </c>
      <c r="D1302" s="226" t="inlineStr">
        <is>
          <t>1</t>
        </is>
      </c>
      <c r="E1302" s="226" t="n">
        <v>4</v>
      </c>
      <c r="F1302" s="226" t="n">
        <v>5.8</v>
      </c>
      <c r="G1302" s="226" t="n">
        <v>2.1</v>
      </c>
      <c r="H1302" s="226" t="inlineStr">
        <is>
          <t>Closed</t>
        </is>
      </c>
      <c r="I1302" s="226" t="inlineStr">
        <is>
          <t>25</t>
        </is>
      </c>
      <c r="J1302" s="149" t="inlineStr"/>
    </row>
    <row r="1303">
      <c r="A1303" s="226" t="inlineStr">
        <is>
          <t>1040</t>
        </is>
      </c>
      <c r="B1303" s="226" t="inlineStr">
        <is>
          <t>32985336</t>
        </is>
      </c>
      <c r="C1303" s="226" t="inlineStr">
        <is>
          <t>PNT - NO CALLBACK L1 DOOR INBOARD F/A SEAT LEFT SIDE PAINT FADED</t>
        </is>
      </c>
      <c r="D1303" s="226" t="inlineStr">
        <is>
          <t>1</t>
        </is>
      </c>
      <c r="E1303" s="226" t="n">
        <v>4</v>
      </c>
      <c r="F1303" s="226" t="n">
        <v>6.2</v>
      </c>
      <c r="G1303" s="226" t="n">
        <v>2.5</v>
      </c>
      <c r="H1303" s="226" t="inlineStr">
        <is>
          <t>Closed</t>
        </is>
      </c>
      <c r="I1303" s="226" t="inlineStr">
        <is>
          <t>25</t>
        </is>
      </c>
      <c r="J1303" s="149" t="inlineStr"/>
    </row>
    <row r="1304">
      <c r="A1304" s="226" t="inlineStr">
        <is>
          <t>1042</t>
        </is>
      </c>
      <c r="B1304" s="226" t="inlineStr">
        <is>
          <t>32985338</t>
        </is>
      </c>
      <c r="C1304" s="226" t="inlineStr">
        <is>
          <t>PNT - NO CALLBACK R2 DOOR F/A SWIVEL SEAT BOTH SIDES PAINT FADED</t>
        </is>
      </c>
      <c r="D1304" s="226" t="inlineStr">
        <is>
          <t>1</t>
        </is>
      </c>
      <c r="E1304" s="226" t="n"/>
      <c r="F1304" s="226" t="n">
        <v>3.5</v>
      </c>
      <c r="G1304" s="226" t="n">
        <v>3.5</v>
      </c>
      <c r="H1304" s="226" t="inlineStr">
        <is>
          <t>Closed</t>
        </is>
      </c>
      <c r="I1304" s="226" t="inlineStr">
        <is>
          <t>25</t>
        </is>
      </c>
      <c r="J1304" s="149" t="inlineStr"/>
    </row>
    <row r="1305">
      <c r="A1305" s="226" t="inlineStr">
        <is>
          <t>1043</t>
        </is>
      </c>
      <c r="B1305" s="226" t="inlineStr">
        <is>
          <t>32985341</t>
        </is>
      </c>
      <c r="C1305" s="226" t="inlineStr">
        <is>
          <t>PNT - NO CALLBACK R2 DOOR F/A SWIVEL SEAT HEAD CASE PAINT FADED</t>
        </is>
      </c>
      <c r="D1305" s="226" t="inlineStr">
        <is>
          <t>1</t>
        </is>
      </c>
      <c r="E1305" s="226" t="n"/>
      <c r="F1305" s="226" t="n">
        <v>3</v>
      </c>
      <c r="G1305" s="226" t="n">
        <v>3</v>
      </c>
      <c r="H1305" s="226" t="inlineStr">
        <is>
          <t>Closed</t>
        </is>
      </c>
      <c r="I1305" s="226" t="inlineStr">
        <is>
          <t>25</t>
        </is>
      </c>
      <c r="J1305" s="149" t="inlineStr"/>
    </row>
    <row r="1306">
      <c r="A1306" s="226" t="inlineStr">
        <is>
          <t>1044</t>
        </is>
      </c>
      <c r="B1306" s="226" t="inlineStr">
        <is>
          <t>32985342</t>
        </is>
      </c>
      <c r="C1306" s="226" t="inlineStr">
        <is>
          <t>PNT - NO CALLBACK R2 DOOR F/A SWIVEL SEAT DOWN CASE PAINT FADED</t>
        </is>
      </c>
      <c r="D1306" s="226" t="inlineStr">
        <is>
          <t>1</t>
        </is>
      </c>
      <c r="E1306" s="226" t="n">
        <v>4</v>
      </c>
      <c r="F1306" s="226" t="n">
        <v>4</v>
      </c>
      <c r="G1306" s="226" t="n">
        <v>2</v>
      </c>
      <c r="H1306" s="226" t="inlineStr">
        <is>
          <t>Closed</t>
        </is>
      </c>
      <c r="I1306" s="226" t="inlineStr">
        <is>
          <t>25</t>
        </is>
      </c>
      <c r="J1306" s="149" t="inlineStr"/>
    </row>
    <row r="1307">
      <c r="A1307" s="226" t="inlineStr">
        <is>
          <t>1047</t>
        </is>
      </c>
      <c r="B1307" s="226" t="inlineStr">
        <is>
          <t>32985347</t>
        </is>
      </c>
      <c r="C1307" s="226" t="inlineStr">
        <is>
          <t>PNT - NO CALLBACK L1 DOOR OUTBOARD F/A SEAT LOWER BOTTOM CASE PAINT FADED</t>
        </is>
      </c>
      <c r="D1307" s="226" t="inlineStr">
        <is>
          <t>1</t>
        </is>
      </c>
      <c r="E1307" s="226" t="n"/>
      <c r="F1307" s="226" t="n">
        <v>3.5</v>
      </c>
      <c r="G1307" s="226" t="n">
        <v>3.5</v>
      </c>
      <c r="H1307" s="226" t="inlineStr">
        <is>
          <t>Closed</t>
        </is>
      </c>
      <c r="I1307" s="226" t="inlineStr">
        <is>
          <t>25</t>
        </is>
      </c>
      <c r="J1307" s="149" t="inlineStr"/>
    </row>
    <row r="1308">
      <c r="A1308" s="226" t="inlineStr">
        <is>
          <t>1050</t>
        </is>
      </c>
      <c r="B1308" s="226" t="inlineStr">
        <is>
          <t>32985351</t>
        </is>
      </c>
      <c r="C1308" s="226" t="inlineStr">
        <is>
          <t>PNT - NO CALLBACK L2 DOOR F/A SEAT LEFT SIDE PAINT FADED</t>
        </is>
      </c>
      <c r="D1308" s="226" t="inlineStr">
        <is>
          <t>1</t>
        </is>
      </c>
      <c r="E1308" s="226" t="n"/>
      <c r="F1308" s="226" t="n">
        <v>3.5</v>
      </c>
      <c r="G1308" s="226" t="n">
        <v>3.5</v>
      </c>
      <c r="H1308" s="226" t="inlineStr">
        <is>
          <t>Closed</t>
        </is>
      </c>
      <c r="I1308" s="226" t="inlineStr">
        <is>
          <t>25</t>
        </is>
      </c>
      <c r="J1308" s="149" t="inlineStr"/>
    </row>
    <row r="1309">
      <c r="A1309" s="226" t="inlineStr">
        <is>
          <t>1051</t>
        </is>
      </c>
      <c r="B1309" s="226" t="inlineStr">
        <is>
          <t>32985352</t>
        </is>
      </c>
      <c r="C1309" s="226" t="inlineStr">
        <is>
          <t>PNT - NO CALLBACK L2 DOOR F/A SEAT LOWER BOTTOM CASE PAINT FADED</t>
        </is>
      </c>
      <c r="D1309" s="226" t="inlineStr">
        <is>
          <t>1</t>
        </is>
      </c>
      <c r="E1309" s="226" t="n"/>
      <c r="F1309" s="226" t="n">
        <v>3</v>
      </c>
      <c r="G1309" s="226" t="n">
        <v>3</v>
      </c>
      <c r="H1309" s="226" t="inlineStr">
        <is>
          <t>Closed</t>
        </is>
      </c>
      <c r="I1309" s="226" t="inlineStr">
        <is>
          <t>25</t>
        </is>
      </c>
      <c r="J1309" s="149" t="inlineStr"/>
    </row>
    <row r="1310">
      <c r="A1310" s="226" t="inlineStr">
        <is>
          <t>1054</t>
        </is>
      </c>
      <c r="B1310" s="226" t="inlineStr">
        <is>
          <t>32985355</t>
        </is>
      </c>
      <c r="C1310" s="226" t="inlineStr">
        <is>
          <t>PNT - NO CALLBACK R2 DOOR F/A SEAT LOWER BOTTOM CASE PAINT FADED</t>
        </is>
      </c>
      <c r="D1310" s="226" t="inlineStr">
        <is>
          <t>1</t>
        </is>
      </c>
      <c r="E1310" s="226" t="n"/>
      <c r="F1310" s="226" t="n">
        <v>3</v>
      </c>
      <c r="G1310" s="226" t="n">
        <v>3</v>
      </c>
      <c r="H1310" s="226" t="inlineStr">
        <is>
          <t>Closed</t>
        </is>
      </c>
      <c r="I1310" s="226" t="inlineStr">
        <is>
          <t>25</t>
        </is>
      </c>
      <c r="J1310" s="149" t="inlineStr"/>
    </row>
    <row r="1311">
      <c r="A1311" s="226" t="inlineStr">
        <is>
          <t>1056</t>
        </is>
      </c>
      <c r="B1311" s="226" t="inlineStr">
        <is>
          <t>32985503</t>
        </is>
      </c>
      <c r="C1311" s="226" t="inlineStr">
        <is>
          <t>VERTICAL STABILIZER======FS=====CALL BACK REF TO TASK CARD 272100-07-1, ZL-325-01-1, VERTICAL STABILIZER TRAILING EDGE EXCESSIVE DIRTY REQUIRE CLEANING TO FASCILITATE INSP</t>
        </is>
      </c>
      <c r="D1311" s="226" t="inlineStr">
        <is>
          <t>1</t>
        </is>
      </c>
      <c r="E1311" s="226" t="n">
        <v>10</v>
      </c>
      <c r="F1311" s="226" t="n">
        <v>12.5</v>
      </c>
      <c r="G1311" s="226" t="n">
        <v>48.7</v>
      </c>
      <c r="H1311" s="226" t="inlineStr">
        <is>
          <t>Closed</t>
        </is>
      </c>
      <c r="I1311" s="226" t="inlineStr">
        <is>
          <t>27-21</t>
        </is>
      </c>
      <c r="J1311" s="149" t="inlineStr"/>
    </row>
    <row r="1312">
      <c r="A1312" s="226" t="inlineStr">
        <is>
          <t>1057</t>
        </is>
      </c>
      <c r="B1312" s="226" t="inlineStr">
        <is>
          <t>32985575</t>
        </is>
      </c>
      <c r="C1312" s="226" t="inlineStr">
        <is>
          <t>RH HORIZONTAL STABILIZER--SM-- RH HORIZONTAL STABILIZER PNL 344GB WITH 1 EA WORN HEAD SCREW</t>
        </is>
      </c>
      <c r="D1312" s="226" t="inlineStr">
        <is>
          <t>1</t>
        </is>
      </c>
      <c r="E1312" s="226" t="n"/>
      <c r="F1312" s="226" t="n">
        <v>19.1</v>
      </c>
      <c r="G1312" s="226" t="n">
        <v>7.5</v>
      </c>
      <c r="H1312" s="226" t="inlineStr">
        <is>
          <t>Closed</t>
        </is>
      </c>
      <c r="I1312" s="226" t="inlineStr">
        <is>
          <t>05-23</t>
        </is>
      </c>
      <c r="J1312" s="149" t="inlineStr"/>
    </row>
    <row r="1313">
      <c r="A1313" s="226" t="inlineStr">
        <is>
          <t>1058</t>
        </is>
      </c>
      <c r="B1313" s="226" t="inlineStr">
        <is>
          <t>32985619</t>
        </is>
      </c>
      <c r="C1313" s="226" t="inlineStr">
        <is>
          <t>ENG.1 AND ENG.2  PYLON PANELS FROZEN SCREWS ----SM-----NO CALLBACK ENG.1 AND ENG.2  PYLON PANELS FROZEN    (413DT AND 423DT)  HAVE MULTIPLE FROZEN AND ROUNDED SCREWS (MARKED WITH GREEN TAPE) REQ S/M ACTION</t>
        </is>
      </c>
      <c r="D1313" s="226" t="inlineStr">
        <is>
          <t>1</t>
        </is>
      </c>
      <c r="E1313" s="226" t="n"/>
      <c r="F1313" s="226" t="n">
        <v>2.6</v>
      </c>
      <c r="G1313" s="226" t="n">
        <v>1.3</v>
      </c>
      <c r="H1313" s="226" t="inlineStr">
        <is>
          <t>Closed</t>
        </is>
      </c>
      <c r="I1313" s="226" t="inlineStr">
        <is>
          <t>26-21</t>
        </is>
      </c>
      <c r="J1313" t="inlineStr">
        <is>
          <t>OPEN-UP</t>
        </is>
      </c>
    </row>
    <row r="1314">
      <c r="A1314" s="226" t="inlineStr">
        <is>
          <t>1059</t>
        </is>
      </c>
      <c r="B1314" s="226" t="inlineStr">
        <is>
          <t>32985582</t>
        </is>
      </c>
      <c r="C1314" s="226" t="inlineStr">
        <is>
          <t>L/H WING MULTABLE PANELS FROZEN SCREWS ----SM-----NO CALLBACK LEFT HAND WING PANELS    (522CB, 522NB AND 522AB) HAVE MULTIPLE FROZEN AND ROUNDED SCREWS (MARKED WITH GREEN TAPE) REQ S/M ACTION</t>
        </is>
      </c>
      <c r="D1314" s="226" t="inlineStr">
        <is>
          <t>1</t>
        </is>
      </c>
      <c r="E1314" s="226" t="n"/>
      <c r="F1314" s="226" t="n">
        <v>4</v>
      </c>
      <c r="G1314" s="226" t="n">
        <v>2.2</v>
      </c>
      <c r="H1314" s="226" t="inlineStr">
        <is>
          <t>Closed</t>
        </is>
      </c>
      <c r="I1314" s="226" t="inlineStr">
        <is>
          <t>57-41</t>
        </is>
      </c>
      <c r="J1314" t="inlineStr">
        <is>
          <t>OPEN-UP</t>
        </is>
      </c>
    </row>
    <row r="1315">
      <c r="A1315" s="226" t="inlineStr">
        <is>
          <t>1060</t>
        </is>
      </c>
      <c r="B1315" s="226" t="inlineStr">
        <is>
          <t>32985655</t>
        </is>
      </c>
      <c r="C1315" s="226" t="inlineStr">
        <is>
          <t>BELLY FAIRING MULTABLE PANELS FROZEN SCREWS ----SM-----NO CALLBACK BELLY FAIRING  PANELS     (192LB AND 192MB)  HAVE MULTIPLE FROZEN AND ROUNDED SCREWS (MARKED WITH GREEN TAPE) REQ S/M ACTION</t>
        </is>
      </c>
      <c r="D1315" s="226" t="inlineStr">
        <is>
          <t>1</t>
        </is>
      </c>
      <c r="E1315" s="226" t="n"/>
      <c r="F1315" s="226" t="n">
        <v>0.2</v>
      </c>
      <c r="G1315" s="226" t="n">
        <v>0.2</v>
      </c>
      <c r="H1315" s="226" t="inlineStr">
        <is>
          <t>Closed</t>
        </is>
      </c>
      <c r="I1315" s="226" t="inlineStr">
        <is>
          <t>24-92</t>
        </is>
      </c>
    </row>
    <row r="1316">
      <c r="A1316" s="226" t="inlineStr">
        <is>
          <t>1065</t>
        </is>
      </c>
      <c r="B1316" s="226" t="inlineStr">
        <is>
          <t>32985861</t>
        </is>
      </c>
      <c r="C1316" s="226" t="inlineStr">
        <is>
          <t>THS COMPT======FS====CALL BACK FINAL REF TO TASK CARD ZL-313-01-1 THS COMPT ACCESS THR PNL 314AR FLOOR AREA AROUND APU INTAKE DIRTY REQ CLEANING TO FASCILITATE THE INSP</t>
        </is>
      </c>
      <c r="D1316" s="226" t="inlineStr">
        <is>
          <t>1</t>
        </is>
      </c>
      <c r="E1316" s="226" t="n">
        <v>10</v>
      </c>
      <c r="F1316" s="226" t="n">
        <v>14</v>
      </c>
      <c r="G1316" s="226" t="n">
        <v>30</v>
      </c>
      <c r="H1316" s="226" t="inlineStr">
        <is>
          <t>Closed</t>
        </is>
      </c>
      <c r="I1316" s="226" t="inlineStr">
        <is>
          <t>05-23</t>
        </is>
      </c>
    </row>
    <row r="1317">
      <c r="A1317" s="226" t="inlineStr">
        <is>
          <t>1066</t>
        </is>
      </c>
      <c r="B1317" s="226" t="inlineStr">
        <is>
          <t>32985871</t>
        </is>
      </c>
      <c r="C1317" s="226" t="inlineStr">
        <is>
          <t>APU EXHAUST AREA======FS=====CALL BACK REF TO TASK CARD ZL-317-01-1 TAIL CONE APU EXHAUST AREA ACCES THRU 317AL LWR SIDE DIRTY REQUIRE CLEANING TO FASCILITATE THE INSP</t>
        </is>
      </c>
      <c r="D1317" s="226" t="inlineStr">
        <is>
          <t>1</t>
        </is>
      </c>
      <c r="E1317" s="226" t="n">
        <v>8</v>
      </c>
      <c r="F1317" s="226" t="n">
        <v>9</v>
      </c>
      <c r="G1317" s="226" t="n">
        <v>12.6</v>
      </c>
      <c r="H1317" s="226" t="inlineStr">
        <is>
          <t>Closed</t>
        </is>
      </c>
      <c r="I1317" s="226" t="inlineStr">
        <is>
          <t>05-23</t>
        </is>
      </c>
    </row>
    <row r="1318">
      <c r="A1318" s="226" t="inlineStr">
        <is>
          <t>1067</t>
        </is>
      </c>
      <c r="B1318" s="226" t="inlineStr">
        <is>
          <t>32985872</t>
        </is>
      </c>
      <c r="C1318" s="226" t="inlineStr">
        <is>
          <t>THS TRAILING EDGE=======FS=====NO CALL BACK LH AND RH THS TRAILING EDGE 04EA SERVO CONTROL AND ADJACENT AREA DIRTY</t>
        </is>
      </c>
      <c r="D1318" s="226" t="inlineStr">
        <is>
          <t>1</t>
        </is>
      </c>
      <c r="E1318" s="226" t="n">
        <v>8</v>
      </c>
      <c r="F1318" s="226" t="n">
        <v>8</v>
      </c>
      <c r="G1318" s="226" t="n">
        <v>5</v>
      </c>
      <c r="H1318" s="226" t="inlineStr">
        <is>
          <t>Closed</t>
        </is>
      </c>
      <c r="I1318" s="226" t="inlineStr">
        <is>
          <t>05-23</t>
        </is>
      </c>
    </row>
    <row r="1319">
      <c r="A1319" s="226" t="inlineStr">
        <is>
          <t>1069</t>
        </is>
      </c>
      <c r="B1319" s="226" t="inlineStr">
        <is>
          <t>32985875</t>
        </is>
      </c>
      <c r="C1319" s="226" t="inlineStr">
        <is>
          <t>ENG #1 PRE COOLER SEAL --AP--RII ENG#1 ,UPPER FWD PYLON PER COOLER UPPER  SIDE SEAL TORN OFF.</t>
        </is>
      </c>
      <c r="D1319" s="226" t="inlineStr">
        <is>
          <t>1</t>
        </is>
      </c>
      <c r="E1319" s="226" t="n">
        <v>8</v>
      </c>
      <c r="F1319" s="226" t="n">
        <v>16.1</v>
      </c>
      <c r="G1319" s="226" t="n">
        <v>3.9</v>
      </c>
      <c r="H1319" s="226" t="inlineStr">
        <is>
          <t>Closed</t>
        </is>
      </c>
      <c r="I1319" s="226" t="inlineStr">
        <is>
          <t>05-24</t>
        </is>
      </c>
    </row>
    <row r="1320">
      <c r="A1320" s="226" t="inlineStr">
        <is>
          <t>1070</t>
        </is>
      </c>
      <c r="B1320" s="226" t="inlineStr">
        <is>
          <t>32985877</t>
        </is>
      </c>
      <c r="C1320" s="226" t="inlineStr">
        <is>
          <t>ENG #2 PRE COOLER SEAL --AP--RII ENG#2 ,UPPER FWD PYLON PER COOLER UPPER SIDE SEAL TORN OFF.</t>
        </is>
      </c>
      <c r="D1320" s="226" t="inlineStr">
        <is>
          <t>1</t>
        </is>
      </c>
      <c r="E1320" s="226" t="n">
        <v>8</v>
      </c>
      <c r="F1320" s="226" t="n">
        <v>5</v>
      </c>
      <c r="G1320" s="226" t="n">
        <v>4.6</v>
      </c>
      <c r="H1320" s="226" t="inlineStr">
        <is>
          <t>Closed</t>
        </is>
      </c>
      <c r="I1320" s="226" t="inlineStr">
        <is>
          <t>05-24</t>
        </is>
      </c>
    </row>
    <row r="1321">
      <c r="A1321" s="226" t="inlineStr">
        <is>
          <t>1071</t>
        </is>
      </c>
      <c r="B1321" s="226" t="inlineStr">
        <is>
          <t>32985880</t>
        </is>
      </c>
      <c r="C1321" s="226" t="inlineStr">
        <is>
          <t>R/H BELLY FAIRING MULTABLE PANELS FROZEN SCREWS ----SM-----NO CALLBACK R/H BELLY FAIRING  PANEL      (192BT)  HAVE MULTIPLE FROZEN AND ROUNDED SCREWS (MARKED WITH GREEN TAPE) REQ S/M ACTION</t>
        </is>
      </c>
      <c r="D1321" s="226" t="inlineStr">
        <is>
          <t>1</t>
        </is>
      </c>
      <c r="E1321" s="226" t="n"/>
      <c r="F1321" s="226" t="n">
        <v>28.8</v>
      </c>
      <c r="G1321" s="226" t="n">
        <v>16.3</v>
      </c>
      <c r="H1321" s="226" t="inlineStr">
        <is>
          <t>Closed</t>
        </is>
      </c>
      <c r="I1321" s="226" t="inlineStr">
        <is>
          <t>53-41</t>
        </is>
      </c>
      <c r="J1321" t="inlineStr">
        <is>
          <t>OPEN-UP</t>
        </is>
      </c>
    </row>
    <row r="1322">
      <c r="A1322" s="226" t="inlineStr">
        <is>
          <t>1076</t>
        </is>
      </c>
      <c r="B1322" s="226" t="inlineStr">
        <is>
          <t>32987146</t>
        </is>
      </c>
      <c r="C1322" s="226" t="inlineStr">
        <is>
          <t>AP---RII---LH ELEV LH ELEVATOR HINGE NO. 6 FITTING WEARED WITH CHAFFING MARKS</t>
        </is>
      </c>
      <c r="D1322" s="226" t="inlineStr">
        <is>
          <t>1</t>
        </is>
      </c>
      <c r="E1322" s="226" t="n">
        <v>16</v>
      </c>
      <c r="F1322" s="226" t="n">
        <v>20</v>
      </c>
      <c r="G1322" s="226" t="n">
        <v>8.1</v>
      </c>
      <c r="H1322" s="226" t="inlineStr">
        <is>
          <t>Closed</t>
        </is>
      </c>
      <c r="I1322" s="226" t="inlineStr">
        <is>
          <t>20-00</t>
        </is>
      </c>
    </row>
    <row r="1323">
      <c r="A1323" s="226" t="inlineStr">
        <is>
          <t>1080</t>
        </is>
      </c>
      <c r="B1323" s="226" t="inlineStr">
        <is>
          <t>32987301</t>
        </is>
      </c>
      <c r="C1323" s="226" t="inlineStr">
        <is>
          <t>DBC---F/O FIXED WINDOW---RII---AP R/H SIDE F/O FIXED WINDOW AFT LOWER CORNER FOUND WITH MULTIPLE BUBBLES. L= 03 INCH W= 1 INCH FROM INNER EDGE.</t>
        </is>
      </c>
      <c r="D1323" s="226" t="inlineStr">
        <is>
          <t>1</t>
        </is>
      </c>
      <c r="E1323" s="226" t="n">
        <v>16</v>
      </c>
      <c r="F1323" s="226" t="n">
        <v>2.7</v>
      </c>
      <c r="G1323" s="226" t="n">
        <v>98.40000000000001</v>
      </c>
      <c r="H1323" s="226" t="inlineStr">
        <is>
          <t>Closed</t>
        </is>
      </c>
      <c r="I1323" s="226" t="inlineStr">
        <is>
          <t>56-10</t>
        </is>
      </c>
    </row>
    <row r="1324">
      <c r="A1324" s="226" t="inlineStr">
        <is>
          <t>1089</t>
        </is>
      </c>
      <c r="B1324" s="226" t="inlineStr">
        <is>
          <t>32987725</t>
        </is>
      </c>
      <c r="C1324" s="226" t="inlineStr">
        <is>
          <t>PRE---F/O WIND SHIELD---RII---AP R/H SIDE F/O WINDSHIELD FOUND WITH BUBBLES AROUND EDGES AS :  UPPER EDGE L= 15 INCH W= 02 INCHES FROM INNER EDGE  LOWER EDGE L= 13 INCH W= 0.5 INCHES FROM INNER EDGE  L/H SIDE EDGE L= 11 INCH W= 1.8 INCHES FROM INN...</t>
        </is>
      </c>
      <c r="D1324" s="226" t="inlineStr">
        <is>
          <t>1</t>
        </is>
      </c>
      <c r="E1324" s="226" t="n">
        <v>16</v>
      </c>
      <c r="F1324" s="226" t="n">
        <v>0.8</v>
      </c>
      <c r="G1324" s="226" t="n">
        <v>141.8</v>
      </c>
      <c r="H1324" s="226" t="inlineStr">
        <is>
          <t>Closed</t>
        </is>
      </c>
      <c r="I1324" s="226" t="inlineStr">
        <is>
          <t>56-10</t>
        </is>
      </c>
    </row>
    <row r="1325">
      <c r="A1325" s="226" t="inlineStr">
        <is>
          <t>1090</t>
        </is>
      </c>
      <c r="B1325" s="226" t="inlineStr">
        <is>
          <t>32987776</t>
        </is>
      </c>
      <c r="C1325" s="226" t="inlineStr">
        <is>
          <t>--SM--NO CALLBACK PANEL (191AT) HAS FROZEN SCREWS REQUIRE REMOVAL.</t>
        </is>
      </c>
      <c r="D1325" s="226" t="inlineStr">
        <is>
          <t>1</t>
        </is>
      </c>
      <c r="E1325" s="226" t="n"/>
      <c r="F1325" s="226" t="n">
        <v>29</v>
      </c>
      <c r="G1325" s="226" t="n">
        <v>23.5</v>
      </c>
      <c r="H1325" s="226" t="inlineStr">
        <is>
          <t>Closed</t>
        </is>
      </c>
      <c r="I1325" s="226" t="inlineStr">
        <is>
          <t>11-21</t>
        </is>
      </c>
    </row>
    <row r="1326">
      <c r="A1326" s="226" t="inlineStr">
        <is>
          <t>1093</t>
        </is>
      </c>
      <c r="B1326" s="226" t="inlineStr">
        <is>
          <t>32987952</t>
        </is>
      </c>
      <c r="C1326" s="226" t="inlineStr">
        <is>
          <t>CAB---RII---CKCPT DR COCKPIT DOOR LATCH TENONS NEED ADJUSTMENT</t>
        </is>
      </c>
      <c r="D1326" s="226" t="inlineStr">
        <is>
          <t>1</t>
        </is>
      </c>
      <c r="E1326" s="226" t="n"/>
      <c r="F1326" s="226" t="n">
        <v>3.5</v>
      </c>
      <c r="G1326" s="226" t="n">
        <v>5.6</v>
      </c>
      <c r="H1326" s="226" t="inlineStr">
        <is>
          <t>Closed</t>
        </is>
      </c>
      <c r="I1326" s="226" t="inlineStr">
        <is>
          <t>52-51</t>
        </is>
      </c>
    </row>
    <row r="1327">
      <c r="A1327" s="226" t="inlineStr">
        <is>
          <t>1097</t>
        </is>
      </c>
      <c r="B1327" s="226" t="inlineStr">
        <is>
          <t>32987964</t>
        </is>
      </c>
      <c r="C1327" s="226" t="inlineStr">
        <is>
          <t>DBC---CAPT FIXED WINDOW---RII---AP L/H SIDE CAPT FIXED WINDOW AFT LOWER CORNER FOUND WITH MULTIPLE BUBBLES.  L= 03 INCH  W= 2 INCH FROM INNER EDGE.</t>
        </is>
      </c>
      <c r="D1327" s="226" t="inlineStr">
        <is>
          <t>1</t>
        </is>
      </c>
      <c r="E1327" s="226" t="n">
        <v>16</v>
      </c>
      <c r="F1327" s="226" t="n">
        <v>3.2</v>
      </c>
      <c r="G1327" s="226" t="n">
        <v>97</v>
      </c>
      <c r="H1327" s="226" t="inlineStr">
        <is>
          <t>Closed</t>
        </is>
      </c>
      <c r="I1327" s="226" t="inlineStr">
        <is>
          <t>56-10</t>
        </is>
      </c>
    </row>
    <row r="1328">
      <c r="A1328" s="226" t="inlineStr">
        <is>
          <t>1098</t>
        </is>
      </c>
      <c r="B1328" s="226" t="inlineStr">
        <is>
          <t>32987966</t>
        </is>
      </c>
      <c r="C1328" s="226" t="inlineStr">
        <is>
          <t>CAB---RII---CKCPT DR COCKPIT DOOR CLEARANCES A, C &amp; P OUT OF LIMIT</t>
        </is>
      </c>
      <c r="D1328" s="226" t="inlineStr">
        <is>
          <t>1</t>
        </is>
      </c>
      <c r="E1328" s="226" t="n"/>
      <c r="F1328" s="226" t="n">
        <v>4</v>
      </c>
      <c r="G1328" s="226" t="n">
        <v>6</v>
      </c>
      <c r="H1328" s="226" t="inlineStr">
        <is>
          <t>Closed</t>
        </is>
      </c>
      <c r="I1328" s="226" t="inlineStr">
        <is>
          <t>52-51</t>
        </is>
      </c>
    </row>
    <row r="1329">
      <c r="A1329" s="226" t="inlineStr">
        <is>
          <t>1105</t>
        </is>
      </c>
      <c r="B1329" s="226" t="inlineStr">
        <is>
          <t>32988015</t>
        </is>
      </c>
      <c r="C1329" s="226" t="inlineStr">
        <is>
          <t>PRE---L/H WING FIXED L/E---RII---AP L/H WING I/B FIXED L/E ACCESS THROUGH PANEL 521 BB, LOWER FIRE LOOP PASS THROUGH TEFLON CONNECTOR FOUND DISPLACED AND DETACHED</t>
        </is>
      </c>
      <c r="D1329" s="226" t="inlineStr">
        <is>
          <t>1</t>
        </is>
      </c>
      <c r="E1329" s="226" t="n">
        <v>8</v>
      </c>
      <c r="F1329" s="226" t="n">
        <v>1.5</v>
      </c>
      <c r="G1329" s="226" t="n">
        <v>7.7</v>
      </c>
      <c r="H1329" s="226" t="inlineStr">
        <is>
          <t>Closed</t>
        </is>
      </c>
      <c r="I1329" s="226" t="inlineStr">
        <is>
          <t>05-25</t>
        </is>
      </c>
    </row>
    <row r="1330">
      <c r="A1330" s="226" t="inlineStr">
        <is>
          <t>1109</t>
        </is>
      </c>
      <c r="B1330" s="226" t="inlineStr">
        <is>
          <t>32988470</t>
        </is>
      </c>
      <c r="C1330" s="226" t="inlineStr">
        <is>
          <t>CAB - NO CALL BACK - L2 DOOR ASSIST HANDLE LOOSE AT L2 DOOR.</t>
        </is>
      </c>
      <c r="D1330" s="226" t="inlineStr">
        <is>
          <t>1</t>
        </is>
      </c>
      <c r="E1330" s="226" t="n">
        <v>1.5</v>
      </c>
      <c r="F1330" s="226" t="n">
        <v>11</v>
      </c>
      <c r="G1330" s="226" t="n">
        <v>3</v>
      </c>
      <c r="H1330" s="226" t="inlineStr">
        <is>
          <t>Closed</t>
        </is>
      </c>
      <c r="I1330" s="226" t="inlineStr">
        <is>
          <t>25-10</t>
        </is>
      </c>
    </row>
    <row r="1331">
      <c r="A1331" s="226" t="inlineStr">
        <is>
          <t>1117</t>
        </is>
      </c>
      <c r="B1331" s="226" t="inlineStr">
        <is>
          <t>32988794</t>
        </is>
      </c>
      <c r="C1331" s="226" t="inlineStr">
        <is>
          <t>PAINT - NO CALL BACK - WINDOW SHADE WINDOW SHADE PAINT CHIPPED AT 41 CBA</t>
        </is>
      </c>
      <c r="D1331" s="226" t="inlineStr">
        <is>
          <t>1</t>
        </is>
      </c>
      <c r="E1331" s="226" t="n">
        <v>2</v>
      </c>
      <c r="F1331" s="226" t="n">
        <v>2</v>
      </c>
      <c r="G1331" s="226" t="n">
        <v>2</v>
      </c>
      <c r="H1331" s="226" t="inlineStr">
        <is>
          <t>Closed</t>
        </is>
      </c>
      <c r="I1331" s="226" t="inlineStr">
        <is>
          <t>25-10</t>
        </is>
      </c>
    </row>
    <row r="1332">
      <c r="A1332" s="149" t="inlineStr">
        <is>
          <t>1119</t>
        </is>
      </c>
      <c r="B1332" s="149" t="inlineStr">
        <is>
          <t>32989018</t>
        </is>
      </c>
      <c r="C1332" s="149" t="inlineStr">
        <is>
          <t>PRE---AFT LOWER FUSELAGE---NOCALLBACK---FS AFT LOWER FUSELAGE REAR FAIRING ATTACHMENTS FOUND DIRTY.</t>
        </is>
      </c>
      <c r="D1332" s="149" t="inlineStr">
        <is>
          <t>1</t>
        </is>
      </c>
      <c r="E1332" s="149" t="n">
        <v>19.5</v>
      </c>
      <c r="F1332" s="149" t="n">
        <v>19.5</v>
      </c>
      <c r="G1332" s="149" t="n">
        <v>6.5</v>
      </c>
      <c r="H1332" s="149" t="inlineStr">
        <is>
          <t>Closed</t>
        </is>
      </c>
      <c r="I1332" s="149" t="inlineStr">
        <is>
          <t>05-21</t>
        </is>
      </c>
    </row>
    <row r="1333">
      <c r="A1333" s="149" t="inlineStr">
        <is>
          <t>1125</t>
        </is>
      </c>
      <c r="B1333" s="149" t="inlineStr">
        <is>
          <t>32989174</t>
        </is>
      </c>
      <c r="C1333" s="149" t="inlineStr">
        <is>
          <t>BOTH WINGS.....FS....NO CALLBACK L/H AND R/H WINGS ALL MOVABLE FAIRING DIRTY</t>
        </is>
      </c>
      <c r="D1333" s="149" t="inlineStr">
        <is>
          <t>1</t>
        </is>
      </c>
      <c r="E1333" s="149" t="n">
        <v>19.5</v>
      </c>
      <c r="F1333" s="149" t="n">
        <v>19.5</v>
      </c>
      <c r="G1333" s="149" t="n">
        <v>6.5</v>
      </c>
      <c r="H1333" s="149" t="inlineStr">
        <is>
          <t>Closed</t>
        </is>
      </c>
      <c r="I1333" s="149" t="inlineStr">
        <is>
          <t>57-56</t>
        </is>
      </c>
    </row>
    <row r="1334">
      <c r="A1334" s="149" t="inlineStr">
        <is>
          <t>1138</t>
        </is>
      </c>
      <c r="B1334" s="149" t="inlineStr">
        <is>
          <t>32989575</t>
        </is>
      </c>
      <c r="C1334" s="149" t="inlineStr">
        <is>
          <t>PNT - NO CALL BACK - R2 DOOR R2 DOOR DECORATIVE COVER OF THE ESCAPE SLIDE/RAFT NEEDS PAINT</t>
        </is>
      </c>
      <c r="D1334" s="149" t="inlineStr">
        <is>
          <t>1</t>
        </is>
      </c>
      <c r="E1334" s="149" t="n">
        <v>4</v>
      </c>
      <c r="F1334" s="149" t="n">
        <v>4</v>
      </c>
      <c r="G1334" s="149" t="n">
        <v>2</v>
      </c>
      <c r="H1334" s="149" t="inlineStr">
        <is>
          <t>Closed</t>
        </is>
      </c>
      <c r="I1334" s="149" t="inlineStr">
        <is>
          <t>25</t>
        </is>
      </c>
    </row>
    <row r="1335">
      <c r="A1335" s="149" t="inlineStr">
        <is>
          <t>1139</t>
        </is>
      </c>
      <c r="B1335" s="149" t="inlineStr">
        <is>
          <t>32989577</t>
        </is>
      </c>
      <c r="C1335" s="149" t="inlineStr">
        <is>
          <t>BULK CARGO UNDER FLOOR ----FS--- CALL BACK----- REQ CLEANING OF THE UNDER FLOOR  IN THE BULK CARGO  FRAME 59 TO 70 FOR INSPECTION</t>
        </is>
      </c>
      <c r="D1335" s="149" t="inlineStr">
        <is>
          <t>1</t>
        </is>
      </c>
      <c r="E1335" s="149" t="n">
        <v>20</v>
      </c>
      <c r="F1335" s="149" t="n">
        <v>22.4</v>
      </c>
      <c r="G1335" s="149" t="n">
        <v>81.8</v>
      </c>
      <c r="H1335" s="149" t="inlineStr">
        <is>
          <t>Closed</t>
        </is>
      </c>
      <c r="I1335" s="149" t="inlineStr">
        <is>
          <t>50-11-33</t>
        </is>
      </c>
    </row>
    <row r="1336">
      <c r="A1336" s="149" t="inlineStr">
        <is>
          <t>1151</t>
        </is>
      </c>
      <c r="B1336" s="149" t="inlineStr">
        <is>
          <t>32989888</t>
        </is>
      </c>
      <c r="C1336" s="149" t="inlineStr">
        <is>
          <t>PNT - NO CALL BACK - L2 DOOR DECORATIVE COVER L2 DOOR DECORATIVE COVER OF THE ESCAPE SLIDE/RAFT NEEDS PAINT</t>
        </is>
      </c>
      <c r="D1336" s="149" t="inlineStr">
        <is>
          <t>1</t>
        </is>
      </c>
      <c r="E1336" s="149" t="n">
        <v>4</v>
      </c>
      <c r="F1336" s="149" t="n">
        <v>4</v>
      </c>
      <c r="G1336" s="149" t="n">
        <v>2</v>
      </c>
      <c r="H1336" s="149" t="inlineStr">
        <is>
          <t>Closed</t>
        </is>
      </c>
      <c r="I1336" s="149" t="inlineStr">
        <is>
          <t>25</t>
        </is>
      </c>
    </row>
    <row r="1337">
      <c r="A1337" s="149" t="inlineStr">
        <is>
          <t>1152</t>
        </is>
      </c>
      <c r="B1337" s="149" t="inlineStr">
        <is>
          <t>32989938</t>
        </is>
      </c>
      <c r="C1337" s="149" t="inlineStr">
        <is>
          <t>PAINT-NO CALLBACK (LAV E) LAV E ASHTRAY DECAL IN DOOR  AND OUTDOOR  DISCOLORATION.</t>
        </is>
      </c>
      <c r="D1337" s="149" t="inlineStr">
        <is>
          <t>1</t>
        </is>
      </c>
      <c r="E1337" s="149" t="n"/>
      <c r="F1337" s="149" t="n">
        <v>2</v>
      </c>
      <c r="G1337" s="149" t="n">
        <v>2</v>
      </c>
      <c r="H1337" s="149" t="inlineStr">
        <is>
          <t>Closed</t>
        </is>
      </c>
      <c r="I1337" s="149" t="inlineStr">
        <is>
          <t>25-10</t>
        </is>
      </c>
    </row>
    <row r="1338">
      <c r="A1338" s="149" t="inlineStr">
        <is>
          <t>1153</t>
        </is>
      </c>
      <c r="B1338" s="149" t="inlineStr">
        <is>
          <t>32989942</t>
        </is>
      </c>
      <c r="C1338" s="149" t="inlineStr">
        <is>
          <t>#2 ENG - L/H AND R/H FAN COWLS - BULB SEAL - AP - RII #2 ENG L/H AND R/H FAN COWLS FOUND DRAIN MAST BULB SEAL DETERIORATED .</t>
        </is>
      </c>
      <c r="D1338" s="149" t="inlineStr">
        <is>
          <t>1</t>
        </is>
      </c>
      <c r="E1338" s="149" t="n">
        <v>8</v>
      </c>
      <c r="F1338" s="149" t="n">
        <v>17.6</v>
      </c>
      <c r="G1338" s="149" t="n">
        <v>26.4</v>
      </c>
      <c r="H1338" s="149" t="inlineStr">
        <is>
          <t>Closed</t>
        </is>
      </c>
      <c r="I1338" s="149" t="inlineStr">
        <is>
          <t>71-13</t>
        </is>
      </c>
    </row>
    <row r="1339">
      <c r="A1339" s="149" t="inlineStr">
        <is>
          <t>1159</t>
        </is>
      </c>
      <c r="B1339" s="149" t="inlineStr">
        <is>
          <t>32989953</t>
        </is>
      </c>
      <c r="C1339" s="149" t="inlineStr">
        <is>
          <t>FWD CARGO UNDER FLOOR ----FS---  NO CALL BACK----- REQ CLEANING OF THE UNDER FLOOR BAY  IN THE  FORWARD CARGO  COMPARTMENT  FRAME 24 TO FRAME  34 FOR INSPECTION</t>
        </is>
      </c>
      <c r="D1339" s="149" t="inlineStr">
        <is>
          <t>1</t>
        </is>
      </c>
      <c r="E1339" s="149" t="n">
        <v>30</v>
      </c>
      <c r="F1339" s="149" t="n">
        <v>29</v>
      </c>
      <c r="G1339" s="149" t="n">
        <v>6.5</v>
      </c>
      <c r="H1339" s="149" t="inlineStr">
        <is>
          <t>Closed</t>
        </is>
      </c>
      <c r="I1339" s="149" t="inlineStr">
        <is>
          <t>11-35</t>
        </is>
      </c>
    </row>
    <row r="1340">
      <c r="A1340" s="149" t="inlineStr">
        <is>
          <t>1161</t>
        </is>
      </c>
      <c r="B1340" s="149" t="inlineStr">
        <is>
          <t>32989964</t>
        </is>
      </c>
      <c r="C1340" s="149" t="inlineStr">
        <is>
          <t>#2 ENG - L/H AND R/H FAN COWLS - PRIMER - PNT - NO CALL BACK #2 ENG L/H AND R/H FAN COWLS INNER SURFACE FOUND WITH PRIMER CHIPPED-OFF AND WITH MISMATCHED PRIMER SPOTS ALL OVER FAN COWLS INNER SURFACES .</t>
        </is>
      </c>
      <c r="D1340" s="149" t="inlineStr">
        <is>
          <t>1</t>
        </is>
      </c>
      <c r="E1340" s="149" t="n">
        <v>6</v>
      </c>
      <c r="F1340" s="149" t="n">
        <v>6.5</v>
      </c>
      <c r="G1340" s="149" t="n">
        <v>2.5</v>
      </c>
      <c r="H1340" s="149" t="inlineStr">
        <is>
          <t>Closed</t>
        </is>
      </c>
      <c r="I1340" s="149" t="inlineStr">
        <is>
          <t>71-13</t>
        </is>
      </c>
    </row>
    <row r="1341">
      <c r="A1341" s="149" t="inlineStr">
        <is>
          <t>1173</t>
        </is>
      </c>
      <c r="B1341" s="149" t="inlineStr">
        <is>
          <t>32990006</t>
        </is>
      </c>
      <c r="C1341" s="149" t="inlineStr">
        <is>
          <t>CAB PAX SEAT---SEAT SHOP-- NO CALL BACK SEAT NO 30 J,K,L BAGAGE ROD NUT MISSSING.</t>
        </is>
      </c>
      <c r="D1341" s="149" t="inlineStr">
        <is>
          <t>1</t>
        </is>
      </c>
      <c r="E1341" s="149" t="n">
        <v>1.5</v>
      </c>
      <c r="F1341" s="149" t="n">
        <v>1.5</v>
      </c>
      <c r="G1341" s="149" t="n">
        <v>1.7</v>
      </c>
      <c r="H1341" s="149" t="inlineStr">
        <is>
          <t>Closed</t>
        </is>
      </c>
      <c r="I1341" s="149" t="inlineStr">
        <is>
          <t>25-21</t>
        </is>
      </c>
    </row>
    <row r="1342">
      <c r="A1342" s="149" t="inlineStr">
        <is>
          <t>1180</t>
        </is>
      </c>
      <c r="B1342" s="149" t="inlineStr">
        <is>
          <t>32990021</t>
        </is>
      </c>
      <c r="C1342" s="149" t="inlineStr">
        <is>
          <t>CAB PAX SEAT--- SEAT SHOP-- NO CALL BACK PAX SEAT 43 J,K   ACTUATOR NUT MISSING.</t>
        </is>
      </c>
      <c r="D1342" s="149" t="inlineStr">
        <is>
          <t>1</t>
        </is>
      </c>
      <c r="E1342" s="149" t="n"/>
      <c r="F1342" s="149" t="n">
        <v>1.5</v>
      </c>
      <c r="G1342" s="149" t="n">
        <v>1.8</v>
      </c>
      <c r="H1342" s="149" t="inlineStr">
        <is>
          <t>Closed</t>
        </is>
      </c>
      <c r="I1342" s="149" t="inlineStr">
        <is>
          <t>25-21</t>
        </is>
      </c>
    </row>
    <row r="1343">
      <c r="A1343" s="149" t="inlineStr">
        <is>
          <t>1181</t>
        </is>
      </c>
      <c r="B1343" s="149" t="inlineStr">
        <is>
          <t>32990026</t>
        </is>
      </c>
      <c r="C1343" s="149" t="inlineStr">
        <is>
          <t>CAB--PAX SEAT--- RII CAB  PAX SEAT 43C FWD BEAM WITH CRACK.</t>
        </is>
      </c>
      <c r="D1343" s="149" t="inlineStr">
        <is>
          <t>1</t>
        </is>
      </c>
      <c r="E1343" s="149" t="n"/>
      <c r="F1343" s="149" t="n">
        <v>2.1</v>
      </c>
      <c r="G1343" s="149" t="n">
        <v>30.8</v>
      </c>
      <c r="H1343" s="149" t="inlineStr">
        <is>
          <t>Closed</t>
        </is>
      </c>
      <c r="I1343" s="149" t="inlineStr">
        <is>
          <t>25-21</t>
        </is>
      </c>
    </row>
    <row r="1344">
      <c r="A1344" s="149" t="inlineStr">
        <is>
          <t>1182</t>
        </is>
      </c>
      <c r="B1344" s="149" t="inlineStr">
        <is>
          <t>32990029</t>
        </is>
      </c>
      <c r="C1344" s="149" t="inlineStr">
        <is>
          <t>CAB--PAX SEAT--- RII CAB  PAX SEAT 40C FWD BEAM WITH CRACK.</t>
        </is>
      </c>
      <c r="D1344" s="149" t="inlineStr">
        <is>
          <t>1</t>
        </is>
      </c>
      <c r="E1344" s="149" t="n"/>
      <c r="F1344" s="149" t="n">
        <v>2.1</v>
      </c>
      <c r="G1344" s="149" t="n">
        <v>29.7</v>
      </c>
      <c r="H1344" s="149" t="inlineStr">
        <is>
          <t>Closed</t>
        </is>
      </c>
      <c r="I1344" s="149" t="inlineStr">
        <is>
          <t>25-21</t>
        </is>
      </c>
    </row>
    <row r="1345">
      <c r="A1345" s="149" t="inlineStr">
        <is>
          <t>1183</t>
        </is>
      </c>
      <c r="B1345" s="149" t="inlineStr">
        <is>
          <t>32990034</t>
        </is>
      </c>
      <c r="C1345" s="149" t="inlineStr">
        <is>
          <t>CAB--PAX SEAT--- RII CAB  PAX SEAT NO 35C FWD BEAM WITH CRACK.</t>
        </is>
      </c>
      <c r="D1345" s="149" t="inlineStr">
        <is>
          <t>1</t>
        </is>
      </c>
      <c r="E1345" s="149" t="n"/>
      <c r="F1345" s="149" t="n">
        <v>2.1</v>
      </c>
      <c r="G1345" s="149" t="n">
        <v>30.7</v>
      </c>
      <c r="H1345" s="149" t="inlineStr">
        <is>
          <t>Closed</t>
        </is>
      </c>
      <c r="I1345" s="149" t="inlineStr">
        <is>
          <t>25-21</t>
        </is>
      </c>
    </row>
    <row r="1346">
      <c r="A1346" s="149" t="inlineStr">
        <is>
          <t>1184</t>
        </is>
      </c>
      <c r="B1346" s="149" t="inlineStr">
        <is>
          <t>32990037</t>
        </is>
      </c>
      <c r="C1346" s="149" t="inlineStr">
        <is>
          <t>CAB--PAX SEAT--- RII CAB  PAX SEAT NO 33C FWD BEAM WITH CRACK.</t>
        </is>
      </c>
      <c r="D1346" s="149" t="inlineStr">
        <is>
          <t>1</t>
        </is>
      </c>
      <c r="E1346" s="149" t="n"/>
      <c r="F1346" s="149" t="n">
        <v>2.1</v>
      </c>
      <c r="G1346" s="149" t="n">
        <v>30.7</v>
      </c>
      <c r="H1346" s="149" t="inlineStr">
        <is>
          <t>Closed</t>
        </is>
      </c>
      <c r="I1346" s="149" t="inlineStr">
        <is>
          <t>25-21</t>
        </is>
      </c>
    </row>
    <row r="1347">
      <c r="A1347" s="149" t="inlineStr">
        <is>
          <t>1185</t>
        </is>
      </c>
      <c r="B1347" s="149" t="inlineStr">
        <is>
          <t>32990036</t>
        </is>
      </c>
      <c r="C1347" s="149" t="inlineStr">
        <is>
          <t>#1 ENG - L/H AND R/H FAN COWLS - BULB SEAL - AP - RII #1 ENG L/H AND R/H FAN COWLS FOUND DRAIN MAST BULB SEAL DETERIORATED .</t>
        </is>
      </c>
      <c r="D1347" s="149" t="inlineStr">
        <is>
          <t>1</t>
        </is>
      </c>
      <c r="E1347" s="149" t="n">
        <v>8</v>
      </c>
      <c r="F1347" s="149" t="n">
        <v>24.1</v>
      </c>
      <c r="G1347" s="149" t="n">
        <v>99</v>
      </c>
      <c r="H1347" s="149" t="inlineStr">
        <is>
          <t>Closed</t>
        </is>
      </c>
      <c r="I1347" s="149" t="inlineStr">
        <is>
          <t>71-13</t>
        </is>
      </c>
    </row>
    <row r="1348">
      <c r="A1348" s="149" t="inlineStr">
        <is>
          <t>1203</t>
        </is>
      </c>
      <c r="B1348" s="149" t="inlineStr">
        <is>
          <t>32991517</t>
        </is>
      </c>
      <c r="C1348" s="149" t="inlineStr">
        <is>
          <t>PNT - NO CALLBACK - LAV D LAV D ACCESS DOOR WASTE COMPARTMENT INSIDE PAINT SCRATCHED.</t>
        </is>
      </c>
      <c r="D1348" s="149" t="inlineStr">
        <is>
          <t>1</t>
        </is>
      </c>
      <c r="E1348" s="149" t="n">
        <v>5</v>
      </c>
      <c r="F1348" s="149" t="n">
        <v>5</v>
      </c>
      <c r="G1348" s="149" t="n">
        <v>86.09999999999999</v>
      </c>
      <c r="H1348" s="149" t="inlineStr">
        <is>
          <t>Closed</t>
        </is>
      </c>
      <c r="I1348" s="149" t="inlineStr">
        <is>
          <t>25</t>
        </is>
      </c>
    </row>
    <row r="1349">
      <c r="A1349" s="149" t="inlineStr">
        <is>
          <t>1208</t>
        </is>
      </c>
      <c r="B1349" s="149" t="inlineStr">
        <is>
          <t>32991585</t>
        </is>
      </c>
      <c r="C1349" s="149" t="inlineStr">
        <is>
          <t>FINDING (NRC) TASKCARD 25-SVA-03 (01) / ITEM ONE B/C SEAT# 2C  CLOSEOUT - VIDEO, AISLE LOOSE.</t>
        </is>
      </c>
      <c r="D1349" s="149" t="inlineStr">
        <is>
          <t>1</t>
        </is>
      </c>
      <c r="E1349" s="149" t="n">
        <v>2</v>
      </c>
      <c r="F1349" s="149" t="n">
        <v>2</v>
      </c>
      <c r="G1349" s="149" t="n">
        <v>2</v>
      </c>
      <c r="H1349" s="149" t="inlineStr">
        <is>
          <t>Closed</t>
        </is>
      </c>
      <c r="I1349" s="149" t="inlineStr">
        <is>
          <t>25-21</t>
        </is>
      </c>
    </row>
    <row r="1350">
      <c r="A1350" s="149" t="inlineStr">
        <is>
          <t>1226</t>
        </is>
      </c>
      <c r="B1350" s="149" t="inlineStr">
        <is>
          <t>32992522</t>
        </is>
      </c>
      <c r="C1350" s="149" t="inlineStr">
        <is>
          <t>RH THS UPPER TRAILING EDGE PANEL -SM - NO CALLBACK RH THS UPPER TRAILING EDGE PANEL WITH FROZEN SCREW ON PANEL 344AT, 344 BT AND 344 CT</t>
        </is>
      </c>
      <c r="D1350" s="149" t="inlineStr">
        <is>
          <t>1</t>
        </is>
      </c>
      <c r="E1350" s="149" t="n"/>
      <c r="F1350" s="149" t="n">
        <v>62.8</v>
      </c>
      <c r="G1350" s="149" t="n">
        <v>96.2</v>
      </c>
      <c r="H1350" s="149" t="inlineStr">
        <is>
          <t>Closed</t>
        </is>
      </c>
      <c r="I1350" s="149" t="inlineStr">
        <is>
          <t>55-10-00</t>
        </is>
      </c>
    </row>
    <row r="1351">
      <c r="A1351" s="149" t="inlineStr">
        <is>
          <t>1237</t>
        </is>
      </c>
      <c r="B1351" s="149" t="inlineStr">
        <is>
          <t>32993180</t>
        </is>
      </c>
      <c r="C1351" s="149" t="inlineStr">
        <is>
          <t>FUEL TANK ACCESS PANELS WITH FROZEN SCREW--NO CALL BACK LH WING FUEL TANK ACCESS PANELS 540HB (5EA) , 540JB (2EA) , 540KB (3EA) AND 540QB (1EA) WITH FROZEN SCREW.</t>
        </is>
      </c>
      <c r="D1351" s="149" t="inlineStr">
        <is>
          <t>1</t>
        </is>
      </c>
      <c r="E1351" s="149" t="n"/>
      <c r="F1351" s="149" t="n">
        <v>6.8</v>
      </c>
      <c r="G1351" s="149" t="n">
        <v>61.3</v>
      </c>
      <c r="H1351" s="149" t="inlineStr">
        <is>
          <t>Closed</t>
        </is>
      </c>
      <c r="I1351" s="149" t="inlineStr">
        <is>
          <t>57-21</t>
        </is>
      </c>
    </row>
    <row r="1352">
      <c r="A1352" s="149" t="inlineStr">
        <is>
          <t>1238</t>
        </is>
      </c>
      <c r="B1352" s="149" t="inlineStr">
        <is>
          <t>32993201</t>
        </is>
      </c>
      <c r="C1352" s="149" t="inlineStr">
        <is>
          <t>L/H AND R/H WINGS KIDNEY PANELS DIRTY ---FS---  NO CALL BACK PANELS NUMBER: 574AB AND 574BB FOR LEFT WING, AND 674AB, 674BB FOR RIGHT WING, AREA INSIDE FOUND DIRTY REQ FS ACTION</t>
        </is>
      </c>
      <c r="D1352" s="149" t="inlineStr">
        <is>
          <t>1</t>
        </is>
      </c>
      <c r="E1352" s="149" t="n">
        <v>19</v>
      </c>
      <c r="F1352" s="149" t="n">
        <v>13</v>
      </c>
      <c r="G1352" s="149" t="n">
        <v>6.5</v>
      </c>
      <c r="H1352" s="149" t="inlineStr">
        <is>
          <t>Closed</t>
        </is>
      </c>
      <c r="I1352" s="149" t="inlineStr">
        <is>
          <t>05-25</t>
        </is>
      </c>
    </row>
    <row r="1353">
      <c r="A1353" s="149" t="inlineStr">
        <is>
          <t>1242</t>
        </is>
      </c>
      <c r="B1353" s="149" t="inlineStr">
        <is>
          <t>32993275</t>
        </is>
      </c>
      <c r="C1353" s="149" t="inlineStr">
        <is>
          <t>R/H WING TRAILING EDGE---SM---- NO CALL BACK R/H WING TRAILING EDGE UPPER SKIN/TOP SKIN, SPOILER #3  NEAR CENTER ATTACHMENT 03EA RIVET LOOSE/SHEARD.</t>
        </is>
      </c>
      <c r="D1353" s="149" t="inlineStr">
        <is>
          <t>1</t>
        </is>
      </c>
      <c r="E1353" s="149" t="n"/>
      <c r="F1353" s="149" t="n">
        <v>27.3</v>
      </c>
      <c r="G1353" s="149" t="n">
        <v>64.8</v>
      </c>
      <c r="H1353" s="149" t="inlineStr">
        <is>
          <t>Closed</t>
        </is>
      </c>
      <c r="I1353" s="149" t="inlineStr">
        <is>
          <t>05-25</t>
        </is>
      </c>
    </row>
    <row r="1354">
      <c r="A1354" s="149" t="inlineStr">
        <is>
          <t>1243</t>
        </is>
      </c>
      <c r="B1354" s="149" t="inlineStr">
        <is>
          <t>32993277</t>
        </is>
      </c>
      <c r="C1354" s="149" t="inlineStr">
        <is>
          <t>R/H WING TRAILING EDGE---SM---- NO CALL BACK R/H WING TRAILING EDGE, SPOILER #2  NEAR CENTER HING TOP SKIN 1EA RIVET LOOSE AND 1EA IS MISSING.</t>
        </is>
      </c>
      <c r="D1354" s="149" t="inlineStr">
        <is>
          <t>1</t>
        </is>
      </c>
      <c r="E1354" s="149" t="n"/>
      <c r="F1354" s="149" t="n">
        <v>13.3</v>
      </c>
      <c r="G1354" s="149" t="n">
        <v>65.2</v>
      </c>
      <c r="H1354" s="149" t="inlineStr">
        <is>
          <t>Closed</t>
        </is>
      </c>
      <c r="I1354" s="149" t="inlineStr">
        <is>
          <t>05-25</t>
        </is>
      </c>
    </row>
    <row r="1355">
      <c r="A1355" s="149" t="inlineStr">
        <is>
          <t>1244</t>
        </is>
      </c>
      <c r="B1355" s="149" t="inlineStr">
        <is>
          <t>32993284</t>
        </is>
      </c>
      <c r="C1355" s="149" t="inlineStr">
        <is>
          <t>R/H WING TRAILING EDGE---SM---- NO CALL BACK R/H WING TRAILING EDGE, SPOILER #2  IN BOARD HINGE TOP SKIN 1EA RIVET LOOSE.</t>
        </is>
      </c>
      <c r="D1355" s="149" t="inlineStr">
        <is>
          <t>1</t>
        </is>
      </c>
      <c r="E1355" s="149" t="n"/>
      <c r="F1355" s="149" t="n">
        <v>12.3</v>
      </c>
      <c r="G1355" s="149" t="n">
        <v>65.5</v>
      </c>
      <c r="H1355" s="149" t="inlineStr">
        <is>
          <t>Closed</t>
        </is>
      </c>
      <c r="I1355" s="149" t="inlineStr">
        <is>
          <t>05-25</t>
        </is>
      </c>
    </row>
    <row r="1356">
      <c r="A1356" s="149" t="inlineStr">
        <is>
          <t>1247</t>
        </is>
      </c>
      <c r="B1356" s="149" t="inlineStr">
        <is>
          <t>32994020</t>
        </is>
      </c>
      <c r="C1356" s="149" t="inlineStr">
        <is>
          <t>FINDING (NRC) TASKCARD 25-SVA-03 (01) / ITEM ONE ALL B/C SEAT DIAPHRAGM - SEATPAN REQUIRE REMOVE FOR ACCESS</t>
        </is>
      </c>
      <c r="D1356" s="149" t="inlineStr">
        <is>
          <t>1</t>
        </is>
      </c>
      <c r="E1356" s="149" t="n">
        <v>24</v>
      </c>
      <c r="F1356" s="149" t="n">
        <v>24</v>
      </c>
      <c r="G1356" s="149" t="n">
        <v>8</v>
      </c>
      <c r="H1356" s="149" t="inlineStr">
        <is>
          <t>Closed</t>
        </is>
      </c>
      <c r="I1356" s="149" t="inlineStr">
        <is>
          <t>25-21</t>
        </is>
      </c>
    </row>
    <row r="1357">
      <c r="A1357" s="149" t="inlineStr">
        <is>
          <t>1248</t>
        </is>
      </c>
      <c r="B1357" s="149" t="inlineStr">
        <is>
          <t>32994039</t>
        </is>
      </c>
      <c r="C1357" s="149" t="inlineStr">
        <is>
          <t>FINDING (NRC) TASKCARD 25-SVA-05 (01) / ITEM ONE ALL G/C SEAT DIAPHRAGM – BOTTOM REQUIRE REMOVE FOR ACCESS</t>
        </is>
      </c>
      <c r="D1357" s="149" t="inlineStr">
        <is>
          <t>1</t>
        </is>
      </c>
      <c r="E1357" s="149" t="n">
        <v>12</v>
      </c>
      <c r="F1357" s="149" t="n">
        <v>12</v>
      </c>
      <c r="G1357" s="149" t="n">
        <v>61.4</v>
      </c>
      <c r="H1357" s="149" t="inlineStr">
        <is>
          <t>Closed</t>
        </is>
      </c>
      <c r="I1357" s="149" t="inlineStr">
        <is>
          <t>25-21</t>
        </is>
      </c>
    </row>
    <row r="1358">
      <c r="A1358" s="149" t="inlineStr">
        <is>
          <t>1249</t>
        </is>
      </c>
      <c r="B1358" s="149" t="inlineStr">
        <is>
          <t>32994166</t>
        </is>
      </c>
      <c r="C1358" s="149" t="inlineStr">
        <is>
          <t>FINDING (NRC) TASKCARD 712212-01-1-001 (02) / ENG#2   AP---CALL BACK ENG#2 FWD MOUNT LINK LUGS REQ CLEANING TO FACILITATE THE INSPECTION</t>
        </is>
      </c>
      <c r="D1358" s="149" t="inlineStr">
        <is>
          <t>1</t>
        </is>
      </c>
      <c r="E1358" s="149" t="n"/>
      <c r="F1358" s="149" t="n">
        <v>7</v>
      </c>
      <c r="G1358" s="149" t="n">
        <v>2.9</v>
      </c>
      <c r="H1358" s="149" t="inlineStr">
        <is>
          <t>Closed</t>
        </is>
      </c>
      <c r="I1358" s="149" t="inlineStr">
        <is>
          <t>71-22</t>
        </is>
      </c>
    </row>
    <row r="1359">
      <c r="A1359" s="149" t="inlineStr">
        <is>
          <t>1251</t>
        </is>
      </c>
      <c r="B1359" s="149" t="inlineStr">
        <is>
          <t>32994173</t>
        </is>
      </c>
      <c r="C1359" s="149" t="inlineStr">
        <is>
          <t>FINDING (NRC) TASKCARD 712112-01-1-002 (03) ENG#2  AP-- CALLBACK ENG#2 AFT MOUNT LINK LUGS REQ CLEANING TO FACILITATE THE INSPECTION</t>
        </is>
      </c>
      <c r="D1359" s="149" t="inlineStr">
        <is>
          <t>1</t>
        </is>
      </c>
      <c r="E1359" s="149" t="n"/>
      <c r="F1359" s="149" t="n">
        <v>5</v>
      </c>
      <c r="G1359" s="149" t="n">
        <v>8.4</v>
      </c>
      <c r="H1359" s="149" t="inlineStr">
        <is>
          <t>Closed</t>
        </is>
      </c>
      <c r="I1359" s="149" t="inlineStr">
        <is>
          <t>71-21</t>
        </is>
      </c>
    </row>
    <row r="1360">
      <c r="A1360" s="149" t="inlineStr">
        <is>
          <t>1252</t>
        </is>
      </c>
      <c r="B1360" s="149" t="inlineStr">
        <is>
          <t>32994187</t>
        </is>
      </c>
      <c r="C1360" s="149" t="inlineStr">
        <is>
          <t>FINDING (NRC) TASKCARD 712112-01-1-001 (03) ENG#1   AP---CALLBACK ENG#1 FWD MOUNT LINK LUGS REQ CLEANING TO FACILITATE THE INSPECTION</t>
        </is>
      </c>
      <c r="D1360" s="149" t="inlineStr">
        <is>
          <t>1</t>
        </is>
      </c>
      <c r="E1360" s="149" t="n"/>
      <c r="F1360" s="149" t="n">
        <v>4.1</v>
      </c>
      <c r="G1360" s="149" t="n">
        <v>2.7</v>
      </c>
      <c r="H1360" s="149" t="inlineStr">
        <is>
          <t>Closed</t>
        </is>
      </c>
      <c r="I1360" s="149" t="inlineStr">
        <is>
          <t>71-21</t>
        </is>
      </c>
    </row>
    <row r="1361">
      <c r="A1361" s="149" t="inlineStr">
        <is>
          <t>1253</t>
        </is>
      </c>
      <c r="B1361" s="149" t="inlineStr">
        <is>
          <t>32994193</t>
        </is>
      </c>
      <c r="C1361" s="149" t="inlineStr">
        <is>
          <t>FINDING (NRC) TASKCARD 712212-01-1-002 (02) ENG#1   AP--CALLBACK ENG#1 AFT MOUNT LINK LUGS REQ CLEANING TO FACILITATE THE INSPECTION</t>
        </is>
      </c>
      <c r="D1361" s="149" t="inlineStr">
        <is>
          <t>1</t>
        </is>
      </c>
      <c r="E1361" s="149" t="n"/>
      <c r="F1361" s="149" t="n">
        <v>4.1</v>
      </c>
      <c r="G1361" s="149" t="n">
        <v>2.4</v>
      </c>
      <c r="H1361" s="149" t="inlineStr">
        <is>
          <t>Closed</t>
        </is>
      </c>
      <c r="I1361" s="149" t="inlineStr">
        <is>
          <t>71-22</t>
        </is>
      </c>
    </row>
    <row r="1362">
      <c r="A1362" s="149" t="inlineStr">
        <is>
          <t>1256</t>
        </is>
      </c>
      <c r="B1362" s="149" t="inlineStr">
        <is>
          <t>32995398</t>
        </is>
      </c>
      <c r="C1362" s="149" t="inlineStr">
        <is>
          <t>NO CALL BACK FUSELAGE (FS) FWD AVIONIC COPMARTMENT ZONAL INSP FROM ZONES 121 TO 122 REQ CLEAINING</t>
        </is>
      </c>
      <c r="D1362" s="149" t="inlineStr">
        <is>
          <t>1</t>
        </is>
      </c>
      <c r="E1362" s="149" t="n">
        <v>9</v>
      </c>
      <c r="F1362" s="149" t="n">
        <v>9</v>
      </c>
      <c r="G1362" s="149" t="n">
        <v>3</v>
      </c>
      <c r="H1362" s="149" t="inlineStr">
        <is>
          <t>Closed</t>
        </is>
      </c>
      <c r="I1362" s="149" t="inlineStr">
        <is>
          <t>05-21</t>
        </is>
      </c>
    </row>
    <row r="1363">
      <c r="A1363" t="inlineStr">
        <is>
          <t>1257</t>
        </is>
      </c>
      <c r="B1363" t="inlineStr">
        <is>
          <t>32995496</t>
        </is>
      </c>
      <c r="C1363" t="inlineStr">
        <is>
          <t xml:space="preserve">L/H VERTICAL STAP-----SM-------NO CALL BACK L/H UPPER VERTICAL STAB PNLS (334AT,334CT,334DT) WITH ROUNDED SCREWS </t>
        </is>
      </c>
      <c r="D1363" t="inlineStr">
        <is>
          <t>1</t>
        </is>
      </c>
      <c r="F1363" t="n">
        <v>12.3</v>
      </c>
      <c r="G1363" t="n">
        <v>69.8</v>
      </c>
      <c r="H1363" t="inlineStr">
        <is>
          <t>Closed</t>
        </is>
      </c>
      <c r="I1363" t="inlineStr">
        <is>
          <t>55-33</t>
        </is>
      </c>
    </row>
    <row r="1364">
      <c r="A1364" t="inlineStr">
        <is>
          <t>1259</t>
        </is>
      </c>
      <c r="B1364" t="inlineStr">
        <is>
          <t>32995625</t>
        </is>
      </c>
      <c r="C1364" t="inlineStr">
        <is>
          <t>RH WING FUEL ACCESS PNLS #640KB WITH 1 FROZEN SCREW ,640LB WITH 2 FROZEN SCREW AND 640HB WITH 1 FROZEN SCREW ,REQ TO REMOVE</t>
        </is>
      </c>
      <c r="D1364" t="inlineStr">
        <is>
          <t>1</t>
        </is>
      </c>
      <c r="F1364" t="n">
        <v>7.2</v>
      </c>
      <c r="G1364" t="n">
        <v>63</v>
      </c>
      <c r="H1364" t="inlineStr">
        <is>
          <t>Closed</t>
        </is>
      </c>
      <c r="I1364" t="inlineStr">
        <is>
          <t>57-21</t>
        </is>
      </c>
    </row>
    <row r="1365">
      <c r="A1365" t="inlineStr">
        <is>
          <t>1260</t>
        </is>
      </c>
      <c r="B1365" t="inlineStr">
        <is>
          <t>32995946</t>
        </is>
      </c>
      <c r="C1365" t="inlineStr">
        <is>
          <t>FINDING (NRC) TASKCARD 25-21-00-00-SVA (01) / ITEM ONE B/C SEAT# 1AC  CUSHION ASSY-LEGREST TORN.</t>
        </is>
      </c>
      <c r="D1365" t="inlineStr">
        <is>
          <t>1</t>
        </is>
      </c>
      <c r="E1365" t="n">
        <v>2</v>
      </c>
      <c r="F1365" t="n">
        <v>2</v>
      </c>
      <c r="G1365" t="n">
        <v>2.3</v>
      </c>
      <c r="H1365" t="inlineStr">
        <is>
          <t>Closed</t>
        </is>
      </c>
      <c r="I1365" t="inlineStr">
        <is>
          <t>25-25</t>
        </is>
      </c>
    </row>
    <row r="1366">
      <c r="A1366" t="inlineStr">
        <is>
          <t>1264</t>
        </is>
      </c>
      <c r="B1366" t="inlineStr">
        <is>
          <t>32996610</t>
        </is>
      </c>
      <c r="C1366" t="inlineStr">
        <is>
          <t>FINDING (NRC) TASKCARD 25-SVA-05 (01) / ITEM ONE G/C FRONT ROW SEAT#30A,B,C,J,K,L, ESCUTCHEON – IAT WITH SCRATCH.</t>
        </is>
      </c>
      <c r="D1366" t="inlineStr">
        <is>
          <t>1</t>
        </is>
      </c>
      <c r="E1366" t="n">
        <v>6.5</v>
      </c>
      <c r="F1366" t="n">
        <v>6.5</v>
      </c>
      <c r="G1366" t="n">
        <v>6.7</v>
      </c>
      <c r="H1366" t="inlineStr">
        <is>
          <t>Closed</t>
        </is>
      </c>
      <c r="I1366" t="inlineStr">
        <is>
          <t>25-21</t>
        </is>
      </c>
    </row>
    <row r="1367">
      <c r="A1367" t="inlineStr">
        <is>
          <t>1268</t>
        </is>
      </c>
      <c r="B1367" t="inlineStr">
        <is>
          <t>32996857</t>
        </is>
      </c>
      <c r="C1367" t="inlineStr">
        <is>
          <t>CAPT FIXED WINDOW======AP=====RII CAPT SIDE FIXED WINDOW AFT LWR CORNER WITH BUBBLES DIMENSIONS AS FOLLOWS  LENGTH =3" WIDTH= 1.1"</t>
        </is>
      </c>
      <c r="D1367" t="inlineStr">
        <is>
          <t>1</t>
        </is>
      </c>
      <c r="E1367" t="n">
        <v>8</v>
      </c>
      <c r="F1367" t="n">
        <v>2.8</v>
      </c>
      <c r="G1367" t="n">
        <v>2</v>
      </c>
      <c r="H1367" t="inlineStr">
        <is>
          <t>Closed</t>
        </is>
      </c>
      <c r="I1367" t="inlineStr">
        <is>
          <t>56-10</t>
        </is>
      </c>
    </row>
    <row r="1368">
      <c r="A1368" t="inlineStr">
        <is>
          <t>1275</t>
        </is>
      </c>
      <c r="B1368" t="inlineStr">
        <is>
          <t>32998246</t>
        </is>
      </c>
      <c r="C1368" t="inlineStr">
        <is>
          <t>FWD CGO DOOR.....FS....NO CALLBACK FWD CGO DOOR LATCHING MECHANISM INTERNAL STRUCTURE DIRTY</t>
        </is>
      </c>
      <c r="D1368" t="inlineStr">
        <is>
          <t>1</t>
        </is>
      </c>
      <c r="E1368" t="n">
        <v>2</v>
      </c>
      <c r="F1368" t="n">
        <v>2</v>
      </c>
      <c r="G1368" t="n">
        <v>1</v>
      </c>
      <c r="H1368" t="inlineStr">
        <is>
          <t>Closed</t>
        </is>
      </c>
      <c r="I1368" t="inlineStr">
        <is>
          <t>52-30-00</t>
        </is>
      </c>
    </row>
    <row r="1369">
      <c r="A1369" t="inlineStr">
        <is>
          <t>1276</t>
        </is>
      </c>
      <c r="B1369" t="inlineStr">
        <is>
          <t>32998252</t>
        </is>
      </c>
      <c r="C1369" t="inlineStr">
        <is>
          <t>AFT CGO DOOR....FS....NO CALLBACK AFT CGO DOOR LATCHING MECHANISM INTERNAL STRUCTURE DIRTY</t>
        </is>
      </c>
      <c r="D1369" t="inlineStr">
        <is>
          <t>1</t>
        </is>
      </c>
      <c r="E1369" t="n">
        <v>2</v>
      </c>
      <c r="F1369" t="n">
        <v>2</v>
      </c>
      <c r="G1369" t="n">
        <v>1</v>
      </c>
      <c r="H1369" t="inlineStr">
        <is>
          <t>Closed</t>
        </is>
      </c>
      <c r="I1369" t="inlineStr">
        <is>
          <t>52-30-00</t>
        </is>
      </c>
    </row>
    <row r="1370">
      <c r="A1370" t="inlineStr">
        <is>
          <t>1285</t>
        </is>
      </c>
      <c r="B1370" t="inlineStr">
        <is>
          <t>33001460</t>
        </is>
      </c>
      <c r="C1370" t="inlineStr">
        <is>
          <t>LH OVER WING PNL ---SM--NO CALLBACK--- WING ROOT PNL 191ET WITH 3 EA WRON HEAD SCREWS</t>
        </is>
      </c>
      <c r="D1370" t="inlineStr">
        <is>
          <t>1</t>
        </is>
      </c>
      <c r="F1370" t="n">
        <v>17.8</v>
      </c>
      <c r="G1370" t="n">
        <v>12.2</v>
      </c>
      <c r="H1370" t="inlineStr">
        <is>
          <t>Closed</t>
        </is>
      </c>
      <c r="I1370" t="inlineStr">
        <is>
          <t>53-41</t>
        </is>
      </c>
    </row>
    <row r="1371">
      <c r="A1371" t="inlineStr">
        <is>
          <t>1288</t>
        </is>
      </c>
      <c r="B1371" t="inlineStr">
        <is>
          <t>33002750</t>
        </is>
      </c>
      <c r="C1371" t="inlineStr">
        <is>
          <t>PNT---NO CALLBACK---RH WING SLAT RH WING SLAT 1, 2, 3, 4 &amp; 5 TRAILING EDGES WITH PAINT CHIPPED OFF</t>
        </is>
      </c>
      <c r="D1371" t="inlineStr">
        <is>
          <t>1</t>
        </is>
      </c>
      <c r="E1371" t="n">
        <v>16</v>
      </c>
      <c r="F1371" t="n">
        <v>13.5</v>
      </c>
      <c r="G1371" t="n">
        <v>6.6</v>
      </c>
      <c r="H1371" t="inlineStr">
        <is>
          <t>Closed</t>
        </is>
      </c>
      <c r="I1371" t="inlineStr">
        <is>
          <t>57-42</t>
        </is>
      </c>
    </row>
    <row r="1372">
      <c r="A1372" t="inlineStr">
        <is>
          <t>1303</t>
        </is>
      </c>
      <c r="B1372" t="inlineStr">
        <is>
          <t>33011331</t>
        </is>
      </c>
      <c r="C1372" t="inlineStr">
        <is>
          <t>FINDING (NRC) TASKCARD 572065-01-1-001 (03) / ITEM ONE PNT--NOCALLBACK LH WING TRAILING  EDGE AREA AT WING LOWER SURFACE BETWEEN RIB 1-5 WITH PAINT CRACKING / CHIPPED OFF</t>
        </is>
      </c>
      <c r="D1372" t="inlineStr">
        <is>
          <t>1</t>
        </is>
      </c>
      <c r="E1372" t="n">
        <v>16</v>
      </c>
      <c r="F1372" t="n">
        <v>17</v>
      </c>
      <c r="G1372" t="n">
        <v>6.5</v>
      </c>
      <c r="H1372" t="inlineStr">
        <is>
          <t>Closed</t>
        </is>
      </c>
      <c r="I1372" t="inlineStr">
        <is>
          <t>57-20</t>
        </is>
      </c>
    </row>
    <row r="1373">
      <c r="A1373" t="inlineStr">
        <is>
          <t>1307</t>
        </is>
      </c>
      <c r="B1373" t="inlineStr">
        <is>
          <t>33013426</t>
        </is>
      </c>
      <c r="C1373" t="inlineStr">
        <is>
          <t>L/H WING ---AP--- NO CALL BACK L/H WING TRAILING EDGE TORQUE SHAFT FROM  RIB 5 TO RIB 27 VERY DIRTY</t>
        </is>
      </c>
      <c r="D1373" t="inlineStr">
        <is>
          <t>1</t>
        </is>
      </c>
      <c r="E1373" t="n">
        <v>4</v>
      </c>
      <c r="F1373" t="n">
        <v>0.5</v>
      </c>
      <c r="G1373" t="n">
        <v>0.5</v>
      </c>
      <c r="H1373" t="inlineStr">
        <is>
          <t>Closed</t>
        </is>
      </c>
      <c r="I1373" t="inlineStr">
        <is>
          <t>57-21</t>
        </is>
      </c>
    </row>
    <row r="1374">
      <c r="A1374" t="inlineStr">
        <is>
          <t>1346</t>
        </is>
      </c>
      <c r="B1374" t="inlineStr">
        <is>
          <t>33022924</t>
        </is>
      </c>
      <c r="C1374" t="inlineStr">
        <is>
          <t>RH WING FUEL ACCESS PNL#640KB WITH 4EA FROZEN SCREW</t>
        </is>
      </c>
      <c r="D1374" t="inlineStr">
        <is>
          <t>1</t>
        </is>
      </c>
      <c r="F1374" t="n">
        <v>6</v>
      </c>
      <c r="G1374" t="n">
        <v>2</v>
      </c>
      <c r="H1374" t="inlineStr">
        <is>
          <t>Closed</t>
        </is>
      </c>
      <c r="I1374" t="inlineStr">
        <is>
          <t>57-21</t>
        </is>
      </c>
    </row>
    <row r="1375">
      <c r="A1375" t="inlineStr">
        <is>
          <t>1350</t>
        </is>
      </c>
      <c r="B1375" t="inlineStr">
        <is>
          <t>33023367</t>
        </is>
      </c>
      <c r="C1375" t="inlineStr">
        <is>
          <t>AP---NO CALLBACK---UNDER BELLY FAIRING AFT CARGO COMPARTMENT-HEATING PRESSURE-REGULATING VALVE FWD CLAMP NOT SECURED WITH BENDED SECURING BOLT UNDER PANEL 197BB</t>
        </is>
      </c>
      <c r="D1375" t="inlineStr">
        <is>
          <t>1</t>
        </is>
      </c>
      <c r="E1375" t="n">
        <v>6</v>
      </c>
      <c r="F1375" t="n">
        <v>7</v>
      </c>
      <c r="G1375" t="n">
        <v>1.8</v>
      </c>
      <c r="H1375" t="inlineStr">
        <is>
          <t>Closed</t>
        </is>
      </c>
      <c r="I1375" t="inlineStr">
        <is>
          <t>53-41</t>
        </is>
      </c>
    </row>
    <row r="1376">
      <c r="A1376" t="inlineStr">
        <is>
          <t>1351</t>
        </is>
      </c>
      <c r="B1376" t="inlineStr">
        <is>
          <t>33023576</t>
        </is>
      </c>
      <c r="C1376" t="inlineStr">
        <is>
          <t>AP---NO CALLBACK---UNDER PNL BELLY FAIRING PNUEMATIC DUCT UNDER THE OVERWING SLIDE LH SIDE ONE TIE CLAMP NOT SECURED</t>
        </is>
      </c>
      <c r="D1376" t="inlineStr">
        <is>
          <t>1</t>
        </is>
      </c>
      <c r="E1376" t="n">
        <v>6</v>
      </c>
      <c r="F1376" t="n">
        <v>7</v>
      </c>
      <c r="G1376" t="n">
        <v>1.6</v>
      </c>
      <c r="H1376" t="inlineStr">
        <is>
          <t>Closed</t>
        </is>
      </c>
      <c r="I1376" t="inlineStr">
        <is>
          <t>53-41</t>
        </is>
      </c>
    </row>
    <row r="1377">
      <c r="A1377" t="inlineStr">
        <is>
          <t>1352</t>
        </is>
      </c>
      <c r="B1377" t="inlineStr">
        <is>
          <t>33023575</t>
        </is>
      </c>
      <c r="C1377" t="inlineStr">
        <is>
          <t>FINDING (NRC) TASKCARD 531102-01-1 (5) / ITEM-1 PNT--NOCALLBACK BOTH FWD LH AND RH UPPER PASSENGER DOORS CUTOUT WITH PAINT CHAFING</t>
        </is>
      </c>
      <c r="D1377" t="inlineStr">
        <is>
          <t>1</t>
        </is>
      </c>
      <c r="E1377" t="n">
        <v>9</v>
      </c>
      <c r="F1377" t="n">
        <v>10</v>
      </c>
      <c r="G1377" t="n">
        <v>5.2</v>
      </c>
      <c r="H1377" t="inlineStr">
        <is>
          <t>Closed</t>
        </is>
      </c>
      <c r="I1377" t="inlineStr">
        <is>
          <t>53-11</t>
        </is>
      </c>
    </row>
    <row r="1378">
      <c r="A1378" t="inlineStr">
        <is>
          <t>1354</t>
        </is>
      </c>
      <c r="B1378" t="inlineStr">
        <is>
          <t>33023735</t>
        </is>
      </c>
      <c r="C1378" t="inlineStr">
        <is>
          <t>FINDING (NRC) TASKCARD 534132-02-1 (2) / ITEM ONE PNT--NOCLLBACK BOTH AFT LH AND RH UPPER PASSENGER DOORS CUTOUT WITH PAINT CHAFING</t>
        </is>
      </c>
      <c r="D1378" t="inlineStr">
        <is>
          <t>1</t>
        </is>
      </c>
      <c r="E1378" t="n">
        <v>7</v>
      </c>
      <c r="F1378" t="n">
        <v>8</v>
      </c>
      <c r="G1378" t="n">
        <v>5.1</v>
      </c>
      <c r="H1378" t="inlineStr">
        <is>
          <t>Closed</t>
        </is>
      </c>
      <c r="I1378" t="inlineStr">
        <is>
          <t>53-41</t>
        </is>
      </c>
    </row>
    <row r="1379">
      <c r="A1379" t="inlineStr">
        <is>
          <t>1371</t>
        </is>
      </c>
      <c r="B1379" t="inlineStr">
        <is>
          <t>33027363</t>
        </is>
      </c>
      <c r="C1379" t="inlineStr">
        <is>
          <t>FT---NO CALLBACK---RH WING RH WING ACCESS DOOR 640AB PAINT CHIPPED OFF</t>
        </is>
      </c>
      <c r="D1379" t="inlineStr">
        <is>
          <t>1</t>
        </is>
      </c>
      <c r="F1379" t="n">
        <v>2</v>
      </c>
      <c r="G1379" t="n">
        <v>2</v>
      </c>
      <c r="H1379" t="inlineStr">
        <is>
          <t>Closed</t>
        </is>
      </c>
      <c r="I1379" t="inlineStr">
        <is>
          <t>57-20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2026-07-30T07:24:14Z</dcterms:modified>
  <cp:lastModifiedBy>Ahmed Saeed Alghamdi</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