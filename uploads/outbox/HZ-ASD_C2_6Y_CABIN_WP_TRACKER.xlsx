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
      <b val="1"/>
      <color rgb="FF7A5200"/>
      <sz val="8"/>
    </font>
    <font>
      <b val="1"/>
      <color rgb="FF9A6700"/>
      <sz val="20"/>
    </font>
    <font>
      <b val="1"/>
      <color rgb="FF8C1D18"/>
      <sz val="8"/>
    </font>
    <font>
      <b val="1"/>
      <color rgb="FFB3261E"/>
      <sz val="20"/>
    </font>
  </fonts>
  <fills count="76">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55">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66" fillId="51" borderId="28" applyAlignment="1" pivotButton="0" quotePrefix="0" xfId="0">
      <alignment horizontal="center" vertical="center"/>
    </xf>
    <xf numFmtId="0" fontId="78" fillId="51" borderId="28" applyAlignment="1" pivotButton="0" quotePrefix="0" xfId="0">
      <alignment horizontal="left" vertical="center"/>
    </xf>
    <xf numFmtId="0" fontId="144" fillId="30" borderId="28" applyAlignment="1" pivotButton="0" quotePrefix="0" xfId="0">
      <alignment horizontal="left" vertical="center"/>
    </xf>
    <xf numFmtId="0" fontId="150" fillId="48" borderId="28" applyAlignment="1" pivotButton="0" quotePrefix="0" xfId="0">
      <alignment horizontal="left" vertical="center"/>
    </xf>
    <xf numFmtId="0" fontId="166" fillId="51" borderId="27" applyAlignment="1" pivotButton="0" quotePrefix="0" xfId="0">
      <alignment horizontal="center" vertical="center" wrapText="1"/>
    </xf>
    <xf numFmtId="0" fontId="166" fillId="51" borderId="28" applyAlignment="1" pivotButton="0" quotePrefix="0" xfId="0">
      <alignment horizontal="center" vertical="center" wrapText="1"/>
    </xf>
    <xf numFmtId="0" fontId="78" fillId="54" borderId="28" applyAlignment="1" pivotButton="0" quotePrefix="0" xfId="0">
      <alignment horizontal="left" vertical="center"/>
    </xf>
    <xf numFmtId="0" fontId="161" fillId="60" borderId="28" applyAlignment="1" pivotButton="0" quotePrefix="0" xfId="0">
      <alignment horizontal="left" vertical="center"/>
    </xf>
    <xf numFmtId="0" fontId="78" fillId="59" borderId="28" applyAlignment="1" pivotButton="0" quotePrefix="0" xfId="0">
      <alignment horizontal="left" vertical="center"/>
    </xf>
    <xf numFmtId="0" fontId="194" fillId="75" borderId="27" applyAlignment="1" pivotButton="0" quotePrefix="0" xfId="0">
      <alignment horizontal="center" vertical="center" wrapText="1"/>
    </xf>
    <xf numFmtId="0" fontId="192" fillId="73" borderId="27" applyAlignment="1" pivotButton="0" quotePrefix="0" xfId="0">
      <alignment horizontal="center" vertical="center" wrapText="1"/>
    </xf>
    <xf numFmtId="0" fontId="195" fillId="75" borderId="27" applyAlignment="1" pivotButton="0" quotePrefix="0" xfId="0">
      <alignment horizontal="center" vertical="center"/>
    </xf>
    <xf numFmtId="0" fontId="193" fillId="74" borderId="27" applyAlignment="1" pivotButton="0" quotePrefix="0" xfId="0">
      <alignment horizontal="center" vertical="center"/>
    </xf>
    <xf numFmtId="9" fontId="128" fillId="0" borderId="28" applyAlignment="1" pivotButton="0" quotePrefix="0" xfId="0">
      <alignment horizontal="center"/>
    </xf>
    <xf numFmtId="0" fontId="135" fillId="0" borderId="44" applyAlignment="1" pivotButton="0" quotePrefix="0" xfId="0">
      <alignment horizontal="left" vertical="center" indent="1"/>
    </xf>
    <xf numFmtId="0" fontId="128" fillId="0" borderId="44" applyAlignment="1" pivotButton="0" quotePrefix="0" xfId="0">
      <alignment horizontal="center"/>
    </xf>
    <xf numFmtId="9" fontId="128" fillId="0" borderId="44" applyAlignment="1" pivotButton="0" quotePrefix="0" xfId="0">
      <alignment horizontal="center"/>
    </xf>
    <xf numFmtId="0" fontId="0" fillId="0" borderId="44" pivotButton="0" quotePrefix="0" xfId="0"/>
    <xf numFmtId="165" fontId="0" fillId="0" borderId="44" pivotButton="0" quotePrefix="0" xfId="0"/>
    <xf numFmtId="0" fontId="122" fillId="0" borderId="44" applyAlignment="1" pivotButton="0" quotePrefix="0" xfId="0">
      <alignment horizontal="left" vertical="center" indent="1"/>
    </xf>
    <xf numFmtId="0" fontId="78" fillId="59" borderId="28" applyAlignment="1" pivotButton="0" quotePrefix="0" xfId="0">
      <alignment horizontal="left" vertical="bottom" indent="1"/>
    </xf>
    <xf numFmtId="0" fontId="78" fillId="61" borderId="28" applyAlignment="1" pivotButton="0" quotePrefix="0" xfId="0">
      <alignment horizontal="left" vertical="bottom" indent="1"/>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10" customWidth="1" min="2" max="3"/>
    <col width="10" customWidth="1" min="3" max="3"/>
    <col width="10" customWidth="1" min="4" max="4"/>
    <col width="10" customWidth="1" min="5" max="6"/>
    <col width="10" customWidth="1" min="6"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42" t="inlineStr">
        <is>
          <t>🔴 AOG WO</t>
        </is>
      </c>
      <c r="F4" s="443"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444">
        <f>COUNTIFS('HZ-ASD Tracker'!$A$5:$A$993,"&lt;&gt;",'HZ-ASD Tracker'!$F$5:$F$993,"AOG",'HZ-ASD Tracker'!$E$5:$E$993,"&lt;&gt;Closed")</f>
        <v/>
      </c>
      <c r="F5" s="445">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7" customHeight="1">
      <c r="A6" s="195" t="n"/>
      <c r="B6" s="195" t="n"/>
      <c r="C6" s="195" t="n"/>
      <c r="D6" s="195" t="n"/>
      <c r="E6" s="195" t="n"/>
      <c r="F6" s="195" t="n"/>
      <c r="G6" s="195" t="n"/>
      <c r="H6" s="195" t="n"/>
      <c r="I6" s="195" t="n"/>
      <c r="J6" s="195" t="n"/>
      <c r="K6" s="195" t="n"/>
      <c r="L6" s="195" t="n"/>
      <c r="M6" s="195" t="n"/>
    </row>
    <row r="7" ht="18" customHeight="1">
      <c r="A7" s="434"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434"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7" customHeight="1">
      <c r="A18" s="195" t="n"/>
      <c r="B18" s="195" t="n"/>
      <c r="C18" s="195" t="n"/>
      <c r="D18" s="195" t="n"/>
      <c r="E18" s="195" t="n"/>
      <c r="F18" s="195" t="n"/>
      <c r="G18" s="195" t="n"/>
    </row>
    <row r="19" ht="18" customHeight="1">
      <c r="A19" s="434"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7" customHeight="1">
      <c r="A31" s="195" t="n"/>
      <c r="B31" s="195" t="n"/>
      <c r="C31" s="195" t="n"/>
      <c r="D31" s="195" t="n"/>
      <c r="E31" s="195" t="n"/>
      <c r="F31" s="195" t="n"/>
      <c r="G31" s="195" t="n"/>
    </row>
    <row r="32" ht="18" customHeight="1">
      <c r="A32" s="434"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7" customHeight="1">
      <c r="A43" s="195" t="n"/>
      <c r="B43" s="195" t="n"/>
      <c r="C43" s="195" t="n"/>
      <c r="D43" s="195" t="n"/>
      <c r="E43" s="195" t="n"/>
      <c r="F43" s="195" t="n"/>
      <c r="G43" s="195" t="n"/>
    </row>
    <row r="44" ht="18" customHeight="1">
      <c r="A44" s="434"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7" customHeight="1">
      <c r="A55" s="195" t="n"/>
      <c r="B55" s="195" t="n"/>
      <c r="C55" s="195" t="n"/>
      <c r="D55" s="195" t="n"/>
      <c r="E55" s="195" t="n"/>
      <c r="F55" s="195" t="n"/>
      <c r="G55" s="195" t="n"/>
    </row>
    <row r="56" ht="18" customHeight="1">
      <c r="A56" s="434" t="inlineStr">
        <is>
          <t xml:space="preserve">  🔓 ACCESS CARDS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Tracker'!$E$5:$E$993,"&lt;&gt;Closed")</f>
        <v/>
      </c>
      <c r="C57" s="159">
        <f>COUNTIFS('HZ-ASD Tracker'!$A$5:$A$993,"&lt;&gt;",'HZ-ASD Tracker'!$F$5:$F$993,"ACCESS")</f>
        <v/>
      </c>
      <c r="D57" s="161">
        <f>IFERROR(B57/C57,0)</f>
        <v/>
      </c>
      <c r="E57" s="159" t="n"/>
      <c r="F57" s="195" t="n"/>
      <c r="G57" s="195" t="n"/>
    </row>
    <row r="58" ht="16.5" customHeight="1">
      <c r="A58" s="20" t="inlineStr">
        <is>
          <t>🟢 Closed</t>
        </is>
      </c>
      <c r="B58" s="15">
        <f>COUNTIFS('HZ-ASD Tracker'!$A$5:$A$993,"&lt;&gt;",'HZ-ASD Tracker'!$F$5:$F$993,"ACCESS",'HZ-ASD Tracker'!$E$5:$E$993,"Closed")</f>
        <v/>
      </c>
      <c r="C58" s="15">
        <f>COUNTIFS('HZ-ASD Tracker'!$A$5:$A$993,"&lt;&gt;",'HZ-ASD Tracker'!$F$5:$F$993,"ACCESS")</f>
        <v/>
      </c>
      <c r="D58" s="16">
        <f>IFERROR(B58/C58,0)</f>
        <v/>
      </c>
      <c r="E58" s="446" t="n"/>
      <c r="F58" s="231" t="n"/>
      <c r="G58" s="12">
        <f>IF(D58=0,"",D58)</f>
        <v/>
      </c>
    </row>
    <row r="59" ht="7" customHeight="1">
      <c r="A59" s="447" t="n"/>
      <c r="B59" s="448" t="n"/>
      <c r="C59" s="448" t="n"/>
      <c r="D59" s="449" t="n"/>
      <c r="E59" s="449" t="n"/>
      <c r="F59" s="450" t="n"/>
      <c r="G59" s="451" t="n"/>
    </row>
    <row r="60" hidden="1" ht="6" customHeight="1">
      <c r="A60" s="452" t="n"/>
      <c r="B60" s="448" t="n"/>
      <c r="C60" s="448" t="n"/>
      <c r="D60" s="449" t="n"/>
      <c r="E60" s="449" t="n"/>
      <c r="F60" s="450" t="n"/>
      <c r="G60" s="451" t="n"/>
    </row>
    <row r="61" ht="20" customHeight="1">
      <c r="A61" s="434" t="inlineStr">
        <is>
          <t xml:space="preserve">  ⚙️ STATUS · PARTS · WORKLOAD</t>
        </is>
      </c>
    </row>
    <row r="62" ht="18.5" customHeight="1">
      <c r="A62" s="435">
        <f>"🔧 PARTS — Requested: "&amp;COUNTIFS('HZ-ASD Tracker'!$A$5:$A$993,"&lt;&gt;",'HZ-ASD Tracker'!$H$5:$H$993,"Requested")&amp;"   ·   Pending EVAL: "&amp;COUNTIFS('HZ-ASD Tracker'!$A$5:$A$993,"&lt;&gt;",'HZ-ASD Tracker'!$H$5:$H$993,"Pending EVAL")&amp;"   ·   Not required: "&amp;COUNTIFS('HZ-ASD Tracker'!$A$5:$A$993,"&lt;&gt;",'HZ-ASD Tracker'!$H$5:$H$993,"N/R")</f>
        <v/>
      </c>
    </row>
    <row r="63" ht="18.5" customHeight="1">
      <c r="A63" s="435">
        <f>"⏸ ON HOLD / DEFERRED — Deferred: "&amp;COUNTIFS('HZ-ASD Tracker'!$A$5:$A$993,"&lt;&gt;",'HZ-ASD Tracker'!$E$5:$E$993,"Deferred")&amp;"   ·   On Hold: "&amp;COUNTIFS('HZ-ASD Tracker'!$A$5:$A$993,"&lt;&gt;",'HZ-ASD Tracker'!$E$5:$E$993,"On Hold")&amp;"   ·   HPC: "&amp;COUNTIFS('HZ-ASD Tracker'!$A$5:$A$993,"&lt;&gt;",'HZ-ASD Tracker'!$E$5:$E$993,"HPC")</f>
        <v/>
      </c>
    </row>
    <row r="64" ht="18.5" customHeight="1">
      <c r="A64" s="436">
        <f>"🕐 CABIN WORKLOAD — Estimated "&amp;TEXT(SUM('HZ-ASD Tracker'!$N$5:$N$993),"#,##0")&amp;" MH   ·   Booked "&amp;TEXT(SUM('HZ-ASD Tracker'!$P$5:$P$993),"#,##0")&amp;" MH   ·   Booked / Est "&amp;TEXT(IFERROR(SUM('HZ-ASD Tracker'!$P$5:$P$993)/SUM('HZ-ASD Tracker'!$N$5:$N$993),0),"0%")</f>
        <v/>
      </c>
    </row>
    <row r="65" ht="7" customHeight="1">
      <c r="A65" s="338" t="n"/>
    </row>
    <row r="66" ht="30" customHeight="1">
      <c r="A66" s="434" t="inlineStr">
        <is>
          <t xml:space="preserve">  🕐 WORKLOAD BY SPECIALTY (MH)</t>
        </is>
      </c>
      <c r="C66" s="437" t="inlineStr">
        <is>
          <t>EST MH</t>
        </is>
      </c>
      <c r="D66" s="437" t="inlineStr">
        <is>
          <t>BOOKED MH</t>
        </is>
      </c>
      <c r="E66" s="437" t="inlineStr">
        <is>
          <t>SHARE %
(EST)</t>
        </is>
      </c>
      <c r="F66" s="438" t="inlineStr">
        <is>
          <t>SHARE %
(BOOKED)</t>
        </is>
      </c>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6">
        <f>IFERROR(D67/SUM('HZ-ASD Tracker'!$P$5:$P$993),0)</f>
        <v/>
      </c>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6">
        <f>IFERROR(D68/SUM('HZ-ASD Tracker'!$P$5:$P$993),0)</f>
        <v/>
      </c>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6">
        <f>IFERROR(D69/SUM('HZ-ASD Tracker'!$P$5:$P$993),0)</f>
        <v/>
      </c>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6">
        <f>IFERROR(D70/SUM('HZ-ASD Tracker'!$P$5:$P$993),0)</f>
        <v/>
      </c>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6">
        <f>IFERROR(D71/SUM('HZ-ASD Tracker'!$P$5:$P$993),0)</f>
        <v/>
      </c>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6">
        <f>IFERROR(D72/SUM('HZ-ASD Tracker'!$P$5:$P$993),0)</f>
        <v/>
      </c>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6">
        <f>IFERROR(D73/SUM('HZ-ASD Tracker'!$P$5:$P$993),0)</f>
        <v/>
      </c>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6">
        <f>IFERROR(D74/SUM('HZ-ASD Tracker'!$P$5:$P$993),0)</f>
        <v/>
      </c>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6">
        <f>IFERROR(D75/SUM('HZ-ASD Tracker'!$P$5:$P$993),0)</f>
        <v/>
      </c>
      <c r="G75" s="12">
        <f>IF(E75=0,"",E75)</f>
        <v/>
      </c>
    </row>
    <row r="76" ht="7" customHeight="1">
      <c r="A76" s="339" t="n"/>
    </row>
    <row r="77" hidden="1"/>
    <row r="78" ht="20" customHeight="1">
      <c r="A78" s="439" t="inlineStr">
        <is>
          <t xml:space="preserve">  ✈️ AIRCRAFT PACKAGE — ALL TRADES</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8.5" customHeight="1">
      <c r="A81" s="440">
        <f>"⚖️ CLOSURE — Cabin "&amp;COUNTIFS('HZ-ASD Tracker'!$A$5:$A$993,"&lt;&gt;",'HZ-ASD Tracker'!$E$5:$E$993,"Closed")&amp;"/"&amp;COUNTIF('HZ-ASD Tracker'!$A$5:$A$993,"&lt;&gt;")&amp;" ("&amp;TEXT(IFERROR(COUNTIFS('HZ-ASD Tracker'!$A$5:$A$993,"&lt;&gt;",'HZ-ASD Tracker'!$E$5:$E$993,"Closed")/COUNTIF('HZ-ASD Tracker'!$A$5:$A$993,"&lt;&gt;"),0),"0%")&amp;")   ·   Non-cabin "&amp;(COUNTIF('FULL PKG'!$H$2:$H$3000,"Closed")-COUNTIFS('HZ-ASD Tracker'!$A$5:$A$993,"&lt;&gt;",'HZ-ASD Tracker'!$E$5:$E$993,"Closed"))&amp;"/"&amp;(COUNTIF('FULL PKG'!$B$2:$B$3000,"&lt;&gt;")-COUNTIF('HZ-ASD Tracker'!$A$5:$A$993,"&lt;&gt;"))&amp;" ("&amp;TEXT(IFERROR((COUNTIF('FULL PKG'!$H$2:$H$3000,"Closed")-COUNTIFS('HZ-ASD Tracker'!$A$5:$A$993,"&lt;&gt;",'HZ-ASD Tracker'!$E$5:$E$993,"Closed"))/MAX(1,COUNTIF('FULL PKG'!$B$2:$B$3000,"&lt;&gt;")-COUNTIF('HZ-ASD Tracker'!$A$5:$A$993,"&lt;&gt;")),0),"0%")&amp;")   ·   Package "&amp;COUNTIF('FULL PKG'!$H$2:$H$3000,"Closed")&amp;"/"&amp;COUNTIF('FULL PKG'!$B$2:$B$3000,"&lt;&gt;")&amp;" ("&amp;TEXT(IFERROR(COUNTIF('FULL PKG'!$H$2:$H$3000,"Closed")/COUNTIF('FULL PKG'!$B$2:$B$3000,"&lt;&gt;"),0),"0%")&amp;")"</f>
        <v/>
      </c>
    </row>
    <row r="82" ht="18.5" customHeight="1">
      <c r="A82" s="440">
        <f>"⏱ ESTIMATED MH — Cabin "&amp;TEXT(SUM('HZ-ASD Tracker'!$N$5:$N$993),"#,##0")&amp;"h   ·   Non-cabin "&amp;TEXT(SUM('FULL PKG'!$E$2:$E$3000)-SUM('HZ-ASD Tracker'!$N$5:$N$993),"#,##0")&amp;"h   ·   Cabin share "&amp;TEXT(IFERROR(SUM('HZ-ASD Tracker'!$N$5:$N$993)/SUM('FULL PKG'!$E$2:$E$3000),0),"0%")</f>
        <v/>
      </c>
    </row>
    <row r="83" ht="18.5" customHeight="1">
      <c r="A83" s="440">
        <f>"⏱ BOOKED MH — Cabin "&amp;TEXT(SUM('HZ-ASD Tracker'!$P$5:$P$993),"#,##0")&amp;"h   ·   Non-cabin "&amp;TEXT(SUM('FULL PKG'!$F$2:$F$3000)-SUM('HZ-ASD Tracker'!$P$5:$P$993),"#,##0")&amp;"h   ·   Cabin share "&amp;TEXT(IFERROR(SUM('HZ-ASD Tracker'!$P$5:$P$993)/SUM('FULL PKG'!$F$2:$F$3000),0),"0%")</f>
        <v/>
      </c>
    </row>
    <row r="84" ht="27" customHeight="1">
      <c r="A84" s="453" t="inlineStr">
        <is>
          <t xml:space="preserve">  📍 BY AREA</t>
        </is>
      </c>
    </row>
    <row r="85" ht="12" customHeight="1">
      <c r="A85" s="220" t="inlineStr">
        <is>
          <t>AREA</t>
        </is>
      </c>
      <c r="B85" s="220" t="inlineStr">
        <is>
          <t>CARDS</t>
        </is>
      </c>
      <c r="C85" s="220" t="inlineStr">
        <is>
          <t>CLOSED</t>
        </is>
      </c>
      <c r="D85" s="220" t="inlineStr">
        <is>
          <t>DONE %</t>
        </is>
      </c>
      <c r="E85" s="220" t="inlineStr">
        <is>
          <t>EST MH</t>
        </is>
      </c>
      <c r="F85" s="220" t="inlineStr">
        <is>
          <t>BOOKED MH</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27" customHeight="1">
      <c r="A89" s="454" t="inlineStr">
        <is>
          <t xml:space="preserve">  🐌 STALLED CARDS  ·  IDLE MH = Est − Booked</t>
        </is>
      </c>
    </row>
    <row r="90" ht="12" customHeight="1">
      <c r="A90" s="221" t="inlineStr">
        <is>
          <t>WO / Task</t>
        </is>
      </c>
      <c r="B90" s="221" t="inlineStr">
        <is>
          <t>Description</t>
        </is>
      </c>
      <c r="C90" s="221" t="n"/>
      <c r="D90" s="221" t="n"/>
      <c r="E90" s="223" t="inlineStr">
        <is>
          <t>Dur h</t>
        </is>
      </c>
      <c r="F90" s="223" t="inlineStr">
        <is>
          <t>Booked</t>
        </is>
      </c>
      <c r="G90" s="223" t="inlineStr">
        <is>
          <t>IDLE MH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6">
    <mergeCell ref="A32:G32"/>
    <mergeCell ref="B98:D98"/>
    <mergeCell ref="A8:G8"/>
    <mergeCell ref="A73:B73"/>
    <mergeCell ref="A62:G62"/>
    <mergeCell ref="A1:E1"/>
    <mergeCell ref="A70:B70"/>
    <mergeCell ref="A81:G81"/>
    <mergeCell ref="A19:G19"/>
    <mergeCell ref="A63:G63"/>
    <mergeCell ref="A10:G10"/>
    <mergeCell ref="A69:B69"/>
    <mergeCell ref="A13:G13"/>
    <mergeCell ref="A9:G9"/>
    <mergeCell ref="A83:G83"/>
    <mergeCell ref="A75:B75"/>
    <mergeCell ref="B92:D92"/>
    <mergeCell ref="A66:B66"/>
    <mergeCell ref="A64:G64"/>
    <mergeCell ref="A74:B74"/>
    <mergeCell ref="A82:G82"/>
    <mergeCell ref="A11:G11"/>
    <mergeCell ref="B95:D95"/>
    <mergeCell ref="A61:G61"/>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434"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434"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434"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2026-07-31T20:24:18Z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