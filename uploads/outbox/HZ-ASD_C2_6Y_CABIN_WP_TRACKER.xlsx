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
      <b val="1"/>
      <color rgb="FF7A5200"/>
      <sz val="8"/>
    </font>
    <font>
      <b val="1"/>
      <color rgb="FF9A6700"/>
      <sz val="20"/>
    </font>
    <font>
      <b val="1"/>
      <color rgb="FF8C1D18"/>
      <sz val="8"/>
    </font>
    <font>
      <b val="1"/>
      <color rgb="FFB3261E"/>
      <sz val="20"/>
    </font>
  </fonts>
  <fills count="76">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53">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xf numFmtId="0" fontId="194" fillId="75" borderId="27" applyAlignment="1" pivotButton="0" quotePrefix="0" xfId="0">
      <alignment horizontal="center" vertical="center" wrapText="1"/>
    </xf>
    <xf numFmtId="0" fontId="192" fillId="73" borderId="27" applyAlignment="1" pivotButton="0" quotePrefix="0" xfId="0">
      <alignment horizontal="center" vertical="center" wrapText="1"/>
    </xf>
    <xf numFmtId="0" fontId="195" fillId="75" borderId="27" applyAlignment="1" pivotButton="0" quotePrefix="0" xfId="0">
      <alignment horizontal="center" vertical="center"/>
    </xf>
    <xf numFmtId="0" fontId="193" fillId="74" borderId="27" applyAlignment="1" pivotButton="0" quotePrefix="0" xfId="0">
      <alignment horizontal="center" vertical="center"/>
    </xf>
    <xf numFmtId="9" fontId="128" fillId="0" borderId="28" applyAlignment="1" pivotButton="0" quotePrefix="0" xfId="0">
      <alignment horizontal="center"/>
    </xf>
    <xf numFmtId="0" fontId="135" fillId="0" borderId="44" applyAlignment="1" pivotButton="0" quotePrefix="0" xfId="0">
      <alignment horizontal="left" vertical="center" indent="1"/>
    </xf>
    <xf numFmtId="0" fontId="128" fillId="0" borderId="44" applyAlignment="1" pivotButton="0" quotePrefix="0" xfId="0">
      <alignment horizontal="center"/>
    </xf>
    <xf numFmtId="9" fontId="128" fillId="0" borderId="44" applyAlignment="1" pivotButton="0" quotePrefix="0" xfId="0">
      <alignment horizontal="center"/>
    </xf>
    <xf numFmtId="0" fontId="0" fillId="0" borderId="44" pivotButton="0" quotePrefix="0" xfId="0"/>
    <xf numFmtId="165" fontId="0" fillId="0" borderId="44" pivotButton="0" quotePrefix="0" xfId="0"/>
    <xf numFmtId="0" fontId="122" fillId="0" borderId="44" applyAlignment="1" pivotButton="0" quotePrefix="0" xfId="0">
      <alignment horizontal="left" vertical="center" indent="1"/>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10" customWidth="1" min="2" max="3"/>
    <col width="10" customWidth="1" min="3" max="3"/>
    <col width="10" customWidth="1" min="4" max="4"/>
    <col width="10" customWidth="1" min="5" max="6"/>
    <col width="10"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42" t="inlineStr">
        <is>
          <t>🔴 AOG WO</t>
        </is>
      </c>
      <c r="F4" s="443"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444">
        <f>COUNTIFS('HZ-ASD Tracker'!$A$5:$A$993,"&lt;&gt;",'HZ-ASD Tracker'!$F$5:$F$993,"AOG",'HZ-ASD Tracker'!$E$5:$E$993,"&lt;&gt;Closed")</f>
        <v/>
      </c>
      <c r="F5" s="445">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434"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434"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434"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434"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434"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434" t="inlineStr">
        <is>
          <t xml:space="preserve">  🔓 ACCESS CARDS  —  from tracker (Priority = ACCESS)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Tracker'!$E$5:$E$993,"&lt;&gt;Closed")</f>
        <v/>
      </c>
      <c r="C57" s="159">
        <f>COUNTIFS('HZ-ASD Tracker'!$A$5:$A$993,"&lt;&gt;",'HZ-ASD Tracker'!$F$5:$F$993,"ACCESS")</f>
        <v/>
      </c>
      <c r="D57" s="161">
        <f>IFERROR(B57/C57,0)</f>
        <v/>
      </c>
      <c r="E57" s="159" t="n"/>
      <c r="F57" s="195" t="n"/>
      <c r="G57" s="195" t="n"/>
    </row>
    <row r="58" ht="16.5" customHeight="1">
      <c r="A58" s="20" t="inlineStr">
        <is>
          <t>🟢 Closed</t>
        </is>
      </c>
      <c r="B58" s="15">
        <f>COUNTIFS('HZ-ASD Tracker'!$A$5:$A$993,"&lt;&gt;",'HZ-ASD Tracker'!$F$5:$F$993,"ACCESS",'HZ-ASD Tracker'!$E$5:$E$993,"Closed")</f>
        <v/>
      </c>
      <c r="C58" s="15">
        <f>COUNTIFS('HZ-ASD Tracker'!$A$5:$A$993,"&lt;&gt;",'HZ-ASD Tracker'!$F$5:$F$993,"ACCESS")</f>
        <v/>
      </c>
      <c r="D58" s="16">
        <f>IFERROR(B58/C58,0)</f>
        <v/>
      </c>
      <c r="E58" s="446" t="n"/>
      <c r="F58" s="231" t="n"/>
      <c r="G58" s="12">
        <f>IF(D58=0,"",D58)</f>
        <v/>
      </c>
    </row>
    <row r="59" ht="6" customHeight="1">
      <c r="A59" s="447" t="n"/>
      <c r="B59" s="448" t="n"/>
      <c r="C59" s="448" t="n"/>
      <c r="D59" s="449" t="n"/>
      <c r="E59" s="449" t="n"/>
      <c r="F59" s="450" t="n"/>
      <c r="G59" s="451" t="n"/>
    </row>
    <row r="60" ht="6" customHeight="1">
      <c r="A60" s="452" t="n"/>
      <c r="B60" s="448" t="n"/>
      <c r="C60" s="448" t="n"/>
      <c r="D60" s="449" t="n"/>
      <c r="E60" s="449" t="n"/>
      <c r="F60" s="450" t="n"/>
      <c r="G60" s="451" t="n"/>
    </row>
    <row r="61" ht="20"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17.1" customHeight="1">
      <c r="A65" s="338" t="n"/>
    </row>
    <row r="66" ht="30" customHeight="1">
      <c r="A66" s="434" t="inlineStr">
        <is>
          <t xml:space="preserve">  🕐 WORKLOAD BY SPECIALTY (MH)</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18" customHeight="1">
      <c r="A76" s="339" t="n"/>
    </row>
    <row r="78" ht="20" customHeight="1">
      <c r="A78" s="439"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20" customHeight="1">
      <c r="A84" s="441"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20" customHeight="1">
      <c r="A89" s="343" t="inlineStr">
        <is>
          <t xml:space="preserve">  🐌 STALLED CARDS — longest open, least booked  ·  IDLE MH = Est −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MH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2:G62"/>
    <mergeCell ref="A1:E1"/>
    <mergeCell ref="A70:B70"/>
    <mergeCell ref="A81:G81"/>
    <mergeCell ref="A19:G19"/>
    <mergeCell ref="A63:G63"/>
    <mergeCell ref="A10:G10"/>
    <mergeCell ref="A69:B69"/>
    <mergeCell ref="A13:G13"/>
    <mergeCell ref="A9:G9"/>
    <mergeCell ref="A83:G83"/>
    <mergeCell ref="A75:B75"/>
    <mergeCell ref="B92:D92"/>
    <mergeCell ref="A66:B66"/>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56:D56"/>
    <mergeCell ref="A89:G89"/>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434"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434"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434"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2026-07-31T18:52:32Z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