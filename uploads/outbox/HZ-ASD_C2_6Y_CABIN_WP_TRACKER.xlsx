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34">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329" t="inlineStr">
        <is>
          <t xml:space="preserve">  ⚙️ STATUS · PARTS · WORKLOAD</t>
        </is>
      </c>
    </row>
    <row r="62" ht="17.1" customHeight="1">
      <c r="A62" s="336">
        <f>"🔧 PARTS — Requested: "&amp;COUNTIFS('HZ-ASD Tracker'!$A$5:$A$993,"&lt;&gt;",'HZ-ASD Tracker'!$H$5:$H$993,"Requested")&amp;"   ·   Pending EVAL: "&amp;COUNTIFS('HZ-ASD Tracker'!$A$5:$A$993,"&lt;&gt;",'HZ-ASD Tracker'!$H$5:$H$993,"Pending EVAL")&amp;"   ·   Not required: "&amp;COUNTIFS('HZ-ASD Tracker'!$A$5:$A$993,"&lt;&gt;",'HZ-ASD Tracker'!$H$5:$H$993,"N/R")</f>
        <v/>
      </c>
    </row>
    <row r="63" ht="17.1" customHeight="1">
      <c r="A63" s="336">
        <f>"⏸ ON HOLD / DEFERRED — Deferred: "&amp;COUNTIFS('HZ-ASD Tracker'!$A$5:$A$993,"&lt;&gt;",'HZ-ASD Tracker'!$E$5:$E$993,"Deferred")&amp;"   ·   On Hold: "&amp;COUNTIFS('HZ-ASD Tracker'!$A$5:$A$993,"&lt;&gt;",'HZ-ASD Tracker'!$E$5:$E$993,"On Hold")&amp;"   ·   HPC: "&amp;COUNTIFS('HZ-ASD Tracker'!$A$5:$A$993,"&lt;&gt;",'HZ-ASD Tracker'!$E$5:$E$993,"HPC")</f>
        <v/>
      </c>
    </row>
    <row r="64" ht="18" customHeight="1">
      <c r="A64" s="337">
        <f>"🕐 CABIN WORKLOAD — Estimated "&amp;TEXT(SUM('HZ-ASD Tracker'!$N$5:$N$993),"#,##0")&amp;" MH   ·   Booked "&amp;TEXT(SUM('HZ-ASD Tracker'!$P$5:$P$993),"#,##0")&amp;" MH   ·   Booked / Est "&amp;TEXT(IFERROR(SUM('HZ-ASD Tracker'!$P$5:$P$993)/SUM('HZ-ASD Tracker'!$N$5:$N$993),0),"0%")</f>
        <v/>
      </c>
    </row>
    <row r="65" ht="17.1" customHeight="1">
      <c r="A65" s="338" t="n"/>
    </row>
    <row r="66" ht="18" customHeight="1">
      <c r="A66" s="329" t="inlineStr">
        <is>
          <t xml:space="preserve">  🕐 WORKLOAD BY SPECIALTY  —  share of total estimated hours</t>
        </is>
      </c>
      <c r="C66" s="163" t="inlineStr">
        <is>
          <t>EST MH</t>
        </is>
      </c>
      <c r="D66" s="163" t="inlineStr">
        <is>
          <t>BOOKED MH</t>
        </is>
      </c>
      <c r="E66" s="163" t="inlineStr">
        <is>
          <t>SHARE % (EST)</t>
        </is>
      </c>
      <c r="F66" s="433"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"&amp;COUNTIFS('HZ-ASD Tracker'!$A$5:$A$993,"&lt;&gt;",'HZ-ASD Tracker'!$E$5:$E$993,"Closed")&amp;"/"&amp;COUNTIF('HZ-ASD Tracker'!$A$5:$A$993,"&lt;&gt;")&amp;" ("&amp;TEXT(IFERROR(COUNTIFS('HZ-ASD Tracker'!$A$5:$A$993,"&lt;&gt;",'HZ-ASD Tracker'!$E$5:$E$993,"Closed")/COUNTIF('HZ-ASD Tracker'!$A$5:$A$993,"&lt;&gt;"),0),"0%")&amp;")     ·     Package "&amp;COUNTIF('FULL PKG'!$H$2:$H$3000,"Closed")&amp;"/"&amp;COUNTIF('FULL PKG'!$B$2:$B$3000,"&lt;&gt;")&amp;" ("&amp;TEXT(IFERROR(COUNTIF('FULL PKG'!$H$2:$H$3000,"Closed")/COUNTIF('FULL PKG'!$B$2:$B$3000,"&lt;&gt;"),0),"0%")&amp;")"</f>
        <v/>
      </c>
    </row>
    <row r="82" ht="15.9" customHeight="1">
      <c r="A82" s="341">
        <f>"⏱ ESTIMATED MH — Cabin "&amp;TEXT(SUM('HZ-ASD Tracker'!$N$5:$N$993),"#,##0")&amp;"h     ·     Package "&amp;TEXT(SUM('FULL PKG'!$E$2:$E$3000),"#,##0")&amp;"h     ·     Cabin share "&amp;TEXT(IFERROR(SUM('HZ-ASD Tracker'!$N$5:$N$993)/SUM('FULL PKG'!$E$2:$E$3000),0),"0%")</f>
        <v/>
      </c>
    </row>
    <row r="83" ht="15.9" customHeight="1">
      <c r="A83" s="341">
        <f>"⏱ BOOKED MH — Cabin "&amp;TEXT(SUM('HZ-ASD Tracker'!$P$5:$P$993),"#,##0")&amp;"h     ·     Package "&amp;TEXT(SUM('FULL PKG'!$F$2:$F$3000),"#,##0")&amp;"h     ·     Cabin share "&amp;TEXT(IFERROR(SUM('HZ-ASD Tracker'!$P$5:$P$993)/SUM('FULL PKG'!$F$2:$F$3000),0),"0%")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2026-07-31T15:43:49Z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