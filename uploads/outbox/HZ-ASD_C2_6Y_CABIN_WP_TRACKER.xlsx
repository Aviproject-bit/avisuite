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42">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434"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17.1" customHeight="1">
      <c r="A65" s="338" t="n"/>
    </row>
    <row r="66" ht="30" customHeight="1">
      <c r="A66" s="434" t="inlineStr">
        <is>
          <t xml:space="preserve">  🕐 WORKLOAD BY SPECIALTY  —  share of total estimated hours</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18" customHeight="1">
      <c r="A76" s="339" t="n"/>
    </row>
    <row r="78" ht="20" customHeight="1">
      <c r="A78" s="439"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0" customHeight="1">
      <c r="A84" s="441"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0" customHeight="1">
      <c r="A89" s="343" t="inlineStr">
        <is>
          <t xml:space="preserve">  🐌 STALLED CARDS — longest open, least booked  ·  IDLE MH = Est −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3:H83"/>
    <mergeCell ref="A8:G8"/>
    <mergeCell ref="A73:B73"/>
    <mergeCell ref="A64:H64"/>
    <mergeCell ref="A82:H82"/>
    <mergeCell ref="A1:E1"/>
    <mergeCell ref="A70:B70"/>
    <mergeCell ref="A19:G19"/>
    <mergeCell ref="A61:H61"/>
    <mergeCell ref="A10:G10"/>
    <mergeCell ref="A69:B69"/>
    <mergeCell ref="A13:G13"/>
    <mergeCell ref="A78:H78"/>
    <mergeCell ref="A9:G9"/>
    <mergeCell ref="A75:B75"/>
    <mergeCell ref="B92:D92"/>
    <mergeCell ref="A66:B66"/>
    <mergeCell ref="A74:B74"/>
    <mergeCell ref="A84:H84"/>
    <mergeCell ref="A11:G11"/>
    <mergeCell ref="B95:D95"/>
    <mergeCell ref="B94:D94"/>
    <mergeCell ref="A71:B71"/>
    <mergeCell ref="B97:D97"/>
    <mergeCell ref="E56:G56"/>
    <mergeCell ref="A7:G7"/>
    <mergeCell ref="A65:G65"/>
    <mergeCell ref="B91:D91"/>
    <mergeCell ref="A89:G89"/>
    <mergeCell ref="A56:D56"/>
    <mergeCell ref="A62:H62"/>
    <mergeCell ref="A72:B72"/>
    <mergeCell ref="A81:H81"/>
    <mergeCell ref="A68:B68"/>
    <mergeCell ref="B93:D93"/>
    <mergeCell ref="A12:G12"/>
    <mergeCell ref="A63:H63"/>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434"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434"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3000"/>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2026-07-31T17:48:02Z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