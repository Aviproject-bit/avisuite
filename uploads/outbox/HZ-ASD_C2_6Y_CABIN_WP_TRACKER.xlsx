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13010253\Downloads\"/>
    </mc:Choice>
  </mc:AlternateContent>
  <bookViews>
    <workbookView xWindow="0" yWindow="0" windowWidth="38400" windowHeight="17610" tabRatio="5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<sst xmlns="http://schemas.openxmlformats.org/spreadsheetml/2006/main" count="14007" uniqueCount="5631">
  <si>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</si>
  <si>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</si>
  <si>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</si>
  <si>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</si>
  <si>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</si>
  <si>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</si>
  <si>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</si>
  <si>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</si>
  <si>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</si>
  <si>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</si>
  <si>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</si>
  <si>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</si>
  <si>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</si>
  <si>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</si>
  <si>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</si>
  <si>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</si>
  <si>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</si>
  <si>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</si>
  <si>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</si>
  <si>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</si>
  <si>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</si>
  <si>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</si>
  <si>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</si>
  <si>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</si>
  <si>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</si>
  <si>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</si>
  <si>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</si>
  <si>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</si>
  <si>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</si>
  <si>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</si>
  <si>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</si>
  <si>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</si>
  <si>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</si>
  <si>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</si>
  <si>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</si>
  <si>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</si>
  <si>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</si>
  <si>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</si>
  <si>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</si>
  <si>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</si>
  <si>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</si>
  <si>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</si>
  <si>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</si>
  <si>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</si>
  <si>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</si>
  <si>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</si>
  <si>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</si>
  <si>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</si>
  <si>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</si>
  <si>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</si>
  <si>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</si>
  <si>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</si>
  <si>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</si>
  <si>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</si>
  <si>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</si>
  <si>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</si>
  <si>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</si>
  <si>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</si>
  <si>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</si>
  <si>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</si>
  <si>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</si>
  <si>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</si>
  <si>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</si>
  <si>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</si>
  <si>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</si>
  <si>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</si>
  <si>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</si>
  <si>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</si>
  <si>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</si>
  <si>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</si>
  <si>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</si>
  <si>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</si>
  <si>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</si>
  <si>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</si>
  <si>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</si>
  <si>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</si>
  <si>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</si>
  <si>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</si>
  <si>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</si>
  <si>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</si>
  <si>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</si>
  <si>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</si>
  <si>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</si>
  <si>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</si>
  <si>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</si>
  <si>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</si>
  <si>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</si>
  <si>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</si>
  <si>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</si>
  <si>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</si>
  <si>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</si>
  <si>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</si>
  <si>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</si>
  <si>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</si>
  <si>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</si>
  <si>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</si>
  <si>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</si>
  <si>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</si>
  <si>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</si>
  <si>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</si>
  <si>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</si>
  <si>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</si>
  <si>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</si>
  <si>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</si>
  <si>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</si>
  <si>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</si>
  <si>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</si>
  <si>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</si>
  <si>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</si>
  <si>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</si>
  <si>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</si>
  <si>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</si>
  <si>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</si>
  <si>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</si>
  <si>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</si>
  <si>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</si>
  <si>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</si>
  <si>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</si>
  <si>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</si>
  <si>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</si>
  <si>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</si>
  <si>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</si>
  <si>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</si>
  <si>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</si>
  <si>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</si>
  <si>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</si>
  <si>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</si>
  <si>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</si>
  <si>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</si>
  <si>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</si>
  <si>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</si>
  <si>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</si>
  <si>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</si>
  <si>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</si>
  <si>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</si>
  <si>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</si>
  <si>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</si>
  <si>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</si>
  <si>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</si>
  <si>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</si>
  <si>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</si>
  <si>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</si>
  <si>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</si>
  <si>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</si>
  <si>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</si>
  <si>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</si>
  <si>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</si>
  <si>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</si>
  <si>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</si>
  <si>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</si>
  <si>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</si>
  <si>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</si>
  <si>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</si>
  <si>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</si>
  <si>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</si>
  <si>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</si>
  <si>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</si>
  <si>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</si>
  <si>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</si>
  <si>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</si>
  <si>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</si>
  <si>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</si>
  <si>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</si>
  <si>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</si>
  <si>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</si>
  <si>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</si>
  <si>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</si>
  <si>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</si>
  <si>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</si>
  <si>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</si>
  <si>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</si>
  <si>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</si>
  <si>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</si>
  <si>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</si>
  <si>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</si>
  <si>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</si>
  <si>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</si>
  <si>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</si>
  <si>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</si>
  <si>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</si>
  <si>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</si>
  <si>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</si>
  <si>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</si>
  <si>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</si>
  <si>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</si>
  <si>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</si>
  <si>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</si>
  <si>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</si>
  <si>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</si>
  <si>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</si>
  <si>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</si>
  <si>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</si>
  <si>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</si>
  <si>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</si>
  <si>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</si>
  <si>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</si>
  <si>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</si>
  <si>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</si>
  <si>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</si>
  <si>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</si>
  <si>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</si>
  <si>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</si>
  <si>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</si>
  <si>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</si>
  <si>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</si>
  <si>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</si>
  <si>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</si>
  <si>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</si>
  <si>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</si>
  <si>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</si>
  <si>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</si>
  <si>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</si>
  <si>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</si>
  <si>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</si>
  <si>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</si>
  <si>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</si>
  <si>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</si>
  <si>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</si>
  <si>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</si>
  <si>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</si>
  <si>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</si>
  <si>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</si>
  <si>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</si>
  <si>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</si>
  <si>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</si>
  <si>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</si>
  <si>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</si>
  <si>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</si>
  <si>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</si>
  <si>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</si>
  <si>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</si>
  <si>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</si>
  <si>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</si>
  <si>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</si>
  <si>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</si>
  <si>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</si>
  <si>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</si>
  <si>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</si>
  <si>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</si>
  <si>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</si>
  <si>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</si>
  <si>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</si>
  <si>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</si>
  <si>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</si>
  <si>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</si>
  <si>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</si>
  <si>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</si>
  <si>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</si>
  <si>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</si>
  <si>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</si>
  <si>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</si>
  <si>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</si>
  <si>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</si>
  <si>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</si>
  <si>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</si>
  <si>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</si>
  <si>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</si>
  <si>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</si>
  <si>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</si>
  <si>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</si>
  <si>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</si>
  <si>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</si>
  <si>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</si>
  <si>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</si>
  <si>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</si>
  <si>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</si>
  <si>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</si>
  <si>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</si>
  <si>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</si>
  <si>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</si>
  <si>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</si>
  <si>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</si>
  <si>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</si>
  <si>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</si>
  <si>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</si>
  <si>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</si>
  <si>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</si>
  <si>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</si>
  <si>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</si>
  <si>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</si>
  <si>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</si>
  <si>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</si>
  <si>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</si>
  <si>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</si>
  <si>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</si>
  <si>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</si>
  <si>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</si>
  <si>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</si>
  <si>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</si>
  <si>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</si>
  <si>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</si>
  <si>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</si>
  <si>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</si>
  <si>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</si>
  <si>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</si>
  <si>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</si>
  <si>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</si>
  <si>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</si>
  <si>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</si>
  <si>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</si>
  <si>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</si>
  <si>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</si>
  <si>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</si>
  <si>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</si>
  <si>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</si>
  <si>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</si>
  <si>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</si>
  <si>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</si>
  <si>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</si>
  <si>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</si>
  <si>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</si>
  <si>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</si>
  <si>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</si>
  <si>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</si>
  <si>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</si>
  <si>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</si>
  <si>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</si>
  <si>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</si>
  <si>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</si>
  <si>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</si>
  <si>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</si>
  <si>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</si>
  <si>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</si>
  <si>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</si>
  <si>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</si>
  <si>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</si>
  <si>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</si>
  <si>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</si>
  <si>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</si>
  <si>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</si>
  <si>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</si>
  <si>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</si>
  <si>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</si>
  <si>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</si>
  <si>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</si>
  <si>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</si>
  <si>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</si>
  <si>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</si>
  <si>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</si>
  <si>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</si>
  <si>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</si>
  <si>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</si>
  <si>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</si>
  <si>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</si>
  <si>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</si>
  <si>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</si>
  <si>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</si>
  <si>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</si>
  <si>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</si>
  <si>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</si>
  <si>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</si>
  <si>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</si>
  <si>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</si>
  <si>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</si>
  <si>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</si>
  <si>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</si>
  <si>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</si>
  <si>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</si>
  <si>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</si>
  <si>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</si>
  <si>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</si>
  <si>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</si>
  <si>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</si>
  <si>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</si>
  <si>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</si>
  <si>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</si>
  <si>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</si>
  <si>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</si>
  <si>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</si>
  <si>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</si>
  <si>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</si>
  <si>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</si>
  <si>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</si>
  <si>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</si>
  <si>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</si>
  <si>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</si>
  <si>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</si>
  <si>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</si>
  <si>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</si>
  <si>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</si>
  <si>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</si>
  <si>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</si>
  <si>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</si>
  <si>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</si>
  <si>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</si>
  <si>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</si>
  <si>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</si>
  <si>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</si>
  <si>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</si>
  <si>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</si>
  <si>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</si>
  <si>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</si>
  <si>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</si>
  <si>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</si>
  <si>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</si>
  <si>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</si>
  <si>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</si>
  <si>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</si>
  <si>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</si>
  <si>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</si>
  <si>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</si>
  <si>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</si>
  <si>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</si>
  <si>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</si>
  <si>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</si>
  <si>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</si>
  <si>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</si>
  <si>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</si>
  <si>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</si>
  <si>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</si>
  <si>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</si>
  <si>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</si>
  <si>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</si>
  <si>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</si>
  <si>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</si>
  <si>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</si>
  <si>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</si>
  <si>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</si>
  <si>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</si>
  <si>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</si>
  <si>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</si>
  <si>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</si>
  <si>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</si>
  <si>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</si>
  <si>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</si>
  <si>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</si>
  <si>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</si>
  <si>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</si>
  <si>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</si>
  <si>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</si>
  <si>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</si>
  <si>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</si>
  <si>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</si>
  <si>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</si>
  <si>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</si>
  <si>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</si>
  <si>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</si>
  <si>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</si>
  <si>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</si>
  <si>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</si>
  <si>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</si>
  <si>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</si>
  <si>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</si>
  <si>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</si>
  <si>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</si>
  <si>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</si>
  <si>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</si>
  <si>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</si>
  <si>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</si>
  <si>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</si>
  <si>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</si>
  <si>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</si>
  <si>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</si>
  <si>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</si>
  <si>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</si>
  <si>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</si>
  <si>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</si>
  <si>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</si>
  <si>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</si>
  <si>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</si>
  <si>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</si>
  <si>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</si>
  <si>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</si>
  <si>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</si>
  <si>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</si>
  <si>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</si>
  <si>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</si>
  <si>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</si>
  <si>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</si>
  <si>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</si>
  <si>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</si>
  <si>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</si>
  <si>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</si>
  <si>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</si>
  <si>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</si>
  <si>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</si>
  <si>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</si>
  <si>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</si>
  <si>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</si>
  <si>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</si>
  <si>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</si>
  <si>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</si>
  <si>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</si>
  <si>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</si>
  <si>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</si>
  <si>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</si>
  <si>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</si>
  <si>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</si>
  <si>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</si>
  <si>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</si>
  <si>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</si>
  <si>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</si>
  <si>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</si>
  <si>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</si>
  <si>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</si>
  <si>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</si>
  <si>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</si>
  <si>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</si>
  <si>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</si>
  <si>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</si>
  <si>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</si>
  <si>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</si>
  <si>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</si>
  <si>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</si>
  <si>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</si>
  <si>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</si>
  <si>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</si>
  <si>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</si>
  <si>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</si>
  <si>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</si>
  <si>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</si>
  <si>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</si>
  <si>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</si>
  <si>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</si>
  <si>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</si>
  <si>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</si>
  <si>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</si>
  <si>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</si>
  <si>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</si>
  <si>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</si>
  <si>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</si>
  <si>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</si>
  <si>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</si>
  <si>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</si>
  <si>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</si>
  <si>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</si>
  <si>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</si>
  <si>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</si>
  <si>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</si>
  <si>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</si>
  <si>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</si>
  <si>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</si>
  <si>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</si>
  <si>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</si>
  <si>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</si>
  <si>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</si>
  <si>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</si>
  <si>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</si>
  <si>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</si>
  <si>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</si>
  <si>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</si>
  <si>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</si>
  <si>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</si>
  <si>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</si>
  <si>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</si>
  <si>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</si>
  <si>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</si>
  <si>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</si>
  <si>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</si>
  <si>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</si>
  <si>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</si>
  <si>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</si>
  <si>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</si>
  <si>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</si>
  <si>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</si>
  <si>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</si>
  <si>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</si>
  <si>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</si>
  <si>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</si>
  <si>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</si>
  <si>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</si>
  <si>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</si>
  <si>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</si>
  <si>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</si>
  <si>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</si>
  <si>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</si>
  <si>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</si>
  <si>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</si>
  <si>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</si>
  <si>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</si>
  <si>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</si>
  <si>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</si>
  <si>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</si>
  <si>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</si>
  <si>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</si>
  <si>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</si>
  <si>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</si>
  <si>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</si>
  <si>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</si>
  <si>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</si>
  <si>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</si>
  <si>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</si>
  <si>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</si>
  <si>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</si>
  <si>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</si>
  <si>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</si>
  <si>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</si>
  <si>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</si>
  <si>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</si>
  <si>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</si>
  <si>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</si>
  <si>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</si>
  <si>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</si>
  <si>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</si>
  <si>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</si>
  <si>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</si>
  <si>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</si>
  <si>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</si>
  <si>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</si>
  <si>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</si>
  <si>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</si>
  <si>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</si>
  <si>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</si>
  <si>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</si>
  <si>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29155749</t>
  </si>
  <si>
    <t>EOD-320-31-00011-R00/FDIMU - TELEDYNE ETHERNET AND ADC ACTIVATION FOR FOMAX</t>
  </si>
  <si>
    <t>721</t>
  </si>
  <si>
    <t>FOMAX</t>
  </si>
  <si>
    <t>31</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</si>
  <si>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</si>
  <si>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</si>
  <si>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</si>
  <si>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</si>
  <si>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</si>
  <si>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</si>
  <si>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</si>
  <si>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</si>
  <si>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</si>
  <si>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</si>
  <si>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</si>
  <si>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</si>
  <si>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</si>
  <si>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</si>
  <si>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</si>
  <si>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</si>
  <si>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</si>
  <si>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</si>
  <si>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</si>
  <si>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</si>
  <si>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</si>
  <si>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</si>
  <si>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</si>
  <si>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</si>
  <si>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</si>
  <si>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</si>
  <si>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</si>
  <si>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</si>
  <si>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</si>
  <si>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</si>
  <si>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</si>
  <si>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</si>
  <si>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</si>
  <si>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</si>
  <si>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</si>
  <si>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</si>
  <si>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</si>
  <si>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</si>
  <si>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</si>
  <si>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31053051</t>
  </si>
  <si>
    <t>EOD-333-25-00024-R00/AD- A330/A320- INSPECT EACH BUCKLE SCREW FOR CRACKED,LOOSE</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</si>
  <si>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</si>
  <si>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</si>
  <si>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</si>
  <si>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</si>
  <si>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</si>
  <si>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</si>
  <si>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</si>
  <si>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</si>
  <si>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</si>
  <si>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</si>
  <si>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</si>
  <si>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</si>
  <si>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</si>
  <si>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</si>
  <si>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</si>
  <si>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</si>
  <si>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LOGBOOK CABIN / S3 CLOSET RAMP ASSY</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</si>
  <si>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</si>
  <si>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</si>
  <si>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</si>
  <si>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</si>
  <si>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</si>
  <si>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</si>
  <si>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</si>
  <si>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</si>
  <si>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</si>
  <si>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</si>
  <si>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</si>
  <si>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</si>
  <si>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</si>
  <si>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</si>
  <si>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</si>
  <si>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</si>
  <si>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</si>
  <si>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</si>
  <si>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</si>
  <si>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</si>
  <si>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</si>
  <si>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</si>
  <si>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</si>
  <si>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</si>
  <si>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</si>
  <si>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</si>
  <si>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</si>
  <si>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</si>
  <si>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</si>
  <si>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</si>
  <si>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</si>
  <si>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</si>
  <si>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</si>
  <si>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</si>
  <si>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</si>
  <si>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</si>
  <si>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</si>
  <si>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</si>
  <si>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</si>
  <si>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</si>
  <si>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</si>
  <si>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</si>
  <si>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</si>
  <si>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</si>
  <si>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</si>
  <si>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</si>
  <si>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</si>
  <si>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</si>
  <si>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</si>
  <si>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</si>
  <si>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</si>
  <si>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</si>
  <si>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</si>
  <si>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</si>
  <si>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</si>
  <si>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</si>
  <si>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</si>
  <si>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</si>
  <si>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</si>
  <si>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</si>
  <si>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</si>
  <si>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</si>
  <si>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</si>
  <si>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</si>
  <si>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</si>
  <si>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</si>
  <si>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</si>
  <si>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</si>
  <si>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</si>
  <si>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</si>
  <si>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</si>
  <si>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</si>
  <si>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</si>
  <si>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</si>
  <si>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</si>
  <si>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</si>
  <si>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</si>
  <si>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</si>
  <si>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</si>
  <si>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</si>
  <si>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</si>
  <si>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REQ CLEAN UP</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</si>
  <si>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</si>
  <si>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</si>
  <si>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</si>
  <si>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</si>
  <si>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</si>
  <si>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</si>
  <si>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</si>
  <si>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</si>
  <si>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</si>
  <si>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</si>
  <si>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</si>
  <si>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</si>
  <si>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</si>
  <si>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</si>
  <si>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</si>
  <si>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</si>
  <si>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</si>
  <si>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</si>
  <si>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</si>
  <si>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</si>
  <si>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AOG</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</si>
  <si>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</si>
  <si>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</si>
  <si>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</si>
  <si>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</si>
  <si>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</si>
  <si>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</si>
  <si>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</si>
  <si>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RII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</si>
  <si>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</si>
  <si>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</si>
  <si>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</si>
  <si>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</si>
  <si>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</si>
  <si>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</si>
  <si>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</si>
  <si>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</si>
  <si>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</si>
  <si>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</si>
  <si>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</si>
  <si>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</si>
  <si>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</si>
  <si>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</si>
  <si>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</si>
  <si>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</si>
  <si>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</si>
  <si>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</si>
  <si>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</si>
  <si>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</si>
  <si>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</si>
  <si>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</si>
  <si>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</si>
  <si>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</si>
  <si>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</si>
  <si>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</si>
  <si>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</si>
  <si>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</si>
  <si>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</si>
  <si>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</si>
  <si>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PNT CHIPPED OFF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</si>
  <si>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</si>
  <si>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</si>
  <si>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</si>
  <si>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</si>
  <si>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</si>
  <si>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</si>
  <si>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</si>
  <si>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</si>
  <si>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</si>
  <si>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</si>
  <si>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</si>
  <si>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</si>
  <si>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</si>
  <si>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</si>
  <si>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</si>
  <si>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</si>
  <si>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</si>
  <si>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</si>
  <si>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</si>
  <si>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</si>
  <si>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</si>
  <si>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</si>
  <si>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</si>
  <si>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</si>
  <si>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</si>
  <si>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</si>
  <si>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</si>
  <si>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</si>
  <si>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</si>
  <si>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</si>
  <si>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</si>
  <si>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</si>
  <si>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</si>
  <si>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</si>
  <si>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</si>
  <si>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</si>
  <si>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</si>
  <si>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</si>
  <si>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</si>
  <si>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</si>
  <si>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</si>
  <si>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</si>
  <si>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</si>
  <si>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</si>
  <si>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</si>
  <si>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</si>
  <si>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</si>
  <si>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</si>
  <si>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</si>
  <si>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</si>
  <si>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</si>
  <si>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</si>
  <si>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</si>
  <si>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</si>
  <si>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</si>
  <si>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</si>
  <si>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</si>
  <si>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</si>
  <si>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</si>
  <si>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</si>
  <si>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</si>
  <si>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</si>
  <si>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</si>
  <si>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</si>
  <si>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</si>
  <si>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</si>
  <si>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40LH TO 44 LH AND 40RH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</si>
  <si>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</si>
  <si>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</si>
  <si>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</si>
  <si>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</si>
  <si>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</si>
  <si>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</si>
  <si>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</si>
  <si>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</si>
  <si>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</si>
  <si>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</si>
  <si>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</si>
  <si>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</si>
  <si>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</si>
  <si>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</si>
  <si>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</si>
  <si>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</si>
  <si>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</si>
  <si>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</si>
  <si>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</si>
  <si>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</si>
  <si>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</si>
  <si>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</si>
  <si>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</si>
  <si>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</si>
  <si>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</si>
  <si>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</si>
  <si>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</si>
  <si>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</si>
  <si>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</si>
  <si>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</si>
  <si>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</si>
  <si>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</si>
  <si>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</si>
  <si>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</si>
  <si>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</si>
  <si>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</si>
  <si>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</si>
  <si>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</si>
  <si>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</si>
  <si>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</si>
  <si>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</si>
  <si>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</si>
  <si>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</si>
  <si>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</si>
  <si>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</si>
  <si>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</si>
  <si>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</si>
  <si>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</si>
  <si>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</si>
  <si>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</si>
  <si>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</si>
  <si>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</si>
  <si>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</si>
  <si>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</si>
  <si>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</si>
  <si>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</si>
  <si>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</si>
  <si>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</si>
  <si>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</si>
  <si>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</si>
  <si>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</si>
  <si>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</si>
  <si>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</si>
  <si>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</si>
  <si>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</si>
  <si>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</si>
  <si>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</si>
  <si>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</si>
  <si>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</si>
  <si>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</si>
  <si>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</si>
  <si>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</si>
  <si>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</si>
  <si>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</si>
  <si>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</si>
  <si>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</si>
  <si>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</si>
  <si>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</si>
  <si>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</si>
  <si>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</si>
  <si>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</si>
  <si>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</si>
  <si>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</si>
  <si>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</si>
  <si>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</si>
  <si>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</si>
  <si>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</si>
  <si>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</si>
  <si>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</si>
  <si>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</si>
  <si>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</si>
  <si>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</si>
  <si>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</si>
  <si>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</si>
  <si>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</si>
  <si>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</si>
  <si>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</si>
  <si>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</si>
  <si>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</si>
  <si>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</si>
  <si>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</si>
  <si>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</si>
  <si>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</si>
  <si>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</si>
  <si>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</si>
  <si>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</si>
  <si>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</si>
  <si>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</si>
  <si>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</si>
  <si>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33033307</t>
  </si>
  <si>
    <t>FINDING (NRC) TASKCARD DCC-32S (13) / ITEM ONE DURING DCC FOUND SIDEWALL AT SEAT 3JL, 4JL, 11JL AND 5AC TEDLAR DAMAGED</t>
  </si>
  <si>
    <t>WALL</t>
  </si>
  <si>
    <t>33041186</t>
  </si>
  <si>
    <t>CAB- SIEDWALL-NO CALLBACK SIDEWALL BETWEEN 3 LJ / 4LJ TEDLAR DAMAGE</t>
  </si>
  <si>
    <t>1403</t>
  </si>
  <si>
    <t>33041202</t>
  </si>
  <si>
    <t>CAB-SIDEWALL-NO CALL BACK SIDEWALL 1LJ TEDLAR DAMAGE</t>
  </si>
  <si>
    <t>1404</t>
  </si>
  <si>
    <t>33045500</t>
  </si>
  <si>
    <t>CAB - CALL BACK - RH AFT EXIT DOOR RH AFT EXIT DOOR INNER SIDE AROUND WINDOW FRAME BROKEN</t>
  </si>
  <si>
    <t>1409</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</si>
  <si>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</si>
  <si>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</si>
  <si>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</si>
  <si>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</si>
  <si>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</si>
  <si>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</si>
  <si>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SIDEWALL - NO CALL BACK - TEDLER SIDEWALL 5AC TEDLAR CHIPPED OFF</t>
  </si>
  <si>
    <t>GALLEY ..... CAB...... NO CALL BACK GALLEY DOOR 210 TEDLAR DAMAGED</t>
  </si>
  <si>
    <t>FINDING (NRC) TASKCARD CCC-32S (05) / ITEM ONE LAV D  INNER WALL TEDLAR DAMMAGED</t>
  </si>
  <si>
    <t>CAB- AFT WALL .... NO ....CALL BACK AFT WALL OF 44 JKL TEDLAR DAMAGED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</si>
  <si>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</si>
  <si>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</si>
  <si>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</si>
  <si>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</si>
  <si>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COCKPIT COCKPIT SEVERAL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</si>
  <si>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</si>
  <si>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</si>
  <si>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</si>
  <si>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</si>
  <si>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</si>
  <si>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Y-765 WITH SURFACE CORROSION</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</si>
  <si>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</si>
  <si>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</si>
  <si>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</si>
  <si>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</si>
  <si>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</si>
  <si>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</si>
  <si>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</si>
  <si>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</si>
  <si>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</si>
  <si>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</si>
  <si>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</si>
  <si>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</si>
  <si>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</si>
  <si>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</si>
  <si>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</si>
  <si>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</si>
  <si>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</si>
  <si>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</si>
  <si>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</si>
  <si>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</si>
  <si>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</si>
  <si>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</si>
  <si>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</si>
  <si>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</si>
  <si>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</si>
  <si>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</si>
  <si>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</si>
  <si>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</si>
  <si>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</si>
  <si>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</si>
  <si>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</si>
  <si>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</si>
  <si>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</si>
  <si>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</si>
  <si>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</si>
  <si>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</si>
  <si>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</si>
  <si>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</si>
  <si>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</si>
  <si>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</si>
  <si>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</si>
  <si>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</si>
  <si>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</si>
  <si>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</si>
  <si>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</si>
  <si>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</si>
  <si>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</si>
  <si>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</si>
  <si>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</si>
  <si>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</si>
  <si>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</si>
  <si>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</si>
  <si>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</si>
  <si>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</si>
  <si>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</si>
  <si>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</si>
  <si>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</si>
  <si>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</si>
  <si>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</si>
  <si>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</si>
  <si>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</si>
  <si>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33163295</t>
  </si>
  <si>
    <t>CAB - RII - OXYGEN GENERATOR OXYGEN GENERATOR AT ROW 42 RH FOUND DAMAGED.</t>
  </si>
  <si>
    <t>CAB - RII - OXYGEN CONTAINER OXYGEN CONTAINER AT ROW 42 RH FOUND DAMAGED.</t>
  </si>
  <si>
    <t>Requested - R</t>
  </si>
  <si>
    <t>MACHINE SHOP - NO CALL BACK - GRID COLLECTOR DURING CLOSE UP FOUND COCKPIT GRID COLLECTOR TWO HELI COILS REQUIRE MACHINIST</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</si>
  <si>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</si>
  <si>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</si>
  <si>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</si>
  <si>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</si>
  <si>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</si>
  <si>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</si>
  <si>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</si>
  <si>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</si>
  <si>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</si>
  <si>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</si>
  <si>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</si>
  <si>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</si>
  <si>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</si>
  <si>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</si>
  <si>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</si>
  <si>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</si>
  <si>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</si>
  <si>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</si>
  <si>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</si>
  <si>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</si>
  <si>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</si>
  <si>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</si>
  <si>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</si>
  <si>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</si>
  <si>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</si>
  <si>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</si>
  <si>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</si>
  <si>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</si>
  <si>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</si>
  <si>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</si>
  <si>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</si>
  <si>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</si>
  <si>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</si>
  <si>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</si>
  <si>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</si>
  <si>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</si>
  <si>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</si>
  <si>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</si>
  <si>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</si>
  <si>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</si>
  <si>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</si>
  <si>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</si>
  <si>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</si>
  <si>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</si>
  <si>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</si>
  <si>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</si>
  <si>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</si>
  <si>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</si>
  <si>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</si>
  <si>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</si>
  <si>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</si>
  <si>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</si>
  <si>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</si>
  <si>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</si>
  <si>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</si>
  <si>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</si>
  <si>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</si>
  <si>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</si>
  <si>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</si>
  <si>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19-Aug-2026</t>
  </si>
  <si>
    <t>#</t>
  </si>
  <si>
    <t>WO</t>
  </si>
  <si>
    <t>Seq</t>
  </si>
  <si>
    <t>Card Description</t>
  </si>
  <si>
    <t>Part No.</t>
  </si>
  <si>
    <t>Part Description</t>
  </si>
  <si>
    <t>Qty</t>
  </si>
  <si>
    <t>Unit</t>
  </si>
  <si>
    <t>Availability</t>
  </si>
  <si>
    <t>Transfer</t>
  </si>
  <si>
    <t>Created</t>
  </si>
  <si>
    <t>Note</t>
  </si>
  <si>
    <t>Delivery</t>
  </si>
  <si>
    <t>32984848</t>
  </si>
  <si>
    <t>1012</t>
  </si>
  <si>
    <t>SP0614</t>
  </si>
  <si>
    <t>STRIKER PLATE U/O PN 330SVA4RGA00</t>
  </si>
  <si>
    <t>EA</t>
  </si>
  <si>
    <t>NOT AVAILABLE</t>
  </si>
  <si>
    <t>TRANSFER_NEEDED</t>
  </si>
  <si>
    <t>20.Jul.2026</t>
  </si>
  <si>
    <t>—</t>
  </si>
  <si>
    <t>32985332</t>
  </si>
  <si>
    <t>1038</t>
  </si>
  <si>
    <t>4115-1-131-8110</t>
  </si>
  <si>
    <t>RESTRNT-SYSTEM</t>
  </si>
  <si>
    <t>P26081726, 60 EA, EDD 10AUG26</t>
  </si>
  <si>
    <t>32985343</t>
  </si>
  <si>
    <t>1045</t>
  </si>
  <si>
    <t>32991511</t>
  </si>
  <si>
    <t>1202</t>
  </si>
  <si>
    <t>A225400429-750</t>
  </si>
  <si>
    <t>DOOR ASSY-WASHBASIN</t>
  </si>
  <si>
    <t>23.Jul.2026</t>
  </si>
  <si>
    <t>32988850</t>
  </si>
  <si>
    <t>1121</t>
  </si>
  <si>
    <t>SP1395</t>
  </si>
  <si>
    <t>VALVE ASSY-FLAP</t>
  </si>
  <si>
    <t>27.Jul.2026</t>
  </si>
  <si>
    <t>02 EA ISSUED TO ACFT, PO P26712626, 03 EA, NEW PO, U/APPROVAL.</t>
  </si>
  <si>
    <t>33022670</t>
  </si>
  <si>
    <t>1342</t>
  </si>
  <si>
    <t>3212MU01SA41</t>
  </si>
  <si>
    <t>FOOTSTEP ASSY</t>
  </si>
  <si>
    <t>28.Jul.2026</t>
  </si>
  <si>
    <t>32985350</t>
  </si>
  <si>
    <t>1049</t>
  </si>
  <si>
    <t>2E7003-1</t>
  </si>
  <si>
    <t>CUSHION-BACK</t>
  </si>
  <si>
    <t>30.Jul.2026</t>
  </si>
  <si>
    <t>AVBL (JED=1,RUH=5).</t>
  </si>
  <si>
    <t>32985304</t>
  </si>
  <si>
    <t>1036</t>
  </si>
  <si>
    <t>32985832</t>
  </si>
  <si>
    <t>1061</t>
  </si>
  <si>
    <t>E60614-00-0240</t>
  </si>
  <si>
    <t>LANYARD, GENERATOR RELEASE (GREEN)</t>
  </si>
  <si>
    <t>ORDERED</t>
  </si>
  <si>
    <t>04.Aug.2026</t>
  </si>
  <si>
    <t>15.Aug.2026</t>
  </si>
  <si>
    <t>32985833</t>
  </si>
  <si>
    <t>1062</t>
  </si>
  <si>
    <t>05.Aug.2026</t>
  </si>
  <si>
    <t>06.Aug.2026</t>
  </si>
  <si>
    <t>33069524</t>
  </si>
  <si>
    <t>1431</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</si>
  <si>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</si>
  <si>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</si>
  <si>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</si>
  <si>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</si>
  <si>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</si>
  <si>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</si>
  <si>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</si>
  <si>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</si>
  <si>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</si>
  <si>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</si>
  <si>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</si>
  <si>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</si>
  <si>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</si>
  <si>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</si>
  <si>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</si>
  <si>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</si>
  <si>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</si>
  <si>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</si>
  <si>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</si>
  <si>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</si>
  <si>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</si>
  <si>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</si>
  <si>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</si>
  <si>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</si>
  <si>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</si>
  <si>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</si>
  <si>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</si>
  <si>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</si>
  <si>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</si>
  <si>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</si>
  <si>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</si>
  <si>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</si>
  <si>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</si>
  <si>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</si>
  <si>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</si>
  <si>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</si>
  <si>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</si>
  <si>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</si>
  <si>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</si>
  <si>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</si>
  <si>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</si>
  <si>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</si>
  <si>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</si>
  <si>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</si>
  <si>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</si>
  <si>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</si>
  <si>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</si>
  <si>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</si>
  <si>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</si>
  <si>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</si>
  <si>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</si>
  <si>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</si>
  <si>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</si>
  <si>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</si>
  <si>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</si>
  <si>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</si>
  <si>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</si>
  <si>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</si>
  <si>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</si>
  <si>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</si>
  <si>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</si>
  <si>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</si>
  <si>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</si>
  <si>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</si>
  <si>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</si>
  <si>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</si>
  <si>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</si>
  <si>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</si>
  <si>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</si>
  <si>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</si>
  <si>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</si>
  <si>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</si>
  <si>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</si>
  <si>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</si>
  <si>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</si>
  <si>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</si>
  <si>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</si>
  <si>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</si>
  <si>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</si>
  <si>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</si>
  <si>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</si>
  <si>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</si>
  <si>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</si>
  <si>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</si>
  <si>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</si>
  <si>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</si>
  <si>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</si>
  <si>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</si>
  <si>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</si>
  <si>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</si>
  <si>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</si>
  <si>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</si>
  <si>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</si>
  <si>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</si>
  <si>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</si>
  <si>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</si>
  <si>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</si>
  <si>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</si>
  <si>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</si>
  <si>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</si>
  <si>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</si>
  <si>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</si>
  <si>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</si>
  <si>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</si>
  <si>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</si>
  <si>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</si>
  <si>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</si>
  <si>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</si>
  <si>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</si>
  <si>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</si>
  <si>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</si>
  <si>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</si>
  <si>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</si>
  <si>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</si>
  <si>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</si>
  <si>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</si>
  <si>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</si>
  <si>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</si>
  <si>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</si>
  <si>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</si>
  <si>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</si>
  <si>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</si>
  <si>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</si>
  <si>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</si>
  <si>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</si>
  <si>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</si>
  <si>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</si>
  <si>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</si>
  <si>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</si>
  <si>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</si>
  <si>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</si>
  <si>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</si>
  <si>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</si>
  <si>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</si>
  <si>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</si>
  <si>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</si>
  <si>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</si>
  <si>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</si>
  <si>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</si>
  <si>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</si>
  <si>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</si>
  <si>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</si>
  <si>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</si>
  <si>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</si>
  <si>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</si>
  <si>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</si>
  <si>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</si>
  <si>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</si>
  <si>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</si>
  <si>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</si>
  <si>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</si>
  <si>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</si>
  <si>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</si>
  <si>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</si>
  <si>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</si>
  <si>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</si>
  <si>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</si>
  <si>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</si>
  <si>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</si>
  <si>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</si>
  <si>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</si>
  <si>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</si>
  <si>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</si>
  <si>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</si>
  <si>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</si>
  <si>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</si>
  <si>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</si>
  <si>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</si>
  <si>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</si>
  <si>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</si>
  <si>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</si>
  <si>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</si>
  <si>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</si>
  <si>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</si>
  <si>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</si>
  <si>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</si>
  <si>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</si>
  <si>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</si>
  <si>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</si>
  <si>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</si>
  <si>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</si>
  <si>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</si>
  <si>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</si>
  <si>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</si>
  <si>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</si>
  <si>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</si>
  <si>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</si>
  <si>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</si>
  <si>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</si>
  <si>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</si>
  <si>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</si>
  <si>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</si>
  <si>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</si>
  <si>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</si>
  <si>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</si>
  <si>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</si>
  <si>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</si>
  <si>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</si>
  <si>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</si>
  <si>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</si>
  <si>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</si>
  <si>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</si>
  <si>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</si>
  <si>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</si>
  <si>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</si>
  <si>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</si>
  <si>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</si>
  <si>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</si>
  <si>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</si>
  <si>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</si>
  <si>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</si>
  <si>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</si>
  <si>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</si>
  <si>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</si>
  <si>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</si>
  <si>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</si>
  <si>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</si>
  <si>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</si>
  <si>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</si>
  <si>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</si>
  <si>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</si>
  <si>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</si>
  <si>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</si>
  <si>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</si>
  <si>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</si>
  <si>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</si>
  <si>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</si>
  <si>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</si>
  <si>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</si>
  <si>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</si>
  <si>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</si>
  <si>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</si>
  <si>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</si>
  <si>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</si>
  <si>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</si>
  <si>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</si>
  <si>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</si>
  <si>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</si>
  <si>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</si>
  <si>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</si>
  <si>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</si>
  <si>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</si>
  <si>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</si>
  <si>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</si>
  <si>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</si>
  <si>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</si>
  <si>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</si>
  <si>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</si>
  <si>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</si>
  <si>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</si>
  <si>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</si>
  <si>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</si>
  <si>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</si>
  <si>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</si>
  <si>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</si>
  <si>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</si>
  <si>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</si>
  <si>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</si>
  <si>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</si>
  <si>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</si>
  <si>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</si>
  <si>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</si>
  <si>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</si>
  <si>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</si>
  <si>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</si>
  <si>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</si>
  <si>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</si>
  <si>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</si>
  <si>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</si>
  <si>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</si>
  <si>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</si>
  <si>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</si>
  <si>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</si>
  <si>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</si>
  <si>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</si>
  <si>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</si>
  <si>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</si>
  <si>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</si>
  <si>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</si>
  <si>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</si>
  <si>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</si>
  <si>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</si>
  <si>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</si>
  <si>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</si>
  <si>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</si>
  <si>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</si>
  <si>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</si>
  <si>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</si>
  <si>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</si>
  <si>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</si>
  <si>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</si>
  <si>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</si>
  <si>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</si>
  <si>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</si>
  <si>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</si>
  <si>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</si>
  <si>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</si>
  <si>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</si>
  <si>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</si>
  <si>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</si>
  <si>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</si>
  <si>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</si>
  <si>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</si>
  <si>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</si>
  <si>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</si>
  <si>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</si>
  <si>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</si>
  <si>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</si>
  <si>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</si>
  <si>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</si>
  <si>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</si>
  <si>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</si>
  <si>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</si>
  <si>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</si>
  <si>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</si>
  <si>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</si>
  <si>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</si>
  <si>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</si>
  <si>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</si>
  <si>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</si>
  <si>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</si>
  <si>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</si>
  <si>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</si>
  <si>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</si>
  <si>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</si>
  <si>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</si>
  <si>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</si>
  <si>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</si>
  <si>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</si>
  <si>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</si>
  <si>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</si>
  <si>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</si>
  <si>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</si>
  <si>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</si>
  <si>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</si>
  <si>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</si>
  <si>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</si>
  <si>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</si>
  <si>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</si>
  <si>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</si>
  <si>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</si>
  <si>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</si>
  <si>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</si>
  <si>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</si>
  <si>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</si>
  <si>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</si>
  <si>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</si>
  <si>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</si>
  <si>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</si>
  <si>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</si>
  <si>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</si>
  <si>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</si>
  <si>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</si>
  <si>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</si>
  <si>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</si>
  <si>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</si>
  <si>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</si>
  <si>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</si>
  <si>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</si>
  <si>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</si>
  <si>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</si>
  <si>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</si>
  <si>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</si>
  <si>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</si>
  <si>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</si>
  <si>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</si>
  <si>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</si>
  <si>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</si>
  <si>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</si>
  <si>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</si>
  <si>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</si>
  <si>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</si>
  <si>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</si>
  <si>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</si>
  <si>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</si>
  <si>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</si>
  <si>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</si>
  <si>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</si>
  <si>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</si>
  <si>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</si>
  <si>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</si>
  <si>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</si>
  <si>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</si>
  <si>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</si>
  <si>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</si>
  <si>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</si>
  <si>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</si>
  <si>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</si>
  <si>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</si>
  <si>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</si>
  <si>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</si>
  <si>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</si>
  <si>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</si>
  <si>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</si>
  <si>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</si>
  <si>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</si>
  <si>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</si>
  <si>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</si>
  <si>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</si>
  <si>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</si>
  <si>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</si>
  <si>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</si>
  <si>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</si>
  <si>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</si>
  <si>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</si>
  <si>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</si>
  <si>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</si>
  <si>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</si>
  <si>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</si>
  <si>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</si>
  <si>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</si>
  <si>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</si>
  <si>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</si>
  <si>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</si>
  <si>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</si>
  <si>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</si>
  <si>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</si>
  <si>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</si>
  <si>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</si>
  <si>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</si>
  <si>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</si>
  <si>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</si>
  <si>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</si>
  <si>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</si>
  <si>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</si>
  <si>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</si>
  <si>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</si>
  <si>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</si>
  <si>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</si>
  <si>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</si>
  <si>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</si>
  <si>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</si>
  <si>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</si>
  <si>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</si>
  <si>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</si>
  <si>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</si>
  <si>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</si>
  <si>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</si>
  <si>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</si>
  <si>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</si>
  <si>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</si>
  <si>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</si>
  <si>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</si>
  <si>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</si>
  <si>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</si>
  <si>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</si>
  <si>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</si>
  <si>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</si>
  <si>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</si>
  <si>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</si>
  <si>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</si>
  <si>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</si>
  <si>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</si>
  <si>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</si>
  <si>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</si>
  <si>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</si>
  <si>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</si>
  <si>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</si>
  <si>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</si>
  <si>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</si>
  <si>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</si>
  <si>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</si>
  <si>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</si>
  <si>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</si>
  <si>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</si>
  <si>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</si>
  <si>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</si>
  <si>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</si>
  <si>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</si>
  <si>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</si>
  <si>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</si>
  <si>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</si>
  <si>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</si>
  <si>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</si>
  <si>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</si>
  <si>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</si>
  <si>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</si>
  <si>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</si>
  <si>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</si>
  <si>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</si>
  <si>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</si>
  <si>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</si>
  <si>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</si>
  <si>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</si>
  <si>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</si>
  <si>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</si>
  <si>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</si>
  <si>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</si>
  <si>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</si>
  <si>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</si>
  <si>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</si>
  <si>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</si>
  <si>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</si>
  <si>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</si>
  <si>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</si>
  <si>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</si>
  <si>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</si>
  <si>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</si>
  <si>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</si>
  <si>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</si>
  <si>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</si>
  <si>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</si>
  <si>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</si>
  <si>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</si>
  <si>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</si>
  <si>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</si>
  <si>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</si>
  <si>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</si>
  <si>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</si>
  <si>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</si>
  <si>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</si>
  <si>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</si>
  <si>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</si>
  <si>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</si>
  <si>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</si>
  <si>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</si>
  <si>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</si>
  <si>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</si>
  <si>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</si>
  <si>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</si>
  <si>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</si>
  <si>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</si>
  <si>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</si>
  <si>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</si>
  <si>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</si>
  <si>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</si>
  <si>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</si>
  <si>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</si>
  <si>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</si>
  <si>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</si>
  <si>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</si>
  <si>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</si>
  <si>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</si>
  <si>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</si>
  <si>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</si>
  <si>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</si>
  <si>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</si>
  <si>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</si>
  <si>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</si>
  <si>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</si>
  <si>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</si>
  <si>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</si>
  <si>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</si>
  <si>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</si>
  <si>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</si>
  <si>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</si>
  <si>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</si>
  <si>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</si>
  <si>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</si>
  <si>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</si>
  <si>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</si>
  <si>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</si>
  <si>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JOB-CLOSEUP</t>
  </si>
  <si>
    <t>68</t>
  </si>
  <si>
    <t>535101-01-1</t>
  </si>
  <si>
    <t>535101-01-1 (2) / REAR PRESSURE BULKHEAD AFT FACE INSP</t>
  </si>
  <si>
    <t>JOB-SETUP, CLEAN-UP, INSPECTION, INSPECTION, INSPECTION, INSPECTION, JOB-CLOSEUP</t>
  </si>
  <si>
    <t>71</t>
  </si>
  <si>
    <t>553004-01-1</t>
  </si>
  <si>
    <t>553004-01-1 (2) / VERT STABILIZER ATTACH FITTINGS INSP</t>
  </si>
  <si>
    <t>55-36</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</si>
  <si>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</si>
  <si>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</si>
  <si>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</si>
  <si>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</si>
  <si>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</si>
  <si>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</si>
  <si>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</si>
  <si>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</si>
  <si>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</si>
  <si>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</si>
  <si>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</si>
  <si>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JOB-SETUP, CLEAN-UP, INSPECTION, JOB-CLOSEUP, JOB-CLOSEUP</t>
  </si>
  <si>
    <t>85</t>
  </si>
  <si>
    <t>572065-01-1-002</t>
  </si>
  <si>
    <t>572065-01-1-002 (03) / R/H OUTER WING TOP SKIN LOWER SURFACE INSP</t>
  </si>
  <si>
    <t>99</t>
  </si>
  <si>
    <t>575151-03-1</t>
  </si>
  <si>
    <t>575151-03-1 (0) / TRAILING EDGE</t>
  </si>
  <si>
    <t>57-51</t>
  </si>
  <si>
    <t>JOB-SETUP, JOB-SETUP, INSPECTION, INSPECTION, JOB-CLOSEUP</t>
  </si>
  <si>
    <t>105</t>
  </si>
  <si>
    <t>ZL-125-02-1</t>
  </si>
  <si>
    <t>ZL-125-02-1 (4) / LATERAL AVIONIC COMPARTMENT INSP</t>
  </si>
  <si>
    <t>108</t>
  </si>
  <si>
    <t>ZL-133-01-1</t>
  </si>
  <si>
    <t>ZL-133-01-1 (2) / FWD CARGO COMPAR UNDERFLOOR BAY INSP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</si>
  <si>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</si>
  <si>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</si>
  <si>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</si>
  <si>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</si>
  <si>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</si>
  <si>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</si>
  <si>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</si>
  <si>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</si>
  <si>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</si>
  <si>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</si>
  <si>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</si>
  <si>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</si>
  <si>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</si>
  <si>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</si>
  <si>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</si>
  <si>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</si>
  <si>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</si>
  <si>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</si>
  <si>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</si>
  <si>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</si>
  <si>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</si>
  <si>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</si>
  <si>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</si>
  <si>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</si>
  <si>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</si>
  <si>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</si>
  <si>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</si>
  <si>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</si>
  <si>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</si>
  <si>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</si>
  <si>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</si>
  <si>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</si>
  <si>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</si>
  <si>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</si>
  <si>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</si>
  <si>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</si>
  <si>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</si>
  <si>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</si>
  <si>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</si>
  <si>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</si>
  <si>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</si>
  <si>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</si>
  <si>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</si>
  <si>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</si>
  <si>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</si>
  <si>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</si>
  <si>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</si>
  <si>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</si>
  <si>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</si>
  <si>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</si>
  <si>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CLEAN-UP, CLEAN-UP, CLEAN-UP</t>
  </si>
  <si>
    <t>222</t>
  </si>
  <si>
    <t>52-32-00-01-0-SVA</t>
  </si>
  <si>
    <t>52-32-00-01-0-SVA (01) / AFT CARGO COMPARTMENT DOOR PROXIMITY SWITCH AND TARGET CLEANING</t>
  </si>
  <si>
    <t>52-71-00</t>
  </si>
  <si>
    <t>CLEAN-UP, TC/P, TC/P, --, JOB-CLOSEUP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</si>
  <si>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</si>
  <si>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</si>
  <si>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</si>
  <si>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</si>
  <si>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</si>
  <si>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</si>
  <si>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</si>
  <si>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</si>
  <si>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</si>
  <si>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</si>
  <si>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</si>
  <si>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</si>
  <si>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</si>
  <si>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</si>
  <si>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</si>
  <si>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</si>
  <si>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231</t>
  </si>
  <si>
    <t>801110-C3-1-002</t>
  </si>
  <si>
    <t>801110-C3-1-002 (01) / NO.2 ENGINE STARTER REPLENISHMENT</t>
  </si>
  <si>
    <t>12-13</t>
  </si>
  <si>
    <t>JOB-SETUP, TC/P, JOB-CLOSEUP</t>
  </si>
  <si>
    <t>233</t>
  </si>
  <si>
    <t>31574335</t>
  </si>
  <si>
    <t>C_N (C_N02)/C-CHECK</t>
  </si>
  <si>
    <t>ACFT RELEASE, ACFT RELEASE</t>
  </si>
  <si>
    <t>WT&amp;BAL</t>
  </si>
  <si>
    <t>246</t>
  </si>
  <si>
    <t>213100-02-1</t>
  </si>
  <si>
    <t>213100-02-1 (4) / CABIN PRESSURE SYS MANUAL MODE OPC</t>
  </si>
  <si>
    <t>21-31</t>
  </si>
  <si>
    <t>248</t>
  </si>
  <si>
    <t>213100-04-1</t>
  </si>
  <si>
    <t>213100-04-1 (3) / PRESSURE CONTROL AND MONITORING OPC</t>
  </si>
  <si>
    <t>INSPECTION, --</t>
  </si>
  <si>
    <t>PRE INSP, --</t>
  </si>
  <si>
    <t>TC/P, TC/P, TC/P, TC/P</t>
  </si>
  <si>
    <t>--, PRE INSP, --</t>
  </si>
  <si>
    <t>296</t>
  </si>
  <si>
    <t>255000-10-1</t>
  </si>
  <si>
    <t>255000-10-1 (3) / LOWER DECK CARGO LOADING</t>
  </si>
  <si>
    <t>25-50</t>
  </si>
  <si>
    <t>TC/P, TC/P, TC/P, TC/P, TC/P, TC/P, TC/P</t>
  </si>
  <si>
    <t>JOB-SETUP, INSPECTION, --, JOB-CLOSEUP</t>
  </si>
  <si>
    <t>305</t>
  </si>
  <si>
    <t>262100-05-1</t>
  </si>
  <si>
    <t>262100-05-1 (6) / ENG FIRE EXTINGUISHING FIRE CTL OPC</t>
  </si>
  <si>
    <t>26-21</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</si>
  <si>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</si>
  <si>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</si>
  <si>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</si>
  <si>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</si>
  <si>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</si>
  <si>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</si>
  <si>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</si>
  <si>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</si>
  <si>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</si>
  <si>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</si>
  <si>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</si>
  <si>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</si>
  <si>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</si>
  <si>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</si>
  <si>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</si>
  <si>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330</t>
  </si>
  <si>
    <t>274400-03-1</t>
  </si>
  <si>
    <t>274400-03-1 (3) / THS ACTUATOR NO-BACK DEVICE OPC</t>
  </si>
  <si>
    <t>27-44</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</si>
  <si>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</si>
  <si>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</si>
  <si>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</si>
  <si>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</si>
  <si>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</si>
  <si>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</si>
  <si>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</si>
  <si>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</si>
  <si>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</si>
  <si>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</si>
  <si>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</si>
  <si>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</si>
  <si>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</si>
  <si>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</si>
  <si>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</si>
  <si>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</si>
  <si>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</si>
  <si>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</si>
  <si>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</si>
  <si>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</si>
  <si>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</si>
  <si>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</si>
  <si>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</si>
  <si>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</si>
  <si>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</si>
  <si>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</si>
  <si>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</si>
  <si>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</si>
  <si>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</si>
  <si>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</si>
  <si>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</si>
  <si>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</si>
  <si>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</si>
  <si>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</si>
  <si>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</si>
  <si>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</si>
  <si>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</si>
  <si>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</si>
  <si>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</si>
  <si>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JOB-SETUP, OPS/LK, OPS/LK, JOB-CLOSEUP</t>
  </si>
  <si>
    <t>372</t>
  </si>
  <si>
    <t>282800-04-1</t>
  </si>
  <si>
    <t>282800-04-1 (02) / INDIVIDUAL MOTR TRX VLV OPC</t>
  </si>
  <si>
    <t>375</t>
  </si>
  <si>
    <t>282800-07-1</t>
  </si>
  <si>
    <t>282800-07-1 (02) / ACT TRANSFER SYSTEM FNC</t>
  </si>
  <si>
    <t>JOB-SETUP, TC/P, INSPECTION, INSPECTION, INSPECTION, JOB-CLOSEUP, JOB-CLOSEUP</t>
  </si>
  <si>
    <t>379</t>
  </si>
  <si>
    <t>291000-10-1</t>
  </si>
  <si>
    <t>291000-10-1 (03) / HYDRAULIC FIRE SHUTOFF VALVES FUNCTIONAL CHECK</t>
  </si>
  <si>
    <t>29-10</t>
  </si>
  <si>
    <t>381</t>
  </si>
  <si>
    <t>291000-20-1</t>
  </si>
  <si>
    <t>291000-20-1 (2) / ENG DRIVEN PUMP (EDP) DE-PRESS OPS</t>
  </si>
  <si>
    <t>402</t>
  </si>
  <si>
    <t>323100-04-1</t>
  </si>
  <si>
    <t>323100-04-1 (4) / (LG) SAFETY VALVE CLOSING OPS CHK</t>
  </si>
  <si>
    <t>32-31</t>
  </si>
  <si>
    <t>OPS/LK, OPS/LK, JOB-CLOSEUP, JOB-SETUP, TC/P</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</si>
  <si>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</si>
  <si>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</si>
  <si>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</si>
  <si>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</si>
  <si>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</si>
  <si>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</si>
  <si>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438</t>
  </si>
  <si>
    <t>361251-01-3</t>
  </si>
  <si>
    <t>361251-01-3 (03) / APU BLEED CHECK VALVE INSP</t>
  </si>
  <si>
    <t>36-12</t>
  </si>
  <si>
    <t>JOB-SETUP, JOB-SETUP, INSPECTION, INSPECTION, INSPECTION, OPS/LK, JOB-CLOSEUP</t>
  </si>
  <si>
    <t>CLEAN-UP</t>
  </si>
  <si>
    <t>440</t>
  </si>
  <si>
    <t>384142-01-1</t>
  </si>
  <si>
    <t>384142-01-1 (3) / AIR FILTER CARTRIDGE REPLACEMENT</t>
  </si>
  <si>
    <t>38-41</t>
  </si>
  <si>
    <t>JOB-SETUP, CLEAN-UP, TC/P, OPS/LK, OPS/LK,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</si>
  <si>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</si>
  <si>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</si>
  <si>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</si>
  <si>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</si>
  <si>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</si>
  <si>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</si>
  <si>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</si>
  <si>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</si>
  <si>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</si>
  <si>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</si>
  <si>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</si>
  <si>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</si>
  <si>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</si>
  <si>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</si>
  <si>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</si>
  <si>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501</t>
  </si>
  <si>
    <t>545000-05-1-001</t>
  </si>
  <si>
    <t>545000-05-1-001 (01) / L/H PYLON FIRE SEALS INSP</t>
  </si>
  <si>
    <t>502</t>
  </si>
  <si>
    <t>545000-05-1-002</t>
  </si>
  <si>
    <t>545000-05-1-002 (01) / R/H PYLON FIRE SEALS INSP</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</si>
  <si>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</si>
  <si>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</si>
  <si>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</si>
  <si>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</si>
  <si>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</si>
  <si>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</si>
  <si>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</si>
  <si>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</si>
  <si>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</si>
  <si>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</si>
  <si>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</si>
  <si>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</si>
  <si>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</si>
  <si>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</si>
  <si>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</si>
  <si>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</si>
  <si>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</si>
  <si>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</si>
  <si>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</si>
  <si>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</si>
  <si>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</si>
  <si>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</si>
  <si>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</si>
  <si>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</si>
  <si>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</si>
  <si>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</si>
  <si>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</si>
  <si>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</si>
  <si>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</si>
  <si>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</si>
  <si>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</si>
  <si>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</si>
  <si>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</si>
  <si>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551</t>
  </si>
  <si>
    <t>783200-01-1-001</t>
  </si>
  <si>
    <t>783200-01-1-001 (04) / NO. 1 ENG “C” DUCT HINGE FITTINGS INSP</t>
  </si>
  <si>
    <t>78-32</t>
  </si>
  <si>
    <t>553</t>
  </si>
  <si>
    <t>783209-01-1</t>
  </si>
  <si>
    <t>783209-01-1 (02) / DETAILED INSPECTION OF THRUST REVERSER V-GROOVE ADAPTER RING.</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</si>
  <si>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</si>
  <si>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</si>
  <si>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</si>
  <si>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</si>
  <si>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</si>
  <si>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</si>
  <si>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</si>
  <si>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</si>
  <si>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</si>
  <si>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</si>
  <si>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</si>
  <si>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</si>
  <si>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</si>
  <si>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</si>
  <si>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</si>
  <si>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</si>
  <si>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</si>
  <si>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</si>
  <si>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</si>
  <si>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</si>
  <si>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590</t>
  </si>
  <si>
    <t>344200-04-1</t>
  </si>
  <si>
    <t>344200-04-1 (01) / RADIO ALTIMETER</t>
  </si>
  <si>
    <t>34-42</t>
  </si>
  <si>
    <t>JOB-SETUP, CLEAN-UP, INSPECTION, INSPECTION, JOB-CLOSEUP, JOB-CLOSEUP</t>
  </si>
  <si>
    <t>JOB-SETUP, --, JOB-CLOSEUP</t>
  </si>
  <si>
    <t>592</t>
  </si>
  <si>
    <t>383100-02-1</t>
  </si>
  <si>
    <t>383100-02-1 (3) / INSPECT WATER SEPARATOR AND ASSOCIATED FILTER ELEMENT, AND CLEAN AS NECESSARY</t>
  </si>
  <si>
    <t>JOB-SETUP, TC/P, CLOSE-UP</t>
  </si>
  <si>
    <t>603</t>
  </si>
  <si>
    <t>05-00-00-01-0-A</t>
  </si>
  <si>
    <t>05-00-00-01-0-A (04) / AIRCRAFT C&amp;D CHECKS DATA REVIEW</t>
  </si>
  <si>
    <t>604</t>
  </si>
  <si>
    <t>12-21-11-01-0-SVA</t>
  </si>
  <si>
    <t>12-21-11-01-0-SVA (03) / AIRCRAFT EXTERIOR APPEARANCE WASH</t>
  </si>
  <si>
    <t>12-21</t>
  </si>
  <si>
    <t>JOB-SETUP, JOB-SETUP, JOB-SETUP, CLEAN-UP, TC/P, TC/P, TC/P, TC/P, TC/P, JOB-CLOSEUP</t>
  </si>
  <si>
    <t>JOB-SETUP, JOB-SETUP, JOB-SETUP, CLEAN-UP, INSPECTION, INSPECTION, INSPECTION, INSPECTION, JOB-CLOSEUP, JOB-CLOSEUP</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</si>
  <si>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</si>
  <si>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</si>
  <si>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</si>
  <si>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</si>
  <si>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</si>
  <si>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</si>
  <si>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</si>
  <si>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</si>
  <si>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</si>
  <si>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</si>
  <si>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617</t>
  </si>
  <si>
    <t>523303-01-1</t>
  </si>
  <si>
    <t>523303-01-1 (02) / BULK CARGO DOOR INTERNAL STRUC INSP</t>
  </si>
  <si>
    <t>52-33</t>
  </si>
  <si>
    <t>619</t>
  </si>
  <si>
    <t>532130-09-1</t>
  </si>
  <si>
    <t>532130-09-1 (02) / ANTI-CRASH ROD JUNCTION</t>
  </si>
  <si>
    <t>620</t>
  </si>
  <si>
    <t>532130-29-1</t>
  </si>
  <si>
    <t>532130-29-1 (01) / ANTI-CRASH ROD JUNCTION</t>
  </si>
  <si>
    <t>53-21</t>
  </si>
  <si>
    <t>JOB-SETUP, JOB-SETUP, JOB-SETUP, JOB-SETUP, INSPECTION, JOB-CLOSEUP, JOB-CLOSEUP, JOB-CLOSEUP, JOB-CLOSEUP, JOB-CLOSEUP</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</si>
  <si>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</si>
  <si>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</si>
  <si>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</si>
  <si>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</si>
  <si>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</si>
  <si>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</si>
  <si>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</si>
  <si>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</si>
  <si>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</si>
  <si>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</si>
  <si>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</si>
  <si>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</si>
  <si>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</si>
  <si>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</si>
  <si>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</si>
  <si>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</si>
  <si>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</si>
  <si>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</si>
  <si>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</si>
  <si>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</si>
  <si>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</si>
  <si>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</si>
  <si>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</si>
  <si>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</si>
  <si>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</si>
  <si>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</si>
  <si>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</si>
  <si>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</si>
  <si>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</si>
  <si>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</si>
  <si>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</si>
  <si>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</si>
  <si>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</si>
  <si>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</si>
  <si>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</si>
  <si>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</si>
  <si>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</si>
  <si>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</si>
  <si>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</si>
  <si>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</si>
  <si>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</si>
  <si>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</si>
  <si>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</si>
  <si>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</si>
  <si>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</si>
  <si>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</si>
  <si>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</si>
  <si>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</si>
  <si>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</si>
  <si>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</si>
  <si>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</si>
  <si>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</si>
  <si>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</si>
  <si>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</si>
  <si>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</si>
  <si>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</si>
  <si>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</si>
  <si>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</si>
  <si>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</si>
  <si>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</si>
  <si>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</si>
  <si>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</si>
  <si>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</si>
  <si>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</si>
  <si>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</si>
  <si>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</si>
  <si>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</si>
  <si>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</si>
  <si>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</si>
  <si>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</si>
  <si>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</si>
  <si>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</si>
  <si>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</si>
  <si>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</si>
  <si>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</si>
  <si>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709</t>
  </si>
  <si>
    <t>20893203</t>
  </si>
  <si>
    <t>EOD-320-25-00032-R00/AD-SPECIAL DETAILED INSPECTION OF THE RACK 80VU (CEO)</t>
  </si>
  <si>
    <t>PJED</t>
  </si>
  <si>
    <t>710</t>
  </si>
  <si>
    <t>29715410</t>
  </si>
  <si>
    <t>EOD-320-25-00050-R00/AD-EQUIPMENT/FURNISHINGS - LININGS AND FURNISHINGS/FORWARD CARGO</t>
  </si>
  <si>
    <t>CCHK</t>
  </si>
  <si>
    <t>712</t>
  </si>
  <si>
    <t>29411293</t>
  </si>
  <si>
    <t>EOD-320-27-00018-R00/A320 - FLIGHT CONTROLS - LIFT AUGMENTING - INTRODUCE IMPROVED SLAT GEA</t>
  </si>
  <si>
    <t>--, --, --, --, --, CLOSE-UP</t>
  </si>
  <si>
    <t>713</t>
  </si>
  <si>
    <t>29411377</t>
  </si>
  <si>
    <t>EOD-320-27-00019-R00/A320 - FLIGHT CONTROLS - LIFT AUGMENTING - INTRODUCE IMPROVED SLAT GEA</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</si>
  <si>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</si>
  <si>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</si>
  <si>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</si>
  <si>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</si>
  <si>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</si>
  <si>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</si>
  <si>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</si>
  <si>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</si>
  <si>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</si>
  <si>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</si>
  <si>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</si>
  <si>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</si>
  <si>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</si>
  <si>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</si>
  <si>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</si>
  <si>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</si>
  <si>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</si>
  <si>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</si>
  <si>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</si>
  <si>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</si>
  <si>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</si>
  <si>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</si>
  <si>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</si>
  <si>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</si>
  <si>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</si>
  <si>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</si>
  <si>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</si>
  <si>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</si>
  <si>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</si>
  <si>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</si>
  <si>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</si>
  <si>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</si>
  <si>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</si>
  <si>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</si>
  <si>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</si>
  <si>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</si>
  <si>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</si>
  <si>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</si>
  <si>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</si>
  <si>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</si>
  <si>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</si>
  <si>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</si>
  <si>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</si>
  <si>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</si>
  <si>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</si>
  <si>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</si>
  <si>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</si>
  <si>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</si>
  <si>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</si>
  <si>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</si>
  <si>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</si>
  <si>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</si>
  <si>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</si>
  <si>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</si>
  <si>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</si>
  <si>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</si>
  <si>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</si>
  <si>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</si>
  <si>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</si>
  <si>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</si>
  <si>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</si>
  <si>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</si>
  <si>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</si>
  <si>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</si>
  <si>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</si>
  <si>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</si>
  <si>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</si>
  <si>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</si>
  <si>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</si>
  <si>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</si>
  <si>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</si>
  <si>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</si>
  <si>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</si>
  <si>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</si>
  <si>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</si>
  <si>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</si>
  <si>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</si>
  <si>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</si>
  <si>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</si>
  <si>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</si>
  <si>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</si>
  <si>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</si>
  <si>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</si>
  <si>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</si>
  <si>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</si>
  <si>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</si>
  <si>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</si>
  <si>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</si>
  <si>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</si>
  <si>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</si>
  <si>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</si>
  <si>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</si>
  <si>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</si>
  <si>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</si>
  <si>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</si>
  <si>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</si>
  <si>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</si>
  <si>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</si>
  <si>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</si>
  <si>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</si>
  <si>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</si>
  <si>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</si>
  <si>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</si>
  <si>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</si>
  <si>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</si>
  <si>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</si>
  <si>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</si>
  <si>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</si>
  <si>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</si>
  <si>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</si>
  <si>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</si>
  <si>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</si>
  <si>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</si>
  <si>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</si>
  <si>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</si>
  <si>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</si>
  <si>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</si>
  <si>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</si>
  <si>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</si>
  <si>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</si>
  <si>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</si>
  <si>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</si>
  <si>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</si>
  <si>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</si>
  <si>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</si>
  <si>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</si>
  <si>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</si>
  <si>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</si>
  <si>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</si>
  <si>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</si>
  <si>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</si>
  <si>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</si>
  <si>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</si>
  <si>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</si>
  <si>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</si>
  <si>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</si>
  <si>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</si>
  <si>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</si>
  <si>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</si>
  <si>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</si>
  <si>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812</t>
  </si>
  <si>
    <t>94844876</t>
  </si>
  <si>
    <t>L/G ALL L/G SAFETY PINS ARE INSTALLED. AS PER AMM 32-00-00-481-001-A  REV.69 DATE.01 MAY 2026</t>
  </si>
  <si>
    <t>32-00</t>
  </si>
  <si>
    <t>816</t>
  </si>
  <si>
    <t>32977864</t>
  </si>
  <si>
    <t>PRE---UPPER FUSELAGE---NOCALLBACK---AV UPPER FUSELAGE GPS 1 ANTENNA, FWD AREA PAINT FOUND ERODED.</t>
  </si>
  <si>
    <t>826</t>
  </si>
  <si>
    <t>32977906</t>
  </si>
  <si>
    <t>PRE---R/H WING---NOCALLBACK---AP R/H WING ADJACENT TO SLAT NO#01 I/B SIDE FIXED LEADING EDGE, SEAL FOUND TORN AND WORNOUT.</t>
  </si>
  <si>
    <t>05-25</t>
  </si>
  <si>
    <t>840</t>
  </si>
  <si>
    <t>32978254</t>
  </si>
  <si>
    <t>LH MLG----AP---NO CALL BACK--- LH MLG BETWEEN FIXED AND HINGE FAIRING BONDING WIRE FRAYED.</t>
  </si>
  <si>
    <t>847</t>
  </si>
  <si>
    <t>32978282</t>
  </si>
  <si>
    <t>RH MLG---SM---CALL BACK---- RH MLG DOOR ON AFT UPPER CORNER PNL148FB SHAVING WITH MISSING PIECE. L= 4" W= 0.187"</t>
  </si>
  <si>
    <t>850</t>
  </si>
  <si>
    <t>32978506</t>
  </si>
  <si>
    <t>LH MLG---AP---CALL BACK---- LH MLG DOWNLOCK SPRING RUSTY.</t>
  </si>
  <si>
    <t>32-30</t>
  </si>
  <si>
    <t>851</t>
  </si>
  <si>
    <t>32978507</t>
  </si>
  <si>
    <t>FWD CARGO COMP----SM---CALL BACK---- FWD CARGO COMP ENTRY DOOR AT AFT SIDE PLATE BENDED.</t>
  </si>
  <si>
    <t>852</t>
  </si>
  <si>
    <t>32978509</t>
  </si>
  <si>
    <t>FWD CARGO COMP---AP---NO CALL BACK---- FWD CARGO COMP ENTRY DOOR FWD  DOOR NET TORN.</t>
  </si>
  <si>
    <t>863</t>
  </si>
  <si>
    <t>32978591</t>
  </si>
  <si>
    <t>FWD CARGO DOOR---AP--NO CALL BACK---- FWD CARGO DOOR DATA PLATE  TORN.</t>
  </si>
  <si>
    <t>864</t>
  </si>
  <si>
    <t>32978593</t>
  </si>
  <si>
    <t>FWD CARGO DOOR---AP---CALL BACK--- FWD CARGO DOOR AFT LWR SIDE RUBBER SEAL WITH CUT</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</si>
  <si>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</si>
  <si>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</si>
  <si>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</si>
  <si>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</si>
  <si>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</si>
  <si>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</si>
  <si>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</si>
  <si>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</si>
  <si>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</si>
  <si>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</si>
  <si>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</si>
  <si>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</si>
  <si>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</si>
  <si>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</si>
  <si>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</si>
  <si>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</si>
  <si>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</si>
  <si>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</si>
  <si>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</si>
  <si>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</si>
  <si>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892</t>
  </si>
  <si>
    <t>32979530</t>
  </si>
  <si>
    <t>893</t>
  </si>
  <si>
    <t>32979557</t>
  </si>
  <si>
    <t>903</t>
  </si>
  <si>
    <t>32163655</t>
  </si>
  <si>
    <t>342B050000/06787 RS(RESTORATION) / CLN THERMOSTAT - FAN AIR VALVE CTRL</t>
  </si>
  <si>
    <t>36-11</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</si>
  <si>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</si>
  <si>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</si>
  <si>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</si>
  <si>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</si>
  <si>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</si>
  <si>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</si>
  <si>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</si>
  <si>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</si>
  <si>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</si>
  <si>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</si>
  <si>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</si>
  <si>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</si>
  <si>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</si>
  <si>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</si>
  <si>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</si>
  <si>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</si>
  <si>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</si>
  <si>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</si>
  <si>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</si>
  <si>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</si>
  <si>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912</t>
  </si>
  <si>
    <t>94844837</t>
  </si>
  <si>
    <t>DECAL AFT CARGO DOOR ARROW, PULL, PUSH AND WARNING DECAL FOUND WORN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</si>
  <si>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</si>
  <si>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</si>
  <si>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</si>
  <si>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</si>
  <si>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</si>
  <si>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</si>
  <si>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</si>
  <si>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</si>
  <si>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</si>
  <si>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</si>
  <si>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</si>
  <si>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</si>
  <si>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</si>
  <si>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922</t>
  </si>
  <si>
    <t>30262642</t>
  </si>
  <si>
    <t>S32-R10324/A320 - LANDING GEAR - OPERATIONAL CHECK OF PBCV TO VERIFY ELECTRICAL</t>
  </si>
  <si>
    <t>923</t>
  </si>
  <si>
    <t>32800094</t>
  </si>
  <si>
    <t>S36-R10202/EBAS ENHANCEMENT TASKS - BLEED HEALTH CHECK</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</si>
  <si>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</si>
  <si>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</si>
  <si>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</si>
  <si>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</si>
  <si>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</si>
  <si>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</si>
  <si>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</si>
  <si>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</si>
  <si>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</si>
  <si>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</si>
  <si>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</si>
  <si>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937</t>
  </si>
  <si>
    <t>32980104</t>
  </si>
  <si>
    <t>RH WING  S/M --CALLBACK / FINDING (NRC) TASKCARD ZL-500-02-1-001 (05) RH WING FLAP TRACK FAIRING NO#4 O/B AFT UPPER SEAL WITH CUT.</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</si>
  <si>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</si>
  <si>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</si>
  <si>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</si>
  <si>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</si>
  <si>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</si>
  <si>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</si>
  <si>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</si>
  <si>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</si>
  <si>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</si>
  <si>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</si>
  <si>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</si>
  <si>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</si>
  <si>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</si>
  <si>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</si>
  <si>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</si>
  <si>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</si>
  <si>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</si>
  <si>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</si>
  <si>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</si>
  <si>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</si>
  <si>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</si>
  <si>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</si>
  <si>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956</t>
  </si>
  <si>
    <t>32981647</t>
  </si>
  <si>
    <t>957</t>
  </si>
  <si>
    <t>32981683</t>
  </si>
  <si>
    <t>965</t>
  </si>
  <si>
    <t>32982133</t>
  </si>
  <si>
    <t>966</t>
  </si>
  <si>
    <t>32982172</t>
  </si>
  <si>
    <t>968</t>
  </si>
  <si>
    <t>32982194</t>
  </si>
  <si>
    <t>969</t>
  </si>
  <si>
    <t>32982195</t>
  </si>
  <si>
    <t>970</t>
  </si>
  <si>
    <t>971</t>
  </si>
  <si>
    <t>972</t>
  </si>
  <si>
    <t>973</t>
  </si>
  <si>
    <t>32982202</t>
  </si>
  <si>
    <t>974</t>
  </si>
  <si>
    <t>984</t>
  </si>
  <si>
    <t>32983896</t>
  </si>
  <si>
    <t>LH WING INBORAD/OUTBOARD FIXED L/E---AP---CALLBACK REQ CLEANING OF  INBOARD/OUTBOARD FIXED LEADING EDGE STRUCTURE TO FACILITATE INSPECTION</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</si>
  <si>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</si>
  <si>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</si>
  <si>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</si>
  <si>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</si>
  <si>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</si>
  <si>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</si>
  <si>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992</t>
  </si>
  <si>
    <t>32983996</t>
  </si>
  <si>
    <t>999</t>
  </si>
  <si>
    <t>32984263</t>
  </si>
  <si>
    <t>1003</t>
  </si>
  <si>
    <t>32984585</t>
  </si>
  <si>
    <t>1004</t>
  </si>
  <si>
    <t>32984729</t>
  </si>
  <si>
    <t>1005</t>
  </si>
  <si>
    <t>32984742</t>
  </si>
  <si>
    <t>1006</t>
  </si>
  <si>
    <t>32984765</t>
  </si>
  <si>
    <t>1009</t>
  </si>
  <si>
    <t>32984823</t>
  </si>
  <si>
    <t>1014</t>
  </si>
  <si>
    <t>32984906</t>
  </si>
  <si>
    <t>1021</t>
  </si>
  <si>
    <t>32985000</t>
  </si>
  <si>
    <t>AP---CALLBACK---ENG. 1 HP DUCT PRESSURE SENSE LINE AT 12 O`CLOCK CHAFFED OVER EGT THERMOCOUPLE</t>
  </si>
  <si>
    <t>05-24</t>
  </si>
  <si>
    <t>1030</t>
  </si>
  <si>
    <t>32985083</t>
  </si>
  <si>
    <t>1031</t>
  </si>
  <si>
    <t>32985088</t>
  </si>
  <si>
    <t>1053</t>
  </si>
  <si>
    <t>32985354</t>
  </si>
  <si>
    <t>1075</t>
  </si>
  <si>
    <t>32987066</t>
  </si>
  <si>
    <t>1077</t>
  </si>
  <si>
    <t>32987097</t>
  </si>
  <si>
    <t>1084</t>
  </si>
  <si>
    <t>32913240</t>
  </si>
  <si>
    <t>S28-R10083/A320,321 REPETITIVE FUEL SUMP AND DRAIN - WATER REMOVAL</t>
  </si>
  <si>
    <t>RON</t>
  </si>
  <si>
    <t>1085</t>
  </si>
  <si>
    <t>32984296</t>
  </si>
  <si>
    <t>S34-R10187/A320/A321 - T2CAS - UPDATE OF TERRAIN DATABASE INTO VERSION 227</t>
  </si>
  <si>
    <t>1086</t>
  </si>
  <si>
    <t>32974165</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</si>
  <si>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</si>
  <si>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</si>
  <si>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</si>
  <si>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</si>
  <si>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</si>
  <si>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</si>
  <si>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1107</t>
  </si>
  <si>
    <t>32988329</t>
  </si>
  <si>
    <t>1108</t>
  </si>
  <si>
    <t>32988444</t>
  </si>
  <si>
    <t>25-20</t>
  </si>
  <si>
    <t>1112</t>
  </si>
  <si>
    <t>32988660</t>
  </si>
  <si>
    <t>1113</t>
  </si>
  <si>
    <t>32988687</t>
  </si>
  <si>
    <t>1114</t>
  </si>
  <si>
    <t>32988706</t>
  </si>
  <si>
    <t>1115</t>
  </si>
  <si>
    <t>32988779</t>
  </si>
  <si>
    <t>1116</t>
  </si>
  <si>
    <t>32988786</t>
  </si>
  <si>
    <t>1124</t>
  </si>
  <si>
    <t>32989133</t>
  </si>
  <si>
    <t>CAB - NO CALL BACK - GLLY G2 GALLEY SEVERAL RUB STRIP FADED</t>
  </si>
  <si>
    <t>1126</t>
  </si>
  <si>
    <t>32989457</t>
  </si>
  <si>
    <t>1127</t>
  </si>
  <si>
    <t>32989455</t>
  </si>
  <si>
    <t>1128</t>
  </si>
  <si>
    <t>32989472</t>
  </si>
  <si>
    <t>1129</t>
  </si>
  <si>
    <t>32989475</t>
  </si>
  <si>
    <t>AV - NO CALLBACK - PAX SEATS SEATS AT 30ABC TO 34 ABC REQUIRED TO REMOVED ELECTRICAL WIRE FOR ACCESS.</t>
  </si>
  <si>
    <t>1131</t>
  </si>
  <si>
    <t>32989482</t>
  </si>
  <si>
    <t>1132</t>
  </si>
  <si>
    <t>32989491</t>
  </si>
  <si>
    <t>1133</t>
  </si>
  <si>
    <t>32989492</t>
  </si>
  <si>
    <t>1135</t>
  </si>
  <si>
    <t>32989529</t>
  </si>
  <si>
    <t>FWD GARGO COMPT=====FS=====NO CALL BACK FWD CARGO COMPARTMENT CEILING, SIDE WALL AND SLOPY AREA DIRTY WITH ACCUMULATED DUST</t>
  </si>
  <si>
    <t>1141</t>
  </si>
  <si>
    <t>32989728</t>
  </si>
  <si>
    <t>1144</t>
  </si>
  <si>
    <t>32989797</t>
  </si>
  <si>
    <t>1146</t>
  </si>
  <si>
    <t>32989825</t>
  </si>
  <si>
    <t>1147</t>
  </si>
  <si>
    <t>32989853</t>
  </si>
  <si>
    <t>1149</t>
  </si>
  <si>
    <t>32989860</t>
  </si>
  <si>
    <t>1154</t>
  </si>
  <si>
    <t>32989943</t>
  </si>
  <si>
    <t>1156</t>
  </si>
  <si>
    <t>32989952</t>
  </si>
  <si>
    <t>1163</t>
  </si>
  <si>
    <t>32989966</t>
  </si>
  <si>
    <t>#2 ENG - FAN FR ASSY - HMU LINES CLAMPS - AP - RII #2 ENG FAN FRAME ASSEMBLY AT 06:00 O`CLOCK POSTION FOUND HYDROMECHANICAL UNIT (HMU) SOV FUEL LINES (ROD AND HEAD LINES) CLAMPS CORRODED .</t>
  </si>
  <si>
    <t>1165</t>
  </si>
  <si>
    <t>32989971</t>
  </si>
  <si>
    <t>#2 ENG - L/H AND R/H T/REV - TEFLON SEAL - AP - RII #2 ENG L/H AND R/H THRUST REVERSERS AT FWD SIDE FOUND FAN COWLS RUB TEFLON SEAL DETERIORATED AND DETACHED.</t>
  </si>
  <si>
    <t>1166</t>
  </si>
  <si>
    <t>32989973</t>
  </si>
  <si>
    <t>#2 ENG - R/H T/REV - HCU - AP - NO CALL BACK #2 ENG R/H THRUST REVERSER FWD FACE FOUND HYDRAULIC CONTROL UNIT (HCU) LEAKING .</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</si>
  <si>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</si>
  <si>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</si>
  <si>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</si>
  <si>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</si>
  <si>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</si>
  <si>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1174</t>
  </si>
  <si>
    <t>32990008</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</si>
  <si>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</si>
  <si>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</si>
  <si>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</si>
  <si>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1195</t>
  </si>
  <si>
    <t>32990192</t>
  </si>
  <si>
    <t>#1 ENG - L/H AND R/H T/REV - TEFLON SEAL - AP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</si>
  <si>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</si>
  <si>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</si>
  <si>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</si>
  <si>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1199</t>
  </si>
  <si>
    <t>32991206</t>
  </si>
  <si>
    <t>1200</t>
  </si>
  <si>
    <t>32991276</t>
  </si>
  <si>
    <t>1201</t>
  </si>
  <si>
    <t>32991499</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</si>
  <si>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</si>
  <si>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</si>
  <si>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</si>
  <si>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</si>
  <si>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</si>
  <si>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</si>
  <si>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</si>
  <si>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</si>
  <si>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</si>
  <si>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</si>
  <si>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</si>
  <si>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</si>
  <si>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</si>
  <si>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</si>
  <si>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</si>
  <si>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</si>
  <si>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</si>
  <si>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</si>
  <si>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</si>
  <si>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</si>
  <si>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</si>
  <si>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</si>
  <si>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</si>
  <si>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</si>
  <si>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</si>
  <si>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</si>
  <si>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</si>
  <si>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</si>
  <si>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</si>
  <si>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</si>
  <si>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</si>
  <si>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1219</t>
  </si>
  <si>
    <t>32992488</t>
  </si>
  <si>
    <t>1220</t>
  </si>
  <si>
    <t>32992489</t>
  </si>
  <si>
    <t>1221</t>
  </si>
  <si>
    <t>32992493</t>
  </si>
  <si>
    <t>1222</t>
  </si>
  <si>
    <t>32992492</t>
  </si>
  <si>
    <t>1223</t>
  </si>
  <si>
    <t>32992500</t>
  </si>
  <si>
    <t>1224</t>
  </si>
  <si>
    <t>32992517</t>
  </si>
  <si>
    <t>1225</t>
  </si>
  <si>
    <t>32992509</t>
  </si>
  <si>
    <t>1230</t>
  </si>
  <si>
    <t>32992709</t>
  </si>
  <si>
    <t>1231</t>
  </si>
  <si>
    <t>32992712</t>
  </si>
  <si>
    <t>1232</t>
  </si>
  <si>
    <t>32992717</t>
  </si>
  <si>
    <t>1233</t>
  </si>
  <si>
    <t>32992719</t>
  </si>
  <si>
    <t>1234</t>
  </si>
  <si>
    <t>32992731</t>
  </si>
  <si>
    <t>1235</t>
  </si>
  <si>
    <t>32992738</t>
  </si>
  <si>
    <t>1250</t>
  </si>
  <si>
    <t>32994149</t>
  </si>
  <si>
    <t>25-25</t>
  </si>
  <si>
    <t>1258</t>
  </si>
  <si>
    <t>32995553</t>
  </si>
  <si>
    <t>AP---CALLBACK---LH WING LH WING INTERCONNECT STRUT LOWER KINK SEAL WITH CUT</t>
  </si>
  <si>
    <t>27-51</t>
  </si>
  <si>
    <t>1261</t>
  </si>
  <si>
    <t>32996054</t>
  </si>
  <si>
    <t>1262</t>
  </si>
  <si>
    <t>32996073</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</si>
  <si>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</si>
  <si>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</si>
  <si>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</si>
  <si>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</si>
  <si>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</si>
  <si>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</si>
  <si>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</si>
  <si>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</si>
  <si>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</si>
  <si>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DUCT=====AP======NO CALL BACK APU BLEED DUCT CHECK VLV SPRING BROKEN</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</si>
  <si>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</si>
  <si>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</si>
  <si>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</si>
  <si>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</si>
  <si>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</si>
  <si>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</si>
  <si>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1280</t>
  </si>
  <si>
    <t>33000799</t>
  </si>
  <si>
    <t>AP---CALLBACK---AFT BULKHEAD REMOVE REAR PRESSURE BULKHEAD COVER FOR INSPECTION</t>
  </si>
  <si>
    <t>1286</t>
  </si>
  <si>
    <t>33002727</t>
  </si>
  <si>
    <t>AP---CALLBACK---RH WING SLAT 1 RH WING SLAT 1 OUTBOARD EDGE SEAL CUT OFF</t>
  </si>
  <si>
    <t>57-42</t>
  </si>
  <si>
    <t>1287</t>
  </si>
  <si>
    <t>33002757</t>
  </si>
  <si>
    <t>S52-R10176/ASD // L2 PAX DOOR SEAL RETAINER WITH DENT &amp; GOUGE</t>
  </si>
  <si>
    <t>1289</t>
  </si>
  <si>
    <t>33002784</t>
  </si>
  <si>
    <t>PNT - NO CALLBACK - OSBD OSB DOORS AT 1AC, 4AC, 5AC, 4JL, 5JL OSB DOORS REQUIRE PAINT (7 EA).</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</si>
  <si>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</si>
  <si>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</si>
  <si>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</si>
  <si>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</si>
  <si>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</si>
  <si>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</si>
  <si>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</si>
  <si>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</si>
  <si>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</si>
  <si>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</si>
  <si>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</si>
  <si>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</si>
  <si>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</si>
  <si>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</si>
  <si>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</si>
  <si>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</si>
  <si>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57-46</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</si>
  <si>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</si>
  <si>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</si>
  <si>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</si>
  <si>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</si>
  <si>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</si>
  <si>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</si>
  <si>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</si>
  <si>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</si>
  <si>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</si>
  <si>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</si>
  <si>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</si>
  <si>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</si>
  <si>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</si>
  <si>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</si>
  <si>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</si>
  <si>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</si>
  <si>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</si>
  <si>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1314</t>
  </si>
  <si>
    <t>33013562</t>
  </si>
  <si>
    <t>ENG NO#01=====SM=====RII ENG NO#01 LH THR/REV NEAR THE FWD MOST HINGE ADJACENT STRUCTURE WITH BULGE ASSOCIATED WITH DELAMINATION  DIMENSION AS FOLLOWS LENGTH = 3.5" WIDTH = 3"</t>
  </si>
  <si>
    <t>1322</t>
  </si>
  <si>
    <t>33019321</t>
  </si>
  <si>
    <t>SM---RII---NLG ERROSION FOUND ON RH NOSE GEAR SWIVEL BEARING BUSHING</t>
  </si>
  <si>
    <t>32-21</t>
  </si>
  <si>
    <t>1335</t>
  </si>
  <si>
    <t>33020728</t>
  </si>
  <si>
    <t>AFT CGO COMPT=====AP=====NO CALL BACK AFT CGO COMPT FWD LEFT HAND SIDE APU DUCT CLAMP INSTALLATION ADJACENT AREA INSULATION BLANKETS WITH BURN MARKS (SIGN OF LEAK)</t>
  </si>
  <si>
    <t>1339</t>
  </si>
  <si>
    <t>33021722</t>
  </si>
  <si>
    <t>1343</t>
  </si>
  <si>
    <t>33022800</t>
  </si>
  <si>
    <t>1353</t>
  </si>
  <si>
    <t>33023666</t>
  </si>
  <si>
    <t>1358</t>
  </si>
  <si>
    <t>33023837</t>
  </si>
  <si>
    <t>1360</t>
  </si>
  <si>
    <t>33025667</t>
  </si>
  <si>
    <t>1372</t>
  </si>
  <si>
    <t>33028124</t>
  </si>
  <si>
    <t>BROKEN PLENUM LH&amp;RH-AP-N0-CALLBACK DURING INSPECTION FOUND LH &amp; RH PACKS PLENUM CHAMBERS DELAMINATED OUT OF LIMITS</t>
  </si>
  <si>
    <t>21-52</t>
  </si>
  <si>
    <t>1376</t>
  </si>
  <si>
    <t>33028349</t>
  </si>
  <si>
    <t>AP---CALLBACK---REAR AVN COMP REAR AVN COMPARTMENT UNDER INSULATION AND FLOOR AREA REQUIRE CIC</t>
  </si>
  <si>
    <t>1388</t>
  </si>
  <si>
    <t>33030877</t>
  </si>
  <si>
    <t>AP---CALLBACK---RH WING SLAT 1 RH WING SLAT 1 TRACK 3 UPPER SURROUNDING SEAL TORN</t>
  </si>
  <si>
    <t>1389</t>
  </si>
  <si>
    <t>33030906</t>
  </si>
  <si>
    <t>CTR TANK FUEL PNL----FT----RII REFER TO TC # 571192-19-1 AND 571192-09-1 REQUIRE TO REMOVE CENTER  FUEL TANK ACCESS PANEL 148AZ</t>
  </si>
  <si>
    <t>1393</t>
  </si>
  <si>
    <t>33035902</t>
  </si>
  <si>
    <t>VHS BROKEN VHS AT SEAT 1A BROKEN</t>
  </si>
  <si>
    <t>1394</t>
  </si>
  <si>
    <t>33035907</t>
  </si>
  <si>
    <t>VHS BROKEN VHS AT SEAT 1L BROKEN</t>
  </si>
  <si>
    <t>1395</t>
  </si>
  <si>
    <t>33036878</t>
  </si>
  <si>
    <t>ENG#1 HPV FUNCTIONAL CHECK FAILED -- AP -- RII ENG#1 HPV DURING HEALTH CHECK TEST FOUND HPV STUCK TO CLOSED POSITION, REQUIRE R/R.</t>
  </si>
  <si>
    <t>36-11-00</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</si>
  <si>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</si>
  <si>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</si>
  <si>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</si>
  <si>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</si>
  <si>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</si>
  <si>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</si>
  <si>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</si>
  <si>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</si>
  <si>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</si>
  <si>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1405</t>
  </si>
  <si>
    <t>33043802</t>
  </si>
  <si>
    <t>TASKCARD 531166-01-2 (2) / ITEM-1---SM---CALL BACK--- R1 DOOR-CUTOUT LOWER-CORNERS ON FWD AND AFT FOUND SURFACE CORROSION.</t>
  </si>
  <si>
    <t>1408</t>
  </si>
  <si>
    <t>33045441</t>
  </si>
  <si>
    <t>VERTICAL MEMBER ASSEMBLIES FR24- AP-RII FWD CARGO VERTICAL MEMBER ASSEMBLIES AT FRAME 24 (LOC : Y-765, Y-254, Y254, Y765) FOUND DVI EVALUATION OUT OF LIMITS</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</si>
  <si>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</si>
  <si>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</si>
  <si>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</si>
  <si>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</si>
  <si>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</si>
  <si>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</si>
  <si>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</si>
  <si>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</si>
  <si>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</si>
  <si>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</si>
  <si>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</si>
  <si>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</si>
  <si>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</si>
  <si>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</si>
  <si>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</si>
  <si>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1432</t>
  </si>
  <si>
    <t>33073741</t>
  </si>
  <si>
    <t>1436</t>
  </si>
  <si>
    <t>33069060</t>
  </si>
  <si>
    <t>REPLACE 3214-31/151653 (BATTERY, EMERGENCY)</t>
  </si>
  <si>
    <t>1437</t>
  </si>
  <si>
    <t>33069005</t>
  </si>
  <si>
    <t>REPLACE 3214-31/151671 (BATTERY, EMERGENCY)</t>
  </si>
  <si>
    <t>1438</t>
  </si>
  <si>
    <t>33069059</t>
  </si>
  <si>
    <t>REPLACE 3214-31/151674 (BATTERY, EMERGENCY)</t>
  </si>
  <si>
    <t>1439</t>
  </si>
  <si>
    <t>33069030</t>
  </si>
  <si>
    <t>REPLACE 3214-31/151687 (BATTERY, EMERGENCY)</t>
  </si>
  <si>
    <t>1442</t>
  </si>
  <si>
    <t>1451</t>
  </si>
  <si>
    <t>1455</t>
  </si>
  <si>
    <t>33110403</t>
  </si>
  <si>
    <t>PNT CARGO PANELS - NO CALL BACK - PNT AFT CARGO ALL SIDE WALL PANELS PNT PEELED OFF</t>
  </si>
  <si>
    <t>1458</t>
  </si>
  <si>
    <t>33111530</t>
  </si>
  <si>
    <t>AP------SAFETY VALVES---------RII DURING OP`S CHK FOUND BOTH SAFETY VALVES FIN# 6HL+7HL FAILED</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</si>
  <si>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</si>
  <si>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</si>
  <si>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</si>
  <si>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</si>
  <si>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</si>
  <si>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</si>
  <si>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</si>
  <si>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</si>
  <si>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</si>
  <si>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</si>
  <si>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</si>
  <si>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</si>
  <si>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</si>
  <si>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</si>
  <si>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</si>
  <si>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</si>
  <si>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</si>
  <si>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</si>
  <si>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</si>
  <si>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</si>
  <si>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1468</t>
  </si>
  <si>
    <t>33111996</t>
  </si>
  <si>
    <t>S78-R10597/HZ-ASD; ENG.2 L/H T/REV THERMAL BLANKET WELD PATCH REPAIR</t>
  </si>
  <si>
    <t>1470</t>
  </si>
  <si>
    <t>33113900</t>
  </si>
  <si>
    <t>S53-R10827/HZ-ASD RH MLG PNL 148FB AFT UPR CORNER - CHAFING AND MISSING MATERIAL</t>
  </si>
  <si>
    <t>1482</t>
  </si>
  <si>
    <t>33084455</t>
  </si>
  <si>
    <t>S44-R10270/CELL MODEM TEST - CAPTURE DEBUG</t>
  </si>
  <si>
    <t>1489</t>
  </si>
  <si>
    <t>95001850</t>
  </si>
  <si>
    <t>.. SAFA FINDINGS .. ENG NO.1 SEVERAL FAN OUTLET GUIDE VANES FOUND WITH DAMAGED METAL LEADING EDGE AT 01, 04, 05, 08, 10, 12. OCLOCK POSITION.</t>
  </si>
  <si>
    <t>1490</t>
  </si>
  <si>
    <t>1492</t>
  </si>
  <si>
    <t>1494</t>
  </si>
  <si>
    <t>1495</t>
  </si>
  <si>
    <t>1496</t>
  </si>
  <si>
    <t>1498</t>
  </si>
  <si>
    <t>200151-01-1</t>
  </si>
  <si>
    <t>200151-01-1 (01) / AFT CARGO COMPARTMENT EWIS CLEANING</t>
  </si>
  <si>
    <t>JOB-SETUP, CLEAN-UP, TC/P, TC/P, TC/P, JOB-CLOSEUP, JOB-CLOSEUP</t>
  </si>
  <si>
    <t>1502</t>
  </si>
  <si>
    <t>33155724</t>
  </si>
  <si>
    <t>ENGINE 2 STARTER SERVICING -- AP REFER TO TC 801110-C3-1-002 STEP 1 (7)</t>
  </si>
  <si>
    <t>1506</t>
  </si>
  <si>
    <t>33157449</t>
  </si>
  <si>
    <t>INSPECTOR FINDING - RH WING - 631AT - CALLBACK RH WING ACCESS PANEL 631AT FWD EDGE SEAL IS WORN OUT. REQUIRES REPLACEMENT.</t>
  </si>
  <si>
    <t>1507</t>
  </si>
  <si>
    <t>33157472</t>
  </si>
  <si>
    <t>SM - RH WING - 631AT - CALLBACK RH WING ACCESS PANEL 631AT FWD EDGE LH &amp; RH SEAL IS WORN OUT. REQUIRES REPLACEMENT.</t>
  </si>
  <si>
    <t>1508</t>
  </si>
  <si>
    <t>33157478</t>
  </si>
  <si>
    <t>SM - RH WING - 632AT - CALLBACK RH WING ACCESS PANEL 632AT FWD EDGE LH &amp; RH SEALS ARE WORN OUT. REQUIRES REPLACEMENT.</t>
  </si>
  <si>
    <t>1509</t>
  </si>
  <si>
    <t>33157484</t>
  </si>
  <si>
    <t>AP - RH WING - TRAILING EDGE - CALLBACK RH WING TRAILING EDGE ACCESS PANEL 673AB SEAL IS WORN OUT AND REQUIRES REPLACEMENT.</t>
  </si>
  <si>
    <t>1510</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</si>
  <si>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</si>
  <si>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</si>
  <si>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</si>
  <si>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</si>
  <si>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</si>
  <si>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</si>
  <si>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</si>
  <si>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</si>
  <si>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</si>
  <si>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</si>
  <si>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</si>
  <si>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</si>
  <si>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</si>
  <si>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</si>
  <si>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</si>
  <si>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</si>
  <si>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</si>
  <si>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</si>
  <si>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</si>
  <si>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</si>
  <si>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</si>
  <si>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</si>
  <si>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</si>
  <si>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</si>
  <si>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</si>
  <si>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</si>
  <si>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</si>
  <si>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</si>
  <si>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12</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</si>
  <si>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</si>
  <si>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</si>
  <si>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</si>
  <si>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</si>
  <si>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</si>
  <si>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</si>
  <si>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</si>
  <si>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</si>
  <si>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</si>
  <si>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</si>
  <si>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</si>
  <si>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</si>
  <si>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</si>
  <si>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</si>
  <si>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</si>
  <si>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</si>
  <si>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</si>
  <si>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</si>
  <si>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</si>
  <si>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</si>
  <si>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</si>
  <si>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</si>
  <si>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27</t>
  </si>
  <si>
    <t>200315-01-1</t>
  </si>
  <si>
    <t>200315-01-1 (3) / TAIL CONE&amp;APU ACCESSORY ROUTES INSP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</si>
  <si>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</si>
  <si>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</si>
  <si>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</si>
  <si>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</si>
  <si>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</si>
  <si>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</si>
  <si>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</si>
  <si>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</si>
  <si>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</si>
  <si>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</si>
  <si>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</si>
  <si>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</si>
  <si>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TC/P, TC/P, TC/P, TC/P, TC/P</t>
  </si>
  <si>
    <t>39</t>
  </si>
  <si>
    <t>272100-13-1</t>
  </si>
  <si>
    <t>272100-13-1 (0) / RUDDER MECHANICAL CONTROL</t>
  </si>
  <si>
    <t>40</t>
  </si>
  <si>
    <t>281800-02-1</t>
  </si>
  <si>
    <t>281800-02-1 (2) / CENTER TANK VAPOR SEAL INSPECTION</t>
  </si>
  <si>
    <t>41</t>
  </si>
  <si>
    <t>281800-05-1</t>
  </si>
  <si>
    <t>281800-05-1 (3) / CNTR TANK FWD BKHD INSULATION INSP</t>
  </si>
  <si>
    <t>341300-13-1</t>
  </si>
  <si>
    <t>341300-13-1 (6) / ADM ACCURACY FUNCTIONAL TEST</t>
  </si>
  <si>
    <t>34-13</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</si>
  <si>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</si>
  <si>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</si>
  <si>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</si>
  <si>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</si>
  <si>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</si>
  <si>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</si>
  <si>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</si>
  <si>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</si>
  <si>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</si>
  <si>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</si>
  <si>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</si>
  <si>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</si>
  <si>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</si>
  <si>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</si>
  <si>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</si>
  <si>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</si>
  <si>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</si>
  <si>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</si>
  <si>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</si>
  <si>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</si>
  <si>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</si>
  <si>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</si>
  <si>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</si>
  <si>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</si>
  <si>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</si>
  <si>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</si>
  <si>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</si>
  <si>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</si>
  <si>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</si>
  <si>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</si>
  <si>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</si>
  <si>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</si>
  <si>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69</t>
  </si>
  <si>
    <t>551020-01-1</t>
  </si>
  <si>
    <t>551020-01-1 (3) / ELEVATOR HNG SUPPORTS AND FTNGS INSP</t>
  </si>
  <si>
    <t>55-16</t>
  </si>
  <si>
    <t>70</t>
  </si>
  <si>
    <t>552002-01-1</t>
  </si>
  <si>
    <t>552002-01-1 (2) / ELEVATOR HNG SUPPORT &amp; ACT FTG INSP</t>
  </si>
  <si>
    <t>55-20</t>
  </si>
  <si>
    <t>72</t>
  </si>
  <si>
    <t>553005-01-1</t>
  </si>
  <si>
    <t>553005-01-1 (2) / RUDDER HINGE ARMS AND ACTUATOR INSP</t>
  </si>
  <si>
    <t>55-30</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</si>
  <si>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</si>
  <si>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</si>
  <si>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</si>
  <si>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</si>
  <si>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</si>
  <si>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</si>
  <si>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</si>
  <si>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</si>
  <si>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</si>
  <si>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</si>
  <si>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</si>
  <si>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</si>
  <si>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</si>
  <si>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</si>
  <si>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</si>
  <si>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</si>
  <si>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</si>
  <si>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</si>
  <si>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</si>
  <si>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</si>
  <si>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</si>
  <si>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</si>
  <si>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</si>
  <si>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</si>
  <si>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</si>
  <si>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</si>
  <si>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</si>
  <si>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</si>
  <si>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</si>
  <si>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</si>
  <si>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</si>
  <si>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</si>
  <si>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</si>
  <si>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</si>
  <si>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</si>
  <si>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</si>
  <si>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</si>
  <si>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</si>
  <si>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</si>
  <si>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</si>
  <si>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</si>
  <si>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</si>
  <si>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</si>
  <si>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</si>
  <si>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</si>
  <si>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</si>
  <si>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</si>
  <si>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</si>
  <si>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</si>
  <si>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</si>
  <si>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</si>
  <si>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</si>
  <si>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</si>
  <si>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</si>
  <si>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</si>
  <si>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</si>
  <si>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</si>
  <si>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</si>
  <si>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</si>
  <si>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</si>
  <si>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</si>
  <si>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</si>
  <si>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</si>
  <si>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</si>
  <si>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</si>
  <si>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</si>
  <si>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</si>
  <si>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</si>
  <si>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100</t>
  </si>
  <si>
    <t>575167-01-1-001</t>
  </si>
  <si>
    <t>575167-01-1-001 (02) / L/H OUTER WING BTOM SKN PNL NO3 INSP</t>
  </si>
  <si>
    <t>101</t>
  </si>
  <si>
    <t>575167-01-1-002</t>
  </si>
  <si>
    <t>575167-01-1-002 (02) / R/H OUTER WING BTTM SKIN NO.3 INSP</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</si>
  <si>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</si>
  <si>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</si>
  <si>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</si>
  <si>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</si>
  <si>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</si>
  <si>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</si>
  <si>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</si>
  <si>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</si>
  <si>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</si>
  <si>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</si>
  <si>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</si>
  <si>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</si>
  <si>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</si>
  <si>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</si>
  <si>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</si>
  <si>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JOB-SETUP, INSPECTION, INSPECTION, JOB-CLOSEUP, INSPECTION, JOB-CLOSEUP</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</si>
  <si>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</si>
  <si>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</si>
  <si>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</si>
  <si>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</si>
  <si>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</si>
  <si>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</si>
  <si>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</si>
  <si>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</si>
  <si>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</si>
  <si>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</si>
  <si>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</si>
  <si>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</si>
  <si>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</si>
  <si>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</si>
  <si>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</si>
  <si>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</si>
  <si>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</si>
  <si>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</si>
  <si>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</si>
  <si>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</si>
  <si>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</si>
  <si>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</si>
  <si>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</si>
  <si>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</si>
  <si>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05-23</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</si>
  <si>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</si>
  <si>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</si>
  <si>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</si>
  <si>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</si>
  <si>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</si>
  <si>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</si>
  <si>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</si>
  <si>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</si>
  <si>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</si>
  <si>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</si>
  <si>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</si>
  <si>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</si>
  <si>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</si>
  <si>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</si>
  <si>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</si>
  <si>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</si>
  <si>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</si>
  <si>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</si>
  <si>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</si>
  <si>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</si>
  <si>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</si>
  <si>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</si>
  <si>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</si>
  <si>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</si>
  <si>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</si>
  <si>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</si>
  <si>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</si>
  <si>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</si>
  <si>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</si>
  <si>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</si>
  <si>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</si>
  <si>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</si>
  <si>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</si>
  <si>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</si>
  <si>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</si>
  <si>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</si>
  <si>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</si>
  <si>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</si>
  <si>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</si>
  <si>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</si>
  <si>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</si>
  <si>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</si>
  <si>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</si>
  <si>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</si>
  <si>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(02) / L/H FLAP TRACK NO 2 AND FAIRING INSP</t>
  </si>
  <si>
    <t>139</t>
  </si>
  <si>
    <t>ZL-531-02-1-002</t>
  </si>
  <si>
    <t>ZL-531-02-1-002 (02)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</si>
  <si>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</si>
  <si>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</si>
  <si>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</si>
  <si>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</si>
  <si>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</si>
  <si>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</si>
  <si>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</si>
  <si>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</si>
  <si>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</si>
  <si>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</si>
  <si>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</si>
  <si>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</si>
  <si>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</si>
  <si>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</si>
  <si>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</si>
  <si>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</si>
  <si>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</si>
  <si>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</si>
  <si>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</si>
  <si>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</si>
  <si>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</si>
  <si>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</si>
  <si>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</si>
  <si>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</si>
  <si>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</si>
  <si>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</si>
  <si>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</si>
  <si>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</si>
  <si>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</si>
  <si>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</si>
  <si>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</si>
  <si>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</si>
  <si>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</si>
  <si>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</si>
  <si>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</si>
  <si>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</si>
  <si>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</si>
  <si>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</si>
  <si>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</si>
  <si>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</si>
  <si>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</si>
  <si>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</si>
  <si>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</si>
  <si>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</si>
  <si>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</si>
  <si>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</si>
  <si>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</si>
  <si>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</si>
  <si>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</si>
  <si>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</si>
  <si>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</si>
  <si>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</si>
  <si>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PRE INSP, PRE INSP, PRE INSP, PRE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</si>
  <si>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</si>
  <si>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</si>
  <si>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</si>
  <si>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</si>
  <si>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</si>
  <si>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</si>
  <si>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</si>
  <si>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</si>
  <si>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</si>
  <si>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</si>
  <si>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</si>
  <si>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</si>
  <si>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</si>
  <si>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</si>
  <si>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</si>
  <si>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</si>
  <si>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</si>
  <si>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</si>
  <si>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</si>
  <si>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</si>
  <si>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</si>
  <si>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</si>
  <si>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</si>
  <si>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</si>
  <si>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</si>
  <si>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</si>
  <si>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</si>
  <si>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</si>
  <si>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</si>
  <si>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</si>
  <si>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191</t>
  </si>
  <si>
    <t>274000-02-1</t>
  </si>
  <si>
    <t>274000-02-1 (4) / THS ACT OPS CHK (CMR)</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</si>
  <si>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</si>
  <si>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</si>
  <si>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</si>
  <si>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</si>
  <si>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</si>
  <si>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</si>
  <si>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</si>
  <si>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</si>
  <si>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</si>
  <si>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</si>
  <si>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</si>
  <si>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</si>
  <si>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</si>
  <si>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</si>
  <si>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</si>
  <si>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</si>
  <si>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</si>
  <si>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</si>
  <si>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</si>
  <si>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</si>
  <si>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</si>
  <si>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</si>
  <si>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</si>
  <si>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</si>
  <si>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</si>
  <si>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</si>
  <si>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</si>
  <si>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</si>
  <si>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</si>
  <si>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</si>
  <si>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</si>
  <si>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</si>
  <si>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</si>
  <si>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</si>
  <si>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</si>
  <si>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</si>
  <si>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</si>
  <si>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</si>
  <si>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</si>
  <si>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</si>
  <si>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</si>
  <si>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</si>
  <si>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</si>
  <si>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</si>
  <si>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</si>
  <si>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</si>
  <si>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</si>
  <si>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</si>
  <si>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</si>
  <si>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</si>
  <si>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</si>
  <si>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</si>
  <si>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</si>
  <si>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</si>
  <si>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</si>
  <si>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</si>
  <si>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</si>
  <si>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</si>
  <si>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</si>
  <si>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</si>
  <si>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</si>
  <si>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</si>
  <si>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</si>
  <si>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</si>
  <si>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</si>
  <si>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</si>
  <si>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</si>
  <si>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</si>
  <si>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</si>
  <si>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</si>
  <si>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</si>
  <si>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</si>
  <si>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221</t>
  </si>
  <si>
    <t>52-31-00-01-0-SVA</t>
  </si>
  <si>
    <t>52-31-00-01-0-SVA (02) / FWD CARGO COMPARTMENT DOOR PROXIMITY (28WV &amp; 30WV) SWITCH AND TARGET CLEANING</t>
  </si>
  <si>
    <t>JOB-SETUP, --, --, --</t>
  </si>
  <si>
    <t>PRE HGR, INSPECTION, INSPECTION, JOB-CLOSEUP</t>
  </si>
  <si>
    <t>230</t>
  </si>
  <si>
    <t>801110-C3-1-001</t>
  </si>
  <si>
    <t>801110-C3-1-001 (01) / NO.1 ENGINE STARTER REPLENISHMENT</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</si>
  <si>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</si>
  <si>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</si>
  <si>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</si>
  <si>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</si>
  <si>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</si>
  <si>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</si>
  <si>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</si>
  <si>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</si>
  <si>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</si>
  <si>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</si>
  <si>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</si>
  <si>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</si>
  <si>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</si>
  <si>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</si>
  <si>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</si>
  <si>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</si>
  <si>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</si>
  <si>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</si>
  <si>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</si>
  <si>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</si>
  <si>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</si>
  <si>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</si>
  <si>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</si>
  <si>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</si>
  <si>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</si>
  <si>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</si>
  <si>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</si>
  <si>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</si>
  <si>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</si>
  <si>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</si>
  <si>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</si>
  <si>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</si>
  <si>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</si>
  <si>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</si>
  <si>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</si>
  <si>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</si>
  <si>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</si>
  <si>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</si>
  <si>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</si>
  <si>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</si>
  <si>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</si>
  <si>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</si>
  <si>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252</t>
  </si>
  <si>
    <t>215222-01-1</t>
  </si>
  <si>
    <t>215222-01-1 (3) / AIR CYCLE MACHINE PLENUM INSP</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</si>
  <si>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</si>
  <si>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</si>
  <si>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</si>
  <si>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</si>
  <si>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</si>
  <si>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</si>
  <si>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</si>
  <si>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</si>
  <si>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</si>
  <si>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</si>
  <si>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</si>
  <si>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</si>
  <si>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</si>
  <si>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</si>
  <si>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</si>
  <si>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</si>
  <si>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</si>
  <si>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</si>
  <si>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</si>
  <si>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</si>
  <si>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</si>
  <si>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</si>
  <si>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</si>
  <si>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</si>
  <si>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</si>
  <si>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</si>
  <si>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</si>
  <si>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</si>
  <si>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</si>
  <si>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</si>
  <si>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</si>
  <si>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</si>
  <si>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</si>
  <si>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</si>
  <si>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</si>
  <si>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</si>
  <si>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</si>
  <si>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</si>
  <si>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</si>
  <si>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</si>
  <si>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</si>
  <si>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</si>
  <si>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</si>
  <si>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</si>
  <si>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</si>
  <si>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</si>
  <si>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</si>
  <si>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</si>
  <si>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</si>
  <si>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</si>
  <si>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</si>
  <si>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</si>
  <si>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</si>
  <si>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</si>
  <si>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</si>
  <si>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</si>
  <si>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</si>
  <si>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</si>
  <si>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</si>
  <si>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</si>
  <si>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</si>
  <si>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</si>
  <si>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</si>
  <si>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</si>
  <si>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298</t>
  </si>
  <si>
    <t>256535-04-1</t>
  </si>
  <si>
    <t>256535-04-1 (00) / EXTERNAL FIX ELT ANTENNA INSPECTION</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</si>
  <si>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</si>
  <si>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</si>
  <si>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</si>
  <si>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</si>
  <si>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</si>
  <si>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</si>
  <si>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</si>
  <si>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</si>
  <si>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</si>
  <si>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</si>
  <si>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</si>
  <si>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</si>
  <si>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</si>
  <si>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</si>
  <si>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</si>
  <si>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</si>
  <si>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</si>
  <si>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</si>
  <si>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</si>
  <si>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</si>
  <si>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</si>
  <si>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</si>
  <si>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</si>
  <si>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</si>
  <si>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</si>
  <si>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</si>
  <si>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</si>
  <si>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</si>
  <si>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</si>
  <si>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</si>
  <si>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</si>
  <si>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</si>
  <si>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</si>
  <si>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26-23</t>
  </si>
  <si>
    <t>311</t>
  </si>
  <si>
    <t>262300-03-1</t>
  </si>
  <si>
    <t>262300-03-1 (05) / FIRE EXTINGUISHING LINES LEAKAGE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</si>
  <si>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</si>
  <si>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</si>
  <si>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</si>
  <si>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</si>
  <si>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</si>
  <si>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</si>
  <si>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</si>
  <si>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</si>
  <si>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</si>
  <si>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</si>
  <si>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</si>
  <si>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</si>
  <si>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</si>
  <si>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</si>
  <si>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</si>
  <si>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</si>
  <si>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</si>
  <si>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</si>
  <si>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</si>
  <si>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</si>
  <si>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</si>
  <si>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</si>
  <si>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</si>
  <si>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324</t>
  </si>
  <si>
    <t>272400-02-1</t>
  </si>
  <si>
    <t>272400-02-1 (04) / FUNCTIONAL CHK OF RUDDER HYDRAULIC ACTUATION</t>
  </si>
  <si>
    <t>27-24</t>
  </si>
  <si>
    <t>PRE HGR, PRE HGR, PRE HGR, PRE HGR, PRE HGR, PRE HGR, PRE HGR, PRE HGR</t>
  </si>
  <si>
    <t>325</t>
  </si>
  <si>
    <t>273400-02-1</t>
  </si>
  <si>
    <t>273400-02-1 (04) / FUNCTIONAL CHECK OF ELEV SERVO CONT &amp; HINGE BEARING PLAY</t>
  </si>
  <si>
    <t>27-34</t>
  </si>
  <si>
    <t>326</t>
  </si>
  <si>
    <t>273400-03-1</t>
  </si>
  <si>
    <t>273400-03-1 (3) / ELEVATOR SERVO CONTROL FLUID-RESERVE</t>
  </si>
  <si>
    <t>327</t>
  </si>
  <si>
    <t>274000-04-1</t>
  </si>
  <si>
    <t>274000-04-1 (3) / THS ACTUATOR WITH ELECTRIC MOTOR OPC</t>
  </si>
  <si>
    <t>27-96</t>
  </si>
  <si>
    <t>328</t>
  </si>
  <si>
    <t>274000-24-1</t>
  </si>
  <si>
    <t>274000-24-1 (1) / OPERATIONAL CHECK OF THS ACTUATOR OVERRIDE MECHANISM.</t>
  </si>
  <si>
    <t>329</t>
  </si>
  <si>
    <t>274142-01-1</t>
  </si>
  <si>
    <t>274142-01-1 (3) / THS TRIM CTL TENSION REG CABLE CHK</t>
  </si>
  <si>
    <t>27-41</t>
  </si>
  <si>
    <t>331</t>
  </si>
  <si>
    <t>274451-04-1</t>
  </si>
  <si>
    <t>274451-04-1 (3) / THS ACT NUT, SCREW &amp; CLAW STOPS</t>
  </si>
  <si>
    <t>332</t>
  </si>
  <si>
    <t>274451-05-1</t>
  </si>
  <si>
    <t>274451-05-1 (4) / THSA UPPER &amp; LOWER ATTACHMENTS INSP</t>
  </si>
  <si>
    <t>333</t>
  </si>
  <si>
    <t>274451-06-1</t>
  </si>
  <si>
    <t>274451-06-1 (3) / THS ACT THREADED NUT INSPECTION</t>
  </si>
  <si>
    <t>334</t>
  </si>
  <si>
    <t>274451-08-1</t>
  </si>
  <si>
    <t>274451-08-1 (3) / THS BALL SCREW SHAFT INTEGRITY FNC</t>
  </si>
  <si>
    <t>335</t>
  </si>
  <si>
    <t>274451-09-1</t>
  </si>
  <si>
    <t>274451-09-1 (4) / THS ACTUATOR GEARBOX SERVICING</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</si>
  <si>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</si>
  <si>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</si>
  <si>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</si>
  <si>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</si>
  <si>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</si>
  <si>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</si>
  <si>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</si>
  <si>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</si>
  <si>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</si>
  <si>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</si>
  <si>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</si>
  <si>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</si>
  <si>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</si>
  <si>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</si>
  <si>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</si>
  <si>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</si>
  <si>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</si>
  <si>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</si>
  <si>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</si>
  <si>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</si>
  <si>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</si>
  <si>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</si>
  <si>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</si>
  <si>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</si>
  <si>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</si>
  <si>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</si>
  <si>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</si>
  <si>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</si>
  <si>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</si>
  <si>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</si>
  <si>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</si>
  <si>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</si>
  <si>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</si>
  <si>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</si>
  <si>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</si>
  <si>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</si>
  <si>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</si>
  <si>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</si>
  <si>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</si>
  <si>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</si>
  <si>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</si>
  <si>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</si>
  <si>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</si>
  <si>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</si>
  <si>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</si>
  <si>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</si>
  <si>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</si>
  <si>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</si>
  <si>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</si>
  <si>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</si>
  <si>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</si>
  <si>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359</t>
  </si>
  <si>
    <t>278468-02-1-001</t>
  </si>
  <si>
    <t>278468-02-1-001 (05) / L/H SLAT TRACKS INSPECTION</t>
  </si>
  <si>
    <t>360</t>
  </si>
  <si>
    <t>278468-02-1-002</t>
  </si>
  <si>
    <t>278468-02-1-002 (04) / R/H SLAT TRACKS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</si>
  <si>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</si>
  <si>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</si>
  <si>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</si>
  <si>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</si>
  <si>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</si>
  <si>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</si>
  <si>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</si>
  <si>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</si>
  <si>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</si>
  <si>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</si>
  <si>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</si>
  <si>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</si>
  <si>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</si>
  <si>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</si>
  <si>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</si>
  <si>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</si>
  <si>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</si>
  <si>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</si>
  <si>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</si>
  <si>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</si>
  <si>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</si>
  <si>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</si>
  <si>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</si>
  <si>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</si>
  <si>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</si>
  <si>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</si>
  <si>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</si>
  <si>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</si>
  <si>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</si>
  <si>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JOB-SETUP, TC/P, INSPECTION,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</si>
  <si>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</si>
  <si>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</si>
  <si>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</si>
  <si>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</si>
  <si>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</si>
  <si>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</si>
  <si>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</si>
  <si>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</si>
  <si>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</si>
  <si>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</si>
  <si>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380</t>
  </si>
  <si>
    <t>291000-19-1</t>
  </si>
  <si>
    <t>291000-19-1 (4) / PTU INHIBITION LOGIC OPERATION CHECK</t>
  </si>
  <si>
    <t>382</t>
  </si>
  <si>
    <t>291000-25-1</t>
  </si>
  <si>
    <t>291000-25-1 (1) / MAIN AND AUXILIARY HYDRAULIC POWER</t>
  </si>
  <si>
    <t>383</t>
  </si>
  <si>
    <t>291000-26-1</t>
  </si>
  <si>
    <t>291000-26-1 (01) / MAIN AND AUXILIARY HYDRAULIC POWER</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</si>
  <si>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</si>
  <si>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</si>
  <si>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</si>
  <si>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</si>
  <si>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</si>
  <si>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</si>
  <si>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</si>
  <si>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</si>
  <si>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</si>
  <si>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</si>
  <si>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</si>
  <si>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</si>
  <si>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</si>
  <si>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</si>
  <si>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</si>
  <si>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</si>
  <si>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</si>
  <si>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</si>
  <si>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</si>
  <si>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</si>
  <si>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</si>
  <si>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</si>
  <si>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</si>
  <si>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</si>
  <si>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</si>
  <si>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</si>
  <si>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</si>
  <si>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</si>
  <si>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</si>
  <si>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</si>
  <si>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</si>
  <si>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</si>
  <si>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</si>
  <si>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</si>
  <si>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</si>
  <si>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</si>
  <si>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</si>
  <si>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</si>
  <si>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</si>
  <si>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</si>
  <si>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</si>
  <si>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</si>
  <si>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</si>
  <si>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</si>
  <si>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</si>
  <si>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</si>
  <si>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</si>
  <si>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</si>
  <si>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</si>
  <si>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</si>
  <si>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</si>
  <si>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</si>
  <si>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</si>
  <si>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</si>
  <si>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</si>
  <si>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</si>
  <si>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</si>
  <si>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</si>
  <si>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</si>
  <si>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</si>
  <si>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401</t>
  </si>
  <si>
    <t>323000-17-1</t>
  </si>
  <si>
    <t>323000-17-1 (5) / LGCIU POWER SUPPLY RELAYS FUNC CHK</t>
  </si>
  <si>
    <t>403</t>
  </si>
  <si>
    <t>323100-05-1</t>
  </si>
  <si>
    <t>323100-05-1 (2) / NLG DOOR OPERATING MECHANISM INSP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</si>
  <si>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</si>
  <si>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</si>
  <si>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</si>
  <si>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</si>
  <si>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</si>
  <si>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</si>
  <si>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</si>
  <si>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</si>
  <si>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</si>
  <si>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</si>
  <si>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</si>
  <si>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</si>
  <si>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</si>
  <si>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</si>
  <si>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</si>
  <si>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</si>
  <si>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</si>
  <si>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</si>
  <si>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</si>
  <si>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</si>
  <si>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</si>
  <si>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</si>
  <si>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</si>
  <si>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</si>
  <si>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</si>
  <si>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</si>
  <si>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</si>
  <si>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</si>
  <si>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</si>
  <si>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</si>
  <si>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</si>
  <si>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</si>
  <si>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</si>
  <si>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</si>
  <si>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</si>
  <si>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</si>
  <si>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</si>
  <si>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</si>
  <si>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</si>
  <si>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</si>
  <si>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</si>
  <si>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</si>
  <si>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</si>
  <si>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</si>
  <si>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</si>
  <si>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</si>
  <si>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</si>
  <si>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</si>
  <si>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</si>
  <si>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</si>
  <si>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</si>
  <si>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</si>
  <si>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</si>
  <si>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</si>
  <si>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</si>
  <si>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</si>
  <si>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</si>
  <si>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</si>
  <si>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</si>
  <si>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</si>
  <si>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</si>
  <si>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</si>
  <si>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</si>
  <si>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</si>
  <si>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</si>
  <si>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</si>
  <si>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</si>
  <si>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</si>
  <si>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</si>
  <si>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</si>
  <si>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</si>
  <si>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</si>
  <si>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</si>
  <si>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</si>
  <si>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</si>
  <si>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</si>
  <si>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</si>
  <si>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434</t>
  </si>
  <si>
    <t>361148-01-1-001</t>
  </si>
  <si>
    <t>361148-01-1-001 (04) / L/H WING APU BLEED AIR DUCT LEAK CHK</t>
  </si>
  <si>
    <t>435</t>
  </si>
  <si>
    <t>361148-01-1-002</t>
  </si>
  <si>
    <t>361148-01-1-002 (04) / R/H WING APU BLEED AIR DUCT LEAK CHK</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</si>
  <si>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</si>
  <si>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</si>
  <si>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</si>
  <si>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</si>
  <si>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</si>
  <si>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</si>
  <si>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</si>
  <si>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</si>
  <si>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</si>
  <si>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</si>
  <si>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</si>
  <si>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</si>
  <si>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</si>
  <si>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</si>
  <si>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</si>
  <si>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</si>
  <si>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</si>
  <si>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</si>
  <si>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</si>
  <si>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</si>
  <si>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</si>
  <si>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</si>
  <si>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OPS/LK, OPS/LK, OPS/LK, OPS/LK</t>
  </si>
  <si>
    <t>OPS/LK, JOB-CLOSEUP, JOB-CLOSEUP, JOB-CLOSEUP, OPS/LK, OPS/LK</t>
  </si>
  <si>
    <t>472</t>
  </si>
  <si>
    <t>524100-02-1</t>
  </si>
  <si>
    <t>524100-02-1 (2) / AVNICS COMPT DOORS HNDLE LUBRICATION</t>
  </si>
  <si>
    <t>485</t>
  </si>
  <si>
    <t>531900-03-1</t>
  </si>
  <si>
    <t>531900-03-1 (2) / FUSLGE SHEL PSTN TYP DRAIN VLV OPC</t>
  </si>
  <si>
    <t>53-19</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</si>
  <si>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</si>
  <si>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</si>
  <si>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</si>
  <si>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</si>
  <si>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</si>
  <si>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</si>
  <si>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</si>
  <si>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</si>
  <si>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</si>
  <si>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</si>
  <si>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</si>
  <si>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</si>
  <si>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</si>
  <si>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</si>
  <si>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</si>
  <si>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</si>
  <si>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</si>
  <si>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</si>
  <si>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</si>
  <si>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</si>
  <si>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</si>
  <si>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</si>
  <si>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</si>
  <si>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</si>
  <si>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</si>
  <si>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</si>
  <si>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</si>
  <si>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</si>
  <si>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</si>
  <si>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</si>
  <si>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</si>
  <si>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</si>
  <si>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</si>
  <si>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</si>
  <si>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</si>
  <si>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</si>
  <si>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</si>
  <si>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</si>
  <si>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</si>
  <si>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</si>
  <si>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</si>
  <si>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</si>
  <si>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</si>
  <si>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</si>
  <si>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</si>
  <si>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</si>
  <si>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</si>
  <si>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</si>
  <si>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</si>
  <si>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</si>
  <si>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</si>
  <si>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</si>
  <si>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</si>
  <si>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</si>
  <si>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</si>
  <si>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</si>
  <si>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</si>
  <si>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</si>
  <si>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</si>
  <si>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</si>
  <si>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</si>
  <si>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507</t>
  </si>
  <si>
    <t>552600-01-1</t>
  </si>
  <si>
    <t>552600-01-1 (1) / FUNCTIONAL CHECK OF ELEVATOR HINGE LINE BEARINGS AND ATTACHMENTS FOR EXCESSIVE FREE PLAY AND CONDITION.</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</si>
  <si>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</si>
  <si>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</si>
  <si>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</si>
  <si>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</si>
  <si>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</si>
  <si>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</si>
  <si>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</si>
  <si>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</si>
  <si>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</si>
  <si>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</si>
  <si>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</si>
  <si>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</si>
  <si>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</si>
  <si>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</si>
  <si>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</si>
  <si>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</si>
  <si>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</si>
  <si>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</si>
  <si>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</si>
  <si>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</si>
  <si>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</si>
  <si>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</si>
  <si>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</si>
  <si>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</si>
  <si>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</si>
  <si>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</si>
  <si>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</si>
  <si>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</si>
  <si>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</si>
  <si>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</si>
  <si>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</si>
  <si>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</si>
  <si>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</si>
  <si>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</si>
  <si>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</si>
  <si>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</si>
  <si>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</si>
  <si>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</si>
  <si>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</si>
  <si>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</si>
  <si>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</si>
  <si>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</si>
  <si>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</si>
  <si>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</si>
  <si>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</si>
  <si>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</si>
  <si>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</si>
  <si>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</si>
  <si>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</si>
  <si>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</si>
  <si>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</si>
  <si>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</si>
  <si>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</si>
  <si>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</si>
  <si>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</si>
  <si>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</si>
  <si>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</si>
  <si>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</si>
  <si>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</si>
  <si>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</si>
  <si>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</si>
  <si>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</si>
  <si>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</si>
  <si>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</si>
  <si>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</si>
  <si>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</si>
  <si>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</si>
  <si>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</si>
  <si>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</si>
  <si>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</si>
  <si>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</si>
  <si>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</si>
  <si>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</si>
  <si>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543</t>
  </si>
  <si>
    <t>783000-C2-1-001</t>
  </si>
  <si>
    <t>783000-C2-1-001 (02) / NO.1 ENGINE BLOCKER DOOR SEALS INSP</t>
  </si>
  <si>
    <t>544</t>
  </si>
  <si>
    <t>783000-C2-1-002</t>
  </si>
  <si>
    <t>783000-C2-1-002 (02) / NO.2 ENGINE BLOCKER DOOR SEALS INSP</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</si>
  <si>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</si>
  <si>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</si>
  <si>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</si>
  <si>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</si>
  <si>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</si>
  <si>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</si>
  <si>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</si>
  <si>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</si>
  <si>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</si>
  <si>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</si>
  <si>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</si>
  <si>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</si>
  <si>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</si>
  <si>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</si>
  <si>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</si>
  <si>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</si>
  <si>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</si>
  <si>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</si>
  <si>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</si>
  <si>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</si>
  <si>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552</t>
  </si>
  <si>
    <t>783200-01-1-002</t>
  </si>
  <si>
    <t>783200-01-1-002 (04) / NO. 2 ENG “C” DUCT HINGE FITTINGS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</si>
  <si>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</si>
  <si>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</si>
  <si>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</si>
  <si>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</si>
  <si>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</si>
  <si>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</si>
  <si>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</si>
  <si>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</si>
  <si>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</si>
  <si>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</si>
  <si>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</si>
  <si>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</si>
  <si>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</si>
  <si>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</si>
  <si>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</si>
  <si>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</si>
  <si>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</si>
  <si>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</si>
  <si>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</si>
  <si>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</si>
  <si>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</si>
  <si>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</si>
  <si>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</si>
  <si>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</si>
  <si>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</si>
  <si>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</si>
  <si>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</si>
  <si>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</si>
  <si>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</si>
  <si>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</si>
  <si>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</si>
  <si>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</si>
  <si>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</si>
  <si>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</si>
  <si>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</si>
  <si>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</si>
  <si>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</si>
  <si>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</si>
  <si>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</si>
  <si>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</si>
  <si>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</si>
  <si>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</si>
  <si>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</si>
  <si>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</si>
  <si>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</si>
  <si>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</si>
  <si>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</si>
  <si>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</si>
  <si>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</si>
  <si>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</si>
  <si>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</si>
  <si>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</si>
  <si>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</si>
  <si>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</si>
  <si>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</si>
  <si>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</si>
  <si>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</si>
  <si>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</si>
  <si>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</si>
  <si>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</si>
  <si>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</si>
  <si>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</si>
  <si>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</si>
  <si>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</si>
  <si>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</si>
  <si>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</si>
  <si>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</si>
  <si>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</si>
  <si>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</si>
  <si>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</si>
  <si>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</si>
  <si>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</si>
  <si>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</si>
  <si>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</si>
  <si>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</si>
  <si>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</si>
  <si>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</si>
  <si>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</si>
  <si>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</si>
  <si>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</si>
  <si>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</si>
  <si>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</si>
  <si>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</si>
  <si>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</si>
  <si>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</si>
  <si>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582</t>
  </si>
  <si>
    <t>272100-08-1</t>
  </si>
  <si>
    <t>272100-08-1 (02) / RUDDER MECHANICAL CNTROL LUBRICATION</t>
  </si>
  <si>
    <t>583</t>
  </si>
  <si>
    <t>274100-03-1</t>
  </si>
  <si>
    <t>274100-03-1 (3) / THS MECHANICAL CONTROL LUBRICATION</t>
  </si>
  <si>
    <t>589</t>
  </si>
  <si>
    <t>344200-02-2</t>
  </si>
  <si>
    <t>344200-02-2 (01) / RADIO ALTIMETER</t>
  </si>
  <si>
    <t>JOB-SETUP, TC/P, JOB-CLOSEUP, JOB-CLOSEUP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</si>
  <si>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</si>
  <si>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</si>
  <si>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</si>
  <si>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</si>
  <si>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</si>
  <si>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</si>
  <si>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</si>
  <si>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</si>
  <si>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</si>
  <si>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</si>
  <si>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</si>
  <si>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</si>
  <si>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</si>
  <si>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</si>
  <si>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</si>
  <si>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</si>
  <si>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</si>
  <si>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</si>
  <si>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</si>
  <si>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</si>
  <si>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</si>
  <si>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</si>
  <si>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</si>
  <si>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</si>
  <si>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</si>
  <si>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</si>
  <si>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</si>
  <si>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</si>
  <si>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</si>
  <si>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</si>
  <si>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</si>
  <si>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</si>
  <si>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</si>
  <si>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</si>
  <si>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</si>
  <si>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</si>
  <si>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</si>
  <si>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</si>
  <si>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TC/P, TC/P, TC/P, TC/P, INSPECTION, INSPECTION, INSPECTION, INSPECTION, INSPECTION, INSPECTION</t>
  </si>
  <si>
    <t>616</t>
  </si>
  <si>
    <t>523119-01-2</t>
  </si>
  <si>
    <t>523119-01-2 (03) / AFT CARGO DOOR LOCKING HOOKS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</si>
  <si>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</si>
  <si>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</si>
  <si>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</si>
  <si>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</si>
  <si>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</si>
  <si>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</si>
  <si>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</si>
  <si>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</si>
  <si>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</si>
  <si>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</si>
  <si>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</si>
  <si>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</si>
  <si>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</si>
  <si>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</si>
  <si>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</si>
  <si>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</si>
  <si>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</si>
  <si>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</si>
  <si>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</si>
  <si>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</si>
  <si>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</si>
  <si>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</si>
  <si>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</si>
  <si>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</si>
  <si>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</si>
  <si>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</si>
  <si>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</si>
  <si>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</si>
  <si>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</si>
  <si>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</si>
  <si>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</si>
  <si>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</si>
  <si>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</si>
  <si>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</si>
  <si>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</si>
  <si>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</si>
  <si>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</si>
  <si>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</si>
  <si>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</si>
  <si>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</si>
  <si>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</si>
  <si>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</si>
  <si>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</si>
  <si>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</si>
  <si>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</si>
  <si>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</si>
  <si>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</si>
  <si>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</si>
  <si>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</si>
  <si>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</si>
  <si>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</si>
  <si>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</si>
  <si>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</si>
  <si>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</si>
  <si>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</si>
  <si>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</si>
  <si>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</si>
  <si>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</si>
  <si>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</si>
  <si>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</si>
  <si>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</si>
  <si>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</si>
  <si>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</si>
  <si>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</si>
  <si>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</si>
  <si>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</si>
  <si>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</si>
  <si>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</si>
  <si>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</si>
  <si>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</si>
  <si>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</si>
  <si>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</si>
  <si>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</si>
  <si>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</si>
  <si>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</si>
  <si>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</si>
  <si>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</si>
  <si>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</si>
  <si>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</si>
  <si>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</si>
  <si>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</si>
  <si>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</si>
  <si>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</si>
  <si>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</si>
  <si>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</si>
  <si>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</si>
  <si>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</si>
  <si>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</si>
  <si>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</si>
  <si>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</si>
  <si>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</si>
  <si>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</si>
  <si>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</si>
  <si>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</si>
  <si>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</si>
  <si>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</si>
  <si>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</si>
  <si>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</si>
  <si>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</si>
  <si>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</si>
  <si>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</si>
  <si>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</si>
  <si>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</si>
  <si>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</si>
  <si>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</si>
  <si>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</si>
  <si>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</si>
  <si>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</si>
  <si>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</si>
  <si>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</si>
  <si>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</si>
  <si>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</si>
  <si>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</si>
  <si>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</si>
  <si>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</si>
  <si>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</si>
  <si>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</si>
  <si>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</si>
  <si>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</si>
  <si>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</si>
  <si>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</si>
  <si>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</si>
  <si>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</si>
  <si>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</si>
  <si>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</si>
  <si>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</si>
  <si>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</si>
  <si>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</si>
  <si>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</si>
  <si>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</si>
  <si>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</si>
  <si>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</si>
  <si>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</si>
  <si>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</si>
  <si>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</si>
  <si>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</si>
  <si>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</si>
  <si>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</si>
  <si>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</si>
  <si>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</si>
  <si>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</si>
  <si>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</si>
  <si>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</si>
  <si>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</si>
  <si>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</si>
  <si>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</si>
  <si>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</si>
  <si>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</si>
  <si>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</si>
  <si>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</si>
  <si>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</si>
  <si>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</si>
  <si>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</si>
  <si>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</si>
  <si>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</si>
  <si>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</si>
  <si>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</si>
  <si>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</si>
  <si>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</si>
  <si>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</si>
  <si>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</si>
  <si>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</si>
  <si>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</si>
  <si>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</si>
  <si>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</si>
  <si>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</si>
  <si>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</si>
  <si>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</si>
  <si>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</si>
  <si>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</si>
  <si>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</si>
  <si>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</si>
  <si>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</si>
  <si>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</si>
  <si>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</si>
  <si>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</si>
  <si>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</si>
  <si>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</si>
  <si>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AD</t>
  </si>
  <si>
    <t>714</t>
  </si>
  <si>
    <t>31889267</t>
  </si>
  <si>
    <t>EOD-320-27-00026-R00/AD- A320 - FLIGHT CONTROLS- HIGH TIME THSA INSPECTION.</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</si>
  <si>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</si>
  <si>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</si>
  <si>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</si>
  <si>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</si>
  <si>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</si>
  <si>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</si>
  <si>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</si>
  <si>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</si>
  <si>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</si>
  <si>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724</t>
  </si>
  <si>
    <t>23745496</t>
  </si>
  <si>
    <t>749</t>
  </si>
  <si>
    <t>32362499</t>
  </si>
  <si>
    <t>S21-R10347/A320FAM - CEHCK THE TORQUE VALUES OF ACM &lt;-&gt; MHX DUCT CONNECTION</t>
  </si>
  <si>
    <t>--, --, --, CLOSE-UP</t>
  </si>
  <si>
    <t>752</t>
  </si>
  <si>
    <t>30358131</t>
  </si>
  <si>
    <t>S36-R10080/A32S - PNUMATIC - MEASUREMENT OF THE CWR OF THE OHDS LOOPS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</si>
  <si>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</si>
  <si>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</si>
  <si>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</si>
  <si>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</si>
  <si>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</si>
  <si>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</si>
  <si>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</si>
  <si>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</si>
  <si>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</si>
  <si>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</si>
  <si>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</si>
  <si>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</si>
  <si>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</si>
  <si>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</si>
  <si>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</si>
  <si>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</si>
  <si>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</si>
  <si>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</si>
  <si>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771</t>
  </si>
  <si>
    <t>30304386</t>
  </si>
  <si>
    <t>CFM56-5B3/3/645205 IN(INSPECTION) / ENG FAN SECTION INSP &amp; LUB</t>
  </si>
  <si>
    <t>JOB-SETUP, JOB-SETUP, CLEAN-UP, INSPECTION, INSPECTION, JOB-SETUP, JOB-CLOSEUP</t>
  </si>
  <si>
    <t>780</t>
  </si>
  <si>
    <t>94740818</t>
  </si>
  <si>
    <t>BLANKING CAP L2 DOOR HOIST POINT EA 01 BLANKING CAP FOUND TORN</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</si>
  <si>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</si>
  <si>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</si>
  <si>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</si>
  <si>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</si>
  <si>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</si>
  <si>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</si>
  <si>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</si>
  <si>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</si>
  <si>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</si>
  <si>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</si>
  <si>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</si>
  <si>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</si>
  <si>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</si>
  <si>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</si>
  <si>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</si>
  <si>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</si>
  <si>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</si>
  <si>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</si>
  <si>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</si>
  <si>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</si>
  <si>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</si>
  <si>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</si>
  <si>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</si>
  <si>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</si>
  <si>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</si>
  <si>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</si>
  <si>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</si>
  <si>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</si>
  <si>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</si>
  <si>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</si>
  <si>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</si>
  <si>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</si>
  <si>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</si>
  <si>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</si>
  <si>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</si>
  <si>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</si>
  <si>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</si>
  <si>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</si>
  <si>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</si>
  <si>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</si>
  <si>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</si>
  <si>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</si>
  <si>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</si>
  <si>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</si>
  <si>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</si>
  <si>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</si>
  <si>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</si>
  <si>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</si>
  <si>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</si>
  <si>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</si>
  <si>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</si>
  <si>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</si>
  <si>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</si>
  <si>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</si>
  <si>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</si>
  <si>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</si>
  <si>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</si>
  <si>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</si>
  <si>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</si>
  <si>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</si>
  <si>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</si>
  <si>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</si>
  <si>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</si>
  <si>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</si>
  <si>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DOOR---AP--NO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</si>
  <si>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</si>
  <si>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</si>
  <si>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</si>
  <si>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</si>
  <si>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</si>
  <si>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</si>
  <si>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</si>
  <si>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</si>
  <si>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</si>
  <si>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</si>
  <si>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</si>
  <si>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</si>
  <si>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</si>
  <si>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</si>
  <si>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</si>
  <si>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841</t>
  </si>
  <si>
    <t>32978259</t>
  </si>
  <si>
    <t>LH MLG---AP  NO CALL BACK--- LH MLG FIXED FAIRING DATA PLATE DECAL MISSING.</t>
  </si>
  <si>
    <t>842</t>
  </si>
  <si>
    <t>32978265</t>
  </si>
  <si>
    <t>LH MLG BAY----AP---NO CALL BACK--- LH MLG BAY FWD SIDE FUSELAGE LWR SEAL TORN AND WRINGKLED AND UPPER SIDE CORNER WITH CUT.</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</si>
  <si>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</si>
  <si>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</si>
  <si>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</si>
  <si>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</si>
  <si>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</si>
  <si>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</si>
  <si>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</si>
  <si>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</si>
  <si>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</si>
  <si>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846</t>
  </si>
  <si>
    <t>32978281</t>
  </si>
  <si>
    <t>RH MLG---AP---NO CALL BACK--- RH MLG BAY FWD FUSELAGE LWR RUBBER SEAL WRINGKLED AND TORN, AND UPPER CORNET WITH CUT.</t>
  </si>
  <si>
    <t>848</t>
  </si>
  <si>
    <t>32978291</t>
  </si>
  <si>
    <t>RH MLG DOOR---PNT---NO CALL BACK--- RH MLG DOOR ACTUATOR SURFACE WITH PNT CHIP-OFF.</t>
  </si>
  <si>
    <t>849</t>
  </si>
  <si>
    <t>32978481</t>
  </si>
  <si>
    <t>RH MLG---AP---CALL BACK---- RH MLG DOWN LOCK SPRING RUSTY.</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</si>
  <si>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</si>
  <si>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</si>
  <si>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</si>
  <si>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</si>
  <si>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</si>
  <si>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</si>
  <si>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</si>
  <si>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</si>
  <si>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</si>
  <si>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</si>
  <si>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</si>
  <si>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</si>
  <si>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</si>
  <si>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</si>
  <si>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</si>
  <si>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</si>
  <si>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</si>
  <si>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</si>
  <si>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</si>
  <si>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</si>
  <si>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</si>
  <si>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</si>
  <si>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</si>
  <si>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</si>
  <si>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861</t>
  </si>
  <si>
    <t>32978585</t>
  </si>
  <si>
    <t>FWD CARGO DOOR---AP---CALL BACK---- FWD CARGO DOOR BOTH ACTUATOR SIGN OF HYD LEAK.</t>
  </si>
  <si>
    <t>862</t>
  </si>
  <si>
    <t>32978590</t>
  </si>
  <si>
    <t>FWD CARGO DOOR---FS---NO CALL BACK---- FWD CARGO DOOR ALL LWR ATTACHEMENT ROLLER DIRTY.</t>
  </si>
  <si>
    <t>865</t>
  </si>
  <si>
    <t>32978600</t>
  </si>
  <si>
    <t>FWD CARGO DOOR---SM---CALL BACK--- FWD CARGO DOOR LINING CRACK ON LWR  FWD SIDE.</t>
  </si>
  <si>
    <t>866</t>
  </si>
  <si>
    <t>32978626</t>
  </si>
  <si>
    <t>FWD CARGO DOOR---PNT---NO ALL BACK--- FWD CARGO DOOR LINING SEVERAL PNT CRACK.</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</si>
  <si>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</si>
  <si>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</si>
  <si>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</si>
  <si>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</si>
  <si>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</si>
  <si>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</si>
  <si>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</si>
  <si>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</si>
  <si>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</si>
  <si>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873</t>
  </si>
  <si>
    <t>32978651</t>
  </si>
  <si>
    <t>AFT CARGO DOOR---AP---NO CALL BACK---- AFT CARGO DOOR DATA PLATE TORN.</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</si>
  <si>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</si>
  <si>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</si>
  <si>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</si>
  <si>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</si>
  <si>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</si>
  <si>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</si>
  <si>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</si>
  <si>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</si>
  <si>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</si>
  <si>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</si>
  <si>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</si>
  <si>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</si>
  <si>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</si>
  <si>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</si>
  <si>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</si>
  <si>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</si>
  <si>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</si>
  <si>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</si>
  <si>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</si>
  <si>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</si>
  <si>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</si>
  <si>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</si>
  <si>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</si>
  <si>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</si>
  <si>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</si>
  <si>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</si>
  <si>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</si>
  <si>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</si>
  <si>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</si>
  <si>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</si>
  <si>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</si>
  <si>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</si>
  <si>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</si>
  <si>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894</t>
  </si>
  <si>
    <t>32979661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</si>
  <si>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</si>
  <si>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</si>
  <si>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</si>
  <si>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</si>
  <si>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</si>
  <si>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</si>
  <si>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</si>
  <si>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</si>
  <si>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</si>
  <si>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</si>
  <si>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</si>
  <si>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</si>
  <si>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900</t>
  </si>
  <si>
    <t>32980022</t>
  </si>
  <si>
    <t>901</t>
  </si>
  <si>
    <t>32391506</t>
  </si>
  <si>
    <t>114122014/CH1016136 LB(LUBRICATION) / LUB OF MLG AND DOORS</t>
  </si>
  <si>
    <t>902</t>
  </si>
  <si>
    <t>32439904</t>
  </si>
  <si>
    <t>114122015/CH1009957 LB(LUBRICATION) / LUB OF MLG AND DOORS</t>
  </si>
  <si>
    <t>911</t>
  </si>
  <si>
    <t>94844836</t>
  </si>
  <si>
    <t>RADIO ALTIMETER AFT BELLY RADIO ALTIMETER MARKINGS FOUND FADED</t>
  </si>
  <si>
    <t>913</t>
  </si>
  <si>
    <t>32345876</t>
  </si>
  <si>
    <t>EOD-320-11-00001-R00/ADD MARKING ON AVIONICS DOORS 811 AND 824</t>
  </si>
  <si>
    <t>914</t>
  </si>
  <si>
    <t>32850432</t>
  </si>
  <si>
    <t>EOD-320-21-00005-R00/A320 - AIR CONDITIONING - INTRODUCE NEW CONTACTOR FOR BLOWER AND EXTRA</t>
  </si>
  <si>
    <t>920</t>
  </si>
  <si>
    <t>32822529</t>
  </si>
  <si>
    <t>S31-D10211/(REPETITIVE) A320/321: ACARS OUTPUT RULE SETTING CHANGE.</t>
  </si>
  <si>
    <t>921</t>
  </si>
  <si>
    <t>30205720</t>
  </si>
  <si>
    <t>S32-R10322/A320 - LANDING GEAR - NLG MAIN AND AFT DOOR INSPECTION</t>
  </si>
  <si>
    <t>924</t>
  </si>
  <si>
    <t>32872501</t>
  </si>
  <si>
    <t>S36-R10216/A32S - LEAK CHECK IN PACK BAY AREA COMPONENTS</t>
  </si>
  <si>
    <t>925</t>
  </si>
  <si>
    <t>32930830</t>
  </si>
  <si>
    <t>927</t>
  </si>
  <si>
    <t>32980031</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</si>
  <si>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</si>
  <si>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</si>
  <si>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</si>
  <si>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</si>
  <si>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</si>
  <si>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</si>
  <si>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</si>
  <si>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</si>
  <si>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</si>
  <si>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</si>
  <si>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</si>
  <si>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</si>
  <si>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</si>
  <si>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</si>
  <si>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</si>
  <si>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</si>
  <si>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</si>
  <si>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938</t>
  </si>
  <si>
    <t>32980083</t>
  </si>
  <si>
    <t>LATERAL AVIO COMPT---AVN---NO CALLBACK MISSING LOCKWIRE  BETWEEN THE KNURLED NUT AND THE ELECTRICAL CONNECTOR ON BAT2</t>
  </si>
  <si>
    <t>940</t>
  </si>
  <si>
    <t>32980087</t>
  </si>
  <si>
    <t>942</t>
  </si>
  <si>
    <t>32980133</t>
  </si>
  <si>
    <t>946</t>
  </si>
  <si>
    <t>32980135</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</si>
  <si>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</si>
  <si>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</si>
  <si>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</si>
  <si>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</si>
  <si>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</si>
  <si>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</si>
  <si>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952</t>
  </si>
  <si>
    <t>32980177</t>
  </si>
  <si>
    <t>FINDING (NRC) TASKCARD ZL-500-02-1-001 (05) LH WING   PNT--NO CALLBACK LH WING IN/B FLAP AFT MID WITH PAINT PEELED OFF.</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</si>
  <si>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</si>
  <si>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</si>
  <si>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</si>
  <si>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</si>
  <si>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</si>
  <si>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</si>
  <si>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958</t>
  </si>
  <si>
    <t>32981716</t>
  </si>
  <si>
    <t>959</t>
  </si>
  <si>
    <t>32981721</t>
  </si>
  <si>
    <t>960</t>
  </si>
  <si>
    <t>32981726</t>
  </si>
  <si>
    <t>961</t>
  </si>
  <si>
    <t>32981754</t>
  </si>
  <si>
    <t>962</t>
  </si>
  <si>
    <t>32981772</t>
  </si>
  <si>
    <t>963</t>
  </si>
  <si>
    <t>32981774</t>
  </si>
  <si>
    <t>964</t>
  </si>
  <si>
    <t>32981816</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</si>
  <si>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</si>
  <si>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</si>
  <si>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</si>
  <si>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</si>
  <si>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</si>
  <si>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</si>
  <si>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</si>
  <si>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</si>
  <si>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</si>
  <si>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</si>
  <si>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</si>
  <si>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</si>
  <si>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</si>
  <si>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</si>
  <si>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</si>
  <si>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</si>
  <si>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</si>
  <si>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980</t>
  </si>
  <si>
    <t>32983866</t>
  </si>
  <si>
    <t>PRE--MLG W/W---NOCALLBACK---FS MLG WHEELWELL KEEL BEAM AREA FOUND EXCESSIVE DIRTY WITH ACCUMULATED WATER.</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</si>
  <si>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</si>
  <si>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</si>
  <si>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</si>
  <si>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</si>
  <si>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</si>
  <si>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</si>
  <si>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</si>
  <si>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</si>
  <si>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</si>
  <si>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</si>
  <si>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</si>
  <si>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</si>
  <si>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</si>
  <si>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</si>
  <si>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</si>
  <si>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</si>
  <si>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</si>
  <si>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</si>
  <si>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</si>
  <si>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</si>
  <si>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</si>
  <si>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</si>
  <si>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</si>
  <si>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</si>
  <si>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</si>
  <si>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</si>
  <si>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</si>
  <si>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</si>
  <si>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</si>
  <si>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</si>
  <si>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</si>
  <si>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</si>
  <si>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</si>
  <si>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</si>
  <si>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</si>
  <si>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</si>
  <si>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</si>
  <si>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</si>
  <si>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</si>
  <si>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</si>
  <si>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</si>
  <si>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</si>
  <si>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</si>
  <si>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</si>
  <si>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</si>
  <si>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</si>
  <si>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</si>
  <si>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</si>
  <si>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</si>
  <si>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</si>
  <si>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</si>
  <si>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1007</t>
  </si>
  <si>
    <t>32984781</t>
  </si>
  <si>
    <t>1008</t>
  </si>
  <si>
    <t>32984766</t>
  </si>
  <si>
    <t>1010</t>
  </si>
  <si>
    <t>32984820</t>
  </si>
  <si>
    <t>1011</t>
  </si>
  <si>
    <t>32984829</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</si>
  <si>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</si>
  <si>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</si>
  <si>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</si>
  <si>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</si>
  <si>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</si>
  <si>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</si>
  <si>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</si>
  <si>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</si>
  <si>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</si>
  <si>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</si>
  <si>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</si>
  <si>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</si>
  <si>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</si>
  <si>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</si>
  <si>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</si>
  <si>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</si>
  <si>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</si>
  <si>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</si>
  <si>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</si>
  <si>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</si>
  <si>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</si>
  <si>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</si>
  <si>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</si>
  <si>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</si>
  <si>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</si>
  <si>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</si>
  <si>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</si>
  <si>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</si>
  <si>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</si>
  <si>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</si>
  <si>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1026</t>
  </si>
  <si>
    <t>32985022</t>
  </si>
  <si>
    <t>--SM--NO CALL BACK FROZEN SCREWS REQUIRE REMOVAL FOUND ON PANELS, 192LB,191JB,191GB AND 192AB</t>
  </si>
  <si>
    <t>53-79</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</si>
  <si>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</si>
  <si>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</si>
  <si>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</si>
  <si>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</si>
  <si>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</si>
  <si>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</si>
  <si>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</si>
  <si>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</si>
  <si>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</si>
  <si>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</si>
  <si>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</si>
  <si>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</si>
  <si>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</si>
  <si>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</si>
  <si>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</si>
  <si>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</si>
  <si>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1035</t>
  </si>
  <si>
    <t>32985290</t>
  </si>
  <si>
    <t>1037</t>
  </si>
  <si>
    <t>32985321</t>
  </si>
  <si>
    <t>1039</t>
  </si>
  <si>
    <t>32985334</t>
  </si>
  <si>
    <t>1040</t>
  </si>
  <si>
    <t>32985336</t>
  </si>
  <si>
    <t>1041</t>
  </si>
  <si>
    <t>32985337</t>
  </si>
  <si>
    <t>1042</t>
  </si>
  <si>
    <t>32985338</t>
  </si>
  <si>
    <t>1043</t>
  </si>
  <si>
    <t>32985341</t>
  </si>
  <si>
    <t>1044</t>
  </si>
  <si>
    <t>32985342</t>
  </si>
  <si>
    <t>1046</t>
  </si>
  <si>
    <t>32985344</t>
  </si>
  <si>
    <t>1047</t>
  </si>
  <si>
    <t>32985347</t>
  </si>
  <si>
    <t>1048</t>
  </si>
  <si>
    <t>32985349</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</si>
  <si>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</si>
  <si>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</si>
  <si>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</si>
  <si>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</si>
  <si>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</si>
  <si>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</si>
  <si>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</si>
  <si>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</si>
  <si>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</si>
  <si>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</si>
  <si>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</si>
  <si>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</si>
  <si>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</si>
  <si>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</si>
  <si>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</si>
  <si>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</si>
  <si>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</si>
  <si>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</si>
  <si>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</si>
  <si>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</si>
  <si>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</si>
  <si>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</si>
  <si>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</si>
  <si>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</si>
  <si>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</si>
  <si>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</si>
  <si>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</si>
  <si>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</si>
  <si>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</si>
  <si>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</si>
  <si>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</si>
  <si>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</si>
  <si>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</si>
  <si>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</si>
  <si>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</si>
  <si>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</si>
  <si>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</si>
  <si>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</si>
  <si>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</si>
  <si>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</si>
  <si>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</si>
  <si>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</si>
  <si>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</si>
  <si>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</si>
  <si>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</si>
  <si>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</si>
  <si>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</si>
  <si>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</si>
  <si>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</si>
  <si>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</si>
  <si>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</si>
  <si>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</si>
  <si>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</si>
  <si>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</si>
  <si>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</si>
  <si>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</si>
  <si>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</si>
  <si>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</si>
  <si>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</si>
  <si>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</si>
  <si>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</si>
  <si>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</si>
  <si>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1076</t>
  </si>
  <si>
    <t>32987146</t>
  </si>
  <si>
    <t>AP---RII---LH ELEV LH ELEVATOR HINGE NO. 6 FITTING WEARED WITH CHAFFING MARKS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</si>
  <si>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</si>
  <si>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</si>
  <si>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</si>
  <si>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</si>
  <si>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</si>
  <si>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</si>
  <si>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</si>
  <si>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</si>
  <si>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</si>
  <si>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</si>
  <si>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</si>
  <si>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</si>
  <si>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</si>
  <si>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1083</t>
  </si>
  <si>
    <t>32968390</t>
  </si>
  <si>
    <t>S25-D10305/A320 - PORTABLE (ELT) UNIT AND PROGRAMMING DONGLE (AIM)</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</si>
  <si>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</si>
  <si>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</si>
  <si>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</si>
  <si>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</si>
  <si>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</si>
  <si>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</si>
  <si>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</si>
  <si>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</si>
  <si>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</si>
  <si>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</si>
  <si>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</si>
  <si>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</si>
  <si>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</si>
  <si>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</si>
  <si>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</si>
  <si>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</si>
  <si>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</si>
  <si>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</si>
  <si>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</si>
  <si>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</si>
  <si>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</si>
  <si>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</si>
  <si>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</si>
  <si>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</si>
  <si>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</si>
  <si>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</si>
  <si>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</si>
  <si>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</si>
  <si>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</si>
  <si>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</si>
  <si>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</si>
  <si>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</si>
  <si>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</si>
  <si>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</si>
  <si>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</si>
  <si>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</si>
  <si>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</si>
  <si>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</si>
  <si>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</si>
  <si>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</si>
  <si>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</si>
  <si>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</si>
  <si>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</si>
  <si>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</si>
  <si>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</si>
  <si>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</si>
  <si>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</si>
  <si>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</si>
  <si>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</si>
  <si>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</si>
  <si>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1109</t>
  </si>
  <si>
    <t>32988470</t>
  </si>
  <si>
    <t>1110</t>
  </si>
  <si>
    <t>32988479</t>
  </si>
  <si>
    <t>1111</t>
  </si>
  <si>
    <t>32988506</t>
  </si>
  <si>
    <t>1117</t>
  </si>
  <si>
    <t>32988794</t>
  </si>
  <si>
    <t>1118</t>
  </si>
  <si>
    <t>32988998</t>
  </si>
  <si>
    <t>PRE---FWD CARGO---NOCALLBACK---AP FWD CARGO COMPT CNTR TANK FWD BKHD INSULATION BLANKET FOUND DUSTY AND DIRTY.</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</si>
  <si>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</si>
  <si>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</si>
  <si>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</si>
  <si>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</si>
  <si>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</si>
  <si>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</si>
  <si>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</si>
  <si>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</si>
  <si>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</si>
  <si>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</si>
  <si>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</si>
  <si>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</si>
  <si>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1125</t>
  </si>
  <si>
    <t>32989174</t>
  </si>
  <si>
    <t>BOTH WINGS.....FS....NO CALLBACK L/H AND R/H WINGS ALL MOVABLE FAIRING DIRTY</t>
  </si>
  <si>
    <t>57-56</t>
  </si>
  <si>
    <t>1130</t>
  </si>
  <si>
    <t>32989476</t>
  </si>
  <si>
    <t>1134</t>
  </si>
  <si>
    <t>32989497</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</si>
  <si>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</si>
  <si>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</si>
  <si>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</si>
  <si>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</si>
  <si>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</si>
  <si>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</si>
  <si>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</si>
  <si>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</si>
  <si>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</si>
  <si>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</si>
  <si>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</si>
  <si>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</si>
  <si>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</si>
  <si>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</si>
  <si>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</si>
  <si>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1142</t>
  </si>
  <si>
    <t>32989743</t>
  </si>
  <si>
    <t>1143</t>
  </si>
  <si>
    <t>32989796</t>
  </si>
  <si>
    <t>1145</t>
  </si>
  <si>
    <t>32989800</t>
  </si>
  <si>
    <t>1148</t>
  </si>
  <si>
    <t>32989854</t>
  </si>
  <si>
    <t>1150</t>
  </si>
  <si>
    <t>32989874</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</si>
  <si>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</si>
  <si>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</si>
  <si>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</si>
  <si>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</si>
  <si>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</si>
  <si>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</si>
  <si>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</si>
  <si>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</si>
  <si>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</si>
  <si>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</si>
  <si>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</si>
  <si>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</si>
  <si>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</si>
  <si>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</si>
  <si>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</si>
  <si>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</si>
  <si>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</si>
  <si>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</si>
  <si>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</si>
  <si>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</si>
  <si>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</si>
  <si>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</si>
  <si>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</si>
  <si>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</si>
  <si>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</si>
  <si>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</si>
  <si>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</si>
  <si>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</si>
  <si>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</si>
  <si>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1164</t>
  </si>
  <si>
    <t>32989967</t>
  </si>
  <si>
    <t>#2 ENG - IDG FEEDER CABLES CONNECTOR - AVN - NO CALL BACK #2 ENG AT ELECTRICAL CONNECTION JUNCTION BOX FOUND IDG FEEDER CABLE CONNECTOR WITH MISSING SAFTEY WIRE.</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</si>
  <si>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</si>
  <si>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</si>
  <si>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</si>
  <si>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</si>
  <si>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</si>
  <si>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</si>
  <si>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</si>
  <si>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</si>
  <si>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</si>
  <si>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1172</t>
  </si>
  <si>
    <t>32989994</t>
  </si>
  <si>
    <t>#2 ENG - L/H T/REV - HEAT SHIELD - SM - RII #2 ENG L/H THRUST REVERSER INNER FWD SIDE FOUND HEAT SHIELD WITH 5 CHAFFING MARKS ( T/REV CHAFFING AGAINST DRIAN LINE AND CONNECTOR JUNCTION BOX).   #1 CHAFFING DISTANCE TO NEAREST EDGE :- 0 INCH. (CHAFF...</t>
  </si>
  <si>
    <t>1173</t>
  </si>
  <si>
    <t>32990006</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</si>
  <si>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</si>
  <si>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</si>
  <si>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</si>
  <si>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</si>
  <si>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</si>
  <si>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</si>
  <si>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</si>
  <si>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</si>
  <si>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</si>
  <si>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</si>
  <si>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</si>
  <si>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</si>
  <si>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</si>
  <si>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</si>
  <si>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</si>
  <si>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</si>
  <si>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</si>
  <si>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</si>
  <si>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</si>
  <si>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</si>
  <si>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</si>
  <si>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</si>
  <si>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</si>
  <si>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</si>
  <si>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</si>
  <si>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</si>
  <si>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</si>
  <si>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</si>
  <si>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</si>
  <si>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</si>
  <si>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</si>
  <si>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</si>
  <si>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</si>
  <si>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</si>
  <si>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</si>
  <si>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</si>
  <si>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</si>
  <si>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</si>
  <si>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</si>
  <si>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</si>
  <si>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</si>
  <si>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</si>
  <si>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</si>
  <si>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</si>
  <si>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</si>
  <si>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</si>
  <si>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</si>
  <si>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</si>
  <si>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</si>
  <si>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</si>
  <si>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</si>
  <si>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</si>
  <si>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</si>
  <si>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1203</t>
  </si>
  <si>
    <t>32991517</t>
  </si>
  <si>
    <t>1208</t>
  </si>
  <si>
    <t>32991585</t>
  </si>
  <si>
    <t>1211</t>
  </si>
  <si>
    <t>32991646</t>
  </si>
  <si>
    <t>1212</t>
  </si>
  <si>
    <t>32991651</t>
  </si>
  <si>
    <t>1218</t>
  </si>
  <si>
    <t>32992461</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</si>
  <si>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</si>
  <si>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</si>
  <si>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</si>
  <si>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</si>
  <si>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</si>
  <si>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</si>
  <si>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</si>
  <si>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</si>
  <si>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</si>
  <si>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</si>
  <si>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</si>
  <si>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</si>
  <si>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</si>
  <si>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</si>
  <si>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</si>
  <si>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</si>
  <si>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</si>
  <si>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</si>
  <si>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</si>
  <si>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</si>
  <si>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</si>
  <si>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</si>
  <si>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</si>
  <si>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</si>
  <si>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</si>
  <si>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</si>
  <si>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</si>
  <si>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</si>
  <si>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</si>
  <si>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</si>
  <si>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</si>
  <si>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</si>
  <si>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</si>
  <si>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</si>
  <si>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</si>
  <si>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</si>
  <si>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</si>
  <si>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</si>
  <si>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</si>
  <si>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</si>
  <si>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</si>
  <si>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</si>
  <si>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</si>
  <si>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</si>
  <si>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</si>
  <si>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</si>
  <si>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</si>
  <si>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</si>
  <si>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</si>
  <si>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</si>
  <si>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</si>
  <si>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</si>
  <si>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</si>
  <si>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</si>
  <si>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</si>
  <si>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</si>
  <si>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</si>
  <si>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</si>
  <si>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</si>
  <si>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</si>
  <si>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</si>
  <si>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</si>
  <si>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</si>
  <si>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</si>
  <si>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</si>
  <si>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</si>
  <si>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</si>
  <si>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</si>
  <si>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</si>
  <si>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</si>
  <si>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</si>
  <si>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</si>
  <si>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</si>
  <si>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</si>
  <si>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</si>
  <si>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</si>
  <si>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</si>
  <si>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</si>
  <si>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</si>
  <si>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</si>
  <si>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</si>
  <si>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</si>
  <si>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</si>
  <si>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</si>
  <si>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</si>
  <si>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1268</t>
  </si>
  <si>
    <t>32996857</t>
  </si>
  <si>
    <t>CAPT FIXED WINDOW======AP=====RII CAPT SIDE FIXED WINDOW AFT LWR CORNER WITH BUBBLES DIMENSIONS AS FOLLOWS  LENGTH =3" WIDTH= 1.1"</t>
  </si>
  <si>
    <t>1270</t>
  </si>
  <si>
    <t>32998086</t>
  </si>
  <si>
    <t>RUDDER-----------NO CALLBACK-------------AF RUDDER ATTACH FITTING NO. 6 FOUND BONDING LEAD BROKEN.</t>
  </si>
  <si>
    <t>1271</t>
  </si>
  <si>
    <t>32998113</t>
  </si>
  <si>
    <t>1272</t>
  </si>
  <si>
    <t>32998140</t>
  </si>
  <si>
    <t>ENG 02 PYLON - PAINT - NO CALL BACK ENG 02 PYLON PANEL 423AR AND 423CR PAINT PEELED OFF.</t>
  </si>
  <si>
    <t>51-75</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</si>
  <si>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</si>
  <si>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</si>
  <si>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</si>
  <si>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</si>
  <si>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</si>
  <si>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</si>
  <si>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</si>
  <si>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</si>
  <si>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</si>
  <si>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</si>
  <si>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</si>
  <si>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</si>
  <si>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</si>
  <si>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</si>
  <si>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</si>
  <si>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</si>
  <si>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</si>
  <si>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</si>
  <si>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</si>
  <si>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</si>
  <si>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</si>
  <si>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</si>
  <si>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</si>
  <si>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</si>
  <si>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</si>
  <si>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</si>
  <si>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</si>
  <si>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</si>
  <si>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</si>
  <si>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</si>
  <si>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</si>
  <si>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1288</t>
  </si>
  <si>
    <t>33002750</t>
  </si>
  <si>
    <t>PNT---NO CALLBACK---RH WING SLAT RH WING SLAT 1, 2, 3, 4 &amp; 5 TRAILING EDGES WITH PAINT CHIPPED OFF</t>
  </si>
  <si>
    <t>1290</t>
  </si>
  <si>
    <t>33002861</t>
  </si>
  <si>
    <t>AP---CALLBACK---RH WING SLAT 5 RH WING SLAT 5 OUTBOARD EDGE SEAL CUT OFF</t>
  </si>
  <si>
    <t>1300</t>
  </si>
  <si>
    <t>33007172</t>
  </si>
  <si>
    <t>EOD-320-31-00012-R00/FDIMU - INSTALL NEW ADC DMU SW FOR FOMAX</t>
  </si>
  <si>
    <t>1302</t>
  </si>
  <si>
    <t>33011258</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</si>
  <si>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</si>
  <si>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</si>
  <si>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</si>
  <si>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</si>
  <si>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</si>
  <si>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</si>
  <si>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</si>
  <si>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</si>
  <si>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</si>
  <si>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</si>
  <si>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</si>
  <si>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</si>
  <si>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</si>
  <si>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</si>
  <si>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</si>
  <si>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</si>
  <si>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</si>
  <si>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</si>
  <si>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</si>
  <si>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</si>
  <si>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</si>
  <si>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</si>
  <si>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</si>
  <si>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</si>
  <si>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</si>
  <si>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</si>
  <si>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</si>
  <si>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</si>
  <si>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</si>
  <si>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</si>
  <si>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</si>
  <si>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</si>
  <si>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</si>
  <si>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</si>
  <si>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</si>
  <si>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</si>
  <si>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</si>
  <si>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</si>
  <si>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</si>
  <si>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1326</t>
  </si>
  <si>
    <t>33019665</t>
  </si>
  <si>
    <t>FINDING TASKCARD 531164-01-1 / FUSELAGE FR15-21-FS--CALLBACK REQ CLEANING OF FUSELAGE FR20-21; STR28LH-STR28LH TO FACILITATE INSPECTION</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</si>
  <si>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</si>
  <si>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</si>
  <si>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</si>
  <si>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</si>
  <si>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</si>
  <si>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</si>
  <si>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</si>
  <si>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</si>
  <si>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</si>
  <si>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</si>
  <si>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</si>
  <si>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</si>
  <si>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</si>
  <si>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1340</t>
  </si>
  <si>
    <t>33021799</t>
  </si>
  <si>
    <t>53-00-00</t>
  </si>
  <si>
    <t>1341</t>
  </si>
  <si>
    <t>33021843</t>
  </si>
  <si>
    <t>1344</t>
  </si>
  <si>
    <t>33022853</t>
  </si>
  <si>
    <t>1345</t>
  </si>
  <si>
    <t>33022868</t>
  </si>
  <si>
    <t>1346</t>
  </si>
  <si>
    <t>33022924</t>
  </si>
  <si>
    <t>RH WING FUEL ACCESS PNL#640KB WITH 4EA FROZEN SCREW</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</si>
  <si>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</si>
  <si>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</si>
  <si>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</si>
  <si>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</si>
  <si>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</si>
  <si>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</si>
  <si>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</si>
  <si>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</si>
  <si>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</si>
  <si>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</si>
  <si>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</si>
  <si>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</si>
  <si>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</si>
  <si>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</si>
  <si>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</si>
  <si>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</si>
  <si>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</si>
  <si>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</si>
  <si>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1356</t>
  </si>
  <si>
    <t>33023803</t>
  </si>
  <si>
    <t>1357</t>
  </si>
  <si>
    <t>33023820</t>
  </si>
  <si>
    <t>1359</t>
  </si>
  <si>
    <t>33024557</t>
  </si>
  <si>
    <t>VERTICAL STABLIZER HINGE FITTING (EOD-320-55-00001-R00) AS PER (EOD-320-55-00001-R00) ALL HINGE FITTINGS REQUIRE NDT AFTER REMOVAL  .</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</si>
  <si>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</si>
  <si>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</si>
  <si>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</si>
  <si>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</si>
  <si>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</si>
  <si>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</si>
  <si>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</si>
  <si>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</si>
  <si>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</si>
  <si>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</si>
  <si>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</si>
  <si>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</si>
  <si>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</si>
  <si>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</si>
  <si>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</si>
  <si>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</si>
  <si>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</si>
  <si>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</si>
  <si>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</si>
  <si>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</si>
  <si>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</si>
  <si>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</si>
  <si>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</si>
  <si>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</si>
  <si>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</si>
  <si>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</si>
  <si>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</si>
  <si>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</si>
  <si>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</si>
  <si>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</si>
  <si>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1371</t>
  </si>
  <si>
    <t>33027363</t>
  </si>
  <si>
    <t>FT---NO CALLBACK---RH WING RH WING ACCESS DOOR 640AB PAINT CHIPPED OFF</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</si>
  <si>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</si>
  <si>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</si>
  <si>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</si>
  <si>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</si>
  <si>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</si>
  <si>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</si>
  <si>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</si>
  <si>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</si>
  <si>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</si>
  <si>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</si>
  <si>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</si>
  <si>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</si>
  <si>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</si>
  <si>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</si>
  <si>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 CALL BACK RH WING MLG SUPPORT RIBS AND ADJACENT AREA MISSING CIC</t>
  </si>
  <si>
    <t>1387</t>
  </si>
  <si>
    <t>33030770</t>
  </si>
  <si>
    <t>SM---RII---RH WING SLAT 1 RH WING SLAT 1 TRACK NO.3 SLAT FITTING WITH CHAFING MARK L= 2 IN, W= 1 IN &amp; DEPTH= 0.15 MM FITTING CHAFED WITH WING LE FITTING GROOVE</t>
  </si>
  <si>
    <t>1391</t>
  </si>
  <si>
    <t>33032681</t>
  </si>
  <si>
    <t>FINDING (NRC) DOCUMENT S51-R10008 SM--RII LH WING SLAT # 3 WITH DENT AT LE EDGE TOP SKIN BETWEEN TRACK RIB #7 AND TRACK RIB #8 WITH THE FOLLOWING DIMENSION L=55 MM W= 20 MM D= 0.2 MM DISTANCE TO NEAREST FASTENER = 65 MM</t>
  </si>
  <si>
    <t>1392</t>
  </si>
  <si>
    <t>1396</t>
  </si>
  <si>
    <t>33037808</t>
  </si>
  <si>
    <t>LH WING FLAP  UPEER  MID  NO CALL BACK  PNT LH WING FLAP  UPEER  MID WITH BLACK MARK</t>
  </si>
  <si>
    <t>1397</t>
  </si>
  <si>
    <t>33037811</t>
  </si>
  <si>
    <t>RH  WING FLAP  UPEER  MID  NO CALL BACK  PNT RH  WING FLAP  UPEER  MID WITH BLACK MARK</t>
  </si>
  <si>
    <t>1401</t>
  </si>
  <si>
    <t>33040155</t>
  </si>
  <si>
    <t>S71-R10396/HZ-ASD ENG.1 REPLACEMENT OF RH FAN COWL FWD AND AFT EDGE PROTECTORS</t>
  </si>
  <si>
    <t>1402</t>
  </si>
  <si>
    <t>33040973</t>
  </si>
  <si>
    <t>FINDING (NRC) TASKCARD 534150-01-1 (02) / AFT CARGO --- NO CALLBACK - AFT CARGO COMPARTMENT 152EF LOOSE BRACKET ON THE AFT END, BETWEEN FR52 AND FR53.</t>
  </si>
  <si>
    <t>1406</t>
  </si>
  <si>
    <t>571192-09-1</t>
  </si>
  <si>
    <t>571192-09-1 (0) / CENTER WING BOX</t>
  </si>
  <si>
    <t>1407</t>
  </si>
  <si>
    <t>571192-19-1</t>
  </si>
  <si>
    <t>571192-19-1 (0) / CENTER WING BOX</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</si>
  <si>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</si>
  <si>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</si>
  <si>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</si>
  <si>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</si>
  <si>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</si>
  <si>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</si>
  <si>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</si>
  <si>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</si>
  <si>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</si>
  <si>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</si>
  <si>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</si>
  <si>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</si>
  <si>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</si>
  <si>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</si>
  <si>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</si>
  <si>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</si>
  <si>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</si>
  <si>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</si>
  <si>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</si>
  <si>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</si>
  <si>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</si>
  <si>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</si>
  <si>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</si>
  <si>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</si>
  <si>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</si>
  <si>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</si>
  <si>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1429</t>
  </si>
  <si>
    <t>95001847</t>
  </si>
  <si>
    <t>ROB REF TO TQ #: 846595 ENGINE FAN COWL ROD PN: A3410-2 S/N:18806 ROB TO SVC AS75</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</si>
  <si>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</si>
  <si>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</si>
  <si>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</si>
  <si>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</si>
  <si>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</si>
  <si>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</si>
  <si>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</si>
  <si>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</si>
  <si>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</si>
  <si>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</si>
  <si>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</si>
  <si>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</si>
  <si>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</si>
  <si>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</si>
  <si>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</si>
  <si>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</si>
  <si>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1443</t>
  </si>
  <si>
    <t>33081333</t>
  </si>
  <si>
    <t>HYDRAULIC FLUID ANALYSIS ---- NO CALL BACK REF TO TASK CARD NO.291000-26-1 ANALYZE HYDRAULIC FLUID FOR CHLORINE, DENSITY, VISCOSITY AND CONDUCTIVITY CONTAMINATION.</t>
  </si>
  <si>
    <t>29-00</t>
  </si>
  <si>
    <t>1444</t>
  </si>
  <si>
    <t>1445</t>
  </si>
  <si>
    <t>1446</t>
  </si>
  <si>
    <t>1447</t>
  </si>
  <si>
    <t>1448</t>
  </si>
  <si>
    <t>1449</t>
  </si>
  <si>
    <t>1450</t>
  </si>
  <si>
    <t>1452</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</si>
  <si>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</si>
  <si>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</si>
  <si>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</si>
  <si>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</si>
  <si>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</si>
  <si>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</si>
  <si>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</si>
  <si>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</si>
  <si>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</si>
  <si>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</si>
  <si>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</si>
  <si>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</si>
  <si>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</si>
  <si>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1460</t>
  </si>
  <si>
    <t>1467</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</si>
  <si>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</si>
  <si>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</si>
  <si>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</si>
  <si>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</si>
  <si>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</si>
  <si>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</si>
  <si>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</si>
  <si>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</si>
  <si>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</si>
  <si>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</si>
  <si>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</si>
  <si>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</si>
  <si>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</si>
  <si>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</si>
  <si>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</si>
  <si>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1477</t>
  </si>
  <si>
    <t>33122442</t>
  </si>
  <si>
    <t>FADED IDENTIFICATION DECAL - PNT - NO CALL BACK FADED IDENTIFICATION DECAL ON LH/RH WING L/E PNL 522NB AND 621AB</t>
  </si>
  <si>
    <t>1478</t>
  </si>
  <si>
    <t>33122455</t>
  </si>
  <si>
    <t>CHIPPED OFF PAINT ON WING L/E PNLS - PNT- NO CALL BACK CHIPPED OFF PAINT ON WING L/E PNLS 522AB, 522UB, AND 622LB</t>
  </si>
  <si>
    <t>1479</t>
  </si>
  <si>
    <t>33126431</t>
  </si>
  <si>
    <t>MAIN BATT# 2 REQUIRED R/R  MAIN BATT #2 DUE TO BATTERY VOLTAGE FOUND LOW</t>
  </si>
  <si>
    <t>1480</t>
  </si>
  <si>
    <t>1481</t>
  </si>
  <si>
    <t>33126962</t>
  </si>
  <si>
    <t>LH WING TRAILING EDGE PANELS PAINT CHIPPED -- PNT -- NO CALL BACK LH WING TRAILING EDGE PANELS # 573BB AND 573AB FOUND WITH CHIPPED PAINT.</t>
  </si>
  <si>
    <t>57-32</t>
  </si>
  <si>
    <t>1483</t>
  </si>
  <si>
    <t>33127887</t>
  </si>
  <si>
    <t>S29-R10066/HYDRAULIC SYS FLUID SAMPLE ANALYSIS.</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</si>
  <si>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</si>
  <si>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</si>
  <si>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</si>
  <si>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</si>
  <si>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</si>
  <si>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</si>
  <si>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</si>
  <si>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</si>
  <si>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</si>
  <si>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</si>
  <si>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1493</t>
  </si>
  <si>
    <t>1497</t>
  </si>
  <si>
    <t>33151610</t>
  </si>
  <si>
    <t>ENGINE 1 STARTER SERVICING -- AP REFER TO TASKCARD: 801110-C3-1-001 STEP 1(7)</t>
  </si>
  <si>
    <t>1499</t>
  </si>
  <si>
    <t>1500</t>
  </si>
  <si>
    <t>1501</t>
  </si>
  <si>
    <t>33152727</t>
  </si>
  <si>
    <t>WING ROOT PANEL 192DT HAS BROKEN ANCHOR NUTS--SM--NO CALLBACK-- R/H WING ROOT PANEL 192DT HAS 2 BROKEN ANCHOR NUTS,  REQ S/M ACTION.</t>
  </si>
  <si>
    <t>1503</t>
  </si>
  <si>
    <t>33157310</t>
  </si>
  <si>
    <t>FINDING (NRC) TASKCARD DCC-32S (13) / ITEM ONE DURING DCC FOUND LAV D DOOR BOTH SIDE TEDLAR DAMAGED</t>
  </si>
  <si>
    <t>1504</t>
  </si>
  <si>
    <t>33157316</t>
  </si>
  <si>
    <t>FINDING (NRC) TASKCARD DCC-32S (13) / ITEM ONE DURING DCC FOUND CLOSET C201, C202, C203 TEDLAR DAMAGED</t>
  </si>
  <si>
    <t>1505</t>
  </si>
  <si>
    <t>33157427</t>
  </si>
  <si>
    <t>PNT - RH WING - 631AB - NO CALLBACK RH WING 631AB ACCESS PANEL FWD EDGE REQUIRES PAINT TOUCH UP AS PER INSP FINDING.</t>
  </si>
  <si>
    <r>
      <rPr>
        <b/>
        <sz val="13"/>
        <color rgb="FFDC2626"/>
        <rFont val="Calibri"/>
      </rPr>
      <t>⛔  OVERRUN — B.I.S REVISED → 03 SEP 2026  (EXTENSION +10 DAYS)</t>
    </r>
  </si>
  <si>
    <t>O.O.S AIRCRAFT TAKEN OUT OF SERVICE AT 23:59 Z  DATE 17 JULY 2026 FOR C2 + 6 YEARS CHECK. SCHEDULE 38 DAYS</t>
  </si>
  <si>
    <t>1512</t>
  </si>
  <si>
    <t>33173578</t>
  </si>
  <si>
    <t>1513</t>
  </si>
  <si>
    <t>33173612</t>
  </si>
  <si>
    <t>DC GENERATION MAIN BATTERY 2PB2 FOUND DISCHARGED.</t>
  </si>
  <si>
    <t>1515</t>
  </si>
  <si>
    <t>33181577</t>
  </si>
  <si>
    <t>B/C SEAT PNT- NO CALLBACK ALL B/C SEAT BACK SHELL WITH PAINT SCRATCHES AND PEELED OFF</t>
  </si>
  <si>
    <t>1516</t>
  </si>
  <si>
    <t>95001852</t>
  </si>
  <si>
    <t>ROB REF TO TQ852366 PN:642-1000-505 S/N:10514001 DESC INLET NOSE COWL ROBBED FROM ASD ENG#1 TO SVC ASA</t>
  </si>
  <si>
    <t>1517</t>
  </si>
  <si>
    <t>33183582</t>
  </si>
  <si>
    <t>DOCUMENT S52-D10064,,,LWR FUSELAGE,,,,A/P,,,NO CALL BACK A/C SVC PNL 191 CB LATCH HARDE TO CLOSE.</t>
  </si>
  <si>
    <t>1518</t>
  </si>
  <si>
    <t>33183587</t>
  </si>
  <si>
    <t>DOCUMENT S52-D10064,,,,LWR FUSELAGE,,,S/M,,,RII A/C PNL # 191 CB HINGE STRIP INNER SIDE WITH CRACK DIM: 5.00 MM</t>
  </si>
  <si>
    <t>1519</t>
  </si>
  <si>
    <t>33183632</t>
  </si>
  <si>
    <t>DOCUMENT S52-D10064,,,HYD PNL,,,,A/P,,,NO CALL BACK HYD PNL # 197 FB HARDE TO CLOSE AND WITH JERKY SOUND.</t>
  </si>
  <si>
    <t>1520</t>
  </si>
  <si>
    <t>33183667</t>
  </si>
  <si>
    <t>DOCUMENT S52-D10064,,,HYD PNL,,,S/M,,RII HYD PNL # 197 FB LATCH WITH 1 EA REVIT LOSSE</t>
  </si>
  <si>
    <t>1521</t>
  </si>
  <si>
    <t>33183670</t>
  </si>
  <si>
    <t>DOCUMENT S52-D10064,,,,HYD PNLS,,,,A/P,NO CALL BACK ALL HYD SVC PNLS INNER SEAL FOUND MISSING</t>
  </si>
  <si>
    <t>1522</t>
  </si>
  <si>
    <t>33183671</t>
  </si>
  <si>
    <t>DOCUMENT S52-D10064,,,,,WASTE PNL,,,,S/M...RII WASTE PNL # 172 AR BOTH HINGES FOUND WITH SURFACE CORROSION.</t>
  </si>
  <si>
    <t>1523</t>
  </si>
  <si>
    <t>33183699</t>
  </si>
  <si>
    <t>DOCUMENT S52-D10064,,,,WASTE PNL,A/P,RII WASTE PNL # 172 AR BOTH HINGES BOLT FOUND RUSTY</t>
  </si>
  <si>
    <t>1524</t>
  </si>
  <si>
    <t>33183754</t>
  </si>
  <si>
    <t>DOCUMENT S52-D10064,,WASTE PNL,,,A/P,,,NO CALL BACK WASTE PNL 172 AR AFT LATCH NOT OPENING</t>
  </si>
  <si>
    <t>1525</t>
  </si>
  <si>
    <t>33183755</t>
  </si>
  <si>
    <t>DOCUMENT S52-D10064,,WASTE PNL,,A/P,,NO CALL BACK WASTE PNL # 172 AR INNER SEAL MISSING</t>
  </si>
  <si>
    <t>1526</t>
  </si>
  <si>
    <t>33183756</t>
  </si>
  <si>
    <t>DOCUMENT S52-D10064,,,,WASTE PNL,,,A/P,,,NO CALL BACK WASTE PNL # 172 AR FWD BONDING WIRE FOUND CUT</t>
  </si>
  <si>
    <t>1527</t>
  </si>
  <si>
    <t>33183759</t>
  </si>
  <si>
    <t>DOCUMENT S52-D10064,,,WATER SVC PNL,,,A/P,,NO CALL BACK WATER SVC PNL # 171 AL INNER SEAL FOUND MISSING</t>
  </si>
  <si>
    <t>1528</t>
  </si>
  <si>
    <t>33183761</t>
  </si>
  <si>
    <t>DOCUMENT S52-D10064WATER SVC PNL,,NO CALL BACK WATER SVC PNL # 171 AL AFT LATCH HARD TO CLOSE.</t>
  </si>
  <si>
    <t>1529</t>
  </si>
  <si>
    <t>33183762</t>
  </si>
  <si>
    <t>DOCUMENT S52-D10064,, WATER SVC PNL,,A/P,,NO CALL BACK WATER SVC PNL BOTH BONDING WIRE FOUND CUT .</t>
  </si>
  <si>
    <t>1530</t>
  </si>
  <si>
    <t>33183763</t>
  </si>
  <si>
    <t>DOCUMENT S52-D10064,,,WATER SVC PNL,,A/P,,RII WATER SVC PNL # 171 AL BOTH HINGES BOLT FOUND RUSTY.</t>
  </si>
  <si>
    <t>1531</t>
  </si>
  <si>
    <t>33183768</t>
  </si>
  <si>
    <t>DOCUMENT S52-D10064,,,WATER SVC PNL,,,S/M,,RII WATER SVC PNL # 171 AL FWD HINGE FOUND BROKEN AT FWD SIDE.</t>
  </si>
  <si>
    <t>FINDING (NRC) TASKCARD 25-SVA-05 (01) / ITEM ONE G/C SEAT# 30A,B,C, 30J,K,L Y-BELT ASSEMBLY DIRTY</t>
  </si>
  <si>
    <t>1511</t>
  </si>
  <si>
    <t>33172980</t>
  </si>
  <si>
    <t>AP-- NLG LH WHEEL   HUB CAP ---NO CALL BACK NLG LH WHEEL  GROMMET IN THE HUBCAP   MISSING</t>
  </si>
  <si>
    <t>1514</t>
  </si>
  <si>
    <t>33174881</t>
  </si>
  <si>
    <t>FWD CGO..... PNT....NO CALL BACK FWD CGO SIDEWALL PANEL NO 132KW REQ PAINT</t>
  </si>
  <si>
    <t>CAB - RII - SMOKE HOOD SMOKE HOOD BOX NEXT TO R2 F/A SEAT FOUND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</si>
</sst>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
    <numFmt numFmtId="165" formatCode=";;;"/>
    <numFmt numFmtId="166" formatCode="ddd\ \ dd\-mmm"/>
    <numFmt numFmtId="167" formatCode="dd\-mmm\-yyyy"/>
    <numFmt numFmtId="168" formatCode="0.0"/>
  </numFmts>
  <fonts count="108"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
      <b/>
      <sz val="13"/>
      <color rgb="FFDC2626"/>
      <name val="Calibri"/>
    </font>
    <font>
      <b/>
      <i/>
      <sz val="11"/>
      <color rgb="FFFFFFFF"/>
      <name val="Calibri"/>
    </font>
  </fonts>
  <fills count="50">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
      <patternFill patternType="solid">
        <fgColor rgb="FFC00000"/>
        <bgColor indexed="64"/>
      </patternFill>
    </fill>
  </fills>
  <borders count="36">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
      <left style="thin">
        <color rgb="FFDDDDDD"/>
      </left>
      <right/>
      <top/>
      <bottom/>
      <diagonal/>
    </border>
  </borders>
  <cellStyleXfs count="1">
    <xf numFmtId="0" fontId="0" fillId="0" borderId="27"/>
  </cellStyleXfs>
  <cellXfs count="221">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0" fillId="0" borderId="28" xfId="0" applyBorder="1" applyAlignment="1">
      <alignment horizontal="center"/>
    </xf>
    <xf numFmtId="0" fontId="0" fillId="0" borderId="35" xfId="0" applyBorder="1"/>
    <xf numFmtId="0" fontId="1" fillId="6" borderId="7" xfId="0" applyFont="1" applyFill="1" applyBorder="1" applyAlignment="1">
      <alignment horizontal="center" vertical="center"/>
    </xf>
    <xf numFmtId="0" fontId="0" fillId="0" borderId="7" xfId="0" applyBorder="1" applyAlignment="1"/>
    <xf numFmtId="0" fontId="15" fillId="5" borderId="5" xfId="0" applyFont="1" applyFill="1" applyBorder="1" applyAlignment="1">
      <alignment horizontal="center" vertical="center"/>
    </xf>
    <xf numFmtId="0" fontId="0" fillId="0" borderId="28" xfId="0" applyBorder="1" applyAlignment="1"/>
    <xf numFmtId="0" fontId="0" fillId="0" borderId="5" xfId="0" applyBorder="1" applyAlignment="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applyAlignment="1"/>
    <xf numFmtId="0" fontId="96" fillId="31" borderId="27" xfId="0" applyFont="1" applyFill="1" applyAlignment="1">
      <alignment horizontal="center" vertical="center"/>
    </xf>
    <xf numFmtId="0" fontId="0" fillId="0" borderId="0" xfId="0" applyBorder="1"/>
    <xf numFmtId="0" fontId="0" fillId="0" borderId="28" xfId="0" applyBorder="1"/>
    <xf numFmtId="0" fontId="52" fillId="14" borderId="9" xfId="0" applyFont="1" applyFill="1" applyBorder="1" applyAlignment="1">
      <alignment horizontal="left" vertical="center" indent="1"/>
    </xf>
    <xf numFmtId="0" fontId="0" fillId="0" borderId="10" xfId="0" applyBorder="1" applyAlignment="1"/>
    <xf numFmtId="0" fontId="22" fillId="31" borderId="27" xfId="0" applyFont="1" applyFill="1" applyAlignment="1">
      <alignment horizontal="left" vertical="center"/>
    </xf>
    <xf numFmtId="0" fontId="92" fillId="0" borderId="23" xfId="0" applyFont="1" applyBorder="1" applyAlignment="1">
      <alignment horizontal="left" vertical="center"/>
    </xf>
    <xf numFmtId="0" fontId="0" fillId="0" borderId="24" xfId="0" applyBorder="1" applyAlignment="1"/>
    <xf numFmtId="0" fontId="0" fillId="0" borderId="25" xfId="0" applyBorder="1" applyAlignment="1"/>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0" fontId="0" fillId="0" borderId="12" xfId="0" applyBorder="1" applyAlignment="1"/>
    <xf numFmtId="0" fontId="0" fillId="0" borderId="13" xfId="0" applyBorder="1" applyAlignment="1"/>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applyAlignment="1"/>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0" fillId="0" borderId="33" xfId="0" applyBorder="1" applyAlignment="1"/>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107" fillId="49" borderId="0" xfId="0" applyFont="1" applyFill="1" applyAlignment="1">
      <alignment horizontal="center" vertical="center" wrapText="1"/>
    </xf>
  </cellXfs>
  <cellStyles count="1">
    <cellStyle name="Normal" xfId="0" builtinId="0"/>
  </cellStyles>
  <dxfs count="303">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border outline="0">
        <left style="thin">
          <color rgb="FFDDDDDD"/>
        </left>
      </border>
    </dxf>
    <dxf>
      <alignment horizontal="center" vertical="center"/>
    </dxf>
    <dxf>
      <border outline="0">
        <right style="thin">
          <color rgb="FFDDDDDD"/>
        </right>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FAFBFA"/>
          <bgColor rgb="FFFAFBFA"/>
        </patternFill>
      </fill>
    </dxf>
    <dxf>
      <fill>
        <patternFill patternType="solid">
          <fgColor rgb="FFFAFBFA"/>
          <bgColor rgb="FFFAFBFA"/>
        </patternFill>
      </fill>
    </dxf>
    <dxf>
      <fill>
        <patternFill patternType="solid">
          <fgColor rgb="FFE8EAF6"/>
          <bgColor rgb="FFE8EAF6"/>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id="1" name="TrackerTable13" displayName="TrackerTable13" ref="A3:Q994" totalsRowShown="0">
  <autoFilter ref="A3:Q994">
    <filterColumn colId="4">
      <filters>
        <filter val="I/W"/>
        <filter val="Open"/>
      </filters>
    </filterColumn>
    <filterColumn colId="10">
      <filters>
        <filter val="FWD"/>
        <filter val="JOINT"/>
      </filters>
    </filterColumn>
  </autoFilter>
  <sortState ref="A4:J1000">
    <sortCondition ref="I3:I1000"/>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62"/>
    <tableColumn id="9" name="Remarks" dataDxfId="61"/>
    <tableColumn id="10" name="Time EVAL?" dataDxfId="60"/>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autoFilter ref="A3:K503"/>
  <tableColumns count="11">
    <tableColumn id="1" name="#"/>
    <tableColumn id="9" name=" By" dataDxfId="267"/>
    <tableColumn id="2" name="Category" dataDxfId="266"/>
    <tableColumn id="4" name="Sub-Category" dataDxfId="265"/>
    <tableColumn id="3" name="Finding Description" dataDxfId="264"/>
    <tableColumn id="7" name="Remarks" dataDxfId="263"/>
    <tableColumn id="10" name="Photo URL"/>
    <tableColumn id="5" name="AMOS Status" dataDxfId="262"/>
    <tableColumn id="6" name="WO No." dataDxfId="261"/>
    <tableColumn id="8" name="P/N Required" dataDxfId="260"/>
    <tableColumn id="11" name="Qty" dataDxfId="259"/>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94"/>
  <sheetViews>
    <sheetView showGridLines="0" tabSelected="1" zoomScale="80" zoomScaleNormal="80" workbookViewId="0">
      <pane ySplit="3" topLeftCell="A63" activePane="bottomLeft" state="frozen"/>
      <selection activeCell="H1" sqref="H1"/>
      <selection pane="bottomLeft" activeCell="F256" sqref="F256:F277"/>
    </sheetView>
  </sheetViews>
  <sheetFormatPr defaultColWidth="8.7109375" defaultRowHeight="15" x14ac:dyDescent="0.2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x14ac:dyDescent="0.25">
      <c r="A1" s="149" t="s">
        <v>0</v>
      </c>
      <c r="B1" s="150"/>
      <c r="C1" s="150"/>
      <c r="D1" s="150"/>
      <c r="E1" s="220" t="str">
        <f>"DAY "&amp;(TODAY()-DATE(2026,7,18)+1)&amp;"/38"&amp;IF(TODAY()&gt;DATE(2026,8,24)," ⛔ OVR +"&amp;(TODAY()-DATE(2026,8,24))&amp;"d"," · "&amp;(DATE(2026,8,24)-TODAY())&amp;"d LEFT")&amp;" · BIS 3-SEP"</f>
        <v>DAY 40/38 ⛔ OVR +2d · BIS 3-SEP</v>
      </c>
      <c r="F1" s="152"/>
      <c r="G1" s="152"/>
      <c r="H1" s="157" t="str">
        <f>"✅ "&amp;COUNTIFS(A4:A994,"&lt;&gt;",E4:E994,"Closed")&amp;" / "&amp;COUNTIF(A4:A994,"&lt;&gt;")&amp;" Closed ("&amp;TEXT(IFERROR(COUNTIFS(A4:A994,"&lt;&gt;",E4:E994,"Closed")/COUNTIF(A4:A994,"&lt;&gt;"),0),"0%")&amp;")"</f>
        <v>✅ 311 / 465 Closed (67%)</v>
      </c>
      <c r="I1" s="152"/>
      <c r="J1" s="152"/>
      <c r="K1" s="152"/>
      <c r="L1" s="152"/>
      <c r="M1" s="152"/>
      <c r="N1" s="152"/>
      <c r="O1" s="152"/>
      <c r="P1" s="152"/>
      <c r="Q1" s="152"/>
    </row>
    <row r="2" spans="1:17" ht="19.899999999999999" customHeight="1" x14ac:dyDescent="0.25">
      <c r="A2" s="155" t="str">
        <f>IF(COUNT($L$4:$L$994)=0,"No dated updates yet — type todays date (e.g. 19/7) in column L when you edit a row","LAST UPDATE: "&amp;TEXT(MAX($L$4:$L$994),"DD-MMM")&amp;"  ·  "&amp;COUNTIF($L$4:$L$994,MAX($L$4:$L$994))&amp;" row(s) updated  —  filter column L for details")</f>
        <v>LAST UPDATE: 25-Aug  ·  63 row(s) updated  —  filter column L for details</v>
      </c>
      <c r="B2" s="156"/>
      <c r="C2" s="156"/>
      <c r="D2" s="156"/>
      <c r="E2" s="153"/>
      <c r="F2" s="153"/>
      <c r="G2" s="153"/>
      <c r="H2" s="154" t="str">
        <f>"🔴 AOG WO: "&amp;COUNTIFS(A4:A994,"&lt;&gt;",F4:F994,"AOG",E4:E994,"&lt;&gt;Closed")&amp;"     ⚠️ Critical WO: "&amp;COUNTIFS(A4:A994,"&lt;&gt;",F4:F994,"Critical",E4:E994,"&lt;&gt;Closed")&amp;"     🔓 Access WO: "&amp;COUNTIFS(A4:A994,"&lt;&gt;",F4:F994,"ACCESS",E4:E994,"&lt;&gt;Closed")</f>
        <v>🔴 AOG WO: 1     ⚠️ Critical WO: 13     🔓 Access WO: 28</v>
      </c>
      <c r="I2" s="153"/>
      <c r="J2" s="153"/>
      <c r="K2" s="153"/>
      <c r="L2" s="153"/>
      <c r="M2" s="153"/>
      <c r="N2" s="153"/>
      <c r="O2" s="153"/>
      <c r="P2" s="153"/>
      <c r="Q2" s="153"/>
    </row>
    <row r="3" spans="1:17" s="1" customFormat="1" ht="31.5" customHeight="1" x14ac:dyDescent="0.25">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hidden="1" customHeight="1" x14ac:dyDescent="0.25">
      <c r="A4" s="30" t="s">
        <v>18</v>
      </c>
      <c r="B4" s="31" t="s">
        <v>19</v>
      </c>
      <c r="C4" s="32" t="s">
        <v>20</v>
      </c>
      <c r="D4" s="33" t="s">
        <v>21</v>
      </c>
      <c r="E4" s="34" t="s">
        <v>34</v>
      </c>
      <c r="F4" s="34" t="s">
        <v>23</v>
      </c>
      <c r="G4" s="33" t="s">
        <v>24</v>
      </c>
      <c r="H4" s="35"/>
      <c r="I4" s="36"/>
      <c r="J4" s="34"/>
      <c r="K4" s="34" t="s">
        <v>25</v>
      </c>
      <c r="L4" s="37">
        <v>46259</v>
      </c>
      <c r="M4" s="84">
        <v>46257</v>
      </c>
      <c r="N4" s="39">
        <v>10.15</v>
      </c>
      <c r="O4" s="85"/>
      <c r="P4" s="39">
        <v>26.5</v>
      </c>
      <c r="Q4" s="39">
        <v>49.9</v>
      </c>
    </row>
    <row r="5" spans="1:17" ht="15.75" hidden="1" customHeight="1" x14ac:dyDescent="0.25">
      <c r="A5" s="30" t="s">
        <v>26</v>
      </c>
      <c r="B5" s="31" t="s">
        <v>27</v>
      </c>
      <c r="C5" s="32">
        <v>18</v>
      </c>
      <c r="D5" s="33" t="s">
        <v>21</v>
      </c>
      <c r="E5" s="34" t="s">
        <v>22</v>
      </c>
      <c r="F5" s="34" t="s">
        <v>23</v>
      </c>
      <c r="G5" s="33" t="s">
        <v>24</v>
      </c>
      <c r="H5" s="35"/>
      <c r="I5" s="36" t="s">
        <v>28</v>
      </c>
      <c r="J5" s="34"/>
      <c r="K5" s="34" t="s">
        <v>29</v>
      </c>
      <c r="L5" s="37"/>
      <c r="M5" s="84"/>
      <c r="N5" s="39">
        <v>0.0</v>
      </c>
      <c r="O5" s="85"/>
      <c r="P5" s="39">
        <v>14</v>
      </c>
      <c r="Q5" s="39">
        <v>573.9</v>
      </c>
    </row>
    <row r="6" spans="1:17" ht="15.75" hidden="1" customHeight="1" x14ac:dyDescent="0.25">
      <c r="A6" s="30" t="s">
        <v>30</v>
      </c>
      <c r="B6" s="31" t="s">
        <v>31</v>
      </c>
      <c r="C6" s="32" t="s">
        <v>32</v>
      </c>
      <c r="D6" s="33" t="s">
        <v>33</v>
      </c>
      <c r="E6" s="34" t="s">
        <v>34</v>
      </c>
      <c r="F6" s="34" t="s">
        <v>35</v>
      </c>
      <c r="G6" s="33" t="s">
        <v>24</v>
      </c>
      <c r="H6" s="35"/>
      <c r="I6" s="36" t="s">
        <v>36</v>
      </c>
      <c r="J6" s="34" t="s">
        <v>37</v>
      </c>
      <c r="K6" s="34" t="s">
        <v>25</v>
      </c>
      <c r="L6" s="37">
        <v>46225</v>
      </c>
      <c r="M6" s="38">
        <v>46225</v>
      </c>
      <c r="N6" s="39">
        <v>7.15</v>
      </c>
      <c r="O6" s="40" t="s">
        <v>38</v>
      </c>
      <c r="P6" s="39">
        <v>13.5</v>
      </c>
      <c r="Q6" s="39">
        <v>22.17</v>
      </c>
    </row>
    <row r="7" spans="1:17" ht="31.5" hidden="1" customHeight="1" x14ac:dyDescent="0.25">
      <c r="A7" s="30" t="s">
        <v>39</v>
      </c>
      <c r="B7" s="31" t="s">
        <v>40</v>
      </c>
      <c r="C7" s="32" t="s">
        <v>41</v>
      </c>
      <c r="D7" s="33" t="s">
        <v>33</v>
      </c>
      <c r="E7" s="34" t="s">
        <v>34</v>
      </c>
      <c r="F7" s="34" t="s">
        <v>35</v>
      </c>
      <c r="G7" s="33" t="s">
        <v>24</v>
      </c>
      <c r="H7" s="35"/>
      <c r="I7" s="36" t="s">
        <v>42</v>
      </c>
      <c r="J7" s="34" t="s">
        <v>37</v>
      </c>
      <c r="K7" s="34" t="s">
        <v>29</v>
      </c>
      <c r="L7" s="37">
        <v>46259</v>
      </c>
      <c r="M7" s="38">
        <v>46257</v>
      </c>
      <c r="N7" s="39">
        <v>7.15</v>
      </c>
      <c r="O7" s="40" t="s">
        <v>38</v>
      </c>
      <c r="P7" s="39">
        <v>17.0</v>
      </c>
      <c r="Q7" s="39">
        <v>795.2</v>
      </c>
    </row>
    <row r="8" spans="1:17" ht="31.5" hidden="1" customHeight="1" x14ac:dyDescent="0.25">
      <c r="A8" s="30" t="s">
        <v>43</v>
      </c>
      <c r="B8" s="31" t="s">
        <v>44</v>
      </c>
      <c r="C8" s="32" t="s">
        <v>45</v>
      </c>
      <c r="D8" s="33" t="s">
        <v>33</v>
      </c>
      <c r="E8" s="34" t="s">
        <v>34</v>
      </c>
      <c r="F8" s="34" t="s">
        <v>35</v>
      </c>
      <c r="G8" s="33" t="s">
        <v>24</v>
      </c>
      <c r="H8" s="35"/>
      <c r="I8" s="36" t="s">
        <v>42</v>
      </c>
      <c r="J8" s="34" t="s">
        <v>37</v>
      </c>
      <c r="K8" s="34" t="s">
        <v>29</v>
      </c>
      <c r="L8" s="37">
        <v>46259</v>
      </c>
      <c r="M8" s="38">
        <v>46258</v>
      </c>
      <c r="N8" s="39">
        <v>7.15</v>
      </c>
      <c r="O8" s="40" t="s">
        <v>38</v>
      </c>
      <c r="P8" s="39">
        <v>25.5</v>
      </c>
      <c r="Q8" s="39">
        <v>818.7</v>
      </c>
    </row>
    <row r="9" spans="1:17" ht="15.75" hidden="1" customHeight="1" x14ac:dyDescent="0.25">
      <c r="A9" s="30" t="s">
        <v>46</v>
      </c>
      <c r="B9" s="31" t="s">
        <v>47</v>
      </c>
      <c r="C9" s="32" t="s">
        <v>48</v>
      </c>
      <c r="D9" s="33" t="s">
        <v>49</v>
      </c>
      <c r="E9" s="34" t="s">
        <v>34</v>
      </c>
      <c r="F9" s="34" t="s">
        <v>35</v>
      </c>
      <c r="G9" s="33" t="s">
        <v>50</v>
      </c>
      <c r="H9" s="35" t="s">
        <v>51</v>
      </c>
      <c r="I9" s="36" t="s">
        <v>52</v>
      </c>
      <c r="J9" s="34" t="s">
        <v>37</v>
      </c>
      <c r="K9" s="34" t="s">
        <v>25</v>
      </c>
      <c r="L9" s="37">
        <v>46259</v>
      </c>
      <c r="M9" s="38">
        <v>46257</v>
      </c>
      <c r="N9" s="39">
        <v>2.0</v>
      </c>
      <c r="O9" s="40" t="s">
        <v>53</v>
      </c>
      <c r="P9" s="39">
        <v>6.5</v>
      </c>
      <c r="Q9" s="39">
        <v>6.5</v>
      </c>
    </row>
    <row r="10" spans="1:17" ht="15.75" hidden="1" customHeight="1" x14ac:dyDescent="0.25">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2.0</v>
      </c>
      <c r="O10" s="40" t="s">
        <v>53</v>
      </c>
      <c r="P10" s="39">
        <v>2.0</v>
      </c>
      <c r="Q10" s="39">
        <v>2.0</v>
      </c>
    </row>
    <row r="11" spans="1:17" ht="15.75" hidden="1" customHeight="1" x14ac:dyDescent="0.25">
      <c r="A11" s="30" t="s">
        <v>58</v>
      </c>
      <c r="B11" s="31" t="s">
        <v>59</v>
      </c>
      <c r="C11" s="32" t="s">
        <v>60</v>
      </c>
      <c r="D11" s="33" t="s">
        <v>61</v>
      </c>
      <c r="E11" s="34" t="s">
        <v>34</v>
      </c>
      <c r="F11" s="34" t="s">
        <v>35</v>
      </c>
      <c r="G11" s="33" t="s">
        <v>50</v>
      </c>
      <c r="H11" s="35" t="s">
        <v>51</v>
      </c>
      <c r="I11" s="36" t="s">
        <v>62</v>
      </c>
      <c r="J11" s="34" t="s">
        <v>37</v>
      </c>
      <c r="K11" s="34" t="s">
        <v>24</v>
      </c>
      <c r="L11" s="37">
        <v>46259</v>
      </c>
      <c r="M11" s="38">
        <v>46258</v>
      </c>
      <c r="N11" s="39">
        <v>4.0</v>
      </c>
      <c r="O11" s="40" t="s">
        <v>63</v>
      </c>
      <c r="P11" s="39">
        <v>22.0</v>
      </c>
      <c r="Q11" s="39">
        <v>25.6</v>
      </c>
    </row>
    <row r="12" spans="1:17" ht="31.5" customHeight="1" x14ac:dyDescent="0.25">
      <c r="A12" s="30" t="s">
        <v>64</v>
      </c>
      <c r="B12" s="31" t="s">
        <v>65</v>
      </c>
      <c r="C12" s="32" t="s">
        <v>66</v>
      </c>
      <c r="D12" s="33" t="s">
        <v>67</v>
      </c>
      <c r="E12" s="34" t="s">
        <v>22</v>
      </c>
      <c r="F12" s="34" t="s">
        <v>35</v>
      </c>
      <c r="G12" s="33" t="s">
        <v>24</v>
      </c>
      <c r="H12" s="35"/>
      <c r="I12" s="36" t="s">
        <v>42</v>
      </c>
      <c r="J12" s="34" t="s">
        <v>37</v>
      </c>
      <c r="K12" s="34" t="s">
        <v>24</v>
      </c>
      <c r="L12" s="37"/>
      <c r="M12" s="38"/>
      <c r="N12" s="39">
        <v>0.4</v>
      </c>
      <c r="O12" s="40" t="s">
        <v>68</v>
      </c>
      <c r="P12" s="39">
        <v>44</v>
      </c>
      <c r="Q12" s="39">
        <v>917.4</v>
      </c>
    </row>
    <row r="13" spans="1:17" ht="31.5" hidden="1" customHeight="1" x14ac:dyDescent="0.25">
      <c r="A13" s="30" t="s">
        <v>69</v>
      </c>
      <c r="B13" s="31" t="s">
        <v>70</v>
      </c>
      <c r="C13" s="32" t="s">
        <v>71</v>
      </c>
      <c r="D13" s="33" t="s">
        <v>72</v>
      </c>
      <c r="E13" s="34" t="s">
        <v>34</v>
      </c>
      <c r="F13" s="34" t="s">
        <v>35</v>
      </c>
      <c r="G13" s="33" t="s">
        <v>24</v>
      </c>
      <c r="H13" s="35"/>
      <c r="I13" s="36" t="s">
        <v>73</v>
      </c>
      <c r="J13" s="34" t="s">
        <v>37</v>
      </c>
      <c r="K13" s="34" t="s">
        <v>24</v>
      </c>
      <c r="L13" s="37">
        <v>46259</v>
      </c>
      <c r="M13" s="38">
        <v>46257</v>
      </c>
      <c r="N13" s="39">
        <v>0.65</v>
      </c>
      <c r="O13" s="40" t="s">
        <v>74</v>
      </c>
      <c r="P13" s="39">
        <v>15.0</v>
      </c>
      <c r="Q13" s="39">
        <v>26.7</v>
      </c>
    </row>
    <row r="14" spans="1:17" ht="15.75" hidden="1" customHeight="1" x14ac:dyDescent="0.25">
      <c r="A14" s="30" t="s">
        <v>75</v>
      </c>
      <c r="B14" s="31" t="s">
        <v>76</v>
      </c>
      <c r="C14" s="32" t="s">
        <v>77</v>
      </c>
      <c r="D14" s="33" t="s">
        <v>49</v>
      </c>
      <c r="E14" s="34" t="s">
        <v>34</v>
      </c>
      <c r="F14" s="34" t="s">
        <v>35</v>
      </c>
      <c r="G14" s="33" t="s">
        <v>24</v>
      </c>
      <c r="H14" s="35"/>
      <c r="I14" s="36" t="s">
        <v>78</v>
      </c>
      <c r="J14" s="34" t="s">
        <v>37</v>
      </c>
      <c r="K14" s="34" t="s">
        <v>25</v>
      </c>
      <c r="L14" s="37">
        <v>46223</v>
      </c>
      <c r="M14" s="38">
        <v>46223</v>
      </c>
      <c r="N14" s="39">
        <v>0.43</v>
      </c>
      <c r="O14" s="40" t="s">
        <v>79</v>
      </c>
      <c r="P14" s="39">
        <v>12.0</v>
      </c>
      <c r="Q14" s="39">
        <v>2.78</v>
      </c>
    </row>
    <row r="15" spans="1:17" ht="15.75" hidden="1" customHeight="1" x14ac:dyDescent="0.25">
      <c r="A15" s="30" t="s">
        <v>80</v>
      </c>
      <c r="B15" s="31" t="s">
        <v>81</v>
      </c>
      <c r="C15" s="32" t="s">
        <v>82</v>
      </c>
      <c r="D15" s="33" t="s">
        <v>72</v>
      </c>
      <c r="E15" s="34" t="s">
        <v>34</v>
      </c>
      <c r="F15" s="34" t="s">
        <v>35</v>
      </c>
      <c r="G15" s="33" t="s">
        <v>83</v>
      </c>
      <c r="H15" s="35"/>
      <c r="I15" s="36" t="s">
        <v>78</v>
      </c>
      <c r="J15" s="34" t="s">
        <v>37</v>
      </c>
      <c r="K15" s="34" t="s">
        <v>24</v>
      </c>
      <c r="L15" s="37">
        <v>46223</v>
      </c>
      <c r="M15" s="38">
        <v>46223</v>
      </c>
      <c r="N15" s="39">
        <v>0.22</v>
      </c>
      <c r="O15" s="40" t="s">
        <v>84</v>
      </c>
      <c r="P15" s="39">
        <v>0.75</v>
      </c>
      <c r="Q15" s="39">
        <v>0.75</v>
      </c>
    </row>
    <row r="16" spans="1:17" ht="15.75" customHeight="1" x14ac:dyDescent="0.25">
      <c r="A16" s="30" t="s">
        <v>85</v>
      </c>
      <c r="B16" s="31" t="s">
        <v>86</v>
      </c>
      <c r="C16" s="32" t="s">
        <v>87</v>
      </c>
      <c r="D16" s="33" t="s">
        <v>21</v>
      </c>
      <c r="E16" s="34" t="s">
        <v>22</v>
      </c>
      <c r="F16" s="34" t="s">
        <v>35</v>
      </c>
      <c r="G16" s="33" t="s">
        <v>83</v>
      </c>
      <c r="H16" s="35" t="s">
        <v>51</v>
      </c>
      <c r="I16" s="36" t="s">
        <v>88</v>
      </c>
      <c r="J16" s="34" t="s">
        <v>37</v>
      </c>
      <c r="K16" s="34" t="s">
        <v>25</v>
      </c>
      <c r="L16" s="37"/>
      <c r="M16" s="38"/>
      <c r="N16" s="39">
        <v>0.33</v>
      </c>
      <c r="O16" s="40" t="s">
        <v>89</v>
      </c>
      <c r="P16" s="39"/>
      <c r="Q16" s="39">
        <v>390.4</v>
      </c>
    </row>
    <row r="17" spans="1:17" ht="15.75" customHeight="1" x14ac:dyDescent="0.25">
      <c r="A17" s="30" t="s">
        <v>90</v>
      </c>
      <c r="B17" s="31" t="s">
        <v>91</v>
      </c>
      <c r="C17" s="32" t="s">
        <v>92</v>
      </c>
      <c r="D17" s="33" t="s">
        <v>21</v>
      </c>
      <c r="E17" s="34" t="s">
        <v>22</v>
      </c>
      <c r="F17" s="34" t="s">
        <v>35</v>
      </c>
      <c r="G17" s="33" t="s">
        <v>83</v>
      </c>
      <c r="H17" s="35"/>
      <c r="I17" s="36" t="s">
        <v>88</v>
      </c>
      <c r="J17" s="34" t="s">
        <v>37</v>
      </c>
      <c r="K17" s="34" t="s">
        <v>25</v>
      </c>
      <c r="L17" s="37"/>
      <c r="M17" s="38"/>
      <c r="N17" s="39">
        <v>0.15</v>
      </c>
      <c r="O17" s="40" t="s">
        <v>89</v>
      </c>
      <c r="P17" s="39">
        <v>2</v>
      </c>
      <c r="Q17" s="39">
        <v>843.8</v>
      </c>
    </row>
    <row r="18" spans="1:17" ht="15.75" hidden="1" customHeight="1" x14ac:dyDescent="0.25">
      <c r="A18" s="30" t="s">
        <v>93</v>
      </c>
      <c r="B18" s="31" t="s">
        <v>94</v>
      </c>
      <c r="C18" s="32" t="s">
        <v>95</v>
      </c>
      <c r="D18" s="33" t="s">
        <v>96</v>
      </c>
      <c r="E18" s="34" t="s">
        <v>34</v>
      </c>
      <c r="F18" s="34" t="s">
        <v>35</v>
      </c>
      <c r="G18" s="33" t="s">
        <v>83</v>
      </c>
      <c r="H18" s="35"/>
      <c r="I18" s="36" t="s">
        <v>36</v>
      </c>
      <c r="J18" s="34" t="s">
        <v>37</v>
      </c>
      <c r="K18" s="34" t="s">
        <v>25</v>
      </c>
      <c r="L18" s="37">
        <v>46232</v>
      </c>
      <c r="M18" s="38">
        <v>46232</v>
      </c>
      <c r="N18" s="39">
        <v>0.65</v>
      </c>
      <c r="O18" s="40" t="s">
        <v>97</v>
      </c>
      <c r="P18" s="39">
        <v>2.52</v>
      </c>
      <c r="Q18" s="39">
        <v>74.5</v>
      </c>
    </row>
    <row r="19" spans="1:17" ht="15.75" customHeight="1" x14ac:dyDescent="0.25">
      <c r="A19" s="30" t="s">
        <v>98</v>
      </c>
      <c r="B19" s="31" t="s">
        <v>99</v>
      </c>
      <c r="C19" s="32" t="s">
        <v>100</v>
      </c>
      <c r="D19" s="33" t="s">
        <v>21</v>
      </c>
      <c r="E19" s="34" t="s">
        <v>22</v>
      </c>
      <c r="F19" s="34" t="s">
        <v>35</v>
      </c>
      <c r="G19" s="33" t="s">
        <v>83</v>
      </c>
      <c r="H19" s="35" t="s">
        <v>51</v>
      </c>
      <c r="I19" s="36" t="s">
        <v>101</v>
      </c>
      <c r="J19" s="34" t="s">
        <v>37</v>
      </c>
      <c r="K19" s="34" t="s">
        <v>25</v>
      </c>
      <c r="L19" s="37"/>
      <c r="M19" s="38"/>
      <c r="N19" s="39">
        <v>1.5</v>
      </c>
      <c r="O19" s="40" t="s">
        <v>97</v>
      </c>
      <c r="P19" s="39">
        <v>3.2</v>
      </c>
      <c r="Q19" s="39">
        <v>769.9</v>
      </c>
    </row>
    <row r="20" spans="1:17" ht="31.5" customHeight="1" x14ac:dyDescent="0.25">
      <c r="A20" s="30" t="s">
        <v>102</v>
      </c>
      <c r="B20" s="31" t="s">
        <v>103</v>
      </c>
      <c r="C20" s="32" t="s">
        <v>104</v>
      </c>
      <c r="D20" s="33" t="s">
        <v>21</v>
      </c>
      <c r="E20" s="34" t="s">
        <v>22</v>
      </c>
      <c r="F20" s="34" t="s">
        <v>23</v>
      </c>
      <c r="G20" s="33" t="s">
        <v>83</v>
      </c>
      <c r="H20" s="35" t="s">
        <v>51</v>
      </c>
      <c r="I20" s="36" t="s">
        <v>105</v>
      </c>
      <c r="J20" s="34" t="s">
        <v>37</v>
      </c>
      <c r="K20" s="34" t="s">
        <v>25</v>
      </c>
      <c r="L20" s="37"/>
      <c r="M20" s="38"/>
      <c r="N20" s="39">
        <v>0.65</v>
      </c>
      <c r="O20" s="40" t="s">
        <v>97</v>
      </c>
      <c r="P20" s="39">
        <v>23.5</v>
      </c>
      <c r="Q20" s="39">
        <v>581.5</v>
      </c>
    </row>
    <row r="21" spans="1:17" ht="47.25" customHeight="1" x14ac:dyDescent="0.25">
      <c r="A21" s="30" t="s">
        <v>106</v>
      </c>
      <c r="B21" s="31" t="s">
        <v>107</v>
      </c>
      <c r="C21" s="32" t="s">
        <v>108</v>
      </c>
      <c r="D21" s="33" t="s">
        <v>21</v>
      </c>
      <c r="E21" s="34" t="s">
        <v>22</v>
      </c>
      <c r="F21" s="34" t="s">
        <v>23</v>
      </c>
      <c r="G21" s="33" t="s">
        <v>83</v>
      </c>
      <c r="H21" s="35" t="s">
        <v>51</v>
      </c>
      <c r="I21" s="36" t="s">
        <v>109</v>
      </c>
      <c r="J21" s="34" t="s">
        <v>37</v>
      </c>
      <c r="K21" s="34" t="s">
        <v>25</v>
      </c>
      <c r="L21" s="37">
        <v>46222</v>
      </c>
      <c r="M21" s="38"/>
      <c r="N21" s="39">
        <v>1.75</v>
      </c>
      <c r="O21" s="40" t="s">
        <v>97</v>
      </c>
      <c r="P21" s="39">
        <v>22</v>
      </c>
      <c r="Q21" s="39">
        <v>1054.3</v>
      </c>
    </row>
    <row r="22" spans="1:17" ht="47.25" customHeight="1" x14ac:dyDescent="0.25">
      <c r="A22" s="30" t="s">
        <v>110</v>
      </c>
      <c r="B22" s="31" t="s">
        <v>111</v>
      </c>
      <c r="C22" s="32" t="s">
        <v>112</v>
      </c>
      <c r="D22" s="33" t="s">
        <v>21</v>
      </c>
      <c r="E22" s="34" t="s">
        <v>22</v>
      </c>
      <c r="F22" s="34" t="s">
        <v>23</v>
      </c>
      <c r="G22" s="33" t="s">
        <v>50</v>
      </c>
      <c r="H22" s="35" t="s">
        <v>51</v>
      </c>
      <c r="I22" s="36" t="s">
        <v>113</v>
      </c>
      <c r="J22" s="34" t="s">
        <v>37</v>
      </c>
      <c r="K22" s="34" t="s">
        <v>25</v>
      </c>
      <c r="L22" s="37">
        <v>46222</v>
      </c>
      <c r="M22" s="38"/>
      <c r="N22" s="39">
        <v>3.67</v>
      </c>
      <c r="O22" s="40" t="s">
        <v>97</v>
      </c>
      <c r="P22" s="39">
        <v>127.5</v>
      </c>
      <c r="Q22" s="39">
        <v>724.7</v>
      </c>
    </row>
    <row r="23" spans="1:17" ht="31.5" customHeight="1" x14ac:dyDescent="0.25">
      <c r="A23" s="30" t="s">
        <v>114</v>
      </c>
      <c r="B23" s="31" t="s">
        <v>115</v>
      </c>
      <c r="C23" s="32" t="s">
        <v>116</v>
      </c>
      <c r="D23" s="33" t="s">
        <v>21</v>
      </c>
      <c r="E23" s="34" t="s">
        <v>22</v>
      </c>
      <c r="F23" s="34" t="s">
        <v>23</v>
      </c>
      <c r="G23" s="33" t="s">
        <v>83</v>
      </c>
      <c r="H23" s="35" t="s">
        <v>51</v>
      </c>
      <c r="I23" s="36" t="s">
        <v>117</v>
      </c>
      <c r="J23" s="34" t="s">
        <v>37</v>
      </c>
      <c r="K23" s="34" t="s">
        <v>25</v>
      </c>
      <c r="L23" s="37">
        <v>46222</v>
      </c>
      <c r="M23" s="38"/>
      <c r="N23" s="39">
        <v>1.0</v>
      </c>
      <c r="O23" s="40" t="s">
        <v>97</v>
      </c>
      <c r="P23" s="39">
        <v>49.5</v>
      </c>
      <c r="Q23" s="39">
        <v>818.9</v>
      </c>
    </row>
    <row r="24" spans="1:17" ht="30" hidden="1" customHeight="1" x14ac:dyDescent="0.25">
      <c r="A24" s="30" t="s">
        <v>118</v>
      </c>
      <c r="B24" s="31" t="s">
        <v>119</v>
      </c>
      <c r="C24" s="32" t="s">
        <v>120</v>
      </c>
      <c r="D24" s="33" t="s">
        <v>96</v>
      </c>
      <c r="E24" s="34" t="s">
        <v>34</v>
      </c>
      <c r="F24" s="34" t="s">
        <v>35</v>
      </c>
      <c r="G24" s="33" t="s">
        <v>24</v>
      </c>
      <c r="H24" s="35" t="s">
        <v>51</v>
      </c>
      <c r="I24" s="36" t="s">
        <v>36</v>
      </c>
      <c r="J24" s="34" t="s">
        <v>37</v>
      </c>
      <c r="K24" s="34" t="s">
        <v>29</v>
      </c>
      <c r="L24" s="37">
        <v>46233</v>
      </c>
      <c r="M24" s="38">
        <v>46233</v>
      </c>
      <c r="N24" s="39">
        <v>0.75</v>
      </c>
      <c r="O24" s="40" t="s">
        <v>121</v>
      </c>
      <c r="P24" s="39">
        <v>2.25</v>
      </c>
      <c r="Q24" s="39">
        <v>72.3</v>
      </c>
    </row>
    <row r="25" spans="1:17" ht="31.5" hidden="1" customHeight="1" x14ac:dyDescent="0.25">
      <c r="A25" s="30" t="s">
        <v>122</v>
      </c>
      <c r="B25" s="31" t="s">
        <v>123</v>
      </c>
      <c r="C25" s="32" t="s">
        <v>124</v>
      </c>
      <c r="D25" s="33" t="s">
        <v>96</v>
      </c>
      <c r="E25" s="34" t="s">
        <v>34</v>
      </c>
      <c r="F25" s="34" t="s">
        <v>35</v>
      </c>
      <c r="G25" s="33" t="s">
        <v>24</v>
      </c>
      <c r="H25" s="35" t="s">
        <v>51</v>
      </c>
      <c r="I25" s="36" t="s">
        <v>42</v>
      </c>
      <c r="J25" s="34" t="s">
        <v>37</v>
      </c>
      <c r="K25" s="34" t="s">
        <v>29</v>
      </c>
      <c r="L25" s="37">
        <v>46256</v>
      </c>
      <c r="M25" s="38">
        <v>46254</v>
      </c>
      <c r="N25" s="39">
        <v>5.72</v>
      </c>
      <c r="O25" s="40" t="s">
        <v>121</v>
      </c>
      <c r="P25" s="39">
        <v>40.5</v>
      </c>
      <c r="Q25" s="39">
        <v>508.5</v>
      </c>
    </row>
    <row r="26" spans="1:17" ht="47.25" customHeight="1" x14ac:dyDescent="0.25">
      <c r="A26" s="30" t="s">
        <v>125</v>
      </c>
      <c r="B26" s="31" t="s">
        <v>126</v>
      </c>
      <c r="C26" s="32" t="s">
        <v>127</v>
      </c>
      <c r="D26" s="33" t="s">
        <v>21</v>
      </c>
      <c r="E26" s="34" t="s">
        <v>22</v>
      </c>
      <c r="F26" s="34" t="s">
        <v>23</v>
      </c>
      <c r="G26" s="33" t="s">
        <v>50</v>
      </c>
      <c r="H26" s="35" t="s">
        <v>51</v>
      </c>
      <c r="I26" s="36" t="s">
        <v>128</v>
      </c>
      <c r="J26" s="34" t="s">
        <v>37</v>
      </c>
      <c r="K26" s="34" t="s">
        <v>24</v>
      </c>
      <c r="L26" s="37"/>
      <c r="M26" s="38"/>
      <c r="N26" s="39">
        <v>37.0</v>
      </c>
      <c r="O26" s="40" t="s">
        <v>121</v>
      </c>
      <c r="P26" s="39">
        <v>128</v>
      </c>
      <c r="Q26" s="39">
        <v>844.9</v>
      </c>
    </row>
    <row r="27" spans="1:17" ht="15.75" hidden="1" customHeight="1" x14ac:dyDescent="0.25">
      <c r="A27" s="30" t="s">
        <v>129</v>
      </c>
      <c r="B27" s="31" t="s">
        <v>130</v>
      </c>
      <c r="C27" s="32" t="s">
        <v>131</v>
      </c>
      <c r="D27" s="33" t="s">
        <v>21</v>
      </c>
      <c r="E27" s="34" t="s">
        <v>22</v>
      </c>
      <c r="F27" s="34" t="s">
        <v>23</v>
      </c>
      <c r="G27" s="33" t="s">
        <v>50</v>
      </c>
      <c r="H27" s="35" t="s">
        <v>51</v>
      </c>
      <c r="I27" s="36" t="s">
        <v>132</v>
      </c>
      <c r="J27" s="34" t="s">
        <v>37</v>
      </c>
      <c r="K27" s="34" t="s">
        <v>29</v>
      </c>
      <c r="L27" s="37"/>
      <c r="M27" s="38"/>
      <c r="N27" s="39">
        <v>0.0</v>
      </c>
      <c r="O27" s="40" t="s">
        <v>121</v>
      </c>
      <c r="P27" s="39">
        <v>22</v>
      </c>
      <c r="Q27" s="39">
        <v>716.5</v>
      </c>
    </row>
    <row r="28" spans="1:17" ht="31.5" hidden="1" customHeight="1" x14ac:dyDescent="0.25">
      <c r="A28" s="30" t="s">
        <v>133</v>
      </c>
      <c r="B28" s="31" t="s">
        <v>134</v>
      </c>
      <c r="C28" s="32" t="s">
        <v>135</v>
      </c>
      <c r="D28" s="33" t="s">
        <v>33</v>
      </c>
      <c r="E28" s="34" t="s">
        <v>34</v>
      </c>
      <c r="F28" s="34" t="s">
        <v>35</v>
      </c>
      <c r="G28" s="33" t="s">
        <v>24</v>
      </c>
      <c r="H28" s="35" t="s">
        <v>51</v>
      </c>
      <c r="I28" s="36" t="s">
        <v>136</v>
      </c>
      <c r="J28" s="34" t="s">
        <v>37</v>
      </c>
      <c r="K28" s="34" t="s">
        <v>24</v>
      </c>
      <c r="L28" s="37">
        <v>46259</v>
      </c>
      <c r="M28" s="38">
        <v>46257</v>
      </c>
      <c r="N28" s="39">
        <v>13.2</v>
      </c>
      <c r="O28" s="40" t="s">
        <v>137</v>
      </c>
      <c r="P28" s="39">
        <v>212.0</v>
      </c>
      <c r="Q28" s="39">
        <v>678.0</v>
      </c>
    </row>
    <row r="29" spans="1:17" ht="15.75" hidden="1" customHeight="1" x14ac:dyDescent="0.25">
      <c r="A29" s="30" t="s">
        <v>138</v>
      </c>
      <c r="B29" s="31" t="s">
        <v>139</v>
      </c>
      <c r="C29" s="32" t="s">
        <v>140</v>
      </c>
      <c r="D29" s="33"/>
      <c r="E29" s="34" t="s">
        <v>34</v>
      </c>
      <c r="F29" s="34" t="s">
        <v>141</v>
      </c>
      <c r="G29" s="33"/>
      <c r="H29" s="35" t="s">
        <v>51</v>
      </c>
      <c r="I29" s="36"/>
      <c r="J29" s="34"/>
      <c r="K29" s="34"/>
      <c r="L29" s="37">
        <v>46259</v>
      </c>
      <c r="M29" s="38">
        <v>46257</v>
      </c>
      <c r="N29" s="39">
        <v>7.7</v>
      </c>
      <c r="O29" s="40"/>
      <c r="P29" s="39">
        <v>8.73</v>
      </c>
      <c r="Q29" s="39">
        <v>5.35</v>
      </c>
    </row>
    <row r="30" spans="1:17" ht="31.5" hidden="1" customHeight="1" x14ac:dyDescent="0.25">
      <c r="A30" s="30" t="s">
        <v>142</v>
      </c>
      <c r="B30" s="31" t="s">
        <v>143</v>
      </c>
      <c r="C30" s="32" t="s">
        <v>144</v>
      </c>
      <c r="D30" s="33" t="s">
        <v>21</v>
      </c>
      <c r="E30" s="34" t="s">
        <v>34</v>
      </c>
      <c r="F30" s="34" t="s">
        <v>23</v>
      </c>
      <c r="G30" s="33" t="s">
        <v>50</v>
      </c>
      <c r="H30" s="35" t="s">
        <v>51</v>
      </c>
      <c r="I30" s="36" t="s">
        <v>145</v>
      </c>
      <c r="J30" s="34" t="s">
        <v>37</v>
      </c>
      <c r="K30" s="34" t="s">
        <v>24</v>
      </c>
      <c r="L30" s="37">
        <v>46252</v>
      </c>
      <c r="M30" s="38">
        <v>46251</v>
      </c>
      <c r="N30" s="39">
        <v>11.5</v>
      </c>
      <c r="O30" s="40" t="s">
        <v>146</v>
      </c>
      <c r="P30" s="39">
        <v>389.8</v>
      </c>
      <c r="Q30" s="39">
        <v>517.5</v>
      </c>
    </row>
    <row r="31" spans="1:17" ht="15.75" hidden="1" customHeight="1" x14ac:dyDescent="0.25">
      <c r="A31" s="30" t="s">
        <v>147</v>
      </c>
      <c r="B31" s="31" t="s">
        <v>148</v>
      </c>
      <c r="C31" s="32" t="s">
        <v>149</v>
      </c>
      <c r="D31" s="33" t="s">
        <v>21</v>
      </c>
      <c r="E31" s="34" t="s">
        <v>34</v>
      </c>
      <c r="F31" s="34" t="s">
        <v>35</v>
      </c>
      <c r="G31" s="33" t="s">
        <v>83</v>
      </c>
      <c r="H31" s="35"/>
      <c r="I31" s="36" t="s">
        <v>78</v>
      </c>
      <c r="J31" s="34" t="s">
        <v>37</v>
      </c>
      <c r="K31" s="34" t="s">
        <v>29</v>
      </c>
      <c r="L31" s="37">
        <v>46226</v>
      </c>
      <c r="M31" s="38">
        <v>46226</v>
      </c>
      <c r="N31" s="39">
        <v>77.0</v>
      </c>
      <c r="O31" s="40" t="s">
        <v>146</v>
      </c>
      <c r="P31" s="39">
        <v>2.5</v>
      </c>
      <c r="Q31" s="39">
        <v>47.7</v>
      </c>
    </row>
    <row r="32" spans="1:17" ht="15.75" hidden="1" customHeight="1" x14ac:dyDescent="0.25">
      <c r="A32" s="30" t="s">
        <v>150</v>
      </c>
      <c r="B32" s="31" t="s">
        <v>151</v>
      </c>
      <c r="C32" s="32" t="s">
        <v>152</v>
      </c>
      <c r="D32" s="33" t="s">
        <v>49</v>
      </c>
      <c r="E32" s="34" t="s">
        <v>34</v>
      </c>
      <c r="F32" s="34" t="s">
        <v>35</v>
      </c>
      <c r="G32" s="33" t="s">
        <v>83</v>
      </c>
      <c r="H32" s="35"/>
      <c r="I32" s="36" t="s">
        <v>78</v>
      </c>
      <c r="J32" s="34" t="s">
        <v>37</v>
      </c>
      <c r="K32" s="34" t="s">
        <v>25</v>
      </c>
      <c r="L32" s="37">
        <v>46226</v>
      </c>
      <c r="M32" s="38">
        <v>46226</v>
      </c>
      <c r="N32" s="39">
        <v>0.43</v>
      </c>
      <c r="O32" s="40" t="s">
        <v>153</v>
      </c>
      <c r="P32" s="39">
        <v>21.0</v>
      </c>
      <c r="Q32" s="39">
        <v>30.4</v>
      </c>
    </row>
    <row r="33" spans="1:17" ht="15.75" hidden="1" customHeight="1" x14ac:dyDescent="0.25">
      <c r="A33" s="30" t="s">
        <v>154</v>
      </c>
      <c r="B33" s="31" t="s">
        <v>155</v>
      </c>
      <c r="C33" s="32" t="s">
        <v>156</v>
      </c>
      <c r="D33" s="33" t="s">
        <v>96</v>
      </c>
      <c r="E33" s="34" t="s">
        <v>34</v>
      </c>
      <c r="F33" s="34" t="s">
        <v>35</v>
      </c>
      <c r="G33" s="33" t="s">
        <v>157</v>
      </c>
      <c r="H33" s="35"/>
      <c r="I33" s="36" t="s">
        <v>157</v>
      </c>
      <c r="J33" s="34" t="s">
        <v>37</v>
      </c>
      <c r="K33" s="34" t="s">
        <v>24</v>
      </c>
      <c r="L33" s="37">
        <v>46252</v>
      </c>
      <c r="M33" s="38">
        <v>46239</v>
      </c>
      <c r="N33" s="39">
        <v>1.97</v>
      </c>
      <c r="O33" s="40" t="s">
        <v>158</v>
      </c>
      <c r="P33" s="39">
        <v>6.83</v>
      </c>
      <c r="Q33" s="39">
        <v>323.4</v>
      </c>
    </row>
    <row r="34" spans="1:17" ht="47.25" hidden="1" customHeight="1" x14ac:dyDescent="0.25">
      <c r="A34" s="30" t="s">
        <v>159</v>
      </c>
      <c r="B34" s="31" t="s">
        <v>160</v>
      </c>
      <c r="C34" s="32" t="s">
        <v>161</v>
      </c>
      <c r="D34" s="33" t="s">
        <v>33</v>
      </c>
      <c r="E34" s="34" t="s">
        <v>34</v>
      </c>
      <c r="F34" s="34" t="s">
        <v>35</v>
      </c>
      <c r="G34" s="33" t="s">
        <v>50</v>
      </c>
      <c r="H34" s="35"/>
      <c r="I34" s="36" t="s">
        <v>162</v>
      </c>
      <c r="J34" s="34" t="s">
        <v>37</v>
      </c>
      <c r="K34" s="34" t="s">
        <v>24</v>
      </c>
      <c r="L34" s="37">
        <v>46259</v>
      </c>
      <c r="M34" s="38">
        <v>46257</v>
      </c>
      <c r="N34" s="39">
        <v>2.17</v>
      </c>
      <c r="O34" s="40" t="s">
        <v>163</v>
      </c>
      <c r="P34" s="39">
        <v>8.0</v>
      </c>
      <c r="Q34" s="39">
        <v>4.0</v>
      </c>
    </row>
    <row r="35" spans="1:17" ht="15.75" customHeight="1" x14ac:dyDescent="0.25">
      <c r="A35" s="30" t="s">
        <v>164</v>
      </c>
      <c r="B35" s="31" t="s">
        <v>165</v>
      </c>
      <c r="C35" s="32" t="s">
        <v>166</v>
      </c>
      <c r="D35" s="33" t="s">
        <v>33</v>
      </c>
      <c r="E35" s="34" t="s">
        <v>22</v>
      </c>
      <c r="F35" s="34" t="s">
        <v>35</v>
      </c>
      <c r="G35" s="33" t="s">
        <v>167</v>
      </c>
      <c r="H35" s="35"/>
      <c r="I35" s="36" t="s">
        <v>167</v>
      </c>
      <c r="J35" s="34" t="s">
        <v>37</v>
      </c>
      <c r="K35" s="34" t="s">
        <v>24</v>
      </c>
      <c r="L35" s="37"/>
      <c r="M35" s="38"/>
      <c r="N35" s="39">
        <v>1.0</v>
      </c>
      <c r="O35" s="40" t="s">
        <v>168</v>
      </c>
      <c r="P35" s="39"/>
      <c r="Q35" s="39">
        <v>0.0</v>
      </c>
    </row>
    <row r="36" spans="1:17" ht="15.75" hidden="1" customHeight="1" x14ac:dyDescent="0.25">
      <c r="A36" s="30" t="s">
        <v>169</v>
      </c>
      <c r="B36" s="31" t="s">
        <v>170</v>
      </c>
      <c r="C36" s="32" t="s">
        <v>171</v>
      </c>
      <c r="D36" s="33" t="s">
        <v>72</v>
      </c>
      <c r="E36" s="34" t="s">
        <v>34</v>
      </c>
      <c r="F36" s="34" t="s">
        <v>35</v>
      </c>
      <c r="G36" s="33" t="s">
        <v>50</v>
      </c>
      <c r="H36" s="35" t="s">
        <v>51</v>
      </c>
      <c r="I36" s="36" t="s">
        <v>78</v>
      </c>
      <c r="J36" s="34" t="s">
        <v>37</v>
      </c>
      <c r="K36" s="34" t="s">
        <v>24</v>
      </c>
      <c r="L36" s="37">
        <v>46223</v>
      </c>
      <c r="M36" s="38">
        <v>46223</v>
      </c>
      <c r="N36" s="39">
        <v>0.43</v>
      </c>
      <c r="O36" s="40" t="s">
        <v>172</v>
      </c>
      <c r="P36" s="39">
        <v>2.0</v>
      </c>
      <c r="Q36" s="39">
        <v>1.0</v>
      </c>
    </row>
    <row r="37" spans="1:17" ht="15.75" hidden="1" customHeight="1" x14ac:dyDescent="0.25">
      <c r="A37" s="30" t="s">
        <v>173</v>
      </c>
      <c r="B37" s="31" t="s">
        <v>174</v>
      </c>
      <c r="C37" s="32" t="s">
        <v>175</v>
      </c>
      <c r="D37" s="33" t="s">
        <v>49</v>
      </c>
      <c r="E37" s="34" t="s">
        <v>34</v>
      </c>
      <c r="F37" s="34" t="s">
        <v>35</v>
      </c>
      <c r="G37" s="33" t="s">
        <v>50</v>
      </c>
      <c r="H37" s="35"/>
      <c r="I37" s="36" t="s">
        <v>176</v>
      </c>
      <c r="J37" s="34" t="s">
        <v>37</v>
      </c>
      <c r="K37" s="34" t="s">
        <v>25</v>
      </c>
      <c r="L37" s="37">
        <v>46259</v>
      </c>
      <c r="M37" s="38">
        <v>46257</v>
      </c>
      <c r="N37" s="39">
        <v>6.83</v>
      </c>
      <c r="O37" s="40" t="s">
        <v>177</v>
      </c>
      <c r="P37" s="39">
        <v>53.0</v>
      </c>
      <c r="Q37" s="39">
        <v>803.5</v>
      </c>
    </row>
    <row r="38" spans="1:17" ht="15.75" customHeight="1" x14ac:dyDescent="0.25">
      <c r="A38" s="30" t="s">
        <v>178</v>
      </c>
      <c r="B38" s="31" t="s">
        <v>179</v>
      </c>
      <c r="C38" s="32" t="s">
        <v>180</v>
      </c>
      <c r="D38" s="33" t="s">
        <v>33</v>
      </c>
      <c r="E38" s="34" t="s">
        <v>34</v>
      </c>
      <c r="F38" s="34" t="s">
        <v>35</v>
      </c>
      <c r="G38" s="33" t="s">
        <v>24</v>
      </c>
      <c r="H38" s="35" t="s">
        <v>51</v>
      </c>
      <c r="I38" s="36" t="s">
        <v>181</v>
      </c>
      <c r="J38" s="34" t="s">
        <v>37</v>
      </c>
      <c r="K38" s="34" t="s">
        <v>24</v>
      </c>
      <c r="L38" s="37">
        <v>46260</v>
      </c>
      <c r="N38">
        <v>10.83</v>
      </c>
      <c r="O38" s="40" t="s">
        <v>177</v>
      </c>
      <c r="P38" s="39">
        <v>51.0</v>
      </c>
      <c r="Q38" s="39">
        <v>841.6</v>
      </c>
    </row>
    <row r="39" spans="1:17" ht="15.75" customHeight="1" x14ac:dyDescent="0.25">
      <c r="A39" s="30" t="s">
        <v>182</v>
      </c>
      <c r="B39" s="31" t="s">
        <v>183</v>
      </c>
      <c r="C39" s="32" t="s">
        <v>184</v>
      </c>
      <c r="D39" s="33" t="s">
        <v>185</v>
      </c>
      <c r="E39" s="34" t="s">
        <v>22</v>
      </c>
      <c r="F39" s="34" t="s">
        <v>35</v>
      </c>
      <c r="G39" s="33" t="s">
        <v>186</v>
      </c>
      <c r="H39" s="35"/>
      <c r="I39" s="36" t="s">
        <v>187</v>
      </c>
      <c r="J39" s="34" t="s">
        <v>37</v>
      </c>
      <c r="K39" s="34" t="s">
        <v>24</v>
      </c>
      <c r="L39" s="37"/>
      <c r="M39" s="38"/>
      <c r="N39" s="39">
        <v>2.33</v>
      </c>
      <c r="O39" s="40" t="s">
        <v>177</v>
      </c>
      <c r="P39" s="39">
        <v>7.5</v>
      </c>
      <c r="Q39" s="39">
        <v>866.0</v>
      </c>
    </row>
    <row r="40" spans="1:17" ht="47.25" customHeight="1" x14ac:dyDescent="0.25">
      <c r="A40" s="30" t="s">
        <v>188</v>
      </c>
      <c r="B40" s="31" t="s">
        <v>189</v>
      </c>
      <c r="C40" s="32" t="s">
        <v>190</v>
      </c>
      <c r="D40" s="33" t="s">
        <v>185</v>
      </c>
      <c r="E40" s="34" t="s">
        <v>22</v>
      </c>
      <c r="F40" s="34" t="s">
        <v>35</v>
      </c>
      <c r="G40" s="33" t="s">
        <v>186</v>
      </c>
      <c r="H40" s="35"/>
      <c r="I40" s="36" t="s">
        <v>191</v>
      </c>
      <c r="J40" s="34" t="s">
        <v>37</v>
      </c>
      <c r="K40" s="34" t="s">
        <v>24</v>
      </c>
      <c r="L40" s="37"/>
      <c r="M40" s="38"/>
      <c r="N40" s="39">
        <v>1.5</v>
      </c>
      <c r="O40" s="40" t="s">
        <v>177</v>
      </c>
      <c r="P40" s="39">
        <v>6</v>
      </c>
      <c r="Q40" s="39">
        <v>866.1</v>
      </c>
    </row>
    <row r="41" spans="1:17" ht="15.75" hidden="1" customHeight="1" x14ac:dyDescent="0.25">
      <c r="A41" s="30" t="s">
        <v>192</v>
      </c>
      <c r="B41" s="31" t="s">
        <v>193</v>
      </c>
      <c r="C41" s="32" t="s">
        <v>194</v>
      </c>
      <c r="D41" s="33" t="s">
        <v>61</v>
      </c>
      <c r="E41" s="34" t="s">
        <v>34</v>
      </c>
      <c r="F41" s="34" t="s">
        <v>35</v>
      </c>
      <c r="G41" s="33" t="s">
        <v>50</v>
      </c>
      <c r="H41" s="35"/>
      <c r="I41" s="36" t="s">
        <v>36</v>
      </c>
      <c r="J41" s="34" t="s">
        <v>37</v>
      </c>
      <c r="K41" s="34" t="s">
        <v>24</v>
      </c>
      <c r="L41" s="37">
        <v>46259</v>
      </c>
      <c r="M41" s="38">
        <v>46257</v>
      </c>
      <c r="N41" s="39">
        <v>2.75</v>
      </c>
      <c r="O41" s="40" t="s">
        <v>177</v>
      </c>
      <c r="P41" s="39">
        <v>20.5</v>
      </c>
      <c r="Q41" s="39">
        <v>365.6</v>
      </c>
    </row>
    <row r="42" spans="1:17" ht="15.75" customHeight="1" x14ac:dyDescent="0.25">
      <c r="A42" s="30" t="s">
        <v>195</v>
      </c>
      <c r="B42" s="31" t="s">
        <v>196</v>
      </c>
      <c r="C42" s="32" t="s">
        <v>197</v>
      </c>
      <c r="D42" s="33" t="s">
        <v>33</v>
      </c>
      <c r="E42" s="34" t="s">
        <v>22</v>
      </c>
      <c r="F42" s="34" t="s">
        <v>35</v>
      </c>
      <c r="G42" s="33" t="s">
        <v>50</v>
      </c>
      <c r="H42" s="35" t="s">
        <v>51</v>
      </c>
      <c r="I42" s="36" t="s">
        <v>198</v>
      </c>
      <c r="J42" s="34" t="s">
        <v>37</v>
      </c>
      <c r="K42" s="34" t="s">
        <v>24</v>
      </c>
      <c r="L42" s="37">
        <v>46222</v>
      </c>
      <c r="M42" s="38"/>
      <c r="N42" s="39">
        <v>4.0</v>
      </c>
      <c r="O42" s="40" t="s">
        <v>199</v>
      </c>
      <c r="P42" s="39"/>
      <c r="Q42" s="39">
        <v>0.0</v>
      </c>
    </row>
    <row r="43" spans="1:17" ht="15.75" customHeight="1" x14ac:dyDescent="0.25">
      <c r="A43" s="30" t="s">
        <v>200</v>
      </c>
      <c r="B43" s="31" t="s">
        <v>201</v>
      </c>
      <c r="C43" s="32" t="s">
        <v>202</v>
      </c>
      <c r="D43" s="33" t="s">
        <v>33</v>
      </c>
      <c r="E43" s="34" t="s">
        <v>22</v>
      </c>
      <c r="F43" s="34" t="s">
        <v>35</v>
      </c>
      <c r="G43" s="33" t="s">
        <v>50</v>
      </c>
      <c r="H43" s="35" t="s">
        <v>51</v>
      </c>
      <c r="I43" s="36" t="s">
        <v>203</v>
      </c>
      <c r="J43" s="34" t="s">
        <v>37</v>
      </c>
      <c r="K43" s="34" t="s">
        <v>24</v>
      </c>
      <c r="L43" s="37">
        <v>46222</v>
      </c>
      <c r="M43" s="38"/>
      <c r="N43" s="39">
        <v>4.0</v>
      </c>
      <c r="O43" s="40" t="s">
        <v>204</v>
      </c>
      <c r="P43" s="39"/>
      <c r="Q43" s="39">
        <v>0.0</v>
      </c>
    </row>
    <row r="44" spans="1:17" ht="15.75" customHeight="1" x14ac:dyDescent="0.25">
      <c r="A44" s="30" t="s">
        <v>205</v>
      </c>
      <c r="B44" s="31" t="s">
        <v>206</v>
      </c>
      <c r="C44" s="32" t="s">
        <v>207</v>
      </c>
      <c r="D44" s="33" t="s">
        <v>67</v>
      </c>
      <c r="E44" s="34" t="s">
        <v>22</v>
      </c>
      <c r="F44" s="34" t="s">
        <v>35</v>
      </c>
      <c r="G44" s="33" t="s">
        <v>208</v>
      </c>
      <c r="H44" s="35"/>
      <c r="I44" s="36" t="s">
        <v>208</v>
      </c>
      <c r="J44" s="34" t="s">
        <v>37</v>
      </c>
      <c r="K44" s="34" t="s">
        <v>24</v>
      </c>
      <c r="L44" s="37"/>
      <c r="M44" s="38"/>
      <c r="N44" s="39">
        <v>2.0</v>
      </c>
      <c r="O44" s="40" t="s">
        <v>68</v>
      </c>
      <c r="P44" s="39"/>
      <c r="Q44" s="39">
        <v>0.0</v>
      </c>
    </row>
    <row r="45" spans="1:17" ht="15.75" customHeight="1" x14ac:dyDescent="0.25">
      <c r="A45" s="30" t="s">
        <v>209</v>
      </c>
      <c r="B45" s="31" t="s">
        <v>210</v>
      </c>
      <c r="C45" s="32" t="s">
        <v>211</v>
      </c>
      <c r="D45" s="33" t="s">
        <v>67</v>
      </c>
      <c r="E45" s="34" t="s">
        <v>22</v>
      </c>
      <c r="F45" s="34" t="s">
        <v>35</v>
      </c>
      <c r="G45" s="33" t="s">
        <v>50</v>
      </c>
      <c r="H45" s="35"/>
      <c r="I45" s="36" t="s">
        <v>212</v>
      </c>
      <c r="J45" s="34" t="s">
        <v>37</v>
      </c>
      <c r="K45" s="34" t="s">
        <v>24</v>
      </c>
      <c r="L45" s="37"/>
      <c r="M45" s="38"/>
      <c r="N45" s="39">
        <v>0.5</v>
      </c>
      <c r="O45" s="40" t="s">
        <v>68</v>
      </c>
      <c r="P45" s="39"/>
      <c r="Q45" s="39">
        <v>0.0</v>
      </c>
    </row>
    <row r="46" spans="1:17" ht="15.75" customHeight="1" x14ac:dyDescent="0.25">
      <c r="A46" s="30" t="s">
        <v>213</v>
      </c>
      <c r="B46" s="31" t="s">
        <v>214</v>
      </c>
      <c r="C46" s="32" t="s">
        <v>215</v>
      </c>
      <c r="D46" s="33" t="s">
        <v>67</v>
      </c>
      <c r="E46" s="34" t="s">
        <v>22</v>
      </c>
      <c r="F46" s="34" t="s">
        <v>35</v>
      </c>
      <c r="G46" s="33" t="s">
        <v>50</v>
      </c>
      <c r="H46" s="35"/>
      <c r="I46" s="36" t="s">
        <v>176</v>
      </c>
      <c r="J46" s="34" t="s">
        <v>37</v>
      </c>
      <c r="K46" s="34" t="s">
        <v>24</v>
      </c>
      <c r="L46" s="37"/>
      <c r="M46" s="38"/>
      <c r="N46" s="39">
        <v>0.5</v>
      </c>
      <c r="O46" s="40" t="s">
        <v>177</v>
      </c>
      <c r="P46" s="39">
        <v>28.5</v>
      </c>
      <c r="Q46" s="39">
        <v>917.9</v>
      </c>
    </row>
    <row r="47" spans="1:17" ht="15.75" hidden="1" customHeight="1" x14ac:dyDescent="0.25">
      <c r="A47" s="30" t="s">
        <v>216</v>
      </c>
      <c r="B47" s="31" t="s">
        <v>217</v>
      </c>
      <c r="C47" s="32" t="s">
        <v>218</v>
      </c>
      <c r="D47" s="33" t="s">
        <v>72</v>
      </c>
      <c r="E47" s="34" t="s">
        <v>34</v>
      </c>
      <c r="F47" s="34" t="s">
        <v>35</v>
      </c>
      <c r="G47" s="33" t="s">
        <v>50</v>
      </c>
      <c r="H47" s="35"/>
      <c r="I47" s="36" t="s">
        <v>176</v>
      </c>
      <c r="J47" s="34" t="s">
        <v>37</v>
      </c>
      <c r="K47" s="34" t="s">
        <v>24</v>
      </c>
      <c r="L47" s="37">
        <v>46259</v>
      </c>
      <c r="M47" s="38">
        <v>46258</v>
      </c>
      <c r="N47" s="39">
        <v>7.42</v>
      </c>
      <c r="O47" s="40" t="s">
        <v>177</v>
      </c>
      <c r="P47" s="39">
        <v>17.5</v>
      </c>
      <c r="Q47" s="39">
        <v>809.8</v>
      </c>
    </row>
    <row r="48" spans="1:17" ht="30" hidden="1" customHeight="1" x14ac:dyDescent="0.25">
      <c r="A48" s="30" t="s">
        <v>219</v>
      </c>
      <c r="B48" s="31" t="s">
        <v>220</v>
      </c>
      <c r="C48" s="32" t="s">
        <v>221</v>
      </c>
      <c r="D48" s="33" t="s">
        <v>61</v>
      </c>
      <c r="E48" s="34" t="s">
        <v>34</v>
      </c>
      <c r="F48" s="34" t="s">
        <v>35</v>
      </c>
      <c r="G48" s="33" t="s">
        <v>83</v>
      </c>
      <c r="H48" s="35"/>
      <c r="I48" s="36" t="s">
        <v>78</v>
      </c>
      <c r="J48" s="34" t="s">
        <v>37</v>
      </c>
      <c r="K48" s="34" t="s">
        <v>24</v>
      </c>
      <c r="L48" s="37">
        <v>46223</v>
      </c>
      <c r="M48" s="38">
        <v>46223</v>
      </c>
      <c r="N48" s="39">
        <v>2.0</v>
      </c>
      <c r="O48" s="40" t="s">
        <v>222</v>
      </c>
      <c r="P48" s="39">
        <v>1.0</v>
      </c>
      <c r="Q48" s="39">
        <v>1.0</v>
      </c>
    </row>
    <row r="49" spans="1:17" ht="15.75" hidden="1" customHeight="1" x14ac:dyDescent="0.25">
      <c r="A49" s="30" t="s">
        <v>223</v>
      </c>
      <c r="B49" s="31" t="s">
        <v>224</v>
      </c>
      <c r="C49" s="32" t="s">
        <v>225</v>
      </c>
      <c r="D49" s="33" t="s">
        <v>33</v>
      </c>
      <c r="E49" s="34" t="s">
        <v>34</v>
      </c>
      <c r="F49" s="34" t="s">
        <v>35</v>
      </c>
      <c r="G49" s="33" t="s">
        <v>83</v>
      </c>
      <c r="H49" s="35"/>
      <c r="I49" s="36" t="s">
        <v>78</v>
      </c>
      <c r="J49" s="34" t="s">
        <v>37</v>
      </c>
      <c r="K49" s="34" t="s">
        <v>24</v>
      </c>
      <c r="L49" s="37">
        <v>46224</v>
      </c>
      <c r="M49" s="38">
        <v>46224</v>
      </c>
      <c r="N49" s="39">
        <v>2.0</v>
      </c>
      <c r="O49" s="40" t="s">
        <v>226</v>
      </c>
      <c r="P49" s="39">
        <v>1.0</v>
      </c>
      <c r="Q49" s="39">
        <v>1.0</v>
      </c>
    </row>
    <row r="50" spans="1:17" ht="15.75" hidden="1" customHeight="1" x14ac:dyDescent="0.25">
      <c r="A50" s="30" t="s">
        <v>227</v>
      </c>
      <c r="B50" s="31" t="s">
        <v>228</v>
      </c>
      <c r="C50" s="32" t="s">
        <v>229</v>
      </c>
      <c r="D50" s="33" t="s">
        <v>33</v>
      </c>
      <c r="E50" s="34" t="s">
        <v>34</v>
      </c>
      <c r="F50" s="34" t="s">
        <v>35</v>
      </c>
      <c r="G50" s="33" t="s">
        <v>83</v>
      </c>
      <c r="H50" s="35"/>
      <c r="I50" s="36" t="s">
        <v>78</v>
      </c>
      <c r="J50" s="34" t="s">
        <v>37</v>
      </c>
      <c r="K50" s="34" t="s">
        <v>24</v>
      </c>
      <c r="L50" s="37">
        <v>46224</v>
      </c>
      <c r="M50" s="38">
        <v>46224</v>
      </c>
      <c r="N50" s="39">
        <v>1.0</v>
      </c>
      <c r="O50" s="40" t="s">
        <v>226</v>
      </c>
      <c r="P50" s="39">
        <v>1.0</v>
      </c>
      <c r="Q50" s="39">
        <v>1.0</v>
      </c>
    </row>
    <row r="51" spans="1:17" ht="15.75" hidden="1" customHeight="1" x14ac:dyDescent="0.25">
      <c r="A51" s="30" t="s">
        <v>230</v>
      </c>
      <c r="B51" s="31" t="s">
        <v>231</v>
      </c>
      <c r="C51" s="32" t="s">
        <v>232</v>
      </c>
      <c r="D51" s="33" t="s">
        <v>67</v>
      </c>
      <c r="E51" s="34" t="s">
        <v>34</v>
      </c>
      <c r="F51" s="34" t="s">
        <v>35</v>
      </c>
      <c r="G51" s="33" t="s">
        <v>50</v>
      </c>
      <c r="H51" s="35" t="s">
        <v>51</v>
      </c>
      <c r="I51" s="36" t="s">
        <v>233</v>
      </c>
      <c r="J51" s="34" t="s">
        <v>37</v>
      </c>
      <c r="K51" s="34" t="s">
        <v>24</v>
      </c>
      <c r="L51" s="144">
        <v>46252</v>
      </c>
      <c r="M51" s="38">
        <v>46243</v>
      </c>
      <c r="N51" s="39">
        <v>0.33</v>
      </c>
      <c r="O51" s="40" t="s">
        <v>234</v>
      </c>
      <c r="P51" s="39">
        <v>21.0</v>
      </c>
      <c r="Q51" s="39">
        <v>61.5</v>
      </c>
    </row>
    <row r="52" spans="1:17" ht="15.75" hidden="1" customHeight="1" x14ac:dyDescent="0.25">
      <c r="A52" s="30" t="s">
        <v>235</v>
      </c>
      <c r="B52" s="31" t="s">
        <v>236</v>
      </c>
      <c r="C52" s="32" t="s">
        <v>237</v>
      </c>
      <c r="D52" s="33" t="s">
        <v>67</v>
      </c>
      <c r="E52" s="34" t="s">
        <v>34</v>
      </c>
      <c r="F52" s="34" t="s">
        <v>35</v>
      </c>
      <c r="G52" s="33" t="s">
        <v>50</v>
      </c>
      <c r="H52" s="35" t="s">
        <v>51</v>
      </c>
      <c r="I52" s="36" t="s">
        <v>233</v>
      </c>
      <c r="J52" s="34" t="s">
        <v>37</v>
      </c>
      <c r="K52" s="34" t="s">
        <v>24</v>
      </c>
      <c r="L52" s="144">
        <v>46259</v>
      </c>
      <c r="M52" s="38">
        <v>46257</v>
      </c>
      <c r="N52" s="39">
        <v>0.43</v>
      </c>
      <c r="O52" s="40" t="s">
        <v>238</v>
      </c>
      <c r="P52" s="39">
        <v>34.5</v>
      </c>
      <c r="Q52" s="39">
        <v>466.7</v>
      </c>
    </row>
    <row r="53" spans="1:17" ht="15.75" hidden="1" customHeight="1" x14ac:dyDescent="0.25">
      <c r="A53" s="30" t="s">
        <v>239</v>
      </c>
      <c r="B53" s="31" t="s">
        <v>240</v>
      </c>
      <c r="C53" s="32" t="s">
        <v>241</v>
      </c>
      <c r="D53" s="33" t="s">
        <v>96</v>
      </c>
      <c r="E53" s="34" t="s">
        <v>34</v>
      </c>
      <c r="F53" s="34" t="s">
        <v>35</v>
      </c>
      <c r="G53" s="33" t="s">
        <v>50</v>
      </c>
      <c r="H53" s="35"/>
      <c r="I53" s="36" t="s">
        <v>78</v>
      </c>
      <c r="J53" s="34" t="s">
        <v>37</v>
      </c>
      <c r="K53" s="34" t="s">
        <v>24</v>
      </c>
      <c r="L53" s="37">
        <v>46229</v>
      </c>
      <c r="M53" s="38">
        <v>46229</v>
      </c>
      <c r="N53" s="39">
        <v>0.87</v>
      </c>
      <c r="O53" s="40" t="s">
        <v>242</v>
      </c>
      <c r="P53" s="39">
        <v>10.0</v>
      </c>
      <c r="Q53" s="39">
        <v>5.33</v>
      </c>
    </row>
    <row r="54" spans="1:17" ht="15.75" hidden="1" customHeight="1" x14ac:dyDescent="0.25">
      <c r="A54" s="30" t="s">
        <v>243</v>
      </c>
      <c r="B54" s="31" t="s">
        <v>244</v>
      </c>
      <c r="C54" s="32" t="s">
        <v>245</v>
      </c>
      <c r="D54" s="33" t="s">
        <v>72</v>
      </c>
      <c r="E54" s="34" t="s">
        <v>34</v>
      </c>
      <c r="F54" s="34" t="s">
        <v>35</v>
      </c>
      <c r="G54" s="33" t="s">
        <v>208</v>
      </c>
      <c r="H54" s="35"/>
      <c r="I54" s="36" t="s">
        <v>208</v>
      </c>
      <c r="J54" s="34" t="s">
        <v>37</v>
      </c>
      <c r="K54" s="34" t="s">
        <v>24</v>
      </c>
      <c r="L54" s="37">
        <v>46231</v>
      </c>
      <c r="M54" s="38">
        <v>46231</v>
      </c>
      <c r="N54" s="39">
        <v>0.5</v>
      </c>
      <c r="O54" s="40" t="s">
        <v>32</v>
      </c>
      <c r="P54" s="39">
        <v>6.0</v>
      </c>
      <c r="Q54" s="39">
        <v>1.03</v>
      </c>
    </row>
    <row r="55" spans="1:17" ht="30" hidden="1" customHeight="1" x14ac:dyDescent="0.25">
      <c r="A55" s="30" t="s">
        <v>246</v>
      </c>
      <c r="B55" s="31" t="s">
        <v>247</v>
      </c>
      <c r="C55" s="32" t="s">
        <v>248</v>
      </c>
      <c r="D55" s="33" t="s">
        <v>49</v>
      </c>
      <c r="E55" s="34" t="s">
        <v>34</v>
      </c>
      <c r="F55" s="34" t="s">
        <v>35</v>
      </c>
      <c r="G55" s="33" t="s">
        <v>208</v>
      </c>
      <c r="H55" s="35" t="s">
        <v>51</v>
      </c>
      <c r="I55" s="36" t="s">
        <v>208</v>
      </c>
      <c r="J55" s="34" t="s">
        <v>37</v>
      </c>
      <c r="K55" s="34" t="s">
        <v>25</v>
      </c>
      <c r="L55" s="37">
        <v>46252</v>
      </c>
      <c r="M55" s="38">
        <v>46238</v>
      </c>
      <c r="N55" s="39">
        <v>2.0</v>
      </c>
      <c r="O55" s="40" t="s">
        <v>249</v>
      </c>
      <c r="P55" s="39">
        <v>21.0</v>
      </c>
      <c r="Q55" s="39">
        <v>6.1</v>
      </c>
    </row>
    <row r="56" spans="1:17" ht="15.75" hidden="1" customHeight="1" x14ac:dyDescent="0.25">
      <c r="A56" s="30" t="s">
        <v>250</v>
      </c>
      <c r="B56" s="31" t="s">
        <v>251</v>
      </c>
      <c r="C56" s="32" t="s">
        <v>252</v>
      </c>
      <c r="D56" s="33" t="s">
        <v>33</v>
      </c>
      <c r="E56" s="34" t="s">
        <v>34</v>
      </c>
      <c r="F56" s="34" t="s">
        <v>35</v>
      </c>
      <c r="G56" s="33" t="s">
        <v>24</v>
      </c>
      <c r="H56" s="35"/>
      <c r="I56" s="36" t="s">
        <v>36</v>
      </c>
      <c r="J56" s="34" t="s">
        <v>37</v>
      </c>
      <c r="K56" s="34" t="s">
        <v>24</v>
      </c>
      <c r="L56" s="37">
        <v>46224</v>
      </c>
      <c r="M56" s="38">
        <v>46224</v>
      </c>
      <c r="N56" s="39">
        <v>0.37</v>
      </c>
      <c r="O56" s="40" t="s">
        <v>253</v>
      </c>
      <c r="P56" s="39">
        <v>6.5</v>
      </c>
      <c r="Q56" s="39">
        <v>5.17</v>
      </c>
    </row>
    <row r="57" spans="1:17" ht="15.75" hidden="1" customHeight="1" x14ac:dyDescent="0.25">
      <c r="A57" s="30" t="s">
        <v>254</v>
      </c>
      <c r="B57" s="31" t="s">
        <v>255</v>
      </c>
      <c r="C57" s="32" t="s">
        <v>256</v>
      </c>
      <c r="D57" s="33" t="s">
        <v>33</v>
      </c>
      <c r="E57" s="34" t="s">
        <v>34</v>
      </c>
      <c r="F57" s="34" t="s">
        <v>35</v>
      </c>
      <c r="G57" s="33" t="s">
        <v>24</v>
      </c>
      <c r="H57" s="35"/>
      <c r="I57" s="36" t="s">
        <v>78</v>
      </c>
      <c r="J57" s="34" t="s">
        <v>37</v>
      </c>
      <c r="K57" s="34" t="s">
        <v>24</v>
      </c>
      <c r="L57" s="37">
        <v>46222</v>
      </c>
      <c r="M57" s="38">
        <v>46222</v>
      </c>
      <c r="N57" s="39">
        <v>0.43</v>
      </c>
      <c r="O57" s="40" t="s">
        <v>257</v>
      </c>
      <c r="P57" s="39">
        <v>2.75</v>
      </c>
      <c r="Q57" s="39">
        <v>3.78</v>
      </c>
    </row>
    <row r="58" spans="1:17" ht="15.75" hidden="1" customHeight="1" x14ac:dyDescent="0.25">
      <c r="A58" s="30" t="s">
        <v>258</v>
      </c>
      <c r="B58" s="31" t="s">
        <v>259</v>
      </c>
      <c r="C58" s="32" t="s">
        <v>260</v>
      </c>
      <c r="D58" s="33" t="s">
        <v>72</v>
      </c>
      <c r="E58" s="34" t="s">
        <v>34</v>
      </c>
      <c r="F58" s="34" t="s">
        <v>35</v>
      </c>
      <c r="G58" s="33" t="s">
        <v>50</v>
      </c>
      <c r="H58" s="35" t="s">
        <v>51</v>
      </c>
      <c r="I58" s="36" t="s">
        <v>50</v>
      </c>
      <c r="J58" s="34" t="s">
        <v>37</v>
      </c>
      <c r="K58" s="34" t="s">
        <v>24</v>
      </c>
      <c r="L58" s="37">
        <v>46259</v>
      </c>
      <c r="M58" s="38">
        <v>46257</v>
      </c>
      <c r="N58" s="39">
        <v>0.22</v>
      </c>
      <c r="O58" s="40" t="s">
        <v>261</v>
      </c>
      <c r="P58" s="39">
        <v>3.0</v>
      </c>
      <c r="Q58" s="39">
        <v>3.0</v>
      </c>
    </row>
    <row r="59" spans="1:17" ht="45" hidden="1" customHeight="1" x14ac:dyDescent="0.25">
      <c r="A59" s="30" t="s">
        <v>262</v>
      </c>
      <c r="B59" s="31" t="s">
        <v>263</v>
      </c>
      <c r="C59" s="32" t="s">
        <v>264</v>
      </c>
      <c r="D59" s="33" t="s">
        <v>49</v>
      </c>
      <c r="E59" s="34" t="s">
        <v>34</v>
      </c>
      <c r="F59" s="34" t="s">
        <v>35</v>
      </c>
      <c r="G59" s="33" t="s">
        <v>24</v>
      </c>
      <c r="H59" s="35"/>
      <c r="I59" s="36" t="s">
        <v>78</v>
      </c>
      <c r="J59" s="34" t="s">
        <v>37</v>
      </c>
      <c r="K59" s="34" t="s">
        <v>25</v>
      </c>
      <c r="L59" s="37">
        <v>46252</v>
      </c>
      <c r="M59" s="38">
        <v>46240</v>
      </c>
      <c r="N59" s="39">
        <v>0.92</v>
      </c>
      <c r="O59" s="40" t="s">
        <v>265</v>
      </c>
      <c r="P59" s="39">
        <v>7.75</v>
      </c>
      <c r="Q59" s="39">
        <v>27.0</v>
      </c>
    </row>
    <row r="60" spans="1:17" ht="15.75" hidden="1" customHeight="1" x14ac:dyDescent="0.25">
      <c r="A60" s="30" t="s">
        <v>266</v>
      </c>
      <c r="B60" s="31" t="s">
        <v>267</v>
      </c>
      <c r="C60" s="32" t="s">
        <v>268</v>
      </c>
      <c r="D60" s="33" t="s">
        <v>96</v>
      </c>
      <c r="E60" s="34" t="s">
        <v>34</v>
      </c>
      <c r="F60" s="34" t="s">
        <v>35</v>
      </c>
      <c r="G60" s="33" t="s">
        <v>50</v>
      </c>
      <c r="H60" s="35" t="s">
        <v>51</v>
      </c>
      <c r="I60" s="36" t="s">
        <v>50</v>
      </c>
      <c r="J60" s="34" t="s">
        <v>37</v>
      </c>
      <c r="K60" s="34" t="s">
        <v>24</v>
      </c>
      <c r="L60" s="37">
        <v>46252</v>
      </c>
      <c r="M60" s="38">
        <v>46245</v>
      </c>
      <c r="N60" s="39">
        <v>0.43</v>
      </c>
      <c r="O60" s="40" t="s">
        <v>269</v>
      </c>
      <c r="P60" s="39">
        <v>6.0</v>
      </c>
      <c r="Q60" s="39">
        <v>299.1</v>
      </c>
    </row>
    <row r="61" spans="1:17" ht="15.75" hidden="1" customHeight="1" x14ac:dyDescent="0.25">
      <c r="A61" s="30" t="s">
        <v>270</v>
      </c>
      <c r="B61" s="31" t="s">
        <v>271</v>
      </c>
      <c r="C61" s="32" t="s">
        <v>272</v>
      </c>
      <c r="D61" s="33" t="s">
        <v>49</v>
      </c>
      <c r="E61" s="34" t="s">
        <v>34</v>
      </c>
      <c r="F61" s="34" t="s">
        <v>35</v>
      </c>
      <c r="G61" s="33" t="s">
        <v>157</v>
      </c>
      <c r="H61" s="35"/>
      <c r="I61" s="36" t="s">
        <v>273</v>
      </c>
      <c r="J61" s="34" t="s">
        <v>37</v>
      </c>
      <c r="K61" s="34" t="s">
        <v>25</v>
      </c>
      <c r="L61" s="37">
        <v>46229</v>
      </c>
      <c r="M61" s="38">
        <v>46229</v>
      </c>
      <c r="N61" s="39">
        <v>3.5</v>
      </c>
      <c r="O61" s="40" t="s">
        <v>274</v>
      </c>
      <c r="P61" s="39">
        <v>15.0</v>
      </c>
      <c r="Q61" s="39">
        <v>134.1</v>
      </c>
    </row>
    <row r="62" spans="1:17" ht="15.75" customHeight="1" x14ac:dyDescent="0.25">
      <c r="A62" s="30" t="s">
        <v>275</v>
      </c>
      <c r="B62" s="31" t="s">
        <v>276</v>
      </c>
      <c r="C62" s="32" t="s">
        <v>277</v>
      </c>
      <c r="D62" s="33" t="s">
        <v>21</v>
      </c>
      <c r="E62" s="34" t="s">
        <v>22</v>
      </c>
      <c r="F62" s="34" t="s">
        <v>35</v>
      </c>
      <c r="G62" s="33" t="s">
        <v>83</v>
      </c>
      <c r="H62" s="35"/>
      <c r="I62" s="36" t="s">
        <v>278</v>
      </c>
      <c r="J62" s="34" t="s">
        <v>37</v>
      </c>
      <c r="K62" s="34" t="s">
        <v>24</v>
      </c>
      <c r="L62" s="37"/>
      <c r="M62" s="38"/>
      <c r="N62" s="39">
        <v>1.0</v>
      </c>
      <c r="O62" s="40" t="s">
        <v>279</v>
      </c>
      <c r="P62" s="39"/>
      <c r="Q62" s="39">
        <v>0.0</v>
      </c>
    </row>
    <row r="63" spans="1:17" ht="15.75" customHeight="1" x14ac:dyDescent="0.25">
      <c r="A63" s="30" t="s">
        <v>280</v>
      </c>
      <c r="B63" s="31" t="s">
        <v>281</v>
      </c>
      <c r="C63" s="32" t="s">
        <v>282</v>
      </c>
      <c r="D63" s="33" t="s">
        <v>21</v>
      </c>
      <c r="E63" s="34" t="s">
        <v>22</v>
      </c>
      <c r="F63" s="34" t="s">
        <v>35</v>
      </c>
      <c r="G63" s="33" t="s">
        <v>157</v>
      </c>
      <c r="H63" s="35"/>
      <c r="I63" s="36"/>
      <c r="J63" s="34" t="s">
        <v>37</v>
      </c>
      <c r="K63" s="34" t="s">
        <v>24</v>
      </c>
      <c r="L63" s="37"/>
      <c r="M63" s="38"/>
      <c r="N63" s="39">
        <v>65.0</v>
      </c>
      <c r="O63" s="40" t="s">
        <v>283</v>
      </c>
      <c r="P63" s="39"/>
      <c r="Q63" s="39">
        <v>0.0</v>
      </c>
    </row>
    <row r="64" spans="1:17" ht="15.75" hidden="1" customHeight="1" x14ac:dyDescent="0.25">
      <c r="A64" s="30" t="s">
        <v>284</v>
      </c>
      <c r="B64" s="31" t="s">
        <v>285</v>
      </c>
      <c r="C64" s="32" t="s">
        <v>286</v>
      </c>
      <c r="D64" s="33" t="s">
        <v>49</v>
      </c>
      <c r="E64" s="34" t="s">
        <v>34</v>
      </c>
      <c r="F64" s="34" t="s">
        <v>35</v>
      </c>
      <c r="G64" s="33" t="s">
        <v>157</v>
      </c>
      <c r="H64" s="35"/>
      <c r="I64" s="36" t="s">
        <v>78</v>
      </c>
      <c r="J64" s="34" t="s">
        <v>37</v>
      </c>
      <c r="K64" s="34" t="s">
        <v>25</v>
      </c>
      <c r="L64" s="37">
        <v>46229</v>
      </c>
      <c r="M64" s="38">
        <v>46229</v>
      </c>
      <c r="N64" s="39">
        <v>0.43</v>
      </c>
      <c r="O64" s="40" t="s">
        <v>287</v>
      </c>
      <c r="P64" s="39">
        <v>1.5</v>
      </c>
      <c r="Q64" s="39">
        <v>5.72</v>
      </c>
    </row>
    <row r="65" spans="1:17" ht="15.75" hidden="1" customHeight="1" x14ac:dyDescent="0.25">
      <c r="A65" s="30" t="s">
        <v>288</v>
      </c>
      <c r="B65" s="31" t="s">
        <v>289</v>
      </c>
      <c r="C65" s="32" t="s">
        <v>290</v>
      </c>
      <c r="D65" s="33" t="s">
        <v>33</v>
      </c>
      <c r="E65" s="34" t="s">
        <v>34</v>
      </c>
      <c r="F65" s="34" t="s">
        <v>35</v>
      </c>
      <c r="G65" s="33" t="s">
        <v>208</v>
      </c>
      <c r="H65" s="35"/>
      <c r="I65" s="36" t="s">
        <v>208</v>
      </c>
      <c r="J65" s="34" t="s">
        <v>37</v>
      </c>
      <c r="K65" s="34" t="s">
        <v>24</v>
      </c>
      <c r="L65" s="37">
        <v>46225</v>
      </c>
      <c r="M65" s="38">
        <v>46225</v>
      </c>
      <c r="N65" s="39">
        <v>8.0</v>
      </c>
      <c r="O65" s="40" t="s">
        <v>291</v>
      </c>
      <c r="P65" s="39">
        <v>4.0</v>
      </c>
      <c r="Q65" s="39">
        <v>2.0</v>
      </c>
    </row>
    <row r="66" spans="1:17" ht="15.75" hidden="1" customHeight="1" x14ac:dyDescent="0.25">
      <c r="A66" s="30" t="s">
        <v>292</v>
      </c>
      <c r="B66" s="31" t="s">
        <v>293</v>
      </c>
      <c r="C66" s="32" t="s">
        <v>294</v>
      </c>
      <c r="D66" s="33" t="s">
        <v>33</v>
      </c>
      <c r="E66" s="34" t="s">
        <v>34</v>
      </c>
      <c r="F66" s="34" t="s">
        <v>35</v>
      </c>
      <c r="G66" s="33" t="s">
        <v>208</v>
      </c>
      <c r="H66" s="35"/>
      <c r="I66" s="36" t="s">
        <v>208</v>
      </c>
      <c r="J66" s="34" t="s">
        <v>37</v>
      </c>
      <c r="K66" s="34" t="s">
        <v>24</v>
      </c>
      <c r="L66" s="37">
        <v>46225</v>
      </c>
      <c r="M66" s="38">
        <v>46225</v>
      </c>
      <c r="N66" s="39">
        <v>0.87</v>
      </c>
      <c r="O66" s="40" t="s">
        <v>295</v>
      </c>
      <c r="P66" s="39">
        <v>6.0</v>
      </c>
      <c r="Q66" s="39">
        <v>2.07</v>
      </c>
    </row>
    <row r="67" spans="1:17" ht="15.75" hidden="1" customHeight="1" x14ac:dyDescent="0.25">
      <c r="A67" s="30" t="s">
        <v>296</v>
      </c>
      <c r="B67" s="31" t="s">
        <v>297</v>
      </c>
      <c r="C67" s="32" t="s">
        <v>298</v>
      </c>
      <c r="D67" s="33" t="s">
        <v>49</v>
      </c>
      <c r="E67" s="34" t="s">
        <v>34</v>
      </c>
      <c r="F67" s="34" t="s">
        <v>35</v>
      </c>
      <c r="G67" s="33" t="s">
        <v>208</v>
      </c>
      <c r="H67" s="35"/>
      <c r="I67" s="36" t="s">
        <v>208</v>
      </c>
      <c r="J67" s="34" t="s">
        <v>37</v>
      </c>
      <c r="K67" s="34" t="s">
        <v>25</v>
      </c>
      <c r="L67" s="37">
        <v>46226</v>
      </c>
      <c r="M67" s="38">
        <v>46226</v>
      </c>
      <c r="N67" s="39">
        <v>0.22</v>
      </c>
      <c r="O67" s="40" t="s">
        <v>299</v>
      </c>
      <c r="P67" s="39">
        <v>4.0</v>
      </c>
      <c r="Q67" s="39">
        <v>1.02</v>
      </c>
    </row>
    <row r="68" spans="1:17" ht="31.5" hidden="1" customHeight="1" x14ac:dyDescent="0.25">
      <c r="A68" s="30" t="s">
        <v>300</v>
      </c>
      <c r="B68" s="31" t="s">
        <v>301</v>
      </c>
      <c r="C68" s="32" t="s">
        <v>302</v>
      </c>
      <c r="D68" s="33" t="s">
        <v>49</v>
      </c>
      <c r="E68" s="34" t="s">
        <v>34</v>
      </c>
      <c r="F68" s="34" t="s">
        <v>35</v>
      </c>
      <c r="G68" s="33" t="s">
        <v>50</v>
      </c>
      <c r="H68" s="35" t="s">
        <v>51</v>
      </c>
      <c r="I68" s="36" t="s">
        <v>303</v>
      </c>
      <c r="J68" s="34" t="s">
        <v>37</v>
      </c>
      <c r="K68" s="34" t="s">
        <v>25</v>
      </c>
      <c r="L68" s="37">
        <v>46252</v>
      </c>
      <c r="M68" s="38">
        <v>46246</v>
      </c>
      <c r="N68" s="39">
        <v>0.5</v>
      </c>
      <c r="O68" s="40" t="s">
        <v>53</v>
      </c>
      <c r="P68" s="39">
        <v>1.0</v>
      </c>
      <c r="Q68" s="39">
        <v>1.0</v>
      </c>
    </row>
    <row r="69" spans="1:17" ht="15.75" hidden="1" customHeight="1" x14ac:dyDescent="0.25">
      <c r="A69" s="30" t="s">
        <v>304</v>
      </c>
      <c r="B69" s="31" t="s">
        <v>305</v>
      </c>
      <c r="C69" s="32" t="s">
        <v>306</v>
      </c>
      <c r="D69" s="33" t="s">
        <v>49</v>
      </c>
      <c r="E69" s="34" t="s">
        <v>34</v>
      </c>
      <c r="F69" s="34" t="s">
        <v>35</v>
      </c>
      <c r="G69" s="33" t="s">
        <v>50</v>
      </c>
      <c r="H69" s="35" t="s">
        <v>51</v>
      </c>
      <c r="I69" s="36" t="s">
        <v>307</v>
      </c>
      <c r="J69" s="34" t="s">
        <v>37</v>
      </c>
      <c r="K69" s="34" t="s">
        <v>25</v>
      </c>
      <c r="L69" s="37">
        <v>46259</v>
      </c>
      <c r="M69" s="38">
        <v>46257</v>
      </c>
      <c r="N69" s="39">
        <v>1.0</v>
      </c>
      <c r="O69" s="40" t="s">
        <v>53</v>
      </c>
      <c r="P69" s="39">
        <v>1.0</v>
      </c>
      <c r="Q69" s="39">
        <v>1.0</v>
      </c>
    </row>
    <row r="70" spans="1:17" ht="15.75" hidden="1" customHeight="1" x14ac:dyDescent="0.25">
      <c r="A70" s="30" t="s">
        <v>308</v>
      </c>
      <c r="B70" s="31" t="s">
        <v>309</v>
      </c>
      <c r="C70" s="32" t="s">
        <v>310</v>
      </c>
      <c r="D70" s="33" t="s">
        <v>49</v>
      </c>
      <c r="E70" s="34" t="s">
        <v>34</v>
      </c>
      <c r="F70" s="34" t="s">
        <v>35</v>
      </c>
      <c r="G70" s="33" t="s">
        <v>50</v>
      </c>
      <c r="H70" s="35" t="s">
        <v>51</v>
      </c>
      <c r="I70" s="36" t="s">
        <v>311</v>
      </c>
      <c r="J70" s="34" t="s">
        <v>37</v>
      </c>
      <c r="K70" s="34" t="s">
        <v>25</v>
      </c>
      <c r="L70" s="37">
        <v>46259</v>
      </c>
      <c r="M70" s="38">
        <v>46257</v>
      </c>
      <c r="N70" s="39">
        <v>4.0</v>
      </c>
      <c r="O70" s="40" t="s">
        <v>53</v>
      </c>
      <c r="P70" s="39">
        <v>1.0</v>
      </c>
      <c r="Q70" s="39">
        <v>0.52</v>
      </c>
    </row>
    <row r="71" spans="1:17" ht="30" hidden="1" customHeight="1" x14ac:dyDescent="0.25">
      <c r="A71" s="30" t="s">
        <v>312</v>
      </c>
      <c r="B71" s="31" t="s">
        <v>313</v>
      </c>
      <c r="C71" s="32" t="s">
        <v>314</v>
      </c>
      <c r="D71" s="33" t="s">
        <v>49</v>
      </c>
      <c r="E71" s="34" t="s">
        <v>34</v>
      </c>
      <c r="F71" s="34" t="s">
        <v>35</v>
      </c>
      <c r="G71" s="33" t="s">
        <v>50</v>
      </c>
      <c r="H71" s="35" t="s">
        <v>51</v>
      </c>
      <c r="I71" s="36" t="s">
        <v>36</v>
      </c>
      <c r="J71" s="34" t="s">
        <v>37</v>
      </c>
      <c r="K71" s="34" t="s">
        <v>25</v>
      </c>
      <c r="L71" s="37">
        <v>46259</v>
      </c>
      <c r="M71" s="38">
        <v>46257</v>
      </c>
      <c r="N71" s="39">
        <v>0.5</v>
      </c>
      <c r="O71" s="40" t="s">
        <v>53</v>
      </c>
      <c r="P71" s="39">
        <v>1.5</v>
      </c>
      <c r="Q71" s="39">
        <v>1.0</v>
      </c>
    </row>
    <row r="72" spans="1:17" ht="15.75" customHeight="1" x14ac:dyDescent="0.25">
      <c r="A72" s="30" t="s">
        <v>315</v>
      </c>
      <c r="B72" s="31" t="s">
        <v>316</v>
      </c>
      <c r="C72" s="32" t="s">
        <v>317</v>
      </c>
      <c r="D72" s="33" t="s">
        <v>33</v>
      </c>
      <c r="E72" s="34" t="s">
        <v>22</v>
      </c>
      <c r="F72" s="34" t="s">
        <v>35</v>
      </c>
      <c r="G72" s="33" t="s">
        <v>50</v>
      </c>
      <c r="H72" s="35" t="s">
        <v>51</v>
      </c>
      <c r="I72" s="36" t="s">
        <v>318</v>
      </c>
      <c r="J72" s="34" t="s">
        <v>37</v>
      </c>
      <c r="K72" s="34" t="s">
        <v>24</v>
      </c>
      <c r="L72" s="37">
        <v>46222</v>
      </c>
      <c r="M72" s="38"/>
      <c r="N72" s="39">
        <v>48.0</v>
      </c>
      <c r="O72" s="40" t="s">
        <v>204</v>
      </c>
      <c r="P72" s="39"/>
      <c r="Q72" s="39">
        <v>486.9</v>
      </c>
    </row>
    <row r="73" spans="1:17" ht="15.75" hidden="1" customHeight="1" x14ac:dyDescent="0.25">
      <c r="A73" s="30" t="s">
        <v>319</v>
      </c>
      <c r="B73" s="31" t="s">
        <v>320</v>
      </c>
      <c r="C73" s="32" t="s">
        <v>321</v>
      </c>
      <c r="D73" s="33" t="s">
        <v>49</v>
      </c>
      <c r="E73" s="34" t="s">
        <v>34</v>
      </c>
      <c r="F73" s="34" t="s">
        <v>35</v>
      </c>
      <c r="G73" s="33" t="s">
        <v>50</v>
      </c>
      <c r="H73" s="35" t="s">
        <v>51</v>
      </c>
      <c r="I73" s="36" t="s">
        <v>322</v>
      </c>
      <c r="J73" s="34" t="s">
        <v>37</v>
      </c>
      <c r="K73" s="34" t="s">
        <v>25</v>
      </c>
      <c r="L73" s="37">
        <v>46256</v>
      </c>
      <c r="M73" s="38">
        <v>46254</v>
      </c>
      <c r="N73" s="39">
        <v>6.0</v>
      </c>
      <c r="O73" s="40" t="s">
        <v>204</v>
      </c>
      <c r="P73" s="39">
        <v>15.0</v>
      </c>
      <c r="Q73" s="39">
        <v>6.5</v>
      </c>
    </row>
    <row r="74" spans="1:17" ht="15.75" customHeight="1" x14ac:dyDescent="0.25">
      <c r="A74" s="30" t="s">
        <v>323</v>
      </c>
      <c r="B74" s="31" t="s">
        <v>324</v>
      </c>
      <c r="C74" s="32" t="s">
        <v>325</v>
      </c>
      <c r="D74" s="33" t="s">
        <v>49</v>
      </c>
      <c r="E74" s="34" t="s">
        <v>34</v>
      </c>
      <c r="F74" s="34" t="s">
        <v>35</v>
      </c>
      <c r="G74" s="33" t="s">
        <v>24</v>
      </c>
      <c r="H74" s="35"/>
      <c r="I74" s="36" t="s">
        <v>326</v>
      </c>
      <c r="J74" s="34" t="s">
        <v>37</v>
      </c>
      <c r="K74" s="34" t="s">
        <v>25</v>
      </c>
      <c r="L74" s="37">
        <v>46260</v>
      </c>
      <c r="N74">
        <v>3.5</v>
      </c>
      <c r="O74" s="40" t="s">
        <v>41</v>
      </c>
      <c r="P74" s="39">
        <v>52.5</v>
      </c>
      <c r="Q74" s="39">
        <v>850.2</v>
      </c>
    </row>
    <row r="75" spans="1:17" ht="15.75" hidden="1" customHeight="1" x14ac:dyDescent="0.25">
      <c r="A75" s="30" t="s">
        <v>327</v>
      </c>
      <c r="B75" s="31" t="s">
        <v>328</v>
      </c>
      <c r="C75" s="32" t="s">
        <v>329</v>
      </c>
      <c r="D75" s="33" t="s">
        <v>33</v>
      </c>
      <c r="E75" s="34" t="s">
        <v>34</v>
      </c>
      <c r="F75" s="34" t="s">
        <v>35</v>
      </c>
      <c r="G75" s="33" t="s">
        <v>24</v>
      </c>
      <c r="H75" s="35"/>
      <c r="I75" s="36" t="s">
        <v>326</v>
      </c>
      <c r="J75" s="34" t="s">
        <v>37</v>
      </c>
      <c r="K75" s="34" t="s">
        <v>24</v>
      </c>
      <c r="L75" s="37">
        <v>46259</v>
      </c>
      <c r="M75" s="38">
        <v>46257</v>
      </c>
      <c r="N75" s="39">
        <v>16.67</v>
      </c>
      <c r="O75" s="40" t="s">
        <v>41</v>
      </c>
      <c r="P75" s="39">
        <v>9.0</v>
      </c>
      <c r="Q75" s="39">
        <v>817.4</v>
      </c>
    </row>
    <row r="76" spans="1:17" ht="15.75" customHeight="1" x14ac:dyDescent="0.25">
      <c r="A76" s="30" t="s">
        <v>330</v>
      </c>
      <c r="B76" s="31" t="s">
        <v>331</v>
      </c>
      <c r="C76" s="32" t="s">
        <v>332</v>
      </c>
      <c r="D76" s="33" t="s">
        <v>185</v>
      </c>
      <c r="E76" s="34" t="s">
        <v>22</v>
      </c>
      <c r="F76" s="34" t="s">
        <v>35</v>
      </c>
      <c r="G76" s="33" t="s">
        <v>186</v>
      </c>
      <c r="H76" s="35"/>
      <c r="I76" s="36" t="s">
        <v>187</v>
      </c>
      <c r="J76" s="34" t="s">
        <v>37</v>
      </c>
      <c r="K76" s="34" t="s">
        <v>24</v>
      </c>
      <c r="L76" s="37"/>
      <c r="M76" s="38"/>
      <c r="N76" s="39">
        <v>5.17</v>
      </c>
      <c r="O76" s="40" t="s">
        <v>41</v>
      </c>
      <c r="P76" s="39">
        <v>7</v>
      </c>
      <c r="Q76" s="39">
        <v>858.6</v>
      </c>
    </row>
    <row r="77" spans="1:17" ht="15.75" customHeight="1" x14ac:dyDescent="0.25">
      <c r="A77" s="30" t="s">
        <v>333</v>
      </c>
      <c r="B77" s="31" t="s">
        <v>334</v>
      </c>
      <c r="C77" s="32" t="s">
        <v>335</v>
      </c>
      <c r="D77" s="33" t="s">
        <v>185</v>
      </c>
      <c r="E77" s="34" t="s">
        <v>22</v>
      </c>
      <c r="F77" s="34" t="s">
        <v>35</v>
      </c>
      <c r="G77" s="33" t="s">
        <v>186</v>
      </c>
      <c r="H77" s="35"/>
      <c r="I77" s="36" t="s">
        <v>187</v>
      </c>
      <c r="J77" s="34" t="s">
        <v>37</v>
      </c>
      <c r="K77" s="34" t="s">
        <v>24</v>
      </c>
      <c r="L77" s="37"/>
      <c r="M77" s="38"/>
      <c r="N77" s="39">
        <v>3.0</v>
      </c>
      <c r="O77" s="40" t="s">
        <v>41</v>
      </c>
      <c r="P77" s="39">
        <v>9</v>
      </c>
      <c r="Q77" s="39">
        <v>834.5</v>
      </c>
    </row>
    <row r="78" spans="1:17" ht="15.75" customHeight="1" x14ac:dyDescent="0.25">
      <c r="A78" s="30" t="s">
        <v>336</v>
      </c>
      <c r="B78" s="31" t="s">
        <v>337</v>
      </c>
      <c r="C78" s="32" t="s">
        <v>338</v>
      </c>
      <c r="D78" s="33" t="s">
        <v>185</v>
      </c>
      <c r="E78" s="34" t="s">
        <v>22</v>
      </c>
      <c r="F78" s="34" t="s">
        <v>35</v>
      </c>
      <c r="G78" s="33" t="s">
        <v>186</v>
      </c>
      <c r="H78" s="35"/>
      <c r="I78" s="36" t="s">
        <v>339</v>
      </c>
      <c r="J78" s="34" t="s">
        <v>37</v>
      </c>
      <c r="K78" s="34" t="s">
        <v>24</v>
      </c>
      <c r="L78" s="37"/>
      <c r="M78" s="38"/>
      <c r="N78" s="39">
        <v>1.83</v>
      </c>
      <c r="O78" s="40" t="s">
        <v>41</v>
      </c>
      <c r="P78" s="39">
        <v>14.5</v>
      </c>
      <c r="Q78" s="39">
        <v>872.6</v>
      </c>
    </row>
    <row r="79" spans="1:17" ht="15.75" hidden="1" customHeight="1" x14ac:dyDescent="0.25">
      <c r="A79" s="30" t="s">
        <v>340</v>
      </c>
      <c r="B79" s="31" t="s">
        <v>341</v>
      </c>
      <c r="C79" s="32" t="s">
        <v>342</v>
      </c>
      <c r="D79" s="33" t="s">
        <v>67</v>
      </c>
      <c r="E79" s="34" t="s">
        <v>34</v>
      </c>
      <c r="F79" s="34" t="s">
        <v>35</v>
      </c>
      <c r="G79" s="33" t="s">
        <v>50</v>
      </c>
      <c r="H79" s="35"/>
      <c r="I79" s="36" t="s">
        <v>176</v>
      </c>
      <c r="J79" s="34" t="s">
        <v>37</v>
      </c>
      <c r="K79" s="34" t="s">
        <v>24</v>
      </c>
      <c r="L79" s="37">
        <v>46259</v>
      </c>
      <c r="M79" s="38">
        <v>46257</v>
      </c>
      <c r="N79" s="39">
        <v>2.0</v>
      </c>
      <c r="O79" s="40" t="s">
        <v>41</v>
      </c>
      <c r="P79" s="39">
        <v>44.0</v>
      </c>
      <c r="Q79" s="39">
        <v>526.0</v>
      </c>
    </row>
    <row r="80" spans="1:17" ht="15.75" hidden="1" customHeight="1" x14ac:dyDescent="0.25">
      <c r="A80" s="30" t="s">
        <v>343</v>
      </c>
      <c r="B80" s="31" t="s">
        <v>344</v>
      </c>
      <c r="C80" s="32" t="s">
        <v>345</v>
      </c>
      <c r="D80" s="33" t="s">
        <v>72</v>
      </c>
      <c r="E80" s="34" t="s">
        <v>34</v>
      </c>
      <c r="F80" s="34" t="s">
        <v>35</v>
      </c>
      <c r="G80" s="33" t="s">
        <v>50</v>
      </c>
      <c r="H80" s="35"/>
      <c r="I80" s="36" t="s">
        <v>176</v>
      </c>
      <c r="J80" s="34" t="s">
        <v>37</v>
      </c>
      <c r="K80" s="34" t="s">
        <v>24</v>
      </c>
      <c r="L80" s="37">
        <v>46259</v>
      </c>
      <c r="M80" s="38">
        <v>46257</v>
      </c>
      <c r="N80" s="39">
        <v>2.0</v>
      </c>
      <c r="O80" s="40" t="s">
        <v>41</v>
      </c>
      <c r="P80" s="39">
        <v>12.5</v>
      </c>
      <c r="Q80" s="39">
        <v>786.6</v>
      </c>
    </row>
    <row r="81" spans="1:17" ht="15.75" hidden="1" customHeight="1" x14ac:dyDescent="0.25">
      <c r="A81" s="30" t="s">
        <v>346</v>
      </c>
      <c r="B81" s="31" t="s">
        <v>347</v>
      </c>
      <c r="C81" s="32" t="s">
        <v>348</v>
      </c>
      <c r="D81" s="33" t="s">
        <v>61</v>
      </c>
      <c r="E81" s="34" t="s">
        <v>34</v>
      </c>
      <c r="F81" s="34" t="s">
        <v>35</v>
      </c>
      <c r="G81" s="33" t="s">
        <v>50</v>
      </c>
      <c r="H81" s="35"/>
      <c r="I81" s="36" t="s">
        <v>176</v>
      </c>
      <c r="J81" s="34" t="s">
        <v>37</v>
      </c>
      <c r="K81" s="34" t="s">
        <v>24</v>
      </c>
      <c r="L81" s="37">
        <v>46259</v>
      </c>
      <c r="M81" s="38">
        <v>46257</v>
      </c>
      <c r="N81" s="39">
        <v>3.0</v>
      </c>
      <c r="O81" s="40" t="s">
        <v>41</v>
      </c>
      <c r="P81" s="39">
        <v>1.0</v>
      </c>
      <c r="Q81" s="39">
        <v>1.0</v>
      </c>
    </row>
    <row r="82" spans="1:17" ht="15.75" customHeight="1" x14ac:dyDescent="0.25">
      <c r="A82" s="30" t="s">
        <v>349</v>
      </c>
      <c r="B82" s="31" t="s">
        <v>350</v>
      </c>
      <c r="C82" s="32" t="s">
        <v>351</v>
      </c>
      <c r="D82" s="33" t="s">
        <v>185</v>
      </c>
      <c r="E82" s="34" t="s">
        <v>22</v>
      </c>
      <c r="F82" s="34" t="s">
        <v>35</v>
      </c>
      <c r="G82" s="33" t="s">
        <v>186</v>
      </c>
      <c r="H82" s="35" t="s">
        <v>51</v>
      </c>
      <c r="I82" s="36" t="s">
        <v>187</v>
      </c>
      <c r="J82" s="34" t="s">
        <v>37</v>
      </c>
      <c r="K82" s="34" t="s">
        <v>24</v>
      </c>
      <c r="L82" s="37"/>
      <c r="M82" s="38"/>
      <c r="N82" s="39">
        <v>0.5</v>
      </c>
      <c r="O82" s="40" t="s">
        <v>41</v>
      </c>
      <c r="P82" s="39"/>
      <c r="Q82" s="39"/>
    </row>
    <row r="83" spans="1:17" ht="15.75" customHeight="1" x14ac:dyDescent="0.25">
      <c r="A83" s="30" t="s">
        <v>352</v>
      </c>
      <c r="B83" s="31" t="s">
        <v>353</v>
      </c>
      <c r="C83" s="32" t="s">
        <v>354</v>
      </c>
      <c r="D83" s="33" t="s">
        <v>185</v>
      </c>
      <c r="E83" s="34" t="s">
        <v>34</v>
      </c>
      <c r="F83" s="34" t="s">
        <v>35</v>
      </c>
      <c r="G83" s="33" t="s">
        <v>186</v>
      </c>
      <c r="H83" s="35"/>
      <c r="I83" s="36" t="s">
        <v>187</v>
      </c>
      <c r="J83" s="34" t="s">
        <v>37</v>
      </c>
      <c r="K83" s="34" t="s">
        <v>24</v>
      </c>
      <c r="L83" s="37">
        <v>46260</v>
      </c>
      <c r="N83">
        <v>0.5</v>
      </c>
      <c r="O83" s="40" t="s">
        <v>41</v>
      </c>
      <c r="P83" s="39">
        <v>210.0</v>
      </c>
      <c r="Q83" s="39">
        <v>699.5</v>
      </c>
    </row>
    <row r="84" spans="1:17" ht="30" customHeight="1" x14ac:dyDescent="0.25">
      <c r="A84" s="30" t="s">
        <v>355</v>
      </c>
      <c r="B84" s="31" t="s">
        <v>356</v>
      </c>
      <c r="C84" s="32" t="s">
        <v>357</v>
      </c>
      <c r="D84" s="33" t="s">
        <v>185</v>
      </c>
      <c r="E84" s="34" t="s">
        <v>34</v>
      </c>
      <c r="F84" s="34" t="s">
        <v>35</v>
      </c>
      <c r="G84" s="33" t="s">
        <v>186</v>
      </c>
      <c r="H84" s="35"/>
      <c r="I84" s="36" t="s">
        <v>187</v>
      </c>
      <c r="J84" s="34" t="s">
        <v>37</v>
      </c>
      <c r="K84" s="34" t="s">
        <v>24</v>
      </c>
      <c r="L84" s="37">
        <v>46260</v>
      </c>
      <c r="N84">
        <v>38.0</v>
      </c>
      <c r="O84" s="40" t="s">
        <v>358</v>
      </c>
      <c r="P84" s="39">
        <v>255.0</v>
      </c>
      <c r="Q84" s="39">
        <v>865.9</v>
      </c>
    </row>
    <row r="85" spans="1:17" ht="15.75" customHeight="1" x14ac:dyDescent="0.25">
      <c r="A85" s="30" t="s">
        <v>359</v>
      </c>
      <c r="B85" s="31" t="s">
        <v>360</v>
      </c>
      <c r="C85" s="32" t="s">
        <v>361</v>
      </c>
      <c r="D85" s="33" t="s">
        <v>185</v>
      </c>
      <c r="E85" s="34" t="s">
        <v>22</v>
      </c>
      <c r="F85" s="34" t="s">
        <v>35</v>
      </c>
      <c r="G85" s="33" t="s">
        <v>50</v>
      </c>
      <c r="H85" s="35"/>
      <c r="I85" s="36" t="s">
        <v>362</v>
      </c>
      <c r="J85" s="34" t="s">
        <v>37</v>
      </c>
      <c r="K85" s="34" t="s">
        <v>24</v>
      </c>
      <c r="L85" s="37"/>
      <c r="M85" s="38"/>
      <c r="N85" s="39">
        <v>2.0</v>
      </c>
      <c r="O85" s="40" t="s">
        <v>358</v>
      </c>
      <c r="P85" s="39">
        <v>19.5</v>
      </c>
      <c r="Q85" s="39">
        <v>862.2</v>
      </c>
    </row>
    <row r="86" spans="1:17" ht="15.75" customHeight="1" x14ac:dyDescent="0.25">
      <c r="A86" s="30" t="s">
        <v>363</v>
      </c>
      <c r="B86" s="31" t="s">
        <v>364</v>
      </c>
      <c r="C86" s="32" t="s">
        <v>365</v>
      </c>
      <c r="D86" s="33" t="s">
        <v>185</v>
      </c>
      <c r="E86" s="34" t="s">
        <v>22</v>
      </c>
      <c r="F86" s="34" t="s">
        <v>35</v>
      </c>
      <c r="G86" s="33" t="s">
        <v>186</v>
      </c>
      <c r="H86" s="35"/>
      <c r="I86" s="36" t="s">
        <v>187</v>
      </c>
      <c r="J86" s="34" t="s">
        <v>37</v>
      </c>
      <c r="K86" s="34" t="s">
        <v>24</v>
      </c>
      <c r="L86" s="37"/>
      <c r="M86" s="38"/>
      <c r="N86" s="39">
        <v>0.0</v>
      </c>
      <c r="O86" s="40" t="s">
        <v>358</v>
      </c>
      <c r="P86" s="39">
        <v>2</v>
      </c>
      <c r="Q86" s="39">
        <v>867.8</v>
      </c>
    </row>
    <row r="87" spans="1:17" ht="15.75" hidden="1" customHeight="1" x14ac:dyDescent="0.25">
      <c r="A87" s="30" t="s">
        <v>366</v>
      </c>
      <c r="B87" s="31" t="s">
        <v>367</v>
      </c>
      <c r="C87" s="32" t="s">
        <v>368</v>
      </c>
      <c r="D87" s="33" t="s">
        <v>185</v>
      </c>
      <c r="E87" s="34" t="s">
        <v>34</v>
      </c>
      <c r="F87" s="34" t="s">
        <v>35</v>
      </c>
      <c r="G87" s="33" t="s">
        <v>186</v>
      </c>
      <c r="H87" s="35" t="s">
        <v>51</v>
      </c>
      <c r="I87" s="36" t="s">
        <v>187</v>
      </c>
      <c r="J87" s="34" t="s">
        <v>37</v>
      </c>
      <c r="K87" s="34" t="s">
        <v>24</v>
      </c>
      <c r="L87" s="37">
        <v>46259</v>
      </c>
      <c r="M87" s="38">
        <v>46257</v>
      </c>
      <c r="N87" s="39">
        <v>15.0</v>
      </c>
      <c r="O87" s="40" t="s">
        <v>358</v>
      </c>
      <c r="P87" s="39">
        <v>8.0</v>
      </c>
      <c r="Q87" s="39">
        <v>795.7</v>
      </c>
    </row>
    <row r="88" spans="1:17" ht="31.5" customHeight="1" x14ac:dyDescent="0.25">
      <c r="A88" s="30" t="s">
        <v>369</v>
      </c>
      <c r="B88" s="31" t="s">
        <v>370</v>
      </c>
      <c r="C88" s="32" t="s">
        <v>371</v>
      </c>
      <c r="D88" s="33" t="s">
        <v>61</v>
      </c>
      <c r="E88" s="34" t="s">
        <v>22</v>
      </c>
      <c r="F88" s="34" t="s">
        <v>35</v>
      </c>
      <c r="G88" s="33" t="s">
        <v>24</v>
      </c>
      <c r="H88" s="35"/>
      <c r="I88" s="36" t="s">
        <v>372</v>
      </c>
      <c r="J88" s="34" t="s">
        <v>37</v>
      </c>
      <c r="K88" s="34" t="s">
        <v>24</v>
      </c>
      <c r="L88" s="37"/>
      <c r="M88" s="38"/>
      <c r="N88" s="39">
        <v>0.25</v>
      </c>
      <c r="O88" s="40" t="s">
        <v>63</v>
      </c>
      <c r="P88" s="39"/>
      <c r="Q88" s="39">
        <v>195.8</v>
      </c>
    </row>
    <row r="89" spans="1:17" ht="15.75" hidden="1" customHeight="1" x14ac:dyDescent="0.25">
      <c r="A89" s="30" t="s">
        <v>373</v>
      </c>
      <c r="B89" s="31" t="s">
        <v>374</v>
      </c>
      <c r="C89" s="32" t="s">
        <v>375</v>
      </c>
      <c r="D89" s="33" t="s">
        <v>61</v>
      </c>
      <c r="E89" s="34" t="s">
        <v>34</v>
      </c>
      <c r="F89" s="34" t="s">
        <v>35</v>
      </c>
      <c r="G89" s="33" t="s">
        <v>83</v>
      </c>
      <c r="H89" s="35"/>
      <c r="I89" s="36" t="s">
        <v>36</v>
      </c>
      <c r="J89" s="34" t="s">
        <v>37</v>
      </c>
      <c r="K89" s="34" t="s">
        <v>24</v>
      </c>
      <c r="L89" s="37">
        <v>46223</v>
      </c>
      <c r="M89" s="38">
        <v>46223</v>
      </c>
      <c r="N89" s="39">
        <v>0.02</v>
      </c>
      <c r="O89" s="40" t="s">
        <v>63</v>
      </c>
      <c r="P89" s="39">
        <v>0.75</v>
      </c>
      <c r="Q89" s="39">
        <v>0.75</v>
      </c>
    </row>
    <row r="90" spans="1:17" ht="15.75" hidden="1" customHeight="1" x14ac:dyDescent="0.25">
      <c r="A90" s="30" t="s">
        <v>376</v>
      </c>
      <c r="B90" s="31" t="s">
        <v>377</v>
      </c>
      <c r="C90" s="32" t="s">
        <v>378</v>
      </c>
      <c r="D90" s="33" t="s">
        <v>72</v>
      </c>
      <c r="E90" s="34" t="s">
        <v>34</v>
      </c>
      <c r="F90" s="34" t="s">
        <v>35</v>
      </c>
      <c r="G90" s="33" t="s">
        <v>83</v>
      </c>
      <c r="H90" s="35"/>
      <c r="I90" s="36" t="s">
        <v>36</v>
      </c>
      <c r="J90" s="34" t="s">
        <v>37</v>
      </c>
      <c r="K90" s="34" t="s">
        <v>24</v>
      </c>
      <c r="L90" s="37">
        <v>46223</v>
      </c>
      <c r="M90" s="38">
        <v>46223</v>
      </c>
      <c r="N90" s="39">
        <v>3.3</v>
      </c>
      <c r="O90" s="40" t="s">
        <v>74</v>
      </c>
      <c r="P90" s="39">
        <v>0.75</v>
      </c>
      <c r="Q90" s="39">
        <v>0.75</v>
      </c>
    </row>
    <row r="91" spans="1:17" ht="15.75" hidden="1" customHeight="1" x14ac:dyDescent="0.25">
      <c r="A91" s="30" t="s">
        <v>379</v>
      </c>
      <c r="B91" s="31" t="s">
        <v>380</v>
      </c>
      <c r="C91" s="32" t="s">
        <v>381</v>
      </c>
      <c r="D91" s="33" t="s">
        <v>33</v>
      </c>
      <c r="E91" s="34" t="s">
        <v>34</v>
      </c>
      <c r="F91" s="34" t="s">
        <v>35</v>
      </c>
      <c r="G91" s="33" t="s">
        <v>208</v>
      </c>
      <c r="H91" s="35"/>
      <c r="I91" s="36" t="s">
        <v>36</v>
      </c>
      <c r="J91" s="34" t="s">
        <v>37</v>
      </c>
      <c r="K91" s="34" t="s">
        <v>24</v>
      </c>
      <c r="L91" s="37">
        <v>46225</v>
      </c>
      <c r="M91" s="38">
        <v>46225</v>
      </c>
      <c r="N91" s="39">
        <v>0.22</v>
      </c>
      <c r="O91" s="40" t="s">
        <v>226</v>
      </c>
      <c r="P91" s="39">
        <v>2.0</v>
      </c>
      <c r="Q91" s="39">
        <v>1.0</v>
      </c>
    </row>
    <row r="92" spans="1:17" ht="30" hidden="1" customHeight="1" x14ac:dyDescent="0.25">
      <c r="A92" s="30" t="s">
        <v>382</v>
      </c>
      <c r="B92" s="31" t="s">
        <v>383</v>
      </c>
      <c r="C92" s="32" t="s">
        <v>384</v>
      </c>
      <c r="D92" s="33" t="s">
        <v>33</v>
      </c>
      <c r="E92" s="34" t="s">
        <v>34</v>
      </c>
      <c r="F92" s="34" t="s">
        <v>35</v>
      </c>
      <c r="G92" s="33" t="s">
        <v>24</v>
      </c>
      <c r="H92" s="35"/>
      <c r="I92" s="36" t="s">
        <v>385</v>
      </c>
      <c r="J92" s="34" t="s">
        <v>37</v>
      </c>
      <c r="K92" s="34" t="s">
        <v>24</v>
      </c>
      <c r="L92" s="37">
        <v>46259</v>
      </c>
      <c r="M92" s="38">
        <v>46258</v>
      </c>
      <c r="N92" s="39">
        <v>3.25</v>
      </c>
      <c r="O92" s="40" t="s">
        <v>53</v>
      </c>
      <c r="P92" s="39">
        <v>54.5</v>
      </c>
      <c r="Q92" s="39">
        <v>874.8</v>
      </c>
    </row>
    <row r="93" spans="1:17" ht="15.75" hidden="1" customHeight="1" x14ac:dyDescent="0.25">
      <c r="A93" s="30" t="s">
        <v>386</v>
      </c>
      <c r="B93" s="31" t="s">
        <v>387</v>
      </c>
      <c r="C93" s="32" t="s">
        <v>388</v>
      </c>
      <c r="D93" s="33" t="s">
        <v>72</v>
      </c>
      <c r="E93" s="34" t="s">
        <v>34</v>
      </c>
      <c r="F93" s="34" t="s">
        <v>35</v>
      </c>
      <c r="G93" s="33" t="s">
        <v>83</v>
      </c>
      <c r="H93" s="35"/>
      <c r="I93" s="36" t="s">
        <v>83</v>
      </c>
      <c r="J93" s="34" t="s">
        <v>37</v>
      </c>
      <c r="K93" s="34" t="s">
        <v>24</v>
      </c>
      <c r="L93" s="37">
        <v>46223</v>
      </c>
      <c r="M93" s="38">
        <v>46223</v>
      </c>
      <c r="N93" s="39">
        <v>0.22</v>
      </c>
      <c r="O93" s="40" t="s">
        <v>84</v>
      </c>
      <c r="P93" s="39">
        <v>0.75</v>
      </c>
      <c r="Q93" s="39">
        <v>0.75</v>
      </c>
    </row>
    <row r="94" spans="1:17" ht="15.75" customHeight="1" x14ac:dyDescent="0.25">
      <c r="A94" s="30" t="s">
        <v>389</v>
      </c>
      <c r="B94" s="31" t="s">
        <v>390</v>
      </c>
      <c r="C94" s="32" t="s">
        <v>391</v>
      </c>
      <c r="D94" s="33" t="s">
        <v>21</v>
      </c>
      <c r="E94" s="34" t="s">
        <v>22</v>
      </c>
      <c r="F94" s="34" t="s">
        <v>141</v>
      </c>
      <c r="G94" s="33" t="s">
        <v>24</v>
      </c>
      <c r="H94" s="35"/>
      <c r="I94" s="36"/>
      <c r="J94" s="34"/>
      <c r="K94" s="34" t="s">
        <v>24</v>
      </c>
      <c r="L94" s="37"/>
      <c r="M94" s="38"/>
      <c r="N94" s="39">
        <v>38.0</v>
      </c>
      <c r="O94" s="40"/>
      <c r="P94" s="39">
        <v>22.5</v>
      </c>
      <c r="Q94" s="39">
        <v>557.5</v>
      </c>
    </row>
    <row r="95" spans="1:17" ht="15.75" hidden="1" customHeight="1" x14ac:dyDescent="0.25">
      <c r="A95" s="30" t="s">
        <v>392</v>
      </c>
      <c r="B95" s="31" t="s">
        <v>393</v>
      </c>
      <c r="C95" s="32" t="s">
        <v>394</v>
      </c>
      <c r="D95" s="33" t="s">
        <v>33</v>
      </c>
      <c r="E95" s="34" t="s">
        <v>34</v>
      </c>
      <c r="F95" s="34" t="s">
        <v>35</v>
      </c>
      <c r="G95" s="33" t="s">
        <v>208</v>
      </c>
      <c r="H95" s="35"/>
      <c r="I95" s="36" t="s">
        <v>208</v>
      </c>
      <c r="J95" s="34" t="s">
        <v>37</v>
      </c>
      <c r="K95" s="34" t="s">
        <v>24</v>
      </c>
      <c r="L95" s="37">
        <v>46225</v>
      </c>
      <c r="M95" s="38">
        <v>46225</v>
      </c>
      <c r="N95" s="39">
        <v>0.22</v>
      </c>
      <c r="O95" s="40" t="s">
        <v>395</v>
      </c>
      <c r="P95" s="39">
        <v>9.0</v>
      </c>
      <c r="Q95" s="39">
        <v>3.08</v>
      </c>
    </row>
    <row r="96" spans="1:17" ht="15.75" hidden="1" customHeight="1" x14ac:dyDescent="0.25">
      <c r="A96" s="30" t="s">
        <v>396</v>
      </c>
      <c r="B96" s="31" t="s">
        <v>397</v>
      </c>
      <c r="C96" s="32" t="s">
        <v>398</v>
      </c>
      <c r="D96" s="33" t="s">
        <v>49</v>
      </c>
      <c r="E96" s="34" t="s">
        <v>34</v>
      </c>
      <c r="F96" s="34" t="s">
        <v>35</v>
      </c>
      <c r="G96" s="33" t="s">
        <v>50</v>
      </c>
      <c r="H96" s="35"/>
      <c r="I96" s="36"/>
      <c r="J96" s="34" t="s">
        <v>37</v>
      </c>
      <c r="K96" s="34" t="s">
        <v>25</v>
      </c>
      <c r="L96" s="37">
        <v>46252</v>
      </c>
      <c r="M96" s="38">
        <v>46243</v>
      </c>
      <c r="N96" s="39">
        <v>0.22</v>
      </c>
      <c r="O96" s="40" t="s">
        <v>399</v>
      </c>
      <c r="P96" s="39">
        <v>1.0</v>
      </c>
      <c r="Q96" s="39">
        <v>1.0</v>
      </c>
    </row>
    <row r="97" spans="1:17" ht="15.75" hidden="1" customHeight="1" x14ac:dyDescent="0.25">
      <c r="A97" s="30" t="s">
        <v>400</v>
      </c>
      <c r="B97" s="31" t="s">
        <v>401</v>
      </c>
      <c r="C97" s="32" t="s">
        <v>402</v>
      </c>
      <c r="D97" s="33" t="s">
        <v>49</v>
      </c>
      <c r="E97" s="34" t="s">
        <v>34</v>
      </c>
      <c r="F97" s="34" t="s">
        <v>35</v>
      </c>
      <c r="G97" s="33" t="s">
        <v>24</v>
      </c>
      <c r="H97" s="35"/>
      <c r="I97" s="36"/>
      <c r="J97" s="34" t="s">
        <v>37</v>
      </c>
      <c r="K97" s="34" t="s">
        <v>25</v>
      </c>
      <c r="L97" s="37">
        <v>46223</v>
      </c>
      <c r="M97" s="38">
        <v>46223</v>
      </c>
      <c r="N97" s="39">
        <v>0.55</v>
      </c>
      <c r="O97" s="40" t="s">
        <v>399</v>
      </c>
      <c r="P97" s="39">
        <v>10.0</v>
      </c>
      <c r="Q97" s="39">
        <v>4.37</v>
      </c>
    </row>
    <row r="98" spans="1:17" ht="15.75" customHeight="1" x14ac:dyDescent="0.25">
      <c r="A98" s="30" t="s">
        <v>403</v>
      </c>
      <c r="B98" s="31" t="s">
        <v>404</v>
      </c>
      <c r="C98" s="32" t="s">
        <v>405</v>
      </c>
      <c r="D98" s="33" t="s">
        <v>33</v>
      </c>
      <c r="E98" s="34" t="s">
        <v>22</v>
      </c>
      <c r="F98" s="34" t="s">
        <v>35</v>
      </c>
      <c r="G98" s="33" t="s">
        <v>24</v>
      </c>
      <c r="H98" s="35"/>
      <c r="I98" s="36" t="s">
        <v>326</v>
      </c>
      <c r="J98" s="34" t="s">
        <v>37</v>
      </c>
      <c r="K98" s="34" t="s">
        <v>24</v>
      </c>
      <c r="L98" s="37"/>
      <c r="M98" s="38"/>
      <c r="N98" s="39">
        <v>1.98</v>
      </c>
      <c r="O98" s="40" t="s">
        <v>406</v>
      </c>
      <c r="P98" s="39">
        <v>45</v>
      </c>
      <c r="Q98" s="39">
        <v>890.5</v>
      </c>
    </row>
    <row r="99" spans="1:17" ht="15.75" customHeight="1" x14ac:dyDescent="0.25">
      <c r="A99" s="30" t="s">
        <v>407</v>
      </c>
      <c r="B99" s="31" t="s">
        <v>408</v>
      </c>
      <c r="C99" s="32" t="s">
        <v>409</v>
      </c>
      <c r="D99" s="33" t="s">
        <v>33</v>
      </c>
      <c r="E99" s="34" t="s">
        <v>22</v>
      </c>
      <c r="F99" s="34" t="s">
        <v>35</v>
      </c>
      <c r="G99" s="33" t="s">
        <v>24</v>
      </c>
      <c r="H99" s="35"/>
      <c r="I99" s="36" t="s">
        <v>326</v>
      </c>
      <c r="J99" s="34" t="s">
        <v>37</v>
      </c>
      <c r="K99" s="34" t="s">
        <v>24</v>
      </c>
      <c r="L99" s="37"/>
      <c r="M99" s="38"/>
      <c r="N99" s="39">
        <v>2.42</v>
      </c>
      <c r="O99" s="40" t="s">
        <v>410</v>
      </c>
      <c r="P99" s="39">
        <v>48.5</v>
      </c>
      <c r="Q99" s="39">
        <v>893.9</v>
      </c>
    </row>
    <row r="100" spans="1:17" ht="15.75" hidden="1" customHeight="1" x14ac:dyDescent="0.25">
      <c r="A100" s="30" t="s">
        <v>411</v>
      </c>
      <c r="B100" s="31" t="s">
        <v>412</v>
      </c>
      <c r="C100" s="32" t="s">
        <v>413</v>
      </c>
      <c r="D100" s="33" t="s">
        <v>49</v>
      </c>
      <c r="E100" s="34" t="s">
        <v>34</v>
      </c>
      <c r="F100" s="34" t="s">
        <v>35</v>
      </c>
      <c r="G100" s="33" t="s">
        <v>24</v>
      </c>
      <c r="H100" s="35"/>
      <c r="I100" s="36" t="s">
        <v>36</v>
      </c>
      <c r="J100" s="34" t="s">
        <v>37</v>
      </c>
      <c r="K100" s="34" t="s">
        <v>25</v>
      </c>
      <c r="L100" s="37">
        <v>46223</v>
      </c>
      <c r="M100" s="38">
        <v>46223</v>
      </c>
      <c r="N100" s="39">
        <v>2.25</v>
      </c>
      <c r="O100" s="40" t="s">
        <v>414</v>
      </c>
      <c r="P100" s="39">
        <v>3.5</v>
      </c>
      <c r="Q100" s="39">
        <v>1.65</v>
      </c>
    </row>
    <row r="101" spans="1:17" ht="15.75" hidden="1" customHeight="1" x14ac:dyDescent="0.25">
      <c r="A101" s="30" t="s">
        <v>415</v>
      </c>
      <c r="B101" s="31" t="s">
        <v>416</v>
      </c>
      <c r="C101" s="32" t="s">
        <v>417</v>
      </c>
      <c r="D101" s="33" t="s">
        <v>33</v>
      </c>
      <c r="E101" s="34" t="s">
        <v>34</v>
      </c>
      <c r="F101" s="34" t="s">
        <v>35</v>
      </c>
      <c r="G101" s="33" t="s">
        <v>24</v>
      </c>
      <c r="H101" s="35"/>
      <c r="I101" s="36" t="s">
        <v>36</v>
      </c>
      <c r="J101" s="34" t="s">
        <v>37</v>
      </c>
      <c r="K101" s="34" t="s">
        <v>24</v>
      </c>
      <c r="L101" s="37">
        <v>46222</v>
      </c>
      <c r="M101" s="38">
        <v>46222</v>
      </c>
      <c r="N101" s="39">
        <v>0.43</v>
      </c>
      <c r="O101" s="40" t="s">
        <v>257</v>
      </c>
      <c r="P101" s="39">
        <v>3.5</v>
      </c>
      <c r="Q101" s="39">
        <v>3.27</v>
      </c>
    </row>
    <row r="102" spans="1:17" ht="15.75" hidden="1" customHeight="1" x14ac:dyDescent="0.25">
      <c r="A102" s="30" t="s">
        <v>418</v>
      </c>
      <c r="B102" s="31" t="s">
        <v>419</v>
      </c>
      <c r="C102" s="32" t="s">
        <v>420</v>
      </c>
      <c r="D102" s="33" t="s">
        <v>72</v>
      </c>
      <c r="E102" s="34" t="s">
        <v>34</v>
      </c>
      <c r="F102" s="34" t="s">
        <v>35</v>
      </c>
      <c r="G102" s="33" t="s">
        <v>157</v>
      </c>
      <c r="H102" s="35" t="s">
        <v>51</v>
      </c>
      <c r="I102" s="36" t="s">
        <v>421</v>
      </c>
      <c r="J102" s="34" t="s">
        <v>37</v>
      </c>
      <c r="K102" s="34" t="s">
        <v>24</v>
      </c>
      <c r="L102" s="37">
        <v>46259</v>
      </c>
      <c r="M102" s="38">
        <v>46258</v>
      </c>
      <c r="N102" s="39">
        <v>10.0</v>
      </c>
      <c r="O102" s="40" t="s">
        <v>422</v>
      </c>
      <c r="P102" s="39">
        <v>3.0</v>
      </c>
      <c r="Q102" s="39">
        <v>216.4</v>
      </c>
    </row>
    <row r="103" spans="1:17" ht="15.75" hidden="1" customHeight="1" x14ac:dyDescent="0.25">
      <c r="A103" s="30" t="s">
        <v>423</v>
      </c>
      <c r="B103" s="31" t="s">
        <v>424</v>
      </c>
      <c r="C103" s="32" t="s">
        <v>425</v>
      </c>
      <c r="D103" s="33" t="s">
        <v>21</v>
      </c>
      <c r="E103" s="34" t="s">
        <v>34</v>
      </c>
      <c r="F103" s="34" t="s">
        <v>35</v>
      </c>
      <c r="G103" s="33" t="s">
        <v>157</v>
      </c>
      <c r="H103" s="35" t="s">
        <v>51</v>
      </c>
      <c r="I103" s="36" t="s">
        <v>157</v>
      </c>
      <c r="J103" s="34" t="s">
        <v>37</v>
      </c>
      <c r="K103" s="34" t="s">
        <v>24</v>
      </c>
      <c r="L103" s="37">
        <v>46252</v>
      </c>
      <c r="M103" s="38">
        <v>46250</v>
      </c>
      <c r="N103" s="39">
        <v>0.65</v>
      </c>
      <c r="O103" s="40" t="s">
        <v>426</v>
      </c>
      <c r="P103" s="39">
        <v>4.5</v>
      </c>
      <c r="Q103" s="39">
        <v>4.0</v>
      </c>
    </row>
    <row r="104" spans="1:17" ht="30" hidden="1" customHeight="1" x14ac:dyDescent="0.25">
      <c r="A104" s="30" t="s">
        <v>427</v>
      </c>
      <c r="B104" s="31" t="s">
        <v>428</v>
      </c>
      <c r="C104" s="32" t="s">
        <v>429</v>
      </c>
      <c r="D104" s="33" t="s">
        <v>96</v>
      </c>
      <c r="E104" s="34" t="s">
        <v>34</v>
      </c>
      <c r="F104" s="34" t="s">
        <v>35</v>
      </c>
      <c r="G104" s="33" t="s">
        <v>50</v>
      </c>
      <c r="H104" s="35" t="s">
        <v>51</v>
      </c>
      <c r="I104" s="36" t="s">
        <v>326</v>
      </c>
      <c r="J104" s="34" t="s">
        <v>37</v>
      </c>
      <c r="K104" s="34" t="s">
        <v>25</v>
      </c>
      <c r="L104" s="37">
        <v>46252</v>
      </c>
      <c r="M104" s="38">
        <v>46245</v>
      </c>
      <c r="N104" s="39">
        <v>5.0</v>
      </c>
      <c r="O104" s="40" t="s">
        <v>430</v>
      </c>
      <c r="P104" s="39">
        <v>54.0</v>
      </c>
      <c r="Q104" s="39">
        <v>220.4</v>
      </c>
    </row>
    <row r="105" spans="1:17" ht="15.75" customHeight="1" x14ac:dyDescent="0.25">
      <c r="A105" s="30" t="s">
        <v>431</v>
      </c>
      <c r="B105" s="31" t="s">
        <v>432</v>
      </c>
      <c r="C105" s="32" t="s">
        <v>433</v>
      </c>
      <c r="D105" s="33" t="s">
        <v>96</v>
      </c>
      <c r="E105" s="34" t="s">
        <v>22</v>
      </c>
      <c r="F105" s="34" t="s">
        <v>35</v>
      </c>
      <c r="G105" s="33" t="s">
        <v>50</v>
      </c>
      <c r="H105" s="35"/>
      <c r="I105" s="36" t="s">
        <v>326</v>
      </c>
      <c r="J105" s="34" t="s">
        <v>37</v>
      </c>
      <c r="K105" s="34" t="s">
        <v>24</v>
      </c>
      <c r="L105" s="37"/>
      <c r="M105" s="38"/>
      <c r="N105" s="39">
        <v>0.0</v>
      </c>
      <c r="O105" s="40" t="s">
        <v>430</v>
      </c>
      <c r="P105" s="39">
        <v>9</v>
      </c>
      <c r="Q105" s="39">
        <v>697.9</v>
      </c>
    </row>
    <row r="106" spans="1:17" ht="30" hidden="1" customHeight="1" x14ac:dyDescent="0.25">
      <c r="A106" s="30" t="s">
        <v>434</v>
      </c>
      <c r="B106" s="31" t="s">
        <v>435</v>
      </c>
      <c r="C106" s="32" t="s">
        <v>436</v>
      </c>
      <c r="D106" s="33" t="s">
        <v>96</v>
      </c>
      <c r="E106" s="34" t="s">
        <v>34</v>
      </c>
      <c r="F106" s="34" t="s">
        <v>35</v>
      </c>
      <c r="G106" s="33" t="s">
        <v>50</v>
      </c>
      <c r="H106" s="35" t="s">
        <v>51</v>
      </c>
      <c r="I106" s="36" t="s">
        <v>326</v>
      </c>
      <c r="J106" s="34" t="s">
        <v>37</v>
      </c>
      <c r="K106" s="34" t="s">
        <v>25</v>
      </c>
      <c r="L106" s="37">
        <v>46252</v>
      </c>
      <c r="M106" s="38">
        <v>46245</v>
      </c>
      <c r="N106" s="39">
        <v>5.0</v>
      </c>
      <c r="O106" s="40" t="s">
        <v>430</v>
      </c>
      <c r="P106" s="39">
        <v>58.5</v>
      </c>
      <c r="Q106" s="39">
        <v>220.8</v>
      </c>
    </row>
    <row r="107" spans="1:17" ht="30" hidden="1" customHeight="1" x14ac:dyDescent="0.25">
      <c r="A107" s="30" t="s">
        <v>437</v>
      </c>
      <c r="B107" s="31" t="s">
        <v>438</v>
      </c>
      <c r="C107" s="32" t="s">
        <v>439</v>
      </c>
      <c r="D107" s="33" t="s">
        <v>96</v>
      </c>
      <c r="E107" s="34" t="s">
        <v>34</v>
      </c>
      <c r="F107" s="34" t="s">
        <v>35</v>
      </c>
      <c r="G107" s="33" t="s">
        <v>50</v>
      </c>
      <c r="H107" s="35" t="s">
        <v>51</v>
      </c>
      <c r="I107" s="36" t="s">
        <v>326</v>
      </c>
      <c r="J107" s="34" t="s">
        <v>37</v>
      </c>
      <c r="K107" s="34" t="s">
        <v>29</v>
      </c>
      <c r="L107" s="37">
        <v>46252</v>
      </c>
      <c r="M107" s="38">
        <v>46245</v>
      </c>
      <c r="N107" s="39">
        <v>5.0</v>
      </c>
      <c r="O107" s="40" t="s">
        <v>430</v>
      </c>
      <c r="P107" s="39">
        <v>68.3</v>
      </c>
      <c r="Q107" s="39">
        <v>87.3</v>
      </c>
    </row>
    <row r="108" spans="1:17" ht="15.75" customHeight="1" x14ac:dyDescent="0.25">
      <c r="A108" s="30" t="s">
        <v>440</v>
      </c>
      <c r="B108" s="31" t="s">
        <v>441</v>
      </c>
      <c r="C108" s="32" t="s">
        <v>442</v>
      </c>
      <c r="D108" s="33" t="s">
        <v>96</v>
      </c>
      <c r="E108" s="34" t="s">
        <v>34</v>
      </c>
      <c r="F108" s="34" t="s">
        <v>35</v>
      </c>
      <c r="G108" s="33" t="s">
        <v>50</v>
      </c>
      <c r="H108" s="35" t="s">
        <v>51</v>
      </c>
      <c r="I108" s="36" t="s">
        <v>326</v>
      </c>
      <c r="J108" s="34" t="s">
        <v>37</v>
      </c>
      <c r="K108" s="34" t="s">
        <v>25</v>
      </c>
      <c r="L108" s="37">
        <v>46260</v>
      </c>
      <c r="N108">
        <v>1.53</v>
      </c>
      <c r="O108" s="40" t="s">
        <v>430</v>
      </c>
      <c r="P108" s="39">
        <v>75.5</v>
      </c>
      <c r="Q108" s="39">
        <v>649.1</v>
      </c>
    </row>
    <row r="109" spans="1:17" ht="15.75" customHeight="1" x14ac:dyDescent="0.25">
      <c r="A109" s="30" t="s">
        <v>443</v>
      </c>
      <c r="B109" s="31" t="s">
        <v>444</v>
      </c>
      <c r="C109" s="32" t="s">
        <v>445</v>
      </c>
      <c r="D109" s="33" t="s">
        <v>96</v>
      </c>
      <c r="E109" s="34" t="s">
        <v>22</v>
      </c>
      <c r="F109" s="34" t="s">
        <v>35</v>
      </c>
      <c r="G109" s="33" t="s">
        <v>50</v>
      </c>
      <c r="H109" s="35" t="s">
        <v>51</v>
      </c>
      <c r="I109" s="36" t="s">
        <v>326</v>
      </c>
      <c r="J109" s="34" t="s">
        <v>37</v>
      </c>
      <c r="K109" s="34" t="s">
        <v>25</v>
      </c>
      <c r="L109" s="37"/>
      <c r="M109" s="38"/>
      <c r="N109" s="39">
        <v>0.53</v>
      </c>
      <c r="O109" s="40" t="s">
        <v>430</v>
      </c>
      <c r="P109" s="39">
        <v>5.5</v>
      </c>
      <c r="Q109" s="39">
        <v>664.9</v>
      </c>
    </row>
    <row r="110" spans="1:17" ht="15.75" hidden="1" customHeight="1" x14ac:dyDescent="0.25">
      <c r="A110" s="30" t="s">
        <v>446</v>
      </c>
      <c r="B110" s="31" t="s">
        <v>447</v>
      </c>
      <c r="C110" s="32" t="s">
        <v>448</v>
      </c>
      <c r="D110" s="33" t="s">
        <v>96</v>
      </c>
      <c r="E110" s="34" t="s">
        <v>34</v>
      </c>
      <c r="F110" s="34" t="s">
        <v>35</v>
      </c>
      <c r="G110" s="33" t="s">
        <v>50</v>
      </c>
      <c r="H110" s="35" t="s">
        <v>51</v>
      </c>
      <c r="I110" s="36" t="s">
        <v>326</v>
      </c>
      <c r="J110" s="34" t="s">
        <v>37</v>
      </c>
      <c r="K110" s="34" t="s">
        <v>29</v>
      </c>
      <c r="L110" s="37">
        <v>46259</v>
      </c>
      <c r="M110" s="38">
        <v>46258</v>
      </c>
      <c r="N110" s="39">
        <v>1.53</v>
      </c>
      <c r="O110" s="40" t="s">
        <v>430</v>
      </c>
      <c r="P110" s="39">
        <v>37.5</v>
      </c>
      <c r="Q110" s="39">
        <v>527.8</v>
      </c>
    </row>
    <row r="111" spans="1:17" ht="15.75" hidden="1" customHeight="1" x14ac:dyDescent="0.25">
      <c r="A111" s="30" t="s">
        <v>449</v>
      </c>
      <c r="B111" s="31" t="s">
        <v>450</v>
      </c>
      <c r="C111" s="32" t="s">
        <v>451</v>
      </c>
      <c r="D111" s="33" t="s">
        <v>96</v>
      </c>
      <c r="E111" s="34" t="s">
        <v>34</v>
      </c>
      <c r="F111" s="34" t="s">
        <v>35</v>
      </c>
      <c r="G111" s="33" t="s">
        <v>50</v>
      </c>
      <c r="H111" s="35" t="s">
        <v>51</v>
      </c>
      <c r="I111" s="36" t="s">
        <v>326</v>
      </c>
      <c r="J111" s="34" t="s">
        <v>37</v>
      </c>
      <c r="K111" s="34" t="s">
        <v>29</v>
      </c>
      <c r="L111" s="37">
        <v>46256</v>
      </c>
      <c r="M111" s="38">
        <v>46254</v>
      </c>
      <c r="N111" s="39">
        <v>1.53</v>
      </c>
      <c r="O111" s="40" t="s">
        <v>430</v>
      </c>
      <c r="P111" s="39">
        <v>33.5</v>
      </c>
      <c r="Q111" s="39">
        <v>534.8</v>
      </c>
    </row>
    <row r="112" spans="1:17" ht="30" hidden="1" customHeight="1" x14ac:dyDescent="0.25">
      <c r="A112" s="30" t="s">
        <v>452</v>
      </c>
      <c r="B112" s="31" t="s">
        <v>453</v>
      </c>
      <c r="C112" s="32" t="s">
        <v>454</v>
      </c>
      <c r="D112" s="33" t="s">
        <v>96</v>
      </c>
      <c r="E112" s="34" t="s">
        <v>34</v>
      </c>
      <c r="F112" s="34" t="s">
        <v>35</v>
      </c>
      <c r="G112" s="33" t="s">
        <v>50</v>
      </c>
      <c r="H112" s="35" t="s">
        <v>51</v>
      </c>
      <c r="I112" s="36" t="s">
        <v>326</v>
      </c>
      <c r="J112" s="34" t="s">
        <v>37</v>
      </c>
      <c r="K112" s="34" t="s">
        <v>29</v>
      </c>
      <c r="L112" s="37">
        <v>46252</v>
      </c>
      <c r="M112" s="38">
        <v>46251</v>
      </c>
      <c r="N112" s="39">
        <v>5.0</v>
      </c>
      <c r="O112" s="40" t="s">
        <v>430</v>
      </c>
      <c r="P112" s="39">
        <v>23.75</v>
      </c>
      <c r="Q112" s="39">
        <v>157.7</v>
      </c>
    </row>
    <row r="113" spans="1:17" ht="15.75" hidden="1" customHeight="1" x14ac:dyDescent="0.25">
      <c r="A113" s="30" t="s">
        <v>455</v>
      </c>
      <c r="B113" s="31" t="s">
        <v>456</v>
      </c>
      <c r="C113" s="32" t="s">
        <v>457</v>
      </c>
      <c r="D113" s="33" t="s">
        <v>96</v>
      </c>
      <c r="E113" s="34" t="s">
        <v>34</v>
      </c>
      <c r="F113" s="34" t="s">
        <v>35</v>
      </c>
      <c r="G113" s="33" t="s">
        <v>50</v>
      </c>
      <c r="H113" s="35"/>
      <c r="I113" s="36" t="s">
        <v>326</v>
      </c>
      <c r="J113" s="34" t="s">
        <v>37</v>
      </c>
      <c r="K113" s="34" t="s">
        <v>24</v>
      </c>
      <c r="L113" s="37">
        <v>46229</v>
      </c>
      <c r="M113" s="38">
        <v>46229</v>
      </c>
      <c r="N113" s="39">
        <v>0.87</v>
      </c>
      <c r="O113" s="40" t="s">
        <v>430</v>
      </c>
      <c r="P113" s="39">
        <v>7.5</v>
      </c>
      <c r="Q113" s="39">
        <v>2.5</v>
      </c>
    </row>
    <row r="114" spans="1:17" ht="15.75" hidden="1" customHeight="1" x14ac:dyDescent="0.25">
      <c r="A114" s="30" t="s">
        <v>458</v>
      </c>
      <c r="B114" s="31" t="s">
        <v>459</v>
      </c>
      <c r="C114" s="32" t="s">
        <v>460</v>
      </c>
      <c r="D114" s="33" t="s">
        <v>96</v>
      </c>
      <c r="E114" s="34" t="s">
        <v>34</v>
      </c>
      <c r="F114" s="34" t="s">
        <v>35</v>
      </c>
      <c r="G114" s="33" t="s">
        <v>50</v>
      </c>
      <c r="H114" s="35"/>
      <c r="I114" s="36" t="s">
        <v>326</v>
      </c>
      <c r="J114" s="34" t="s">
        <v>37</v>
      </c>
      <c r="K114" s="34" t="s">
        <v>24</v>
      </c>
      <c r="L114" s="37">
        <v>46229</v>
      </c>
      <c r="M114" s="38">
        <v>46229</v>
      </c>
      <c r="N114" s="39">
        <v>1.75</v>
      </c>
      <c r="O114" s="40" t="s">
        <v>430</v>
      </c>
      <c r="P114" s="39">
        <v>8.5</v>
      </c>
      <c r="Q114" s="39">
        <v>3.43</v>
      </c>
    </row>
    <row r="115" spans="1:17" ht="15.75" customHeight="1" x14ac:dyDescent="0.25">
      <c r="A115" s="30" t="s">
        <v>461</v>
      </c>
      <c r="B115" s="31" t="s">
        <v>462</v>
      </c>
      <c r="C115" s="32" t="s">
        <v>463</v>
      </c>
      <c r="D115" s="33" t="s">
        <v>96</v>
      </c>
      <c r="E115" s="34" t="s">
        <v>22</v>
      </c>
      <c r="F115" s="34" t="s">
        <v>35</v>
      </c>
      <c r="G115" s="33" t="s">
        <v>50</v>
      </c>
      <c r="H115" s="35"/>
      <c r="I115" s="36" t="s">
        <v>326</v>
      </c>
      <c r="J115" s="34" t="s">
        <v>37</v>
      </c>
      <c r="K115" s="34" t="s">
        <v>25</v>
      </c>
      <c r="L115" s="37"/>
      <c r="M115" s="38"/>
      <c r="N115" s="39">
        <v>0.43</v>
      </c>
      <c r="O115" s="40" t="s">
        <v>430</v>
      </c>
      <c r="P115" s="39">
        <v>7.5</v>
      </c>
      <c r="Q115" s="39">
        <v>745.6</v>
      </c>
    </row>
    <row r="116" spans="1:17" ht="15.75" hidden="1" customHeight="1" x14ac:dyDescent="0.25">
      <c r="A116" s="30" t="s">
        <v>464</v>
      </c>
      <c r="B116" s="31" t="s">
        <v>465</v>
      </c>
      <c r="C116" s="32" t="s">
        <v>466</v>
      </c>
      <c r="D116" s="33" t="s">
        <v>96</v>
      </c>
      <c r="E116" s="34" t="s">
        <v>34</v>
      </c>
      <c r="F116" s="34" t="s">
        <v>35</v>
      </c>
      <c r="G116" s="33" t="s">
        <v>50</v>
      </c>
      <c r="H116" s="35"/>
      <c r="I116" s="36" t="s">
        <v>326</v>
      </c>
      <c r="J116" s="34" t="s">
        <v>37</v>
      </c>
      <c r="K116" s="34" t="s">
        <v>29</v>
      </c>
      <c r="L116" s="37">
        <v>46256</v>
      </c>
      <c r="M116" s="38">
        <v>46254</v>
      </c>
      <c r="N116" s="39">
        <v>0.87</v>
      </c>
      <c r="O116" s="40" t="s">
        <v>430</v>
      </c>
      <c r="P116" s="39">
        <v>23.17</v>
      </c>
      <c r="Q116" s="39">
        <v>601.0</v>
      </c>
    </row>
    <row r="117" spans="1:17" ht="15.75" hidden="1" customHeight="1" x14ac:dyDescent="0.25">
      <c r="A117" s="30" t="s">
        <v>467</v>
      </c>
      <c r="B117" s="31" t="s">
        <v>468</v>
      </c>
      <c r="C117" s="32" t="s">
        <v>469</v>
      </c>
      <c r="D117" s="33" t="s">
        <v>96</v>
      </c>
      <c r="E117" s="34" t="s">
        <v>34</v>
      </c>
      <c r="F117" s="34" t="s">
        <v>35</v>
      </c>
      <c r="G117" s="33" t="s">
        <v>50</v>
      </c>
      <c r="H117" s="35"/>
      <c r="I117" s="36" t="s">
        <v>326</v>
      </c>
      <c r="J117" s="34" t="s">
        <v>37</v>
      </c>
      <c r="K117" s="34" t="s">
        <v>24</v>
      </c>
      <c r="L117" s="37">
        <v>46229</v>
      </c>
      <c r="M117" s="38">
        <v>46229</v>
      </c>
      <c r="N117" s="39">
        <v>0.87</v>
      </c>
      <c r="O117" s="40" t="s">
        <v>430</v>
      </c>
      <c r="P117" s="39">
        <v>11.5</v>
      </c>
      <c r="Q117" s="39">
        <v>3.87</v>
      </c>
    </row>
    <row r="118" spans="1:17" ht="15.75" hidden="1" customHeight="1" x14ac:dyDescent="0.25">
      <c r="A118" s="30" t="s">
        <v>470</v>
      </c>
      <c r="B118" s="31" t="s">
        <v>471</v>
      </c>
      <c r="C118" s="32" t="s">
        <v>472</v>
      </c>
      <c r="D118" s="33" t="s">
        <v>96</v>
      </c>
      <c r="E118" s="34" t="s">
        <v>34</v>
      </c>
      <c r="F118" s="34" t="s">
        <v>35</v>
      </c>
      <c r="G118" s="33" t="s">
        <v>50</v>
      </c>
      <c r="H118" s="35"/>
      <c r="I118" s="36" t="s">
        <v>326</v>
      </c>
      <c r="J118" s="34" t="s">
        <v>37</v>
      </c>
      <c r="K118" s="34" t="s">
        <v>24</v>
      </c>
      <c r="L118" s="37">
        <v>46229</v>
      </c>
      <c r="M118" s="38">
        <v>46229</v>
      </c>
      <c r="N118" s="39">
        <v>0.87</v>
      </c>
      <c r="O118" s="40" t="s">
        <v>430</v>
      </c>
      <c r="P118" s="39">
        <v>7.5</v>
      </c>
      <c r="Q118" s="39">
        <v>4.58</v>
      </c>
    </row>
    <row r="119" spans="1:17" ht="15.75" hidden="1" customHeight="1" x14ac:dyDescent="0.25">
      <c r="A119" s="30" t="s">
        <v>473</v>
      </c>
      <c r="B119" s="31" t="s">
        <v>474</v>
      </c>
      <c r="C119" s="32" t="s">
        <v>475</v>
      </c>
      <c r="D119" s="33" t="s">
        <v>96</v>
      </c>
      <c r="E119" s="34" t="s">
        <v>34</v>
      </c>
      <c r="F119" s="34" t="s">
        <v>35</v>
      </c>
      <c r="G119" s="33" t="s">
        <v>50</v>
      </c>
      <c r="H119" s="35"/>
      <c r="I119" s="36" t="s">
        <v>326</v>
      </c>
      <c r="J119" s="34" t="s">
        <v>37</v>
      </c>
      <c r="K119" s="34" t="s">
        <v>24</v>
      </c>
      <c r="L119" s="37">
        <v>46229</v>
      </c>
      <c r="M119" s="38">
        <v>46229</v>
      </c>
      <c r="N119" s="39">
        <v>0.43</v>
      </c>
      <c r="O119" s="40" t="s">
        <v>430</v>
      </c>
      <c r="P119" s="39">
        <v>8.0</v>
      </c>
      <c r="Q119" s="39">
        <v>5.37</v>
      </c>
    </row>
    <row r="120" spans="1:17" ht="15.75" customHeight="1" x14ac:dyDescent="0.25">
      <c r="A120" s="30" t="s">
        <v>476</v>
      </c>
      <c r="B120" s="31" t="s">
        <v>477</v>
      </c>
      <c r="C120" s="32" t="s">
        <v>478</v>
      </c>
      <c r="D120" s="33" t="s">
        <v>96</v>
      </c>
      <c r="E120" s="34" t="s">
        <v>22</v>
      </c>
      <c r="F120" s="34" t="s">
        <v>35</v>
      </c>
      <c r="G120" s="33" t="s">
        <v>50</v>
      </c>
      <c r="H120" s="35" t="s">
        <v>51</v>
      </c>
      <c r="I120" s="36" t="s">
        <v>326</v>
      </c>
      <c r="J120" s="34" t="s">
        <v>37</v>
      </c>
      <c r="K120" s="34" t="s">
        <v>24</v>
      </c>
      <c r="L120" s="37"/>
      <c r="M120" s="38"/>
      <c r="N120" s="39">
        <v>0.0</v>
      </c>
      <c r="O120" s="40" t="s">
        <v>430</v>
      </c>
      <c r="P120" s="39">
        <v>28</v>
      </c>
      <c r="Q120" s="39">
        <v>650.0</v>
      </c>
    </row>
    <row r="121" spans="1:17" ht="15.75" hidden="1" customHeight="1" x14ac:dyDescent="0.25">
      <c r="A121" s="30" t="s">
        <v>479</v>
      </c>
      <c r="B121" s="31" t="s">
        <v>480</v>
      </c>
      <c r="C121" s="32" t="s">
        <v>481</v>
      </c>
      <c r="D121" s="33" t="s">
        <v>96</v>
      </c>
      <c r="E121" s="34" t="s">
        <v>34</v>
      </c>
      <c r="F121" s="34" t="s">
        <v>35</v>
      </c>
      <c r="G121" s="33" t="s">
        <v>50</v>
      </c>
      <c r="H121" s="35" t="s">
        <v>51</v>
      </c>
      <c r="I121" s="36" t="s">
        <v>326</v>
      </c>
      <c r="J121" s="34" t="s">
        <v>37</v>
      </c>
      <c r="K121" s="34" t="s">
        <v>24</v>
      </c>
      <c r="L121" s="37">
        <v>46229</v>
      </c>
      <c r="M121" s="38">
        <v>46229</v>
      </c>
      <c r="N121" s="39">
        <v>0.43</v>
      </c>
      <c r="O121" s="40" t="s">
        <v>430</v>
      </c>
      <c r="P121" s="39">
        <v>16.0</v>
      </c>
      <c r="Q121" s="39">
        <v>47.0</v>
      </c>
    </row>
    <row r="122" spans="1:17" ht="30" hidden="1" customHeight="1" x14ac:dyDescent="0.25">
      <c r="A122" s="30" t="s">
        <v>482</v>
      </c>
      <c r="B122" s="31" t="s">
        <v>483</v>
      </c>
      <c r="C122" s="32" t="s">
        <v>484</v>
      </c>
      <c r="D122" s="33" t="s">
        <v>96</v>
      </c>
      <c r="E122" s="34" t="s">
        <v>34</v>
      </c>
      <c r="F122" s="34" t="s">
        <v>35</v>
      </c>
      <c r="G122" s="33" t="s">
        <v>50</v>
      </c>
      <c r="H122" s="35"/>
      <c r="I122" s="36" t="s">
        <v>326</v>
      </c>
      <c r="J122" s="34" t="s">
        <v>37</v>
      </c>
      <c r="K122" s="34" t="s">
        <v>24</v>
      </c>
      <c r="L122" s="37">
        <v>46229</v>
      </c>
      <c r="M122" s="38">
        <v>46229</v>
      </c>
      <c r="N122" s="39">
        <v>3.68</v>
      </c>
      <c r="O122" s="40" t="s">
        <v>430</v>
      </c>
      <c r="P122" s="39">
        <v>12.5</v>
      </c>
      <c r="Q122" s="39">
        <v>47.5</v>
      </c>
    </row>
    <row r="123" spans="1:17" ht="15.75" hidden="1" customHeight="1" x14ac:dyDescent="0.25">
      <c r="A123" s="30" t="s">
        <v>485</v>
      </c>
      <c r="B123" s="31" t="s">
        <v>486</v>
      </c>
      <c r="C123" s="32" t="s">
        <v>487</v>
      </c>
      <c r="D123" s="33" t="s">
        <v>96</v>
      </c>
      <c r="E123" s="34" t="s">
        <v>34</v>
      </c>
      <c r="F123" s="34" t="s">
        <v>35</v>
      </c>
      <c r="G123" s="33" t="s">
        <v>50</v>
      </c>
      <c r="H123" s="35" t="s">
        <v>51</v>
      </c>
      <c r="I123" s="36" t="s">
        <v>326</v>
      </c>
      <c r="J123" s="34" t="s">
        <v>37</v>
      </c>
      <c r="K123" s="34" t="s">
        <v>24</v>
      </c>
      <c r="L123" s="37">
        <v>46236</v>
      </c>
      <c r="M123" s="38">
        <v>46236</v>
      </c>
      <c r="N123" s="39">
        <v>0.87</v>
      </c>
      <c r="O123" s="40" t="s">
        <v>269</v>
      </c>
      <c r="P123" s="39">
        <v>16.0</v>
      </c>
      <c r="Q123" s="39">
        <v>4.0</v>
      </c>
    </row>
    <row r="124" spans="1:17" ht="15.75" customHeight="1" x14ac:dyDescent="0.25">
      <c r="A124" s="30" t="s">
        <v>488</v>
      </c>
      <c r="B124" s="31" t="s">
        <v>489</v>
      </c>
      <c r="C124" s="32" t="s">
        <v>490</v>
      </c>
      <c r="D124" s="33" t="s">
        <v>96</v>
      </c>
      <c r="E124" s="34" t="s">
        <v>22</v>
      </c>
      <c r="F124" s="34" t="s">
        <v>35</v>
      </c>
      <c r="G124" s="33" t="s">
        <v>50</v>
      </c>
      <c r="H124" s="35" t="s">
        <v>51</v>
      </c>
      <c r="I124" s="36" t="s">
        <v>326</v>
      </c>
      <c r="J124" s="34" t="s">
        <v>37</v>
      </c>
      <c r="K124" s="34" t="s">
        <v>24</v>
      </c>
      <c r="L124" s="37"/>
      <c r="M124" s="38"/>
      <c r="N124" s="39">
        <v>1.02</v>
      </c>
      <c r="O124" s="40" t="s">
        <v>491</v>
      </c>
      <c r="P124" s="39"/>
      <c r="Q124" s="39">
        <v>147.2</v>
      </c>
    </row>
    <row r="125" spans="1:17" ht="15.75" customHeight="1" x14ac:dyDescent="0.25">
      <c r="A125" s="30" t="s">
        <v>492</v>
      </c>
      <c r="B125" s="31" t="s">
        <v>493</v>
      </c>
      <c r="C125" s="32" t="s">
        <v>494</v>
      </c>
      <c r="D125" s="33" t="s">
        <v>96</v>
      </c>
      <c r="E125" s="34" t="s">
        <v>22</v>
      </c>
      <c r="F125" s="34" t="s">
        <v>35</v>
      </c>
      <c r="G125" s="33" t="s">
        <v>50</v>
      </c>
      <c r="H125" s="35" t="s">
        <v>51</v>
      </c>
      <c r="I125" s="36" t="s">
        <v>326</v>
      </c>
      <c r="J125" s="34" t="s">
        <v>37</v>
      </c>
      <c r="K125" s="34" t="s">
        <v>24</v>
      </c>
      <c r="L125" s="37"/>
      <c r="M125" s="38"/>
      <c r="N125" s="39">
        <v>0.77</v>
      </c>
      <c r="O125" s="40" t="s">
        <v>491</v>
      </c>
      <c r="P125" s="39"/>
      <c r="Q125" s="39">
        <v>147.7</v>
      </c>
    </row>
    <row r="126" spans="1:17" ht="15.75" customHeight="1" x14ac:dyDescent="0.25">
      <c r="A126" s="30" t="s">
        <v>495</v>
      </c>
      <c r="B126" s="31" t="s">
        <v>496</v>
      </c>
      <c r="C126" s="32" t="s">
        <v>497</v>
      </c>
      <c r="D126" s="33" t="s">
        <v>96</v>
      </c>
      <c r="E126" s="34" t="s">
        <v>22</v>
      </c>
      <c r="F126" s="34" t="s">
        <v>35</v>
      </c>
      <c r="G126" s="33" t="s">
        <v>157</v>
      </c>
      <c r="H126" s="35" t="s">
        <v>51</v>
      </c>
      <c r="I126" s="36" t="s">
        <v>498</v>
      </c>
      <c r="J126" s="34" t="s">
        <v>37</v>
      </c>
      <c r="K126" s="34" t="s">
        <v>25</v>
      </c>
      <c r="L126" s="37"/>
      <c r="M126" s="38"/>
      <c r="N126" s="39">
        <v>1.02</v>
      </c>
      <c r="O126" s="40" t="s">
        <v>491</v>
      </c>
      <c r="P126" s="39"/>
      <c r="Q126" s="39">
        <v>248.2</v>
      </c>
    </row>
    <row r="127" spans="1:17" ht="15.75" hidden="1" customHeight="1" x14ac:dyDescent="0.25">
      <c r="A127" s="30" t="s">
        <v>499</v>
      </c>
      <c r="B127" s="31" t="s">
        <v>500</v>
      </c>
      <c r="C127" s="32" t="s">
        <v>501</v>
      </c>
      <c r="D127" s="33" t="s">
        <v>96</v>
      </c>
      <c r="E127" s="34" t="s">
        <v>34</v>
      </c>
      <c r="F127" s="34" t="s">
        <v>35</v>
      </c>
      <c r="G127" s="33" t="s">
        <v>24</v>
      </c>
      <c r="H127" s="35"/>
      <c r="I127" s="36" t="s">
        <v>326</v>
      </c>
      <c r="J127" s="34" t="s">
        <v>37</v>
      </c>
      <c r="K127" s="34" t="s">
        <v>24</v>
      </c>
      <c r="L127" s="37">
        <v>46256</v>
      </c>
      <c r="M127" s="38">
        <v>46254</v>
      </c>
      <c r="N127" s="39">
        <v>3.52</v>
      </c>
      <c r="O127" s="40" t="s">
        <v>491</v>
      </c>
      <c r="P127" s="39">
        <v>7.4</v>
      </c>
      <c r="Q127" s="39">
        <v>3.25</v>
      </c>
    </row>
    <row r="128" spans="1:17" ht="15.75" hidden="1" customHeight="1" x14ac:dyDescent="0.25">
      <c r="A128" s="30" t="s">
        <v>502</v>
      </c>
      <c r="B128" s="31" t="s">
        <v>503</v>
      </c>
      <c r="C128" s="32" t="s">
        <v>504</v>
      </c>
      <c r="D128" s="33" t="s">
        <v>49</v>
      </c>
      <c r="E128" s="34" t="s">
        <v>34</v>
      </c>
      <c r="F128" s="34" t="s">
        <v>35</v>
      </c>
      <c r="G128" s="33" t="s">
        <v>24</v>
      </c>
      <c r="H128" s="35"/>
      <c r="I128" s="36" t="s">
        <v>326</v>
      </c>
      <c r="J128" s="34" t="s">
        <v>37</v>
      </c>
      <c r="K128" s="34" t="s">
        <v>25</v>
      </c>
      <c r="L128" s="37">
        <v>46224</v>
      </c>
      <c r="M128" s="38">
        <v>46224</v>
      </c>
      <c r="N128" s="39">
        <v>0.55</v>
      </c>
      <c r="O128" s="40" t="s">
        <v>265</v>
      </c>
      <c r="P128" s="39">
        <v>7.75</v>
      </c>
      <c r="Q128" s="39">
        <v>3.87</v>
      </c>
    </row>
    <row r="129" spans="1:17" ht="15.75" hidden="1" customHeight="1" x14ac:dyDescent="0.25">
      <c r="A129" s="30" t="s">
        <v>505</v>
      </c>
      <c r="B129" s="31" t="s">
        <v>506</v>
      </c>
      <c r="C129" s="32" t="s">
        <v>507</v>
      </c>
      <c r="D129" s="33" t="s">
        <v>49</v>
      </c>
      <c r="E129" s="34" t="s">
        <v>34</v>
      </c>
      <c r="F129" s="34" t="s">
        <v>35</v>
      </c>
      <c r="G129" s="33" t="s">
        <v>208</v>
      </c>
      <c r="H129" s="35"/>
      <c r="I129" s="36" t="s">
        <v>508</v>
      </c>
      <c r="J129" s="34" t="s">
        <v>37</v>
      </c>
      <c r="K129" s="34" t="s">
        <v>25</v>
      </c>
      <c r="L129" s="37">
        <v>46225</v>
      </c>
      <c r="M129" s="38">
        <v>46225</v>
      </c>
      <c r="N129" s="39">
        <v>0.32</v>
      </c>
      <c r="O129" s="40" t="s">
        <v>265</v>
      </c>
      <c r="P129" s="39">
        <v>4.75</v>
      </c>
      <c r="Q129" s="39">
        <v>3.0</v>
      </c>
    </row>
    <row r="130" spans="1:17" ht="15.75" hidden="1" customHeight="1" x14ac:dyDescent="0.25">
      <c r="A130" s="30" t="s">
        <v>509</v>
      </c>
      <c r="B130" s="31" t="s">
        <v>510</v>
      </c>
      <c r="C130" s="32" t="s">
        <v>511</v>
      </c>
      <c r="D130" s="33" t="s">
        <v>49</v>
      </c>
      <c r="E130" s="34" t="s">
        <v>34</v>
      </c>
      <c r="F130" s="34" t="s">
        <v>35</v>
      </c>
      <c r="G130" s="33" t="s">
        <v>208</v>
      </c>
      <c r="H130" s="35"/>
      <c r="I130" s="36" t="s">
        <v>508</v>
      </c>
      <c r="J130" s="34" t="s">
        <v>37</v>
      </c>
      <c r="K130" s="34" t="s">
        <v>25</v>
      </c>
      <c r="L130" s="37">
        <v>46229</v>
      </c>
      <c r="M130" s="38">
        <v>46229</v>
      </c>
      <c r="N130" s="39">
        <v>0.43</v>
      </c>
      <c r="O130" s="40" t="s">
        <v>265</v>
      </c>
      <c r="P130" s="39">
        <v>4.0</v>
      </c>
      <c r="Q130" s="39">
        <v>2.0</v>
      </c>
    </row>
    <row r="131" spans="1:17" ht="15.75" hidden="1" customHeight="1" x14ac:dyDescent="0.25">
      <c r="A131" s="30" t="s">
        <v>512</v>
      </c>
      <c r="B131" s="31" t="s">
        <v>513</v>
      </c>
      <c r="C131" s="32" t="s">
        <v>514</v>
      </c>
      <c r="D131" s="33" t="s">
        <v>49</v>
      </c>
      <c r="E131" s="34" t="s">
        <v>34</v>
      </c>
      <c r="F131" s="34" t="s">
        <v>35</v>
      </c>
      <c r="G131" s="33" t="s">
        <v>208</v>
      </c>
      <c r="H131" s="35"/>
      <c r="I131" s="36" t="s">
        <v>508</v>
      </c>
      <c r="J131" s="34" t="s">
        <v>37</v>
      </c>
      <c r="K131" s="34" t="s">
        <v>25</v>
      </c>
      <c r="L131" s="37">
        <v>46225</v>
      </c>
      <c r="M131" s="38">
        <v>46225</v>
      </c>
      <c r="N131" s="39">
        <v>0.12</v>
      </c>
      <c r="O131" s="40" t="s">
        <v>265</v>
      </c>
      <c r="P131" s="39">
        <v>4.5</v>
      </c>
      <c r="Q131" s="39">
        <v>3.1</v>
      </c>
    </row>
    <row r="132" spans="1:17" ht="15.75" hidden="1" customHeight="1" x14ac:dyDescent="0.25">
      <c r="A132" s="30" t="s">
        <v>515</v>
      </c>
      <c r="B132" s="31" t="s">
        <v>516</v>
      </c>
      <c r="C132" s="32" t="s">
        <v>517</v>
      </c>
      <c r="D132" s="33" t="s">
        <v>49</v>
      </c>
      <c r="E132" s="34" t="s">
        <v>34</v>
      </c>
      <c r="F132" s="34" t="s">
        <v>35</v>
      </c>
      <c r="G132" s="33" t="s">
        <v>208</v>
      </c>
      <c r="H132" s="35"/>
      <c r="I132" s="36" t="s">
        <v>508</v>
      </c>
      <c r="J132" s="34" t="s">
        <v>37</v>
      </c>
      <c r="K132" s="34" t="s">
        <v>25</v>
      </c>
      <c r="L132" s="37">
        <v>46229</v>
      </c>
      <c r="M132" s="38">
        <v>46229</v>
      </c>
      <c r="N132" s="39">
        <v>0.1</v>
      </c>
      <c r="O132" s="40" t="s">
        <v>265</v>
      </c>
      <c r="P132" s="39">
        <v>4.0</v>
      </c>
      <c r="Q132" s="39">
        <v>2.0</v>
      </c>
    </row>
    <row r="133" spans="1:17" ht="15.75" hidden="1" customHeight="1" x14ac:dyDescent="0.25">
      <c r="A133" s="30" t="s">
        <v>518</v>
      </c>
      <c r="B133" s="31" t="s">
        <v>519</v>
      </c>
      <c r="C133" s="32" t="s">
        <v>520</v>
      </c>
      <c r="D133" s="33" t="s">
        <v>96</v>
      </c>
      <c r="E133" s="34" t="s">
        <v>34</v>
      </c>
      <c r="F133" s="34" t="s">
        <v>35</v>
      </c>
      <c r="G133" s="33" t="s">
        <v>208</v>
      </c>
      <c r="H133" s="35"/>
      <c r="I133" s="36" t="s">
        <v>208</v>
      </c>
      <c r="J133" s="34" t="s">
        <v>37</v>
      </c>
      <c r="K133" s="34" t="s">
        <v>24</v>
      </c>
      <c r="L133" s="37">
        <v>46229</v>
      </c>
      <c r="M133" s="38">
        <v>46229</v>
      </c>
      <c r="N133" s="39">
        <v>0.1</v>
      </c>
      <c r="O133" s="40" t="s">
        <v>521</v>
      </c>
      <c r="P133" s="39">
        <v>6.0</v>
      </c>
      <c r="Q133" s="39">
        <v>3.02</v>
      </c>
    </row>
    <row r="134" spans="1:17" ht="15.75" hidden="1" customHeight="1" x14ac:dyDescent="0.25">
      <c r="A134" s="30" t="s">
        <v>522</v>
      </c>
      <c r="B134" s="31" t="s">
        <v>523</v>
      </c>
      <c r="C134" s="32" t="s">
        <v>524</v>
      </c>
      <c r="D134" s="33" t="s">
        <v>96</v>
      </c>
      <c r="E134" s="34" t="s">
        <v>34</v>
      </c>
      <c r="F134" s="34" t="s">
        <v>35</v>
      </c>
      <c r="G134" s="33" t="s">
        <v>208</v>
      </c>
      <c r="H134" s="35"/>
      <c r="I134" s="36" t="s">
        <v>508</v>
      </c>
      <c r="J134" s="34" t="s">
        <v>37</v>
      </c>
      <c r="K134" s="34" t="s">
        <v>24</v>
      </c>
      <c r="L134" s="37">
        <v>46252</v>
      </c>
      <c r="M134" s="38">
        <v>46239</v>
      </c>
      <c r="N134" s="39">
        <v>0.22</v>
      </c>
      <c r="O134" s="40" t="s">
        <v>525</v>
      </c>
      <c r="P134" s="39">
        <v>6.0</v>
      </c>
      <c r="Q134" s="39">
        <v>1.0</v>
      </c>
    </row>
    <row r="135" spans="1:17" ht="30" hidden="1" customHeight="1" x14ac:dyDescent="0.25">
      <c r="A135" s="30" t="s">
        <v>526</v>
      </c>
      <c r="B135" s="31" t="s">
        <v>527</v>
      </c>
      <c r="C135" s="32" t="s">
        <v>528</v>
      </c>
      <c r="D135" s="33" t="s">
        <v>96</v>
      </c>
      <c r="E135" s="34" t="s">
        <v>34</v>
      </c>
      <c r="F135" s="34" t="s">
        <v>35</v>
      </c>
      <c r="G135" s="33" t="s">
        <v>208</v>
      </c>
      <c r="H135" s="35"/>
      <c r="I135" s="36" t="s">
        <v>508</v>
      </c>
      <c r="J135" s="34" t="s">
        <v>37</v>
      </c>
      <c r="K135" s="34" t="s">
        <v>24</v>
      </c>
      <c r="L135" s="37">
        <v>46226</v>
      </c>
      <c r="M135" s="38">
        <v>46226</v>
      </c>
      <c r="N135" s="39">
        <v>0.22</v>
      </c>
      <c r="O135" s="40" t="s">
        <v>525</v>
      </c>
      <c r="P135" s="39">
        <v>10.0</v>
      </c>
      <c r="Q135" s="39">
        <v>4.23</v>
      </c>
    </row>
    <row r="136" spans="1:17" ht="45" hidden="1" customHeight="1" x14ac:dyDescent="0.25">
      <c r="A136" s="30" t="s">
        <v>529</v>
      </c>
      <c r="B136" s="31" t="s">
        <v>530</v>
      </c>
      <c r="C136" s="32" t="s">
        <v>531</v>
      </c>
      <c r="D136" s="33" t="s">
        <v>96</v>
      </c>
      <c r="E136" s="34" t="s">
        <v>34</v>
      </c>
      <c r="F136" s="34" t="s">
        <v>35</v>
      </c>
      <c r="G136" s="33" t="s">
        <v>24</v>
      </c>
      <c r="H136" s="35" t="s">
        <v>51</v>
      </c>
      <c r="I136" s="36" t="s">
        <v>36</v>
      </c>
      <c r="J136" s="34" t="s">
        <v>37</v>
      </c>
      <c r="K136" s="34" t="s">
        <v>24</v>
      </c>
      <c r="L136" s="37">
        <v>46233</v>
      </c>
      <c r="M136" s="38">
        <v>46233</v>
      </c>
      <c r="N136" s="39">
        <v>0.92</v>
      </c>
      <c r="O136" s="40" t="s">
        <v>97</v>
      </c>
      <c r="P136" s="39">
        <v>2.0</v>
      </c>
      <c r="Q136" s="39">
        <v>72.2</v>
      </c>
    </row>
    <row r="137" spans="1:17" ht="30" hidden="1" customHeight="1" x14ac:dyDescent="0.25">
      <c r="A137" s="30" t="s">
        <v>532</v>
      </c>
      <c r="B137" s="31" t="s">
        <v>533</v>
      </c>
      <c r="C137" s="32" t="s">
        <v>534</v>
      </c>
      <c r="D137" s="33" t="s">
        <v>49</v>
      </c>
      <c r="E137" s="34" t="s">
        <v>34</v>
      </c>
      <c r="F137" s="34" t="s">
        <v>35</v>
      </c>
      <c r="G137" s="33" t="s">
        <v>157</v>
      </c>
      <c r="H137" s="35"/>
      <c r="I137" s="36" t="s">
        <v>498</v>
      </c>
      <c r="J137" s="34" t="s">
        <v>37</v>
      </c>
      <c r="K137" s="34" t="s">
        <v>25</v>
      </c>
      <c r="L137" s="37">
        <v>46229</v>
      </c>
      <c r="M137" s="38">
        <v>46229</v>
      </c>
      <c r="N137" s="39">
        <v>0.42</v>
      </c>
      <c r="O137" s="40" t="s">
        <v>97</v>
      </c>
      <c r="P137" s="39">
        <v>2.25</v>
      </c>
      <c r="Q137" s="39">
        <v>7.25</v>
      </c>
    </row>
    <row r="138" spans="1:17" ht="30" hidden="1" customHeight="1" x14ac:dyDescent="0.25">
      <c r="A138" s="30" t="s">
        <v>535</v>
      </c>
      <c r="B138" s="31" t="s">
        <v>536</v>
      </c>
      <c r="C138" s="32" t="s">
        <v>537</v>
      </c>
      <c r="D138" s="33" t="s">
        <v>49</v>
      </c>
      <c r="E138" s="34" t="s">
        <v>34</v>
      </c>
      <c r="F138" s="34" t="s">
        <v>35</v>
      </c>
      <c r="G138" s="33" t="s">
        <v>157</v>
      </c>
      <c r="H138" s="35" t="s">
        <v>51</v>
      </c>
      <c r="I138" s="36" t="s">
        <v>498</v>
      </c>
      <c r="J138" s="34" t="s">
        <v>37</v>
      </c>
      <c r="K138" s="34" t="s">
        <v>25</v>
      </c>
      <c r="L138" s="37">
        <v>46233</v>
      </c>
      <c r="M138" s="38">
        <v>46233</v>
      </c>
      <c r="N138" s="39">
        <v>2.33</v>
      </c>
      <c r="O138" s="40" t="s">
        <v>97</v>
      </c>
      <c r="P138" s="39">
        <v>12.03</v>
      </c>
      <c r="Q138" s="39">
        <v>26.2</v>
      </c>
    </row>
    <row r="139" spans="1:17" ht="30" hidden="1" customHeight="1" x14ac:dyDescent="0.25">
      <c r="A139" s="30" t="s">
        <v>538</v>
      </c>
      <c r="B139" s="31" t="s">
        <v>539</v>
      </c>
      <c r="C139" s="32" t="s">
        <v>540</v>
      </c>
      <c r="D139" s="33" t="s">
        <v>49</v>
      </c>
      <c r="E139" s="34" t="s">
        <v>34</v>
      </c>
      <c r="F139" s="34" t="s">
        <v>35</v>
      </c>
      <c r="G139" s="33" t="s">
        <v>50</v>
      </c>
      <c r="H139" s="35" t="s">
        <v>51</v>
      </c>
      <c r="I139" s="36" t="s">
        <v>326</v>
      </c>
      <c r="J139" s="34" t="s">
        <v>37</v>
      </c>
      <c r="K139" s="34" t="s">
        <v>25</v>
      </c>
      <c r="L139" s="37">
        <v>46243</v>
      </c>
      <c r="M139" s="38">
        <v>46243</v>
      </c>
      <c r="N139" s="39">
        <v>2.33</v>
      </c>
      <c r="O139" s="40" t="s">
        <v>97</v>
      </c>
      <c r="P139" s="39">
        <v>3.0</v>
      </c>
      <c r="Q139" s="39">
        <v>2.0</v>
      </c>
    </row>
    <row r="140" spans="1:17" ht="15.75" hidden="1" customHeight="1" x14ac:dyDescent="0.25">
      <c r="A140" s="30" t="s">
        <v>541</v>
      </c>
      <c r="B140" s="31" t="s">
        <v>542</v>
      </c>
      <c r="C140" s="32" t="s">
        <v>543</v>
      </c>
      <c r="D140" s="33" t="s">
        <v>49</v>
      </c>
      <c r="E140" s="34" t="s">
        <v>34</v>
      </c>
      <c r="F140" s="34" t="s">
        <v>35</v>
      </c>
      <c r="G140" s="33" t="s">
        <v>50</v>
      </c>
      <c r="H140" s="35"/>
      <c r="I140" s="36" t="s">
        <v>544</v>
      </c>
      <c r="J140" s="34" t="s">
        <v>37</v>
      </c>
      <c r="K140" s="34" t="s">
        <v>25</v>
      </c>
      <c r="L140" s="37">
        <v>46240</v>
      </c>
      <c r="M140" s="38">
        <v>46240</v>
      </c>
      <c r="N140" s="39">
        <v>0.43</v>
      </c>
      <c r="O140" s="40" t="s">
        <v>269</v>
      </c>
      <c r="P140" s="39">
        <v>1.0</v>
      </c>
      <c r="Q140" s="39">
        <v>1.0</v>
      </c>
    </row>
    <row r="141" spans="1:17" ht="30" customHeight="1" x14ac:dyDescent="0.25">
      <c r="A141" s="30" t="s">
        <v>545</v>
      </c>
      <c r="B141" s="31" t="s">
        <v>546</v>
      </c>
      <c r="C141" s="32" t="s">
        <v>547</v>
      </c>
      <c r="D141" s="33" t="s">
        <v>21</v>
      </c>
      <c r="E141" s="34" t="s">
        <v>22</v>
      </c>
      <c r="F141" s="34" t="s">
        <v>35</v>
      </c>
      <c r="G141" s="33" t="s">
        <v>50</v>
      </c>
      <c r="H141" s="35" t="s">
        <v>51</v>
      </c>
      <c r="I141" s="36" t="s">
        <v>50</v>
      </c>
      <c r="J141" s="34" t="s">
        <v>37</v>
      </c>
      <c r="K141" s="34" t="s">
        <v>24</v>
      </c>
      <c r="L141" s="37"/>
      <c r="M141" s="38"/>
      <c r="N141" s="39">
        <v>10.0</v>
      </c>
      <c r="O141" s="40" t="s">
        <v>548</v>
      </c>
      <c r="P141" s="39"/>
      <c r="Q141" s="39">
        <v>0.0</v>
      </c>
    </row>
    <row r="142" spans="1:17" ht="15.75" hidden="1" customHeight="1" x14ac:dyDescent="0.25">
      <c r="A142" s="30" t="s">
        <v>549</v>
      </c>
      <c r="B142" s="31" t="s">
        <v>550</v>
      </c>
      <c r="C142" s="32" t="s">
        <v>551</v>
      </c>
      <c r="D142" s="33" t="s">
        <v>96</v>
      </c>
      <c r="E142" s="34" t="s">
        <v>34</v>
      </c>
      <c r="F142" s="34" t="s">
        <v>35</v>
      </c>
      <c r="G142" s="33" t="s">
        <v>50</v>
      </c>
      <c r="H142" s="35" t="s">
        <v>51</v>
      </c>
      <c r="I142" s="36" t="s">
        <v>50</v>
      </c>
      <c r="J142" s="34" t="s">
        <v>37</v>
      </c>
      <c r="K142" s="34" t="s">
        <v>24</v>
      </c>
      <c r="L142" s="37">
        <v>46236</v>
      </c>
      <c r="M142" s="38">
        <v>46236</v>
      </c>
      <c r="N142" s="39">
        <v>0.87</v>
      </c>
      <c r="O142" s="40" t="s">
        <v>269</v>
      </c>
      <c r="P142" s="39">
        <v>6.0</v>
      </c>
      <c r="Q142" s="39">
        <v>2.02</v>
      </c>
    </row>
    <row r="143" spans="1:17" ht="15.75" hidden="1" customHeight="1" x14ac:dyDescent="0.25">
      <c r="A143" s="30" t="s">
        <v>552</v>
      </c>
      <c r="B143" s="31" t="s">
        <v>553</v>
      </c>
      <c r="C143" s="32" t="s">
        <v>554</v>
      </c>
      <c r="D143" s="33" t="s">
        <v>96</v>
      </c>
      <c r="E143" s="34" t="s">
        <v>34</v>
      </c>
      <c r="F143" s="34" t="s">
        <v>35</v>
      </c>
      <c r="G143" s="33" t="s">
        <v>50</v>
      </c>
      <c r="H143" s="35" t="s">
        <v>51</v>
      </c>
      <c r="I143" s="36" t="s">
        <v>50</v>
      </c>
      <c r="J143" s="34" t="s">
        <v>37</v>
      </c>
      <c r="K143" s="34" t="s">
        <v>24</v>
      </c>
      <c r="L143" s="37">
        <v>46236</v>
      </c>
      <c r="M143" s="38">
        <v>46236</v>
      </c>
      <c r="N143" s="39">
        <v>0.87</v>
      </c>
      <c r="O143" s="40" t="s">
        <v>269</v>
      </c>
      <c r="P143" s="39">
        <v>6.0</v>
      </c>
      <c r="Q143" s="39">
        <v>2.0</v>
      </c>
    </row>
    <row r="144" spans="1:17" ht="15.75" hidden="1" customHeight="1" x14ac:dyDescent="0.25">
      <c r="A144" s="30" t="s">
        <v>555</v>
      </c>
      <c r="B144" s="31" t="s">
        <v>556</v>
      </c>
      <c r="C144" s="32" t="s">
        <v>557</v>
      </c>
      <c r="D144" s="33" t="s">
        <v>96</v>
      </c>
      <c r="E144" s="34" t="s">
        <v>34</v>
      </c>
      <c r="F144" s="34" t="s">
        <v>35</v>
      </c>
      <c r="G144" s="33" t="s">
        <v>50</v>
      </c>
      <c r="H144" s="35"/>
      <c r="I144" s="36" t="s">
        <v>83</v>
      </c>
      <c r="J144" s="34" t="s">
        <v>37</v>
      </c>
      <c r="K144" s="34" t="s">
        <v>29</v>
      </c>
      <c r="L144" s="37">
        <v>46223</v>
      </c>
      <c r="M144" s="38">
        <v>46223</v>
      </c>
      <c r="N144" s="39">
        <v>0.22</v>
      </c>
      <c r="O144" s="40" t="s">
        <v>158</v>
      </c>
      <c r="P144" s="39">
        <v>1.0</v>
      </c>
      <c r="Q144" s="39">
        <v>1.0</v>
      </c>
    </row>
    <row r="145" spans="1:17" ht="15.75" hidden="1" customHeight="1" x14ac:dyDescent="0.25">
      <c r="A145" s="30" t="s">
        <v>558</v>
      </c>
      <c r="B145" s="31" t="s">
        <v>559</v>
      </c>
      <c r="C145" s="32" t="s">
        <v>560</v>
      </c>
      <c r="D145" s="33" t="s">
        <v>96</v>
      </c>
      <c r="E145" s="34" t="s">
        <v>34</v>
      </c>
      <c r="F145" s="34" t="s">
        <v>35</v>
      </c>
      <c r="G145" s="33" t="s">
        <v>50</v>
      </c>
      <c r="H145" s="35"/>
      <c r="I145" s="36" t="s">
        <v>50</v>
      </c>
      <c r="J145" s="34" t="s">
        <v>37</v>
      </c>
      <c r="K145" s="34" t="s">
        <v>24</v>
      </c>
      <c r="L145" s="37">
        <v>46230</v>
      </c>
      <c r="M145" s="38">
        <v>46230</v>
      </c>
      <c r="N145" s="39">
        <v>2.5</v>
      </c>
      <c r="O145" s="40" t="s">
        <v>430</v>
      </c>
      <c r="P145" s="39">
        <v>2.5</v>
      </c>
      <c r="Q145" s="39">
        <v>0.52</v>
      </c>
    </row>
    <row r="146" spans="1:17" ht="15.75" customHeight="1" x14ac:dyDescent="0.25">
      <c r="A146" s="30" t="s">
        <v>561</v>
      </c>
      <c r="B146" s="31" t="s">
        <v>562</v>
      </c>
      <c r="C146" s="32" t="s">
        <v>563</v>
      </c>
      <c r="D146" s="33" t="s">
        <v>96</v>
      </c>
      <c r="E146" s="34" t="s">
        <v>22</v>
      </c>
      <c r="F146" s="34" t="s">
        <v>35</v>
      </c>
      <c r="G146" s="33" t="s">
        <v>24</v>
      </c>
      <c r="H146" s="35" t="s">
        <v>51</v>
      </c>
      <c r="I146" s="36" t="s">
        <v>326</v>
      </c>
      <c r="J146" s="34" t="s">
        <v>37</v>
      </c>
      <c r="K146" s="34" t="s">
        <v>25</v>
      </c>
      <c r="L146" s="37"/>
      <c r="M146" s="38"/>
      <c r="N146" s="39">
        <v>1.18</v>
      </c>
      <c r="O146" s="40" t="s">
        <v>242</v>
      </c>
      <c r="P146" s="39">
        <v>34.5</v>
      </c>
      <c r="Q146" s="39">
        <v>741.9</v>
      </c>
    </row>
    <row r="147" spans="1:17" ht="15.75" hidden="1" customHeight="1" x14ac:dyDescent="0.25">
      <c r="A147" s="30" t="s">
        <v>564</v>
      </c>
      <c r="B147" s="31" t="s">
        <v>565</v>
      </c>
      <c r="C147" s="32" t="s">
        <v>566</v>
      </c>
      <c r="D147" s="33" t="s">
        <v>96</v>
      </c>
      <c r="E147" s="34" t="s">
        <v>34</v>
      </c>
      <c r="F147" s="34" t="s">
        <v>35</v>
      </c>
      <c r="G147" s="33" t="s">
        <v>24</v>
      </c>
      <c r="H147" s="35" t="s">
        <v>51</v>
      </c>
      <c r="I147" s="36" t="s">
        <v>326</v>
      </c>
      <c r="J147" s="34" t="s">
        <v>37</v>
      </c>
      <c r="K147" s="34" t="s">
        <v>29</v>
      </c>
      <c r="L147" s="37">
        <v>46256</v>
      </c>
      <c r="M147" s="38">
        <v>46254</v>
      </c>
      <c r="N147" s="39">
        <v>3.52</v>
      </c>
      <c r="O147" s="40" t="s">
        <v>567</v>
      </c>
      <c r="P147" s="39">
        <v>22.5</v>
      </c>
      <c r="Q147" s="39">
        <v>552.4</v>
      </c>
    </row>
    <row r="148" spans="1:17" ht="15.75" customHeight="1" x14ac:dyDescent="0.25">
      <c r="A148" s="30" t="s">
        <v>568</v>
      </c>
      <c r="B148" s="31" t="s">
        <v>569</v>
      </c>
      <c r="C148" s="32" t="s">
        <v>570</v>
      </c>
      <c r="D148" s="33" t="s">
        <v>96</v>
      </c>
      <c r="E148" s="34" t="s">
        <v>22</v>
      </c>
      <c r="F148" s="34" t="s">
        <v>35</v>
      </c>
      <c r="G148" s="33" t="s">
        <v>157</v>
      </c>
      <c r="H148" s="35" t="s">
        <v>51</v>
      </c>
      <c r="I148" s="36" t="s">
        <v>498</v>
      </c>
      <c r="J148" s="34" t="s">
        <v>37</v>
      </c>
      <c r="K148" s="34" t="s">
        <v>24</v>
      </c>
      <c r="L148" s="37"/>
      <c r="M148" s="38"/>
      <c r="N148" s="39">
        <v>3.5</v>
      </c>
      <c r="O148" s="40" t="s">
        <v>491</v>
      </c>
      <c r="P148" s="39">
        <v>9.8000000000000007</v>
      </c>
      <c r="Q148" s="39">
        <v>546.4</v>
      </c>
    </row>
    <row r="149" spans="1:17" ht="15.75" hidden="1" customHeight="1" x14ac:dyDescent="0.25">
      <c r="A149" s="30" t="s">
        <v>571</v>
      </c>
      <c r="B149" s="31" t="s">
        <v>572</v>
      </c>
      <c r="C149" s="32" t="s">
        <v>573</v>
      </c>
      <c r="D149" s="33" t="s">
        <v>96</v>
      </c>
      <c r="E149" s="34" t="s">
        <v>34</v>
      </c>
      <c r="F149" s="34" t="s">
        <v>35</v>
      </c>
      <c r="G149" s="33" t="s">
        <v>24</v>
      </c>
      <c r="H149" s="35" t="s">
        <v>51</v>
      </c>
      <c r="I149" s="36" t="s">
        <v>36</v>
      </c>
      <c r="J149" s="34" t="s">
        <v>37</v>
      </c>
      <c r="K149" s="34" t="s">
        <v>25</v>
      </c>
      <c r="L149" s="37">
        <v>46236</v>
      </c>
      <c r="M149" s="38">
        <v>46236</v>
      </c>
      <c r="N149" s="39">
        <v>6.3</v>
      </c>
      <c r="O149" s="40" t="s">
        <v>97</v>
      </c>
      <c r="P149" s="39">
        <v>14.5</v>
      </c>
      <c r="Q149" s="39">
        <v>68.9</v>
      </c>
    </row>
    <row r="150" spans="1:17" ht="15.75" hidden="1" customHeight="1" x14ac:dyDescent="0.25">
      <c r="A150" s="30" t="s">
        <v>574</v>
      </c>
      <c r="B150" s="31" t="s">
        <v>575</v>
      </c>
      <c r="C150" s="32" t="s">
        <v>576</v>
      </c>
      <c r="D150" s="33" t="s">
        <v>21</v>
      </c>
      <c r="E150" s="34" t="s">
        <v>34</v>
      </c>
      <c r="F150" s="34" t="s">
        <v>35</v>
      </c>
      <c r="G150" s="33" t="s">
        <v>157</v>
      </c>
      <c r="H150" s="35"/>
      <c r="I150" s="36" t="s">
        <v>498</v>
      </c>
      <c r="J150" s="34" t="s">
        <v>37</v>
      </c>
      <c r="K150" s="34" t="s">
        <v>25</v>
      </c>
      <c r="L150" s="37">
        <v>46233</v>
      </c>
      <c r="M150" s="38">
        <v>46233</v>
      </c>
      <c r="N150" s="39">
        <v>2.1</v>
      </c>
      <c r="O150" s="40" t="s">
        <v>104</v>
      </c>
      <c r="P150" s="39">
        <v>6.17</v>
      </c>
      <c r="Q150" s="39">
        <v>20.72</v>
      </c>
    </row>
    <row r="151" spans="1:17" ht="47.25" hidden="1" customHeight="1" x14ac:dyDescent="0.25">
      <c r="A151" s="30" t="s">
        <v>577</v>
      </c>
      <c r="B151" s="31" t="s">
        <v>578</v>
      </c>
      <c r="C151" s="32" t="s">
        <v>579</v>
      </c>
      <c r="D151" s="33" t="s">
        <v>21</v>
      </c>
      <c r="E151" s="34" t="s">
        <v>22</v>
      </c>
      <c r="F151" s="34" t="s">
        <v>23</v>
      </c>
      <c r="G151" s="33" t="s">
        <v>24</v>
      </c>
      <c r="H151" s="35" t="s">
        <v>51</v>
      </c>
      <c r="I151" s="36" t="s">
        <v>580</v>
      </c>
      <c r="J151" s="34" t="s">
        <v>37</v>
      </c>
      <c r="K151" s="34" t="s">
        <v>29</v>
      </c>
      <c r="L151" s="37"/>
      <c r="M151" s="38"/>
      <c r="N151" s="39">
        <v>8.5</v>
      </c>
      <c r="O151" s="40" t="s">
        <v>121</v>
      </c>
      <c r="P151" s="39">
        <v>8.5</v>
      </c>
      <c r="Q151" s="39">
        <v>556.8</v>
      </c>
    </row>
    <row r="152" spans="1:17" ht="47.25" hidden="1" customHeight="1" x14ac:dyDescent="0.25">
      <c r="A152" s="30" t="s">
        <v>581</v>
      </c>
      <c r="B152" s="31" t="s">
        <v>582</v>
      </c>
      <c r="C152" s="32" t="s">
        <v>583</v>
      </c>
      <c r="D152" s="33" t="s">
        <v>21</v>
      </c>
      <c r="E152" s="34" t="s">
        <v>34</v>
      </c>
      <c r="F152" s="34" t="s">
        <v>23</v>
      </c>
      <c r="G152" s="33" t="s">
        <v>24</v>
      </c>
      <c r="H152" s="35"/>
      <c r="I152" s="36" t="s">
        <v>580</v>
      </c>
      <c r="J152" s="34" t="s">
        <v>37</v>
      </c>
      <c r="K152" s="34" t="s">
        <v>29</v>
      </c>
      <c r="L152" s="37">
        <v>46252</v>
      </c>
      <c r="M152" s="38">
        <v>46238</v>
      </c>
      <c r="N152" s="39">
        <v>0.67</v>
      </c>
      <c r="O152" s="40" t="s">
        <v>584</v>
      </c>
      <c r="P152" s="39">
        <v>8.5</v>
      </c>
      <c r="Q152" s="39">
        <v>13.55</v>
      </c>
    </row>
    <row r="153" spans="1:17" ht="15.75" hidden="1" customHeight="1" x14ac:dyDescent="0.25">
      <c r="A153" s="30" t="s">
        <v>585</v>
      </c>
      <c r="B153" s="31" t="s">
        <v>586</v>
      </c>
      <c r="C153" s="32" t="s">
        <v>587</v>
      </c>
      <c r="D153" s="33" t="s">
        <v>96</v>
      </c>
      <c r="E153" s="34" t="s">
        <v>22</v>
      </c>
      <c r="F153" s="34" t="s">
        <v>35</v>
      </c>
      <c r="G153" s="33" t="s">
        <v>24</v>
      </c>
      <c r="H153" s="35" t="s">
        <v>51</v>
      </c>
      <c r="I153" s="36" t="s">
        <v>326</v>
      </c>
      <c r="J153" s="34" t="s">
        <v>37</v>
      </c>
      <c r="K153" s="34" t="s">
        <v>29</v>
      </c>
      <c r="L153" s="37"/>
      <c r="M153" s="38"/>
      <c r="N153" s="39">
        <v>0.0</v>
      </c>
      <c r="O153" s="40" t="s">
        <v>121</v>
      </c>
      <c r="P153" s="39">
        <v>9</v>
      </c>
      <c r="Q153" s="39">
        <v>715.4</v>
      </c>
    </row>
    <row r="154" spans="1:17" ht="15.75" hidden="1" customHeight="1" x14ac:dyDescent="0.25">
      <c r="A154" s="30" t="s">
        <v>588</v>
      </c>
      <c r="B154" s="31" t="s">
        <v>589</v>
      </c>
      <c r="C154" s="32" t="s">
        <v>590</v>
      </c>
      <c r="D154" s="33" t="s">
        <v>21</v>
      </c>
      <c r="E154" s="34" t="s">
        <v>22</v>
      </c>
      <c r="F154" s="34" t="s">
        <v>23</v>
      </c>
      <c r="G154" s="33" t="s">
        <v>24</v>
      </c>
      <c r="H154" s="35" t="s">
        <v>51</v>
      </c>
      <c r="I154" s="36" t="s">
        <v>591</v>
      </c>
      <c r="J154" s="34" t="s">
        <v>37</v>
      </c>
      <c r="K154" s="34" t="s">
        <v>29</v>
      </c>
      <c r="L154" s="37"/>
      <c r="M154" s="38"/>
      <c r="N154" s="39">
        <v>0.0</v>
      </c>
      <c r="O154" s="40" t="s">
        <v>121</v>
      </c>
      <c r="P154" s="39"/>
      <c r="Q154" s="39">
        <v>383.3</v>
      </c>
    </row>
    <row r="155" spans="1:17" ht="31.5" hidden="1" customHeight="1" x14ac:dyDescent="0.25">
      <c r="A155" s="30" t="s">
        <v>592</v>
      </c>
      <c r="B155" s="31" t="s">
        <v>593</v>
      </c>
      <c r="C155" s="32" t="s">
        <v>594</v>
      </c>
      <c r="D155" s="33" t="s">
        <v>21</v>
      </c>
      <c r="E155" s="34" t="s">
        <v>34</v>
      </c>
      <c r="F155" s="34" t="s">
        <v>23</v>
      </c>
      <c r="G155" s="33" t="s">
        <v>24</v>
      </c>
      <c r="H155" s="35" t="s">
        <v>51</v>
      </c>
      <c r="I155" s="36" t="s">
        <v>595</v>
      </c>
      <c r="J155" s="34" t="s">
        <v>37</v>
      </c>
      <c r="K155" s="34" t="s">
        <v>29</v>
      </c>
      <c r="L155" s="37">
        <v>46260</v>
      </c>
      <c r="N155">
        <v>3.5</v>
      </c>
      <c r="O155" s="40" t="s">
        <v>596</v>
      </c>
      <c r="P155" s="39">
        <v>42.5</v>
      </c>
      <c r="Q155" s="39">
        <v>534.1</v>
      </c>
    </row>
    <row r="156" spans="1:17" ht="30" hidden="1" customHeight="1" x14ac:dyDescent="0.25">
      <c r="A156" s="30" t="s">
        <v>597</v>
      </c>
      <c r="B156" s="31" t="s">
        <v>598</v>
      </c>
      <c r="C156" s="32" t="s">
        <v>599</v>
      </c>
      <c r="D156" s="33" t="s">
        <v>72</v>
      </c>
      <c r="E156" s="34" t="s">
        <v>34</v>
      </c>
      <c r="F156" s="34" t="s">
        <v>35</v>
      </c>
      <c r="G156" s="33" t="s">
        <v>83</v>
      </c>
      <c r="H156" s="35"/>
      <c r="I156" s="36" t="s">
        <v>83</v>
      </c>
      <c r="J156" s="34" t="s">
        <v>37</v>
      </c>
      <c r="K156" s="34" t="s">
        <v>24</v>
      </c>
      <c r="L156" s="37">
        <v>46244</v>
      </c>
      <c r="M156" s="38">
        <v>46244</v>
      </c>
      <c r="N156" s="39">
        <v>1.5</v>
      </c>
      <c r="O156" s="40" t="s">
        <v>41</v>
      </c>
      <c r="P156" s="39">
        <v>5.0</v>
      </c>
      <c r="Q156" s="39">
        <v>3.58</v>
      </c>
    </row>
    <row r="157" spans="1:17" ht="30" hidden="1" customHeight="1" x14ac:dyDescent="0.25">
      <c r="A157" s="30" t="s">
        <v>600</v>
      </c>
      <c r="B157" s="31" t="s">
        <v>601</v>
      </c>
      <c r="C157" s="32" t="s">
        <v>602</v>
      </c>
      <c r="D157" s="33" t="s">
        <v>49</v>
      </c>
      <c r="E157" s="34" t="s">
        <v>34</v>
      </c>
      <c r="F157" s="34" t="s">
        <v>35</v>
      </c>
      <c r="G157" s="33" t="s">
        <v>50</v>
      </c>
      <c r="H157" s="35" t="s">
        <v>51</v>
      </c>
      <c r="I157" s="36" t="s">
        <v>603</v>
      </c>
      <c r="J157" s="34" t="s">
        <v>37</v>
      </c>
      <c r="K157" s="34" t="s">
        <v>25</v>
      </c>
      <c r="L157" s="37">
        <v>46244</v>
      </c>
      <c r="M157" s="38">
        <v>46244</v>
      </c>
      <c r="N157" s="39">
        <v>0.5</v>
      </c>
      <c r="O157" s="40" t="s">
        <v>41</v>
      </c>
      <c r="P157" s="39">
        <v>4.0</v>
      </c>
      <c r="Q157" s="39">
        <v>3.03</v>
      </c>
    </row>
    <row r="158" spans="1:17" ht="30" hidden="1" customHeight="1" x14ac:dyDescent="0.25">
      <c r="A158" s="30" t="s">
        <v>604</v>
      </c>
      <c r="B158" s="31" t="s">
        <v>605</v>
      </c>
      <c r="C158" s="32" t="s">
        <v>606</v>
      </c>
      <c r="D158" s="33" t="s">
        <v>21</v>
      </c>
      <c r="E158" s="34" t="s">
        <v>34</v>
      </c>
      <c r="F158" s="34" t="s">
        <v>35</v>
      </c>
      <c r="G158" s="33" t="s">
        <v>208</v>
      </c>
      <c r="H158" s="35" t="s">
        <v>51</v>
      </c>
      <c r="I158" s="36" t="s">
        <v>607</v>
      </c>
      <c r="J158" s="34" t="s">
        <v>37</v>
      </c>
      <c r="K158" s="34" t="s">
        <v>24</v>
      </c>
      <c r="L158" s="37">
        <v>46252</v>
      </c>
      <c r="M158" s="38">
        <v>46243</v>
      </c>
      <c r="N158" s="39">
        <v>2.5</v>
      </c>
      <c r="O158" s="40" t="s">
        <v>608</v>
      </c>
      <c r="P158" s="39">
        <v>19.0</v>
      </c>
      <c r="Q158" s="39">
        <v>70.3</v>
      </c>
    </row>
    <row r="159" spans="1:17" ht="15.75" customHeight="1" x14ac:dyDescent="0.25">
      <c r="A159" s="30" t="s">
        <v>609</v>
      </c>
      <c r="B159" s="31" t="s">
        <v>610</v>
      </c>
      <c r="C159" s="32" t="s">
        <v>611</v>
      </c>
      <c r="D159" s="33" t="s">
        <v>21</v>
      </c>
      <c r="E159" s="34" t="s">
        <v>22</v>
      </c>
      <c r="F159" s="34" t="s">
        <v>35</v>
      </c>
      <c r="G159" s="33" t="s">
        <v>208</v>
      </c>
      <c r="H159" s="35" t="s">
        <v>51</v>
      </c>
      <c r="I159" s="36" t="s">
        <v>612</v>
      </c>
      <c r="J159" s="34" t="s">
        <v>37</v>
      </c>
      <c r="K159" s="34" t="s">
        <v>24</v>
      </c>
      <c r="L159" s="37"/>
      <c r="M159" s="38"/>
      <c r="N159" s="39">
        <v>471.0</v>
      </c>
      <c r="O159" s="40" t="s">
        <v>87</v>
      </c>
      <c r="P159" s="39">
        <v>33.4</v>
      </c>
      <c r="Q159" s="39">
        <v>703.9</v>
      </c>
    </row>
    <row r="160" spans="1:17" ht="15.75" customHeight="1" x14ac:dyDescent="0.25">
      <c r="A160" s="30" t="s">
        <v>613</v>
      </c>
      <c r="B160" s="31" t="s">
        <v>614</v>
      </c>
      <c r="C160" s="32" t="s">
        <v>615</v>
      </c>
      <c r="D160" s="33" t="s">
        <v>21</v>
      </c>
      <c r="E160" s="34" t="s">
        <v>22</v>
      </c>
      <c r="F160" s="34" t="s">
        <v>35</v>
      </c>
      <c r="G160" s="33" t="s">
        <v>208</v>
      </c>
      <c r="H160" s="35" t="s">
        <v>51</v>
      </c>
      <c r="I160" s="36" t="s">
        <v>612</v>
      </c>
      <c r="J160" s="34" t="s">
        <v>37</v>
      </c>
      <c r="K160" s="34" t="s">
        <v>24</v>
      </c>
      <c r="L160" s="37"/>
      <c r="M160" s="38"/>
      <c r="N160" s="39">
        <v>170.0</v>
      </c>
      <c r="O160" s="40" t="s">
        <v>87</v>
      </c>
      <c r="P160" s="39"/>
      <c r="Q160" s="39">
        <v>0.0</v>
      </c>
    </row>
    <row r="161" spans="1:17" ht="15.75" customHeight="1" x14ac:dyDescent="0.25">
      <c r="A161" s="30" t="s">
        <v>616</v>
      </c>
      <c r="B161" s="31" t="s">
        <v>617</v>
      </c>
      <c r="C161" s="32" t="s">
        <v>618</v>
      </c>
      <c r="D161" s="33" t="s">
        <v>21</v>
      </c>
      <c r="E161" s="34" t="s">
        <v>34</v>
      </c>
      <c r="F161" s="34" t="s">
        <v>35</v>
      </c>
      <c r="G161" s="33" t="s">
        <v>208</v>
      </c>
      <c r="H161" s="35" t="s">
        <v>51</v>
      </c>
      <c r="I161" s="36" t="s">
        <v>619</v>
      </c>
      <c r="J161" s="34" t="s">
        <v>37</v>
      </c>
      <c r="K161" s="34" t="s">
        <v>24</v>
      </c>
      <c r="L161" s="37">
        <v>46260</v>
      </c>
      <c r="N161">
        <v>23.17</v>
      </c>
      <c r="O161" s="40" t="s">
        <v>620</v>
      </c>
      <c r="P161" s="39">
        <v>294.5</v>
      </c>
      <c r="Q161" s="39">
        <v>721.1</v>
      </c>
    </row>
    <row r="162" spans="1:17" ht="31.5" hidden="1" customHeight="1" x14ac:dyDescent="0.25">
      <c r="A162" s="30" t="s">
        <v>621</v>
      </c>
      <c r="B162" s="31" t="s">
        <v>622</v>
      </c>
      <c r="C162" s="32" t="s">
        <v>623</v>
      </c>
      <c r="D162" s="33" t="s">
        <v>21</v>
      </c>
      <c r="E162" s="34" t="s">
        <v>34</v>
      </c>
      <c r="F162" s="34" t="s">
        <v>35</v>
      </c>
      <c r="G162" s="33" t="s">
        <v>208</v>
      </c>
      <c r="H162" s="35" t="s">
        <v>51</v>
      </c>
      <c r="I162" s="36" t="s">
        <v>624</v>
      </c>
      <c r="J162" s="34" t="s">
        <v>37</v>
      </c>
      <c r="K162" s="34" t="s">
        <v>24</v>
      </c>
      <c r="L162" s="37">
        <v>46252</v>
      </c>
      <c r="M162" s="38">
        <v>46243</v>
      </c>
      <c r="N162" s="39">
        <v>18.0</v>
      </c>
      <c r="O162" s="40" t="s">
        <v>620</v>
      </c>
      <c r="P162" s="39">
        <v>98.2</v>
      </c>
      <c r="Q162" s="39">
        <v>336.3</v>
      </c>
    </row>
    <row r="163" spans="1:17" ht="15.75" hidden="1" customHeight="1" x14ac:dyDescent="0.25">
      <c r="A163" s="30" t="s">
        <v>625</v>
      </c>
      <c r="B163" s="31" t="s">
        <v>626</v>
      </c>
      <c r="C163" s="32" t="s">
        <v>627</v>
      </c>
      <c r="D163" s="33" t="s">
        <v>21</v>
      </c>
      <c r="E163" s="34" t="s">
        <v>34</v>
      </c>
      <c r="F163" s="34" t="s">
        <v>35</v>
      </c>
      <c r="G163" s="33" t="s">
        <v>208</v>
      </c>
      <c r="H163" s="35" t="s">
        <v>51</v>
      </c>
      <c r="I163" s="36" t="s">
        <v>607</v>
      </c>
      <c r="J163" s="34" t="s">
        <v>37</v>
      </c>
      <c r="K163" s="34" t="s">
        <v>25</v>
      </c>
      <c r="L163" s="37">
        <v>46252</v>
      </c>
      <c r="M163" s="38">
        <v>46245</v>
      </c>
      <c r="N163" s="39">
        <v>18.5</v>
      </c>
      <c r="O163" s="40" t="s">
        <v>620</v>
      </c>
      <c r="P163" s="39">
        <v>65.0</v>
      </c>
      <c r="Q163" s="39">
        <v>359.8</v>
      </c>
    </row>
    <row r="164" spans="1:17" ht="30" hidden="1" customHeight="1" x14ac:dyDescent="0.25">
      <c r="A164" s="30" t="s">
        <v>628</v>
      </c>
      <c r="B164" s="31" t="s">
        <v>629</v>
      </c>
      <c r="C164" s="32" t="s">
        <v>630</v>
      </c>
      <c r="D164" s="33" t="s">
        <v>21</v>
      </c>
      <c r="E164" s="34" t="s">
        <v>34</v>
      </c>
      <c r="F164" s="34" t="s">
        <v>35</v>
      </c>
      <c r="G164" s="33" t="s">
        <v>208</v>
      </c>
      <c r="H164" s="35" t="s">
        <v>51</v>
      </c>
      <c r="I164" s="36" t="s">
        <v>607</v>
      </c>
      <c r="J164" s="34" t="s">
        <v>37</v>
      </c>
      <c r="K164" s="34" t="s">
        <v>24</v>
      </c>
      <c r="L164" s="37">
        <v>46252</v>
      </c>
      <c r="M164" s="38">
        <v>46247</v>
      </c>
      <c r="N164" s="39">
        <v>2.5</v>
      </c>
      <c r="O164" s="40" t="s">
        <v>620</v>
      </c>
      <c r="P164" s="39">
        <v>25.0</v>
      </c>
      <c r="Q164" s="39">
        <v>157.7</v>
      </c>
    </row>
    <row r="165" spans="1:17" ht="15.75" hidden="1" customHeight="1" x14ac:dyDescent="0.25">
      <c r="A165" s="30" t="s">
        <v>631</v>
      </c>
      <c r="B165" s="31" t="s">
        <v>632</v>
      </c>
      <c r="C165" s="32" t="s">
        <v>633</v>
      </c>
      <c r="D165" s="33" t="s">
        <v>21</v>
      </c>
      <c r="E165" s="34" t="s">
        <v>34</v>
      </c>
      <c r="F165" s="34" t="s">
        <v>35</v>
      </c>
      <c r="G165" s="33" t="s">
        <v>208</v>
      </c>
      <c r="H165" s="35" t="s">
        <v>51</v>
      </c>
      <c r="I165" s="36" t="s">
        <v>607</v>
      </c>
      <c r="J165" s="34" t="s">
        <v>37</v>
      </c>
      <c r="K165" s="34" t="s">
        <v>24</v>
      </c>
      <c r="L165" s="37">
        <v>46252</v>
      </c>
      <c r="M165" s="38">
        <v>46240</v>
      </c>
      <c r="N165" s="39">
        <v>4.0</v>
      </c>
      <c r="O165" s="40" t="s">
        <v>620</v>
      </c>
      <c r="P165" s="39">
        <v>25.2</v>
      </c>
      <c r="Q165" s="39">
        <v>5.68</v>
      </c>
    </row>
    <row r="166" spans="1:17" ht="15.75" hidden="1" customHeight="1" x14ac:dyDescent="0.25">
      <c r="A166" s="30" t="s">
        <v>634</v>
      </c>
      <c r="B166" s="31" t="s">
        <v>635</v>
      </c>
      <c r="C166" s="32" t="s">
        <v>636</v>
      </c>
      <c r="D166" s="33" t="s">
        <v>21</v>
      </c>
      <c r="E166" s="34" t="s">
        <v>34</v>
      </c>
      <c r="F166" s="34" t="s">
        <v>35</v>
      </c>
      <c r="G166" s="33" t="s">
        <v>208</v>
      </c>
      <c r="H166" s="35"/>
      <c r="I166" s="36" t="s">
        <v>607</v>
      </c>
      <c r="J166" s="34" t="s">
        <v>37</v>
      </c>
      <c r="K166" s="34" t="s">
        <v>24</v>
      </c>
      <c r="L166" s="37">
        <v>46252</v>
      </c>
      <c r="M166" s="38">
        <v>46243</v>
      </c>
      <c r="N166" s="39">
        <v>2.5</v>
      </c>
      <c r="O166" s="40" t="s">
        <v>620</v>
      </c>
      <c r="P166" s="39">
        <v>17.25</v>
      </c>
      <c r="Q166" s="39">
        <v>17.9</v>
      </c>
    </row>
    <row r="167" spans="1:17" ht="30" hidden="1" customHeight="1" x14ac:dyDescent="0.25">
      <c r="A167" s="30" t="s">
        <v>637</v>
      </c>
      <c r="B167" s="31" t="s">
        <v>638</v>
      </c>
      <c r="C167" s="32" t="s">
        <v>639</v>
      </c>
      <c r="D167" s="33" t="s">
        <v>21</v>
      </c>
      <c r="E167" s="34" t="s">
        <v>22</v>
      </c>
      <c r="F167" s="34" t="s">
        <v>35</v>
      </c>
      <c r="G167" s="33" t="s">
        <v>50</v>
      </c>
      <c r="H167" s="35" t="s">
        <v>51</v>
      </c>
      <c r="I167" s="36" t="s">
        <v>28</v>
      </c>
      <c r="J167" s="34" t="s">
        <v>37</v>
      </c>
      <c r="K167" s="34"/>
      <c r="L167" s="37"/>
      <c r="M167" s="38"/>
      <c r="N167" s="39">
        <v>62.0</v>
      </c>
      <c r="O167" s="40" t="s">
        <v>104</v>
      </c>
      <c r="P167" s="39">
        <v>4.3</v>
      </c>
      <c r="Q167" s="39">
        <v>655.0</v>
      </c>
    </row>
    <row r="168" spans="1:17" ht="31.5" hidden="1" customHeight="1" x14ac:dyDescent="0.25">
      <c r="A168" s="30" t="s">
        <v>640</v>
      </c>
      <c r="B168" s="31" t="s">
        <v>641</v>
      </c>
      <c r="C168" s="32" t="s">
        <v>642</v>
      </c>
      <c r="D168" s="33" t="s">
        <v>21</v>
      </c>
      <c r="E168" s="34" t="s">
        <v>22</v>
      </c>
      <c r="F168" s="34" t="s">
        <v>23</v>
      </c>
      <c r="G168" s="33" t="s">
        <v>50</v>
      </c>
      <c r="H168" s="35" t="s">
        <v>51</v>
      </c>
      <c r="I168" s="36" t="s">
        <v>643</v>
      </c>
      <c r="J168" s="34" t="s">
        <v>37</v>
      </c>
      <c r="K168" s="34" t="s">
        <v>29</v>
      </c>
      <c r="L168" s="37"/>
      <c r="M168" s="38"/>
      <c r="N168" s="39">
        <v>33.8</v>
      </c>
      <c r="O168" s="40" t="s">
        <v>104</v>
      </c>
      <c r="P168" s="39">
        <v>56.8</v>
      </c>
      <c r="Q168" s="39">
        <v>700.9</v>
      </c>
    </row>
    <row r="169" spans="1:17" ht="31.5" hidden="1" customHeight="1" x14ac:dyDescent="0.25">
      <c r="A169" s="30" t="s">
        <v>644</v>
      </c>
      <c r="B169" s="31" t="s">
        <v>645</v>
      </c>
      <c r="C169" s="32" t="s">
        <v>646</v>
      </c>
      <c r="D169" s="33" t="s">
        <v>21</v>
      </c>
      <c r="E169" s="34" t="s">
        <v>22</v>
      </c>
      <c r="F169" s="34" t="s">
        <v>23</v>
      </c>
      <c r="G169" s="33"/>
      <c r="H169" s="35" t="s">
        <v>51</v>
      </c>
      <c r="I169" s="36" t="s">
        <v>647</v>
      </c>
      <c r="J169" s="34" t="s">
        <v>37</v>
      </c>
      <c r="K169" s="34" t="s">
        <v>29</v>
      </c>
      <c r="L169" s="37"/>
      <c r="M169" s="38"/>
      <c r="N169" s="39">
        <v>42.2</v>
      </c>
      <c r="O169" s="40" t="s">
        <v>104</v>
      </c>
      <c r="P169" s="39"/>
      <c r="Q169" s="39"/>
    </row>
    <row r="170" spans="1:17" ht="30" customHeight="1" x14ac:dyDescent="0.25">
      <c r="A170" s="30" t="s">
        <v>648</v>
      </c>
      <c r="B170" s="31" t="s">
        <v>649</v>
      </c>
      <c r="C170" s="32" t="s">
        <v>650</v>
      </c>
      <c r="D170" s="33" t="s">
        <v>185</v>
      </c>
      <c r="E170" s="34" t="s">
        <v>34</v>
      </c>
      <c r="F170" s="34" t="s">
        <v>35</v>
      </c>
      <c r="G170" s="33" t="s">
        <v>24</v>
      </c>
      <c r="H170" s="35" t="s">
        <v>51</v>
      </c>
      <c r="I170" s="36" t="s">
        <v>326</v>
      </c>
      <c r="J170" s="34" t="s">
        <v>37</v>
      </c>
      <c r="K170" s="34" t="s">
        <v>24</v>
      </c>
      <c r="L170" s="37">
        <v>46260</v>
      </c>
      <c r="N170">
        <v>1.67</v>
      </c>
      <c r="O170" s="40" t="s">
        <v>41</v>
      </c>
      <c r="P170" s="39">
        <v>4.7</v>
      </c>
      <c r="Q170">
        <v>117.2</v>
      </c>
    </row>
    <row r="171" spans="1:17" ht="31.5" hidden="1" customHeight="1" x14ac:dyDescent="0.25">
      <c r="A171" s="30" t="s">
        <v>651</v>
      </c>
      <c r="B171" s="31" t="s">
        <v>652</v>
      </c>
      <c r="C171" s="32" t="s">
        <v>653</v>
      </c>
      <c r="D171" s="33" t="s">
        <v>21</v>
      </c>
      <c r="E171" s="34" t="s">
        <v>22</v>
      </c>
      <c r="F171" s="34" t="s">
        <v>35</v>
      </c>
      <c r="G171" s="33" t="s">
        <v>157</v>
      </c>
      <c r="H171" s="35" t="s">
        <v>51</v>
      </c>
      <c r="I171" s="36" t="s">
        <v>654</v>
      </c>
      <c r="J171" s="34" t="s">
        <v>37</v>
      </c>
      <c r="K171" s="34"/>
      <c r="L171" s="37"/>
      <c r="M171" s="38"/>
      <c r="N171" s="39">
        <v>22.5</v>
      </c>
      <c r="O171" s="40" t="s">
        <v>89</v>
      </c>
      <c r="P171" s="39">
        <v>16.3</v>
      </c>
      <c r="Q171" s="39">
        <v>843.7</v>
      </c>
    </row>
    <row r="172" spans="1:17" ht="15.75" hidden="1" customHeight="1" x14ac:dyDescent="0.25">
      <c r="A172" s="30" t="s">
        <v>655</v>
      </c>
      <c r="B172" s="31" t="s">
        <v>656</v>
      </c>
      <c r="C172" s="32" t="s">
        <v>657</v>
      </c>
      <c r="D172" s="33" t="s">
        <v>49</v>
      </c>
      <c r="E172" s="34" t="s">
        <v>34</v>
      </c>
      <c r="F172" s="34" t="s">
        <v>35</v>
      </c>
      <c r="G172" s="33" t="s">
        <v>50</v>
      </c>
      <c r="H172" s="35" t="s">
        <v>51</v>
      </c>
      <c r="I172" s="36" t="s">
        <v>50</v>
      </c>
      <c r="J172" s="34" t="s">
        <v>37</v>
      </c>
      <c r="K172" s="34" t="s">
        <v>25</v>
      </c>
      <c r="L172" s="37">
        <v>46252</v>
      </c>
      <c r="M172" s="38">
        <v>46244</v>
      </c>
      <c r="N172" s="39">
        <v>0.0</v>
      </c>
      <c r="O172" s="40" t="s">
        <v>234</v>
      </c>
      <c r="P172" s="39">
        <v>4.0</v>
      </c>
      <c r="Q172" s="39">
        <v>5.98</v>
      </c>
    </row>
    <row r="173" spans="1:17" ht="15.75" hidden="1" customHeight="1" x14ac:dyDescent="0.25">
      <c r="A173" s="30" t="s">
        <v>658</v>
      </c>
      <c r="B173" s="31" t="s">
        <v>659</v>
      </c>
      <c r="C173" s="32" t="s">
        <v>660</v>
      </c>
      <c r="D173" s="33" t="s">
        <v>661</v>
      </c>
      <c r="E173" s="34" t="s">
        <v>22</v>
      </c>
      <c r="F173" s="34" t="s">
        <v>35</v>
      </c>
      <c r="G173" s="33" t="s">
        <v>50</v>
      </c>
      <c r="H173" s="35" t="s">
        <v>51</v>
      </c>
      <c r="I173" s="36" t="s">
        <v>662</v>
      </c>
      <c r="J173" s="34" t="s">
        <v>37</v>
      </c>
      <c r="K173" s="34" t="s">
        <v>29</v>
      </c>
      <c r="L173" s="37"/>
      <c r="M173" s="38"/>
      <c r="N173" s="39">
        <v>0.0</v>
      </c>
      <c r="O173" s="40" t="s">
        <v>41</v>
      </c>
      <c r="P173" s="39">
        <v>16.2</v>
      </c>
      <c r="Q173" s="39">
        <v>7395.8</v>
      </c>
    </row>
    <row r="174" spans="1:17" ht="30" hidden="1" customHeight="1" x14ac:dyDescent="0.25">
      <c r="A174" s="30" t="s">
        <v>663</v>
      </c>
      <c r="B174" s="31" t="s">
        <v>664</v>
      </c>
      <c r="C174" s="32" t="s">
        <v>665</v>
      </c>
      <c r="D174" s="33" t="s">
        <v>67</v>
      </c>
      <c r="E174" s="34" t="s">
        <v>22</v>
      </c>
      <c r="F174" s="34" t="s">
        <v>35</v>
      </c>
      <c r="G174" s="33" t="s">
        <v>50</v>
      </c>
      <c r="H174" s="35" t="s">
        <v>51</v>
      </c>
      <c r="I174" s="36" t="s">
        <v>666</v>
      </c>
      <c r="J174" s="34" t="s">
        <v>37</v>
      </c>
      <c r="K174" s="34" t="s">
        <v>29</v>
      </c>
      <c r="L174" s="37"/>
      <c r="M174" s="38"/>
      <c r="N174" s="39">
        <v>0.0</v>
      </c>
      <c r="O174" s="40" t="s">
        <v>41</v>
      </c>
      <c r="P174" s="39">
        <v>15</v>
      </c>
      <c r="Q174" s="39">
        <v>2888.4</v>
      </c>
    </row>
    <row r="175" spans="1:17" ht="15.75" hidden="1" customHeight="1" x14ac:dyDescent="0.25">
      <c r="A175" s="30" t="s">
        <v>667</v>
      </c>
      <c r="B175" s="31" t="s">
        <v>668</v>
      </c>
      <c r="C175" s="32" t="s">
        <v>669</v>
      </c>
      <c r="D175" s="33" t="s">
        <v>21</v>
      </c>
      <c r="E175" s="34" t="s">
        <v>34</v>
      </c>
      <c r="F175" s="34" t="s">
        <v>35</v>
      </c>
      <c r="G175" s="33"/>
      <c r="H175" s="35"/>
      <c r="I175" s="36"/>
      <c r="J175" s="34" t="s">
        <v>37</v>
      </c>
      <c r="K175" s="34" t="s">
        <v>24</v>
      </c>
      <c r="L175" s="37">
        <v>46223</v>
      </c>
      <c r="M175" s="38">
        <v>46223</v>
      </c>
      <c r="N175" s="39">
        <v>9.0</v>
      </c>
      <c r="O175" s="40" t="s">
        <v>670</v>
      </c>
      <c r="P175" s="39">
        <v>1.72</v>
      </c>
      <c r="Q175" s="39">
        <v>12.43</v>
      </c>
    </row>
    <row r="176" spans="1:17" ht="15.75" hidden="1" customHeight="1" x14ac:dyDescent="0.25">
      <c r="A176" s="30" t="s">
        <v>671</v>
      </c>
      <c r="B176" s="31" t="s">
        <v>672</v>
      </c>
      <c r="C176" s="32" t="s">
        <v>673</v>
      </c>
      <c r="D176" s="33" t="s">
        <v>21</v>
      </c>
      <c r="E176" s="34" t="s">
        <v>34</v>
      </c>
      <c r="F176" s="34" t="s">
        <v>35</v>
      </c>
      <c r="G176" s="33"/>
      <c r="H176" s="35" t="s">
        <v>51</v>
      </c>
      <c r="I176" s="36"/>
      <c r="J176" s="34" t="s">
        <v>37</v>
      </c>
      <c r="K176" s="34" t="s">
        <v>24</v>
      </c>
      <c r="L176" s="37">
        <v>46237</v>
      </c>
      <c r="M176" s="38">
        <v>46237</v>
      </c>
      <c r="N176" s="39">
        <v>13.0</v>
      </c>
      <c r="O176" s="40" t="s">
        <v>670</v>
      </c>
      <c r="P176" s="39">
        <v>0.0</v>
      </c>
      <c r="Q176" s="39">
        <v>0.0</v>
      </c>
    </row>
    <row r="177" spans="1:17" ht="15.75" customHeight="1" x14ac:dyDescent="0.25">
      <c r="A177" s="30" t="s">
        <v>674</v>
      </c>
      <c r="B177" s="31" t="s">
        <v>675</v>
      </c>
      <c r="C177" s="32" t="s">
        <v>676</v>
      </c>
      <c r="D177" s="33" t="s">
        <v>21</v>
      </c>
      <c r="E177" s="34" t="s">
        <v>22</v>
      </c>
      <c r="F177" s="34" t="s">
        <v>35</v>
      </c>
      <c r="G177" s="33"/>
      <c r="H177" s="35"/>
      <c r="I177" s="36"/>
      <c r="J177" s="34" t="s">
        <v>37</v>
      </c>
      <c r="K177" s="34" t="s">
        <v>24</v>
      </c>
      <c r="L177" s="37"/>
      <c r="M177" s="38"/>
      <c r="N177" s="39">
        <v>22.0</v>
      </c>
      <c r="O177" s="40" t="s">
        <v>670</v>
      </c>
      <c r="P177" s="39"/>
      <c r="Q177" s="39">
        <v>0.0</v>
      </c>
    </row>
    <row r="178" spans="1:17" ht="15.75" hidden="1" customHeight="1" x14ac:dyDescent="0.25">
      <c r="A178" s="30" t="s">
        <v>677</v>
      </c>
      <c r="B178" s="31" t="s">
        <v>678</v>
      </c>
      <c r="C178" s="32" t="s">
        <v>679</v>
      </c>
      <c r="D178" s="33" t="s">
        <v>96</v>
      </c>
      <c r="E178" s="34" t="s">
        <v>34</v>
      </c>
      <c r="F178" s="34" t="s">
        <v>35</v>
      </c>
      <c r="G178" s="33" t="s">
        <v>50</v>
      </c>
      <c r="H178" s="35"/>
      <c r="I178" s="36" t="s">
        <v>50</v>
      </c>
      <c r="J178" s="34" t="s">
        <v>37</v>
      </c>
      <c r="K178" s="34" t="s">
        <v>24</v>
      </c>
      <c r="L178" s="37">
        <v>46252</v>
      </c>
      <c r="M178" s="38">
        <v>46252</v>
      </c>
      <c r="N178" s="39">
        <v>2.0</v>
      </c>
      <c r="O178" s="40" t="s">
        <v>670</v>
      </c>
      <c r="P178" s="39">
        <v>0.17</v>
      </c>
      <c r="Q178" s="39">
        <v>0.17</v>
      </c>
    </row>
    <row r="179" spans="1:17" ht="15.75" customHeight="1" x14ac:dyDescent="0.25">
      <c r="A179" s="30" t="s">
        <v>680</v>
      </c>
      <c r="B179" s="31" t="s">
        <v>681</v>
      </c>
      <c r="C179" s="32" t="s">
        <v>682</v>
      </c>
      <c r="D179" s="33" t="s">
        <v>21</v>
      </c>
      <c r="E179" s="34" t="s">
        <v>22</v>
      </c>
      <c r="F179" s="34" t="s">
        <v>35</v>
      </c>
      <c r="G179" s="33"/>
      <c r="H179" s="35"/>
      <c r="I179" s="36"/>
      <c r="J179" s="34" t="s">
        <v>37</v>
      </c>
      <c r="K179" s="34" t="s">
        <v>24</v>
      </c>
      <c r="L179" s="37"/>
      <c r="M179" s="38"/>
      <c r="N179" s="39">
        <v>3.0</v>
      </c>
      <c r="O179" s="40" t="s">
        <v>279</v>
      </c>
      <c r="P179" s="39"/>
      <c r="Q179" s="39">
        <v>0.0</v>
      </c>
    </row>
    <row r="180" spans="1:17" ht="15.75" customHeight="1" x14ac:dyDescent="0.25">
      <c r="A180" s="30" t="s">
        <v>683</v>
      </c>
      <c r="B180" s="31" t="s">
        <v>684</v>
      </c>
      <c r="C180" s="32" t="s">
        <v>685</v>
      </c>
      <c r="D180" s="33" t="s">
        <v>21</v>
      </c>
      <c r="E180" s="34" t="s">
        <v>22</v>
      </c>
      <c r="F180" s="34" t="s">
        <v>35</v>
      </c>
      <c r="G180" s="33" t="s">
        <v>50</v>
      </c>
      <c r="H180" s="35"/>
      <c r="I180" s="36" t="s">
        <v>50</v>
      </c>
      <c r="J180" s="34" t="s">
        <v>37</v>
      </c>
      <c r="K180" s="34" t="s">
        <v>25</v>
      </c>
      <c r="L180" s="37"/>
      <c r="M180" s="38"/>
      <c r="N180" s="39">
        <v>2.0</v>
      </c>
      <c r="O180" s="40" t="s">
        <v>279</v>
      </c>
      <c r="P180" s="39"/>
      <c r="Q180" s="39">
        <v>0.0</v>
      </c>
    </row>
    <row r="181" spans="1:17" ht="15.75" customHeight="1" x14ac:dyDescent="0.25">
      <c r="A181" s="30" t="s">
        <v>686</v>
      </c>
      <c r="B181" s="31" t="s">
        <v>687</v>
      </c>
      <c r="C181" s="32" t="s">
        <v>688</v>
      </c>
      <c r="D181" s="33" t="s">
        <v>21</v>
      </c>
      <c r="E181" s="34" t="s">
        <v>22</v>
      </c>
      <c r="F181" s="34" t="s">
        <v>35</v>
      </c>
      <c r="G181" s="33"/>
      <c r="H181" s="35"/>
      <c r="I181" s="36"/>
      <c r="J181" s="34" t="s">
        <v>37</v>
      </c>
      <c r="K181" s="34" t="s">
        <v>24</v>
      </c>
      <c r="L181" s="37"/>
      <c r="M181" s="38"/>
      <c r="N181" s="39">
        <v>0.5</v>
      </c>
      <c r="O181" s="40" t="s">
        <v>689</v>
      </c>
      <c r="P181" s="39"/>
      <c r="Q181" s="39">
        <v>0.0</v>
      </c>
    </row>
    <row r="182" spans="1:17" ht="15.75" customHeight="1" x14ac:dyDescent="0.25">
      <c r="A182" s="30" t="s">
        <v>690</v>
      </c>
      <c r="B182" s="31" t="s">
        <v>691</v>
      </c>
      <c r="C182" s="32" t="s">
        <v>692</v>
      </c>
      <c r="D182" s="33" t="s">
        <v>21</v>
      </c>
      <c r="E182" s="34" t="s">
        <v>22</v>
      </c>
      <c r="F182" s="34" t="s">
        <v>35</v>
      </c>
      <c r="G182" s="33"/>
      <c r="H182" s="35"/>
      <c r="I182" s="36"/>
      <c r="J182" s="34" t="s">
        <v>37</v>
      </c>
      <c r="K182" s="34" t="s">
        <v>24</v>
      </c>
      <c r="L182" s="37"/>
      <c r="M182" s="38"/>
      <c r="N182" s="39">
        <v>7.0</v>
      </c>
      <c r="O182" s="40" t="s">
        <v>279</v>
      </c>
      <c r="P182" s="39"/>
      <c r="Q182" s="39">
        <v>0.0</v>
      </c>
    </row>
    <row r="183" spans="1:17" ht="15.75" customHeight="1" x14ac:dyDescent="0.25">
      <c r="A183" s="30" t="s">
        <v>693</v>
      </c>
      <c r="B183" s="31" t="s">
        <v>694</v>
      </c>
      <c r="C183" s="32" t="s">
        <v>695</v>
      </c>
      <c r="D183" s="33" t="s">
        <v>21</v>
      </c>
      <c r="E183" s="34" t="s">
        <v>22</v>
      </c>
      <c r="F183" s="34" t="s">
        <v>35</v>
      </c>
      <c r="G183" s="33" t="s">
        <v>50</v>
      </c>
      <c r="H183" s="35" t="s">
        <v>51</v>
      </c>
      <c r="I183" s="36" t="s">
        <v>50</v>
      </c>
      <c r="J183" s="34" t="s">
        <v>37</v>
      </c>
      <c r="K183" s="34" t="s">
        <v>24</v>
      </c>
      <c r="L183" s="37"/>
      <c r="M183" s="38"/>
      <c r="N183" s="39">
        <v>16.0</v>
      </c>
      <c r="O183" s="40" t="s">
        <v>548</v>
      </c>
      <c r="P183" s="39"/>
      <c r="Q183" s="39">
        <v>0.0</v>
      </c>
    </row>
    <row r="184" spans="1:17" ht="15.75" customHeight="1" x14ac:dyDescent="0.25">
      <c r="A184" s="30" t="s">
        <v>696</v>
      </c>
      <c r="B184" s="31" t="s">
        <v>697</v>
      </c>
      <c r="C184" s="32" t="s">
        <v>698</v>
      </c>
      <c r="D184" s="33" t="s">
        <v>33</v>
      </c>
      <c r="E184" s="34" t="s">
        <v>22</v>
      </c>
      <c r="F184" s="34" t="s">
        <v>35</v>
      </c>
      <c r="G184" s="33" t="s">
        <v>50</v>
      </c>
      <c r="H184" s="35" t="s">
        <v>51</v>
      </c>
      <c r="I184" s="36" t="s">
        <v>50</v>
      </c>
      <c r="J184" s="34" t="s">
        <v>37</v>
      </c>
      <c r="K184" s="34" t="s">
        <v>24</v>
      </c>
      <c r="L184" s="37"/>
      <c r="M184" s="38"/>
      <c r="N184" s="39">
        <v>10.0</v>
      </c>
      <c r="O184" s="40" t="s">
        <v>699</v>
      </c>
      <c r="P184" s="39">
        <v>97</v>
      </c>
      <c r="Q184" s="39">
        <v>678.9</v>
      </c>
    </row>
    <row r="185" spans="1:17" ht="15.75" customHeight="1" x14ac:dyDescent="0.25">
      <c r="A185" s="30" t="s">
        <v>700</v>
      </c>
      <c r="B185" s="31" t="s">
        <v>701</v>
      </c>
      <c r="C185" s="32" t="s">
        <v>702</v>
      </c>
      <c r="D185" s="33" t="s">
        <v>33</v>
      </c>
      <c r="E185" s="34" t="s">
        <v>22</v>
      </c>
      <c r="F185" s="34" t="s">
        <v>35</v>
      </c>
      <c r="G185" s="33" t="s">
        <v>50</v>
      </c>
      <c r="H185" s="35"/>
      <c r="I185" s="36" t="s">
        <v>50</v>
      </c>
      <c r="J185" s="34" t="s">
        <v>37</v>
      </c>
      <c r="K185" s="34" t="s">
        <v>24</v>
      </c>
      <c r="L185" s="37"/>
      <c r="M185" s="38"/>
      <c r="N185" s="39">
        <v>3.2</v>
      </c>
      <c r="O185" s="40" t="s">
        <v>699</v>
      </c>
      <c r="P185" s="39"/>
      <c r="Q185" s="39"/>
    </row>
    <row r="186" spans="1:17" ht="30" hidden="1" customHeight="1" x14ac:dyDescent="0.25">
      <c r="A186" s="30">
        <v>32978848</v>
      </c>
      <c r="B186" s="31" t="s">
        <v>703</v>
      </c>
      <c r="C186" s="32">
        <v>874</v>
      </c>
      <c r="D186" s="33" t="s">
        <v>185</v>
      </c>
      <c r="E186" s="34" t="s">
        <v>34</v>
      </c>
      <c r="F186" s="34" t="s">
        <v>35</v>
      </c>
      <c r="G186" s="33" t="s">
        <v>186</v>
      </c>
      <c r="H186" s="35"/>
      <c r="I186" s="36"/>
      <c r="J186" s="34"/>
      <c r="K186" s="34" t="s">
        <v>37</v>
      </c>
      <c r="L186" s="37">
        <v>46224</v>
      </c>
      <c r="M186" s="38">
        <v>46224</v>
      </c>
      <c r="N186" s="39">
        <v>12.0</v>
      </c>
      <c r="O186" s="40"/>
      <c r="P186" s="39">
        <v>12.0</v>
      </c>
      <c r="Q186" s="39">
        <v>6.0</v>
      </c>
    </row>
    <row r="187" spans="1:17" ht="30" hidden="1" customHeight="1" x14ac:dyDescent="0.25">
      <c r="A187" s="30">
        <v>32978869</v>
      </c>
      <c r="B187" s="31" t="s">
        <v>704</v>
      </c>
      <c r="C187" s="32">
        <v>875</v>
      </c>
      <c r="D187" s="33" t="s">
        <v>185</v>
      </c>
      <c r="E187" s="34" t="s">
        <v>34</v>
      </c>
      <c r="F187" s="34" t="s">
        <v>35</v>
      </c>
      <c r="G187" s="33" t="s">
        <v>186</v>
      </c>
      <c r="H187" s="35"/>
      <c r="I187" s="36"/>
      <c r="J187" s="34"/>
      <c r="K187" s="34" t="s">
        <v>37</v>
      </c>
      <c r="L187" s="37">
        <v>46224</v>
      </c>
      <c r="M187" s="38">
        <v>46224</v>
      </c>
      <c r="N187" s="39">
        <v>120.0</v>
      </c>
      <c r="O187" s="40"/>
      <c r="P187" s="39">
        <v>120.5</v>
      </c>
      <c r="Q187" s="39">
        <v>53.3</v>
      </c>
    </row>
    <row r="188" spans="1:17" ht="30" hidden="1" customHeight="1" x14ac:dyDescent="0.25">
      <c r="A188" s="30">
        <v>32978879</v>
      </c>
      <c r="B188" s="31" t="s">
        <v>705</v>
      </c>
      <c r="C188" s="32">
        <v>876</v>
      </c>
      <c r="D188" s="33" t="s">
        <v>185</v>
      </c>
      <c r="E188" s="34" t="s">
        <v>22</v>
      </c>
      <c r="F188" s="34" t="s">
        <v>35</v>
      </c>
      <c r="G188" s="33" t="s">
        <v>186</v>
      </c>
      <c r="H188" s="35" t="s">
        <v>51</v>
      </c>
      <c r="L188" s="37"/>
      <c r="M188" s="38"/>
      <c r="N188" s="39">
        <v>2.0</v>
      </c>
      <c r="O188" s="40"/>
      <c r="P188" s="39"/>
      <c r="Q188" s="39">
        <v>29.6</v>
      </c>
    </row>
    <row r="189" spans="1:17" ht="30" hidden="1" customHeight="1" x14ac:dyDescent="0.25">
      <c r="A189" s="30">
        <v>32978900</v>
      </c>
      <c r="B189" s="31" t="s">
        <v>706</v>
      </c>
      <c r="C189" s="32">
        <v>877</v>
      </c>
      <c r="D189" s="33" t="s">
        <v>185</v>
      </c>
      <c r="E189" s="34" t="s">
        <v>34</v>
      </c>
      <c r="F189" s="34" t="s">
        <v>35</v>
      </c>
      <c r="G189" s="33" t="s">
        <v>186</v>
      </c>
      <c r="H189" s="35" t="s">
        <v>51</v>
      </c>
      <c r="I189" s="36"/>
      <c r="J189" s="34"/>
      <c r="K189" s="34" t="s">
        <v>37</v>
      </c>
      <c r="L189" s="37">
        <v>46229</v>
      </c>
      <c r="M189" s="38">
        <v>46229</v>
      </c>
      <c r="N189" s="39">
        <v>22.0</v>
      </c>
      <c r="O189" s="40"/>
      <c r="P189" s="39">
        <v>22.0</v>
      </c>
      <c r="Q189" s="39">
        <v>106.1</v>
      </c>
    </row>
    <row r="190" spans="1:17" ht="45" hidden="1" customHeight="1" x14ac:dyDescent="0.25">
      <c r="A190" s="30">
        <v>32978919</v>
      </c>
      <c r="B190" s="31" t="s">
        <v>707</v>
      </c>
      <c r="C190" s="32">
        <v>878</v>
      </c>
      <c r="D190" s="33" t="s">
        <v>185</v>
      </c>
      <c r="E190" s="34" t="s">
        <v>34</v>
      </c>
      <c r="F190" s="34" t="s">
        <v>35</v>
      </c>
      <c r="G190" s="33" t="s">
        <v>186</v>
      </c>
      <c r="H190" s="35" t="s">
        <v>51</v>
      </c>
      <c r="I190" s="36"/>
      <c r="J190" s="34"/>
      <c r="K190" s="34" t="s">
        <v>37</v>
      </c>
      <c r="L190" s="37">
        <v>46224</v>
      </c>
      <c r="M190" s="38">
        <v>46224</v>
      </c>
      <c r="N190" s="39">
        <v>5.0</v>
      </c>
      <c r="O190" s="40"/>
      <c r="P190" s="39">
        <v>6.0</v>
      </c>
      <c r="Q190" s="39">
        <v>728.7</v>
      </c>
    </row>
    <row r="191" spans="1:17" ht="30" hidden="1" customHeight="1" x14ac:dyDescent="0.25">
      <c r="A191" s="30">
        <v>32978925</v>
      </c>
      <c r="B191" s="31" t="s">
        <v>708</v>
      </c>
      <c r="C191" s="32">
        <v>879</v>
      </c>
      <c r="D191" s="33" t="s">
        <v>185</v>
      </c>
      <c r="E191" s="34" t="s">
        <v>34</v>
      </c>
      <c r="F191" s="34" t="s">
        <v>35</v>
      </c>
      <c r="G191" s="33" t="s">
        <v>186</v>
      </c>
      <c r="H191" s="35" t="s">
        <v>51</v>
      </c>
      <c r="I191" s="36"/>
      <c r="J191" s="34"/>
      <c r="K191" s="34" t="s">
        <v>37</v>
      </c>
      <c r="L191" s="37">
        <v>46224</v>
      </c>
      <c r="M191" s="38">
        <v>46224</v>
      </c>
      <c r="N191" s="39">
        <v>3.0</v>
      </c>
      <c r="O191" s="40"/>
      <c r="P191" s="39">
        <v>3.0</v>
      </c>
      <c r="Q191" s="39">
        <v>1.5</v>
      </c>
    </row>
    <row r="192" spans="1:17" ht="30" hidden="1" customHeight="1" x14ac:dyDescent="0.25">
      <c r="A192" s="30">
        <v>32978965</v>
      </c>
      <c r="B192" s="31" t="s">
        <v>709</v>
      </c>
      <c r="C192" s="32">
        <v>880</v>
      </c>
      <c r="D192" s="33" t="s">
        <v>185</v>
      </c>
      <c r="E192" s="34" t="s">
        <v>34</v>
      </c>
      <c r="F192" s="34" t="s">
        <v>35</v>
      </c>
      <c r="G192" s="33" t="s">
        <v>186</v>
      </c>
      <c r="H192" s="35" t="s">
        <v>51</v>
      </c>
      <c r="I192" s="36"/>
      <c r="J192" s="34"/>
      <c r="K192" s="34" t="s">
        <v>37</v>
      </c>
      <c r="L192" s="37">
        <v>46224</v>
      </c>
      <c r="M192" s="38">
        <v>46224</v>
      </c>
      <c r="N192" s="39">
        <v>3.0</v>
      </c>
      <c r="O192" s="40"/>
      <c r="P192" s="39">
        <v>3.0</v>
      </c>
      <c r="Q192" s="39">
        <v>3.0</v>
      </c>
    </row>
    <row r="193" spans="1:17" ht="30" hidden="1" customHeight="1" x14ac:dyDescent="0.25">
      <c r="A193" s="30">
        <v>32979121</v>
      </c>
      <c r="B193" s="31" t="s">
        <v>710</v>
      </c>
      <c r="C193" s="32">
        <v>881</v>
      </c>
      <c r="D193" s="33" t="s">
        <v>185</v>
      </c>
      <c r="E193" s="34" t="s">
        <v>34</v>
      </c>
      <c r="F193" s="34" t="s">
        <v>35</v>
      </c>
      <c r="G193" s="33" t="s">
        <v>186</v>
      </c>
      <c r="H193" s="35" t="s">
        <v>51</v>
      </c>
      <c r="I193" s="36"/>
      <c r="J193" s="34"/>
      <c r="K193" s="34" t="s">
        <v>37</v>
      </c>
      <c r="L193" s="37">
        <v>46229</v>
      </c>
      <c r="M193" s="38">
        <v>46229</v>
      </c>
      <c r="N193" s="39">
        <v>13.0</v>
      </c>
      <c r="O193" s="40"/>
      <c r="P193" s="39">
        <v>13.0</v>
      </c>
      <c r="Q193" s="39">
        <v>105.7</v>
      </c>
    </row>
    <row r="194" spans="1:17" ht="30" hidden="1" customHeight="1" x14ac:dyDescent="0.25">
      <c r="A194" s="30">
        <v>32979157</v>
      </c>
      <c r="B194" s="31" t="s">
        <v>711</v>
      </c>
      <c r="C194" s="32">
        <v>882</v>
      </c>
      <c r="D194" s="33" t="s">
        <v>185</v>
      </c>
      <c r="E194" s="34" t="s">
        <v>34</v>
      </c>
      <c r="F194" s="34" t="s">
        <v>35</v>
      </c>
      <c r="G194" s="33" t="s">
        <v>186</v>
      </c>
      <c r="H194" s="35" t="s">
        <v>51</v>
      </c>
      <c r="I194" s="36"/>
      <c r="J194" s="34"/>
      <c r="K194" s="34" t="s">
        <v>37</v>
      </c>
      <c r="L194" s="37">
        <v>46225</v>
      </c>
      <c r="M194" s="38">
        <v>46225</v>
      </c>
      <c r="N194" s="39">
        <v>3.0</v>
      </c>
      <c r="O194" s="40"/>
      <c r="P194" s="39">
        <v>3.0</v>
      </c>
      <c r="Q194" s="39">
        <v>3.03</v>
      </c>
    </row>
    <row r="195" spans="1:17" ht="30" hidden="1" customHeight="1" x14ac:dyDescent="0.25">
      <c r="A195" s="30">
        <v>32979231</v>
      </c>
      <c r="B195" s="31" t="s">
        <v>712</v>
      </c>
      <c r="C195" s="32">
        <v>885</v>
      </c>
      <c r="D195" s="33" t="s">
        <v>185</v>
      </c>
      <c r="E195" s="34" t="s">
        <v>34</v>
      </c>
      <c r="F195" s="34" t="s">
        <v>35</v>
      </c>
      <c r="G195" s="33" t="s">
        <v>186</v>
      </c>
      <c r="H195" s="35" t="s">
        <v>51</v>
      </c>
      <c r="I195" s="36"/>
      <c r="J195" s="34"/>
      <c r="K195" s="34" t="s">
        <v>37</v>
      </c>
      <c r="L195" s="37">
        <v>46224</v>
      </c>
      <c r="M195" s="38">
        <v>46224</v>
      </c>
      <c r="N195" s="39">
        <v>2.0</v>
      </c>
      <c r="O195" s="40"/>
      <c r="P195" s="39">
        <v>2.0</v>
      </c>
      <c r="Q195" s="39">
        <v>2.0</v>
      </c>
    </row>
    <row r="196" spans="1:17" ht="30" hidden="1" customHeight="1" x14ac:dyDescent="0.25">
      <c r="A196" s="30">
        <v>32979530</v>
      </c>
      <c r="B196" s="31" t="s">
        <v>713</v>
      </c>
      <c r="C196" s="32">
        <v>892</v>
      </c>
      <c r="D196" s="33" t="s">
        <v>33</v>
      </c>
      <c r="E196" s="34" t="s">
        <v>34</v>
      </c>
      <c r="F196" s="34" t="s">
        <v>35</v>
      </c>
      <c r="G196" s="33" t="s">
        <v>208</v>
      </c>
      <c r="H196" s="35" t="s">
        <v>51</v>
      </c>
      <c r="I196" s="36"/>
      <c r="J196" s="34"/>
      <c r="K196" s="34" t="s">
        <v>29</v>
      </c>
      <c r="L196" s="37">
        <v>46229</v>
      </c>
      <c r="M196" s="38">
        <v>46229</v>
      </c>
      <c r="N196" s="40">
        <v>0.0</v>
      </c>
      <c r="O196" s="40"/>
      <c r="P196" s="39">
        <v>12.5</v>
      </c>
      <c r="Q196" s="39">
        <v>4.18</v>
      </c>
    </row>
    <row r="197" spans="1:17" ht="30" hidden="1" customHeight="1" x14ac:dyDescent="0.25">
      <c r="A197" s="30">
        <v>32979557</v>
      </c>
      <c r="B197" s="31" t="s">
        <v>714</v>
      </c>
      <c r="C197" s="32">
        <v>893</v>
      </c>
      <c r="D197" s="33" t="s">
        <v>33</v>
      </c>
      <c r="E197" s="34" t="s">
        <v>22</v>
      </c>
      <c r="F197" s="34" t="s">
        <v>35</v>
      </c>
      <c r="G197" s="33" t="s">
        <v>50</v>
      </c>
      <c r="H197" s="35"/>
      <c r="I197" s="36"/>
      <c r="J197" s="34"/>
      <c r="K197" s="34" t="s">
        <v>29</v>
      </c>
      <c r="L197" s="37"/>
      <c r="M197" s="38"/>
      <c r="N197" s="39">
        <v>1.0</v>
      </c>
      <c r="O197" s="40"/>
      <c r="P197" s="39"/>
      <c r="Q197" s="39">
        <v>0.0</v>
      </c>
    </row>
    <row r="198" spans="1:17" ht="30" hidden="1" customHeight="1" x14ac:dyDescent="0.25">
      <c r="A198" s="30">
        <v>32979661</v>
      </c>
      <c r="B198" s="31" t="s">
        <v>715</v>
      </c>
      <c r="C198" s="32">
        <v>894</v>
      </c>
      <c r="D198" s="33" t="s">
        <v>33</v>
      </c>
      <c r="E198" s="34" t="s">
        <v>34</v>
      </c>
      <c r="F198" s="34" t="s">
        <v>35</v>
      </c>
      <c r="G198" s="33" t="s">
        <v>50</v>
      </c>
      <c r="H198" s="35"/>
      <c r="I198" s="36"/>
      <c r="J198" s="34"/>
      <c r="K198" s="34" t="s">
        <v>25</v>
      </c>
      <c r="L198" s="37">
        <v>46252</v>
      </c>
      <c r="M198" s="38">
        <v>46243</v>
      </c>
      <c r="N198" s="40">
        <v>0.0</v>
      </c>
      <c r="O198" s="40"/>
      <c r="P198" s="39">
        <v>1.0</v>
      </c>
      <c r="Q198" s="39">
        <v>1.0</v>
      </c>
    </row>
    <row r="199" spans="1:17" ht="30" hidden="1" customHeight="1" x14ac:dyDescent="0.25">
      <c r="A199" s="30">
        <v>32979981</v>
      </c>
      <c r="B199" s="31" t="s">
        <v>716</v>
      </c>
      <c r="C199" s="32">
        <v>897</v>
      </c>
      <c r="D199" s="33" t="s">
        <v>185</v>
      </c>
      <c r="E199" s="34" t="s">
        <v>34</v>
      </c>
      <c r="F199" s="34" t="s">
        <v>35</v>
      </c>
      <c r="G199" s="33" t="s">
        <v>186</v>
      </c>
      <c r="H199" s="35"/>
      <c r="I199" s="36"/>
      <c r="J199" s="34"/>
      <c r="K199" s="34" t="s">
        <v>37</v>
      </c>
      <c r="L199" s="37">
        <v>46229</v>
      </c>
      <c r="M199" s="38">
        <v>46229</v>
      </c>
      <c r="N199" s="39">
        <v>24.0</v>
      </c>
      <c r="O199" s="40"/>
      <c r="P199" s="39">
        <v>24.0</v>
      </c>
      <c r="Q199" s="39">
        <v>128.6</v>
      </c>
    </row>
    <row r="200" spans="1:17" ht="30" hidden="1" customHeight="1" x14ac:dyDescent="0.25">
      <c r="A200" s="30">
        <v>32980018</v>
      </c>
      <c r="B200" s="31" t="s">
        <v>717</v>
      </c>
      <c r="C200" s="32">
        <v>898</v>
      </c>
      <c r="D200" s="33" t="s">
        <v>185</v>
      </c>
      <c r="E200" s="34" t="s">
        <v>34</v>
      </c>
      <c r="F200" s="34" t="s">
        <v>35</v>
      </c>
      <c r="G200" s="33" t="s">
        <v>186</v>
      </c>
      <c r="H200" s="35" t="s">
        <v>51</v>
      </c>
      <c r="I200" s="36"/>
      <c r="J200" s="34"/>
      <c r="K200" s="34" t="s">
        <v>37</v>
      </c>
      <c r="L200" s="37">
        <v>46224</v>
      </c>
      <c r="M200" s="38">
        <v>46224</v>
      </c>
      <c r="N200" s="39">
        <v>24.0</v>
      </c>
      <c r="O200" s="40"/>
      <c r="P200" s="39">
        <v>24.0</v>
      </c>
      <c r="Q200" s="39">
        <v>8.0</v>
      </c>
    </row>
    <row r="201" spans="1:17" ht="30" hidden="1" customHeight="1" x14ac:dyDescent="0.25">
      <c r="A201" s="30">
        <v>32980020</v>
      </c>
      <c r="B201" s="31" t="s">
        <v>718</v>
      </c>
      <c r="C201" s="32">
        <v>899</v>
      </c>
      <c r="D201" s="33" t="s">
        <v>185</v>
      </c>
      <c r="E201" s="34" t="s">
        <v>34</v>
      </c>
      <c r="F201" s="34" t="s">
        <v>35</v>
      </c>
      <c r="G201" s="33" t="s">
        <v>186</v>
      </c>
      <c r="H201" s="35"/>
      <c r="I201" s="36"/>
      <c r="J201" s="34"/>
      <c r="K201" s="34" t="s">
        <v>37</v>
      </c>
      <c r="L201" s="37">
        <v>46229</v>
      </c>
      <c r="M201" s="38">
        <v>46229</v>
      </c>
      <c r="N201" s="39">
        <v>47.0</v>
      </c>
      <c r="O201" s="40"/>
      <c r="P201" s="39">
        <v>47.0</v>
      </c>
      <c r="Q201" s="39">
        <v>56.1</v>
      </c>
    </row>
    <row r="202" spans="1:17" ht="30" hidden="1" customHeight="1" x14ac:dyDescent="0.25">
      <c r="A202" s="30">
        <v>32980022</v>
      </c>
      <c r="B202" s="31" t="s">
        <v>719</v>
      </c>
      <c r="C202" s="32">
        <v>900</v>
      </c>
      <c r="D202" s="33" t="s">
        <v>185</v>
      </c>
      <c r="E202" s="34" t="s">
        <v>34</v>
      </c>
      <c r="F202" s="34" t="s">
        <v>35</v>
      </c>
      <c r="G202" s="33" t="s">
        <v>186</v>
      </c>
      <c r="H202" s="35"/>
      <c r="I202" s="36"/>
      <c r="J202" s="34"/>
      <c r="K202" s="34" t="s">
        <v>37</v>
      </c>
      <c r="L202" s="37">
        <v>46256</v>
      </c>
      <c r="M202" s="38">
        <v>46253</v>
      </c>
      <c r="N202" s="39">
        <v>52.0</v>
      </c>
      <c r="O202" s="40"/>
      <c r="P202" s="39">
        <v>52.0</v>
      </c>
      <c r="Q202" s="39">
        <v>627.4</v>
      </c>
    </row>
    <row r="203" spans="1:17" ht="30" hidden="1" customHeight="1" x14ac:dyDescent="0.25">
      <c r="A203" s="30">
        <v>81172702</v>
      </c>
      <c r="B203" s="31" t="s">
        <v>720</v>
      </c>
      <c r="C203" s="32">
        <v>905</v>
      </c>
      <c r="D203" s="33" t="s">
        <v>33</v>
      </c>
      <c r="E203" s="34" t="s">
        <v>22</v>
      </c>
      <c r="F203" s="34" t="s">
        <v>35</v>
      </c>
      <c r="G203" s="33" t="s">
        <v>208</v>
      </c>
      <c r="H203" s="35" t="s">
        <v>51</v>
      </c>
      <c r="I203" s="36"/>
      <c r="J203" s="34"/>
      <c r="K203" s="34" t="s">
        <v>37</v>
      </c>
      <c r="L203" s="37"/>
      <c r="M203" s="38"/>
      <c r="N203" s="39">
        <v>4.0</v>
      </c>
      <c r="O203" s="40"/>
      <c r="P203" s="39">
        <v>3.5</v>
      </c>
      <c r="Q203" s="39">
        <v>1297.5</v>
      </c>
    </row>
    <row r="204" spans="1:17" ht="15.75" hidden="1" customHeight="1" x14ac:dyDescent="0.25">
      <c r="A204" s="30">
        <v>32930830</v>
      </c>
      <c r="B204" s="31" t="s">
        <v>721</v>
      </c>
      <c r="C204" s="32">
        <v>925</v>
      </c>
      <c r="D204" s="33" t="s">
        <v>33</v>
      </c>
      <c r="E204" s="34" t="s">
        <v>34</v>
      </c>
      <c r="F204" s="34" t="s">
        <v>35</v>
      </c>
      <c r="G204" s="33" t="s">
        <v>50</v>
      </c>
      <c r="H204" s="35"/>
      <c r="I204" s="36"/>
      <c r="J204" s="34"/>
      <c r="K204" s="34" t="s">
        <v>24</v>
      </c>
      <c r="L204" s="37">
        <v>46222</v>
      </c>
      <c r="M204" s="38">
        <v>46222</v>
      </c>
      <c r="N204" s="39">
        <v>2.0</v>
      </c>
      <c r="O204" s="40"/>
      <c r="P204" s="39">
        <v>4.0</v>
      </c>
      <c r="Q204" s="39">
        <v>4.42</v>
      </c>
    </row>
    <row r="205" spans="1:17" ht="30" hidden="1" customHeight="1" x14ac:dyDescent="0.25">
      <c r="A205" s="30">
        <v>32980026</v>
      </c>
      <c r="B205" s="31" t="s">
        <v>722</v>
      </c>
      <c r="C205" s="32">
        <v>926</v>
      </c>
      <c r="D205" s="33" t="s">
        <v>185</v>
      </c>
      <c r="E205" s="34" t="s">
        <v>22</v>
      </c>
      <c r="F205" s="34" t="s">
        <v>35</v>
      </c>
      <c r="G205" s="33" t="s">
        <v>186</v>
      </c>
      <c r="H205" s="35" t="s">
        <v>51</v>
      </c>
      <c r="I205" s="36"/>
      <c r="J205" s="34"/>
      <c r="K205" s="34" t="s">
        <v>37</v>
      </c>
      <c r="L205" s="37"/>
      <c r="M205" s="38"/>
      <c r="N205" s="39">
        <v>24.0</v>
      </c>
      <c r="O205" s="40"/>
      <c r="P205" s="39"/>
      <c r="Q205" s="39">
        <v>0.0</v>
      </c>
    </row>
    <row r="206" spans="1:17" ht="30" hidden="1" customHeight="1" x14ac:dyDescent="0.25">
      <c r="A206" s="30">
        <v>32980031</v>
      </c>
      <c r="B206" s="31" t="s">
        <v>723</v>
      </c>
      <c r="C206" s="32">
        <v>927</v>
      </c>
      <c r="D206" s="33" t="s">
        <v>185</v>
      </c>
      <c r="E206" s="34" t="s">
        <v>34</v>
      </c>
      <c r="F206" s="34" t="s">
        <v>35</v>
      </c>
      <c r="G206" s="33" t="s">
        <v>186</v>
      </c>
      <c r="H206" s="35" t="s">
        <v>51</v>
      </c>
      <c r="I206" s="36"/>
      <c r="J206" s="34"/>
      <c r="K206" s="34" t="s">
        <v>37</v>
      </c>
      <c r="L206" s="37">
        <v>46224</v>
      </c>
      <c r="M206" s="38">
        <v>46224</v>
      </c>
      <c r="N206" s="39">
        <v>1.0</v>
      </c>
      <c r="O206" s="40"/>
      <c r="P206" s="39">
        <v>1.0</v>
      </c>
      <c r="Q206" s="39">
        <v>1.0</v>
      </c>
    </row>
    <row r="207" spans="1:17" ht="30" hidden="1" customHeight="1" x14ac:dyDescent="0.25">
      <c r="A207" s="30">
        <v>32980070</v>
      </c>
      <c r="B207" s="31" t="s">
        <v>724</v>
      </c>
      <c r="C207" s="32">
        <v>933</v>
      </c>
      <c r="D207" s="33" t="s">
        <v>185</v>
      </c>
      <c r="E207" s="34" t="s">
        <v>34</v>
      </c>
      <c r="F207" s="34" t="s">
        <v>35</v>
      </c>
      <c r="G207" s="33" t="s">
        <v>186</v>
      </c>
      <c r="H207" s="35" t="s">
        <v>51</v>
      </c>
      <c r="I207" s="36"/>
      <c r="J207" s="34"/>
      <c r="K207" s="34" t="s">
        <v>37</v>
      </c>
      <c r="L207" s="37">
        <v>46229</v>
      </c>
      <c r="M207" s="38">
        <v>46229</v>
      </c>
      <c r="N207" s="39">
        <v>6.5</v>
      </c>
      <c r="O207" s="40"/>
      <c r="P207" s="39">
        <v>6.5</v>
      </c>
      <c r="Q207" s="39">
        <v>59.3</v>
      </c>
    </row>
    <row r="208" spans="1:17" ht="30" hidden="1" customHeight="1" x14ac:dyDescent="0.25">
      <c r="A208" s="30">
        <v>32980087</v>
      </c>
      <c r="B208" s="31" t="s">
        <v>725</v>
      </c>
      <c r="C208" s="32">
        <v>940</v>
      </c>
      <c r="D208" s="33" t="s">
        <v>185</v>
      </c>
      <c r="E208" s="34" t="s">
        <v>34</v>
      </c>
      <c r="F208" s="34" t="s">
        <v>35</v>
      </c>
      <c r="G208" s="33" t="s">
        <v>186</v>
      </c>
      <c r="H208" s="35" t="s">
        <v>51</v>
      </c>
      <c r="I208" s="36"/>
      <c r="J208" s="34"/>
      <c r="K208" s="34" t="s">
        <v>37</v>
      </c>
      <c r="L208" s="37">
        <v>46224</v>
      </c>
      <c r="M208" s="38">
        <v>46224</v>
      </c>
      <c r="N208" s="39">
        <v>3.5</v>
      </c>
      <c r="O208" s="40"/>
      <c r="P208" s="39">
        <v>3.0</v>
      </c>
      <c r="Q208" s="39">
        <v>1.5</v>
      </c>
    </row>
    <row r="209" spans="1:17" ht="30" hidden="1" customHeight="1" x14ac:dyDescent="0.25">
      <c r="A209" s="30">
        <v>32980133</v>
      </c>
      <c r="B209" s="31" t="s">
        <v>726</v>
      </c>
      <c r="C209" s="32">
        <v>942</v>
      </c>
      <c r="D209" s="33" t="s">
        <v>185</v>
      </c>
      <c r="E209" s="34" t="s">
        <v>34</v>
      </c>
      <c r="F209" s="34" t="s">
        <v>35</v>
      </c>
      <c r="G209" s="33" t="s">
        <v>186</v>
      </c>
      <c r="H209" s="35" t="s">
        <v>51</v>
      </c>
      <c r="I209" s="36"/>
      <c r="J209" s="34"/>
      <c r="K209" s="34" t="s">
        <v>37</v>
      </c>
      <c r="L209" s="37">
        <v>46229</v>
      </c>
      <c r="M209" s="38">
        <v>46229</v>
      </c>
      <c r="N209" s="39">
        <v>29.0</v>
      </c>
      <c r="O209" s="40"/>
      <c r="P209" s="39">
        <v>29.0</v>
      </c>
      <c r="Q209" s="39">
        <v>128.6</v>
      </c>
    </row>
    <row r="210" spans="1:17" ht="15.75" hidden="1" customHeight="1" x14ac:dyDescent="0.25">
      <c r="A210" s="30" t="s">
        <v>727</v>
      </c>
      <c r="B210" s="31" t="s">
        <v>728</v>
      </c>
      <c r="C210" s="32">
        <v>943</v>
      </c>
      <c r="D210" s="33" t="s">
        <v>33</v>
      </c>
      <c r="E210" s="34" t="s">
        <v>22</v>
      </c>
      <c r="F210" s="34" t="s">
        <v>35</v>
      </c>
      <c r="G210" s="33" t="s">
        <v>208</v>
      </c>
      <c r="H210" s="35"/>
      <c r="I210" s="36"/>
      <c r="J210" s="34"/>
      <c r="K210" s="34" t="s">
        <v>37</v>
      </c>
      <c r="L210" s="37"/>
      <c r="M210" s="38"/>
      <c r="N210" s="39">
        <v>1.5</v>
      </c>
      <c r="O210" s="40"/>
      <c r="P210" s="39"/>
      <c r="Q210" s="39">
        <v>0.0</v>
      </c>
    </row>
    <row r="211" spans="1:17" ht="15.75" hidden="1" customHeight="1" x14ac:dyDescent="0.25">
      <c r="A211" s="30">
        <v>32917899</v>
      </c>
      <c r="B211" s="31" t="s">
        <v>729</v>
      </c>
      <c r="C211" s="32">
        <v>944</v>
      </c>
      <c r="D211" s="33" t="s">
        <v>21</v>
      </c>
      <c r="E211" s="34" t="s">
        <v>22</v>
      </c>
      <c r="F211" s="34" t="s">
        <v>35</v>
      </c>
      <c r="G211" s="33" t="s">
        <v>157</v>
      </c>
      <c r="H211" s="35"/>
      <c r="I211" s="36"/>
      <c r="J211" s="34"/>
      <c r="K211" s="34" t="s">
        <v>37</v>
      </c>
      <c r="L211" s="37"/>
      <c r="M211" s="38"/>
      <c r="N211" s="40">
        <v>0.0</v>
      </c>
      <c r="O211" s="40"/>
      <c r="P211" s="39"/>
      <c r="Q211" s="39">
        <v>0.0</v>
      </c>
    </row>
    <row r="212" spans="1:17" ht="15.75" hidden="1" customHeight="1" x14ac:dyDescent="0.25">
      <c r="A212" s="30">
        <v>32420054</v>
      </c>
      <c r="B212" s="31" t="s">
        <v>730</v>
      </c>
      <c r="C212" s="32">
        <v>945</v>
      </c>
      <c r="D212" s="33" t="s">
        <v>21</v>
      </c>
      <c r="E212" s="34" t="s">
        <v>22</v>
      </c>
      <c r="F212" s="34" t="s">
        <v>35</v>
      </c>
      <c r="G212" s="33" t="s">
        <v>157</v>
      </c>
      <c r="H212" s="35"/>
      <c r="I212" s="36"/>
      <c r="J212" s="34"/>
      <c r="K212" s="34" t="s">
        <v>37</v>
      </c>
      <c r="L212" s="37"/>
      <c r="M212" s="38"/>
      <c r="N212" s="40">
        <v>0.0</v>
      </c>
      <c r="O212" s="40"/>
      <c r="P212" s="39"/>
      <c r="Q212" s="39">
        <v>0.0</v>
      </c>
    </row>
    <row r="213" spans="1:17" ht="30" hidden="1" customHeight="1" x14ac:dyDescent="0.25">
      <c r="A213" s="30">
        <v>32980135</v>
      </c>
      <c r="B213" s="31" t="s">
        <v>731</v>
      </c>
      <c r="C213" s="32">
        <v>946</v>
      </c>
      <c r="D213" s="33" t="s">
        <v>185</v>
      </c>
      <c r="E213" s="34" t="s">
        <v>34</v>
      </c>
      <c r="F213" s="34" t="s">
        <v>35</v>
      </c>
      <c r="G213" s="33" t="s">
        <v>186</v>
      </c>
      <c r="H213" s="35"/>
      <c r="I213" s="36"/>
      <c r="J213" s="34"/>
      <c r="K213" s="34" t="s">
        <v>37</v>
      </c>
      <c r="L213" s="37">
        <v>46225</v>
      </c>
      <c r="M213" s="38">
        <v>46225</v>
      </c>
      <c r="N213" s="39">
        <v>2.0</v>
      </c>
      <c r="O213" s="40"/>
      <c r="P213" s="39">
        <v>2.0</v>
      </c>
      <c r="Q213" s="39">
        <v>2.0</v>
      </c>
    </row>
    <row r="214" spans="1:17" ht="15.75" hidden="1" customHeight="1" x14ac:dyDescent="0.25">
      <c r="A214" s="30" t="s">
        <v>732</v>
      </c>
      <c r="B214" s="31" t="s">
        <v>733</v>
      </c>
      <c r="C214" s="32">
        <v>947</v>
      </c>
      <c r="D214" s="33" t="s">
        <v>21</v>
      </c>
      <c r="E214" s="34" t="s">
        <v>22</v>
      </c>
      <c r="F214" s="34" t="s">
        <v>35</v>
      </c>
      <c r="G214" s="33" t="s">
        <v>157</v>
      </c>
      <c r="H214" s="35"/>
      <c r="I214" s="36"/>
      <c r="J214" s="34"/>
      <c r="K214" s="34" t="s">
        <v>37</v>
      </c>
      <c r="L214" s="37"/>
      <c r="M214" s="38"/>
      <c r="N214" s="39">
        <v>2.83</v>
      </c>
      <c r="O214" s="40"/>
      <c r="P214" s="39"/>
      <c r="Q214" s="39">
        <v>0.0</v>
      </c>
    </row>
    <row r="215" spans="1:17" ht="15.75" hidden="1" customHeight="1" x14ac:dyDescent="0.25">
      <c r="A215" s="30" t="s">
        <v>734</v>
      </c>
      <c r="B215" s="31" t="s">
        <v>735</v>
      </c>
      <c r="C215" s="32">
        <v>948</v>
      </c>
      <c r="D215" s="33" t="s">
        <v>21</v>
      </c>
      <c r="E215" s="34" t="s">
        <v>22</v>
      </c>
      <c r="F215" s="34" t="s">
        <v>35</v>
      </c>
      <c r="G215" s="33" t="s">
        <v>157</v>
      </c>
      <c r="H215" s="35"/>
      <c r="I215" s="36"/>
      <c r="J215" s="34"/>
      <c r="K215" s="34" t="s">
        <v>37</v>
      </c>
      <c r="L215" s="37"/>
      <c r="M215" s="38"/>
      <c r="N215" s="39">
        <v>5.92</v>
      </c>
      <c r="O215" s="40"/>
      <c r="P215" s="39"/>
      <c r="Q215" s="39">
        <v>0.0</v>
      </c>
    </row>
    <row r="216" spans="1:17" ht="30" hidden="1" customHeight="1" x14ac:dyDescent="0.25">
      <c r="A216" s="30">
        <v>32981647</v>
      </c>
      <c r="B216" s="31" t="s">
        <v>736</v>
      </c>
      <c r="C216" s="32">
        <v>956</v>
      </c>
      <c r="D216" s="33" t="s">
        <v>33</v>
      </c>
      <c r="E216" s="34" t="s">
        <v>34</v>
      </c>
      <c r="F216" s="34" t="s">
        <v>35</v>
      </c>
      <c r="G216" s="33" t="s">
        <v>50</v>
      </c>
      <c r="H216" s="35"/>
      <c r="I216" s="36"/>
      <c r="J216" s="34"/>
      <c r="K216" s="34" t="s">
        <v>29</v>
      </c>
      <c r="L216" s="37">
        <v>46233</v>
      </c>
      <c r="M216" s="38">
        <v>46233</v>
      </c>
      <c r="N216" s="40">
        <v>0.0</v>
      </c>
      <c r="O216" s="40"/>
      <c r="P216" s="39">
        <v>14.0</v>
      </c>
      <c r="Q216" s="39">
        <v>3.27</v>
      </c>
    </row>
    <row r="217" spans="1:17" ht="30" hidden="1" customHeight="1" x14ac:dyDescent="0.25">
      <c r="A217" s="30">
        <v>32981683</v>
      </c>
      <c r="B217" s="31" t="s">
        <v>737</v>
      </c>
      <c r="C217" s="32">
        <v>957</v>
      </c>
      <c r="D217" s="33" t="s">
        <v>185</v>
      </c>
      <c r="E217" s="34" t="s">
        <v>22</v>
      </c>
      <c r="F217" s="34" t="s">
        <v>35</v>
      </c>
      <c r="G217" s="33" t="s">
        <v>186</v>
      </c>
      <c r="H217" s="35" t="s">
        <v>51</v>
      </c>
      <c r="I217" s="36"/>
      <c r="J217" s="34"/>
      <c r="K217" s="34" t="s">
        <v>37</v>
      </c>
      <c r="L217" s="37"/>
      <c r="M217" s="38"/>
      <c r="N217" s="39">
        <v>3.0</v>
      </c>
      <c r="O217" s="40"/>
      <c r="P217" s="39"/>
      <c r="Q217" s="39">
        <v>0.0</v>
      </c>
    </row>
    <row r="218" spans="1:17" ht="30" hidden="1" customHeight="1" x14ac:dyDescent="0.25">
      <c r="A218" s="30">
        <v>32981716</v>
      </c>
      <c r="B218" s="31" t="s">
        <v>738</v>
      </c>
      <c r="C218" s="32">
        <v>958</v>
      </c>
      <c r="D218" s="33" t="s">
        <v>185</v>
      </c>
      <c r="E218" s="34" t="s">
        <v>34</v>
      </c>
      <c r="F218" s="34" t="s">
        <v>35</v>
      </c>
      <c r="G218" s="33" t="s">
        <v>186</v>
      </c>
      <c r="H218" s="35" t="s">
        <v>51</v>
      </c>
      <c r="I218" s="36"/>
      <c r="J218" s="34"/>
      <c r="K218" s="34" t="s">
        <v>37</v>
      </c>
      <c r="L218" s="37">
        <v>46225</v>
      </c>
      <c r="M218" s="38">
        <v>46225</v>
      </c>
      <c r="N218" s="39">
        <v>2.0</v>
      </c>
      <c r="O218" s="40"/>
      <c r="P218" s="39">
        <v>2.0</v>
      </c>
      <c r="Q218" s="39">
        <v>2.02</v>
      </c>
    </row>
    <row r="219" spans="1:17" ht="30" hidden="1" customHeight="1" x14ac:dyDescent="0.25">
      <c r="A219" s="30">
        <v>32981721</v>
      </c>
      <c r="B219" s="31" t="s">
        <v>739</v>
      </c>
      <c r="C219" s="32">
        <v>959</v>
      </c>
      <c r="D219" s="33" t="s">
        <v>185</v>
      </c>
      <c r="E219" s="34" t="s">
        <v>34</v>
      </c>
      <c r="F219" s="34" t="s">
        <v>35</v>
      </c>
      <c r="G219" s="33" t="s">
        <v>186</v>
      </c>
      <c r="H219" s="35" t="s">
        <v>51</v>
      </c>
      <c r="I219" s="36"/>
      <c r="J219" s="34"/>
      <c r="K219" s="34" t="s">
        <v>37</v>
      </c>
      <c r="L219" s="37">
        <v>46225</v>
      </c>
      <c r="M219" s="38">
        <v>46225</v>
      </c>
      <c r="N219" s="39">
        <v>6.0</v>
      </c>
      <c r="O219" s="40"/>
      <c r="P219" s="39">
        <v>6.0</v>
      </c>
      <c r="Q219" s="39">
        <v>6.02</v>
      </c>
    </row>
    <row r="220" spans="1:17" ht="30" hidden="1" customHeight="1" x14ac:dyDescent="0.25">
      <c r="A220" s="30">
        <v>32981726</v>
      </c>
      <c r="B220" s="31" t="s">
        <v>740</v>
      </c>
      <c r="C220" s="32">
        <v>960</v>
      </c>
      <c r="D220" s="33" t="s">
        <v>185</v>
      </c>
      <c r="E220" s="34" t="s">
        <v>34</v>
      </c>
      <c r="F220" s="34" t="s">
        <v>35</v>
      </c>
      <c r="G220" s="33" t="s">
        <v>186</v>
      </c>
      <c r="H220" s="35" t="s">
        <v>51</v>
      </c>
      <c r="I220" s="36"/>
      <c r="J220" s="34"/>
      <c r="K220" s="34" t="s">
        <v>37</v>
      </c>
      <c r="L220" s="37">
        <v>46256</v>
      </c>
      <c r="M220" s="38">
        <v>46253</v>
      </c>
      <c r="N220" s="39">
        <v>6.0</v>
      </c>
      <c r="O220" s="40"/>
      <c r="P220" s="39">
        <v>6.5</v>
      </c>
      <c r="Q220" s="39">
        <v>6.5</v>
      </c>
    </row>
    <row r="221" spans="1:17" ht="30" hidden="1" customHeight="1" x14ac:dyDescent="0.25">
      <c r="A221" s="30">
        <v>32981754</v>
      </c>
      <c r="B221" s="31" t="s">
        <v>741</v>
      </c>
      <c r="C221" s="32">
        <v>961</v>
      </c>
      <c r="D221" s="33" t="s">
        <v>185</v>
      </c>
      <c r="E221" s="34" t="s">
        <v>34</v>
      </c>
      <c r="F221" s="34" t="s">
        <v>35</v>
      </c>
      <c r="G221" s="33" t="s">
        <v>186</v>
      </c>
      <c r="H221" s="35" t="s">
        <v>51</v>
      </c>
      <c r="I221" s="36"/>
      <c r="J221" s="34"/>
      <c r="K221" s="34" t="s">
        <v>37</v>
      </c>
      <c r="L221" s="37">
        <v>46224</v>
      </c>
      <c r="M221" s="38">
        <v>46224</v>
      </c>
      <c r="N221" s="39">
        <v>5.0</v>
      </c>
      <c r="O221" s="40"/>
      <c r="P221" s="39">
        <v>5.0</v>
      </c>
      <c r="Q221" s="39">
        <v>3.0</v>
      </c>
    </row>
    <row r="222" spans="1:17" ht="30" hidden="1" customHeight="1" x14ac:dyDescent="0.25">
      <c r="A222" s="30">
        <v>32981772</v>
      </c>
      <c r="B222" s="31" t="s">
        <v>742</v>
      </c>
      <c r="C222" s="32">
        <v>962</v>
      </c>
      <c r="D222" s="33" t="s">
        <v>185</v>
      </c>
      <c r="E222" s="34" t="s">
        <v>34</v>
      </c>
      <c r="F222" s="34" t="s">
        <v>35</v>
      </c>
      <c r="G222" s="33" t="s">
        <v>186</v>
      </c>
      <c r="H222" s="35" t="s">
        <v>51</v>
      </c>
      <c r="I222" s="36"/>
      <c r="J222" s="34"/>
      <c r="K222" s="34" t="s">
        <v>37</v>
      </c>
      <c r="L222" s="37">
        <v>46229</v>
      </c>
      <c r="M222" s="38">
        <v>46229</v>
      </c>
      <c r="N222" s="39">
        <v>2.0</v>
      </c>
      <c r="O222" s="40"/>
      <c r="P222" s="39">
        <v>2.0</v>
      </c>
      <c r="Q222" s="39">
        <v>44.3</v>
      </c>
    </row>
    <row r="223" spans="1:17" ht="30" hidden="1" customHeight="1" x14ac:dyDescent="0.25">
      <c r="A223" s="30">
        <v>32981774</v>
      </c>
      <c r="B223" s="31" t="s">
        <v>743</v>
      </c>
      <c r="C223" s="32">
        <v>963</v>
      </c>
      <c r="D223" s="33" t="s">
        <v>185</v>
      </c>
      <c r="E223" s="34" t="s">
        <v>34</v>
      </c>
      <c r="F223" s="34" t="s">
        <v>35</v>
      </c>
      <c r="G223" s="33" t="s">
        <v>186</v>
      </c>
      <c r="H223" s="35" t="s">
        <v>51</v>
      </c>
      <c r="I223" s="36"/>
      <c r="J223" s="34"/>
      <c r="K223" s="34" t="s">
        <v>37</v>
      </c>
      <c r="L223" s="37">
        <v>46225</v>
      </c>
      <c r="M223" s="38">
        <v>46225</v>
      </c>
      <c r="N223" s="39">
        <v>2.0</v>
      </c>
      <c r="O223" s="40"/>
      <c r="P223" s="39">
        <v>2.0</v>
      </c>
      <c r="Q223" s="39">
        <v>2.02</v>
      </c>
    </row>
    <row r="224" spans="1:17" ht="30" hidden="1" customHeight="1" x14ac:dyDescent="0.25">
      <c r="A224" s="30">
        <v>32981816</v>
      </c>
      <c r="B224" s="31" t="s">
        <v>744</v>
      </c>
      <c r="C224" s="32">
        <v>964</v>
      </c>
      <c r="D224" s="33" t="s">
        <v>185</v>
      </c>
      <c r="E224" s="34" t="s">
        <v>34</v>
      </c>
      <c r="F224" s="34" t="s">
        <v>35</v>
      </c>
      <c r="G224" s="33" t="s">
        <v>186</v>
      </c>
      <c r="H224" s="35" t="s">
        <v>51</v>
      </c>
      <c r="I224" s="36"/>
      <c r="J224" s="34"/>
      <c r="K224" s="34" t="s">
        <v>37</v>
      </c>
      <c r="L224" s="37">
        <v>46256</v>
      </c>
      <c r="M224" s="38">
        <v>46253</v>
      </c>
      <c r="N224" s="39">
        <v>32.5</v>
      </c>
      <c r="O224" s="40"/>
      <c r="P224" s="39">
        <v>32.5</v>
      </c>
      <c r="Q224" s="39">
        <v>27.8</v>
      </c>
    </row>
    <row r="225" spans="1:17" ht="15.75" hidden="1" customHeight="1" x14ac:dyDescent="0.25">
      <c r="A225" s="30">
        <v>32982133</v>
      </c>
      <c r="B225" s="31" t="s">
        <v>745</v>
      </c>
      <c r="C225" s="32">
        <v>965</v>
      </c>
      <c r="D225" s="33" t="s">
        <v>49</v>
      </c>
      <c r="E225" s="34" t="s">
        <v>34</v>
      </c>
      <c r="F225" s="34" t="s">
        <v>35</v>
      </c>
      <c r="G225" s="33" t="s">
        <v>50</v>
      </c>
      <c r="H225" s="35" t="s">
        <v>51</v>
      </c>
      <c r="I225" s="36"/>
      <c r="J225" s="34"/>
      <c r="K225" s="34" t="s">
        <v>25</v>
      </c>
      <c r="L225" s="37">
        <v>46223</v>
      </c>
      <c r="M225" s="38">
        <v>46223</v>
      </c>
      <c r="N225" s="40">
        <v>0.0</v>
      </c>
      <c r="O225" s="40"/>
      <c r="P225" s="39">
        <v>4.5</v>
      </c>
      <c r="Q225" s="39">
        <v>884.9</v>
      </c>
    </row>
    <row r="226" spans="1:17" ht="30" hidden="1" customHeight="1" x14ac:dyDescent="0.25">
      <c r="A226" s="30">
        <v>32982172</v>
      </c>
      <c r="B226" s="31" t="s">
        <v>746</v>
      </c>
      <c r="C226" s="32">
        <v>966</v>
      </c>
      <c r="D226" s="33" t="s">
        <v>67</v>
      </c>
      <c r="E226" s="34" t="s">
        <v>22</v>
      </c>
      <c r="F226" s="34" t="s">
        <v>35</v>
      </c>
      <c r="G226" s="33" t="s">
        <v>747</v>
      </c>
      <c r="H226" s="35"/>
      <c r="I226" s="36" t="s">
        <v>748</v>
      </c>
      <c r="J226" s="34"/>
      <c r="K226" s="34" t="s">
        <v>29</v>
      </c>
      <c r="L226" s="37"/>
      <c r="M226" s="38"/>
      <c r="N226" s="39">
        <v>8.0</v>
      </c>
      <c r="O226" s="40"/>
      <c r="P226" s="39">
        <v>0.5</v>
      </c>
      <c r="Q226" s="39">
        <v>721.0</v>
      </c>
    </row>
    <row r="227" spans="1:17" ht="15.75" hidden="1" customHeight="1" x14ac:dyDescent="0.25">
      <c r="A227" s="30">
        <v>32982191</v>
      </c>
      <c r="B227" s="31" t="s">
        <v>749</v>
      </c>
      <c r="C227" s="32">
        <v>967</v>
      </c>
      <c r="D227" s="33" t="s">
        <v>33</v>
      </c>
      <c r="E227" s="34" t="s">
        <v>34</v>
      </c>
      <c r="F227" s="34" t="s">
        <v>35</v>
      </c>
      <c r="G227" s="33" t="s">
        <v>747</v>
      </c>
      <c r="H227" s="35"/>
      <c r="I227" s="36"/>
      <c r="J227" s="34"/>
      <c r="K227" s="34" t="s">
        <v>29</v>
      </c>
      <c r="L227" s="37">
        <v>46223</v>
      </c>
      <c r="M227" s="38">
        <v>46223</v>
      </c>
      <c r="N227" s="40">
        <v>0.0</v>
      </c>
      <c r="O227" s="40"/>
      <c r="P227" s="39">
        <v>6.0</v>
      </c>
      <c r="Q227" s="39">
        <v>2.17</v>
      </c>
    </row>
    <row r="228" spans="1:17" ht="15.75" hidden="1" customHeight="1" x14ac:dyDescent="0.25">
      <c r="A228" s="30">
        <v>32982194</v>
      </c>
      <c r="B228" s="31" t="s">
        <v>750</v>
      </c>
      <c r="C228" s="32">
        <v>968</v>
      </c>
      <c r="D228" s="33" t="s">
        <v>33</v>
      </c>
      <c r="E228" s="34" t="s">
        <v>22</v>
      </c>
      <c r="F228" s="34" t="s">
        <v>141</v>
      </c>
      <c r="G228" s="33" t="s">
        <v>50</v>
      </c>
      <c r="H228" s="35"/>
      <c r="I228" s="36"/>
      <c r="J228" s="34"/>
      <c r="K228" s="34" t="s">
        <v>29</v>
      </c>
      <c r="L228" s="37"/>
      <c r="M228" s="38"/>
      <c r="N228" s="40">
        <v>0.0</v>
      </c>
      <c r="O228" s="40"/>
      <c r="P228" s="39">
        <v>7.5</v>
      </c>
      <c r="Q228" s="39">
        <v>881.8</v>
      </c>
    </row>
    <row r="229" spans="1:17" ht="15.75" hidden="1" customHeight="1" x14ac:dyDescent="0.25">
      <c r="A229" s="30">
        <v>32982195</v>
      </c>
      <c r="B229" s="31" t="s">
        <v>751</v>
      </c>
      <c r="C229" s="32">
        <v>969</v>
      </c>
      <c r="D229" s="33" t="s">
        <v>33</v>
      </c>
      <c r="E229" s="34" t="s">
        <v>34</v>
      </c>
      <c r="F229" s="34" t="s">
        <v>35</v>
      </c>
      <c r="G229" s="33" t="s">
        <v>50</v>
      </c>
      <c r="H229" s="35"/>
      <c r="I229" s="36"/>
      <c r="J229" s="34"/>
      <c r="K229" s="34" t="s">
        <v>29</v>
      </c>
      <c r="L229" s="37">
        <v>46260</v>
      </c>
      <c r="N229">
        <v>0.0</v>
      </c>
      <c r="O229" s="40"/>
      <c r="P229" s="39">
        <v>0.5</v>
      </c>
      <c r="Q229">
        <v>0.5</v>
      </c>
    </row>
    <row r="230" spans="1:17" ht="15.75" hidden="1" customHeight="1" x14ac:dyDescent="0.25">
      <c r="A230" s="30">
        <v>32982197</v>
      </c>
      <c r="B230" s="31" t="s">
        <v>752</v>
      </c>
      <c r="C230" s="32">
        <v>970</v>
      </c>
      <c r="D230" s="33" t="s">
        <v>33</v>
      </c>
      <c r="E230" s="34" t="s">
        <v>22</v>
      </c>
      <c r="F230" s="34" t="s">
        <v>141</v>
      </c>
      <c r="G230" s="33" t="s">
        <v>50</v>
      </c>
      <c r="H230" s="35"/>
      <c r="I230" s="36"/>
      <c r="J230" s="34"/>
      <c r="K230" s="34" t="s">
        <v>29</v>
      </c>
      <c r="L230" s="37"/>
      <c r="M230" s="38"/>
      <c r="N230" s="40">
        <v>0.0</v>
      </c>
      <c r="O230" s="40"/>
      <c r="P230" s="39">
        <v>9.5</v>
      </c>
      <c r="Q230" s="39">
        <v>907.0</v>
      </c>
    </row>
    <row r="231" spans="1:17" ht="31.5" customHeight="1" x14ac:dyDescent="0.25">
      <c r="A231" s="30">
        <v>32982199</v>
      </c>
      <c r="B231" s="31" t="s">
        <v>753</v>
      </c>
      <c r="C231" s="32">
        <v>971</v>
      </c>
      <c r="D231" s="33" t="s">
        <v>61</v>
      </c>
      <c r="E231" s="34" t="s">
        <v>22</v>
      </c>
      <c r="F231" s="34" t="s">
        <v>141</v>
      </c>
      <c r="G231" s="33" t="s">
        <v>50</v>
      </c>
      <c r="H231" s="35" t="s">
        <v>51</v>
      </c>
      <c r="I231" s="36"/>
      <c r="J231" s="34"/>
      <c r="K231" s="34" t="s">
        <v>25</v>
      </c>
      <c r="L231" s="37"/>
      <c r="M231" s="38"/>
      <c r="N231" s="40">
        <v>0.0</v>
      </c>
      <c r="O231" s="40"/>
      <c r="P231" s="39">
        <v>1.5</v>
      </c>
      <c r="Q231" s="39">
        <v>904.7</v>
      </c>
    </row>
    <row r="232" spans="1:17" ht="31.5" hidden="1" customHeight="1" x14ac:dyDescent="0.25">
      <c r="A232" s="30">
        <v>32982200</v>
      </c>
      <c r="B232" s="31" t="s">
        <v>754</v>
      </c>
      <c r="C232" s="32">
        <v>972</v>
      </c>
      <c r="D232" s="33" t="s">
        <v>61</v>
      </c>
      <c r="E232" s="34" t="s">
        <v>22</v>
      </c>
      <c r="F232" s="34" t="s">
        <v>141</v>
      </c>
      <c r="G232" s="33" t="s">
        <v>50</v>
      </c>
      <c r="H232" s="35" t="s">
        <v>51</v>
      </c>
      <c r="I232" s="36"/>
      <c r="J232" s="34"/>
      <c r="K232" s="34" t="s">
        <v>29</v>
      </c>
      <c r="L232" s="37"/>
      <c r="M232" s="38"/>
      <c r="N232" s="40">
        <v>0.0</v>
      </c>
      <c r="O232" s="40"/>
      <c r="P232" s="39">
        <v>2</v>
      </c>
      <c r="Q232" s="39">
        <v>904.9</v>
      </c>
    </row>
    <row r="233" spans="1:17" ht="31.5" hidden="1" customHeight="1" x14ac:dyDescent="0.25">
      <c r="A233" s="30">
        <v>32982202</v>
      </c>
      <c r="B233" s="31" t="s">
        <v>755</v>
      </c>
      <c r="C233" s="32">
        <v>973</v>
      </c>
      <c r="D233" s="33" t="s">
        <v>61</v>
      </c>
      <c r="E233" s="34" t="s">
        <v>22</v>
      </c>
      <c r="F233" s="34" t="s">
        <v>141</v>
      </c>
      <c r="G233" s="33" t="s">
        <v>50</v>
      </c>
      <c r="H233" s="35" t="s">
        <v>51</v>
      </c>
      <c r="I233" s="36"/>
      <c r="J233" s="34"/>
      <c r="K233" s="34" t="s">
        <v>29</v>
      </c>
      <c r="L233" s="37"/>
      <c r="M233" s="38"/>
      <c r="N233" s="40">
        <v>0.0</v>
      </c>
      <c r="O233" s="40"/>
      <c r="P233" s="39"/>
      <c r="Q233" s="39">
        <v>141.8</v>
      </c>
    </row>
    <row r="234" spans="1:17" ht="30" customHeight="1" x14ac:dyDescent="0.25">
      <c r="A234" s="30">
        <v>32982203</v>
      </c>
      <c r="B234" s="31" t="s">
        <v>756</v>
      </c>
      <c r="C234" s="32">
        <v>974</v>
      </c>
      <c r="D234" s="33" t="s">
        <v>61</v>
      </c>
      <c r="E234" s="34" t="s">
        <v>22</v>
      </c>
      <c r="F234" s="34" t="s">
        <v>141</v>
      </c>
      <c r="G234" s="33" t="s">
        <v>50</v>
      </c>
      <c r="H234" s="35"/>
      <c r="I234" s="36"/>
      <c r="J234" s="34"/>
      <c r="K234" s="34" t="s">
        <v>25</v>
      </c>
      <c r="L234" s="37"/>
      <c r="M234" s="38"/>
      <c r="N234" s="40">
        <v>0.0</v>
      </c>
      <c r="O234" s="40"/>
      <c r="P234" s="39">
        <v>4</v>
      </c>
      <c r="Q234" s="39">
        <v>905.2</v>
      </c>
    </row>
    <row r="235" spans="1:17" ht="30" customHeight="1" x14ac:dyDescent="0.25">
      <c r="A235" s="30">
        <v>32983996</v>
      </c>
      <c r="B235" s="31" t="s">
        <v>757</v>
      </c>
      <c r="C235" s="32">
        <v>992</v>
      </c>
      <c r="D235" s="33" t="s">
        <v>33</v>
      </c>
      <c r="E235" s="34" t="s">
        <v>34</v>
      </c>
      <c r="F235" s="34" t="s">
        <v>35</v>
      </c>
      <c r="G235" s="33" t="s">
        <v>50</v>
      </c>
      <c r="H235" s="35" t="s">
        <v>51</v>
      </c>
      <c r="I235" s="36"/>
      <c r="J235" s="34"/>
      <c r="K235" s="34" t="s">
        <v>24</v>
      </c>
      <c r="L235" s="37">
        <v>46260</v>
      </c>
      <c r="N235">
        <v>8.5</v>
      </c>
      <c r="O235" s="40"/>
      <c r="P235" s="39">
        <v>11.0</v>
      </c>
      <c r="Q235">
        <v>26.5</v>
      </c>
    </row>
    <row r="236" spans="1:17" ht="30" hidden="1" customHeight="1" x14ac:dyDescent="0.25">
      <c r="A236" s="30">
        <v>32984263</v>
      </c>
      <c r="B236" s="31" t="s">
        <v>758</v>
      </c>
      <c r="C236" s="32">
        <v>999</v>
      </c>
      <c r="D236" s="33" t="s">
        <v>185</v>
      </c>
      <c r="E236" s="34" t="s">
        <v>34</v>
      </c>
      <c r="F236" s="34" t="s">
        <v>35</v>
      </c>
      <c r="G236" s="33" t="s">
        <v>186</v>
      </c>
      <c r="H236" s="35"/>
      <c r="I236" s="36"/>
      <c r="J236" s="34"/>
      <c r="K236" s="34" t="s">
        <v>37</v>
      </c>
      <c r="L236" s="37">
        <v>46260</v>
      </c>
      <c r="N236">
        <v>10.0</v>
      </c>
      <c r="O236" s="40"/>
      <c r="P236" s="39">
        <v>10.0</v>
      </c>
      <c r="Q236" s="39">
        <v>816.3</v>
      </c>
    </row>
    <row r="237" spans="1:17" ht="30" hidden="1" customHeight="1" x14ac:dyDescent="0.25">
      <c r="A237" s="30">
        <v>32984585</v>
      </c>
      <c r="B237" s="31" t="s">
        <v>759</v>
      </c>
      <c r="C237" s="32">
        <v>1003</v>
      </c>
      <c r="D237" s="33" t="s">
        <v>185</v>
      </c>
      <c r="E237" s="34" t="s">
        <v>34</v>
      </c>
      <c r="F237" s="34" t="s">
        <v>35</v>
      </c>
      <c r="G237" s="33" t="s">
        <v>186</v>
      </c>
      <c r="H237" s="35"/>
      <c r="I237" s="36"/>
      <c r="J237" s="34"/>
      <c r="K237" s="34" t="s">
        <v>37</v>
      </c>
      <c r="L237" s="37">
        <v>46260</v>
      </c>
      <c r="N237">
        <v>12.0</v>
      </c>
      <c r="O237" s="40"/>
      <c r="P237" s="39">
        <v>12.0</v>
      </c>
      <c r="Q237" s="39">
        <v>844.8</v>
      </c>
    </row>
    <row r="238" spans="1:17" ht="30" hidden="1" customHeight="1" x14ac:dyDescent="0.25">
      <c r="A238" s="30">
        <v>32984729</v>
      </c>
      <c r="B238" s="31" t="s">
        <v>760</v>
      </c>
      <c r="C238" s="32">
        <v>1004</v>
      </c>
      <c r="D238" s="33" t="s">
        <v>67</v>
      </c>
      <c r="E238" s="34" t="s">
        <v>34</v>
      </c>
      <c r="F238" s="34" t="s">
        <v>35</v>
      </c>
      <c r="G238" s="33" t="s">
        <v>50</v>
      </c>
      <c r="H238" s="35" t="s">
        <v>51</v>
      </c>
      <c r="I238" s="36"/>
      <c r="J238" s="34"/>
      <c r="K238" s="34" t="s">
        <v>29</v>
      </c>
      <c r="L238" s="37">
        <v>46259</v>
      </c>
      <c r="M238" s="38">
        <v>46258</v>
      </c>
      <c r="N238" s="39">
        <v>3.0</v>
      </c>
      <c r="O238" s="40"/>
      <c r="P238" s="39">
        <v>2.5</v>
      </c>
      <c r="Q238" s="39">
        <v>2.5</v>
      </c>
    </row>
    <row r="239" spans="1:17" ht="30" hidden="1" customHeight="1" x14ac:dyDescent="0.25">
      <c r="A239" s="30">
        <v>32984742</v>
      </c>
      <c r="B239" s="31" t="s">
        <v>761</v>
      </c>
      <c r="C239" s="32">
        <v>1005</v>
      </c>
      <c r="D239" s="33" t="s">
        <v>67</v>
      </c>
      <c r="E239" s="34" t="s">
        <v>34</v>
      </c>
      <c r="F239" s="34" t="s">
        <v>35</v>
      </c>
      <c r="G239" s="33" t="s">
        <v>50</v>
      </c>
      <c r="H239" s="35" t="s">
        <v>51</v>
      </c>
      <c r="I239" s="36"/>
      <c r="J239" s="34"/>
      <c r="K239" s="34" t="s">
        <v>29</v>
      </c>
      <c r="L239" s="37">
        <v>46259</v>
      </c>
      <c r="M239" s="38">
        <v>46258</v>
      </c>
      <c r="N239" s="39">
        <v>2.0</v>
      </c>
      <c r="O239" s="40"/>
      <c r="P239" s="39">
        <v>3.0</v>
      </c>
      <c r="Q239" s="39">
        <v>2.0</v>
      </c>
    </row>
    <row r="240" spans="1:17" ht="30" hidden="1" customHeight="1" x14ac:dyDescent="0.25">
      <c r="A240" s="30">
        <v>32984765</v>
      </c>
      <c r="B240" s="31" t="s">
        <v>762</v>
      </c>
      <c r="C240" s="32">
        <v>1006</v>
      </c>
      <c r="D240" s="33" t="s">
        <v>67</v>
      </c>
      <c r="E240" s="34" t="s">
        <v>34</v>
      </c>
      <c r="F240" s="34" t="s">
        <v>35</v>
      </c>
      <c r="G240" s="33" t="s">
        <v>50</v>
      </c>
      <c r="H240" s="35" t="s">
        <v>51</v>
      </c>
      <c r="I240" s="36"/>
      <c r="J240" s="34"/>
      <c r="K240" s="34" t="s">
        <v>29</v>
      </c>
      <c r="L240" s="37">
        <v>46259</v>
      </c>
      <c r="M240" s="38">
        <v>46258</v>
      </c>
      <c r="N240" s="39">
        <v>2.0</v>
      </c>
      <c r="O240" s="40"/>
      <c r="P240" s="39">
        <v>2.0</v>
      </c>
      <c r="Q240" s="39">
        <v>2.0</v>
      </c>
    </row>
    <row r="241" spans="1:17" ht="30" hidden="1" customHeight="1" x14ac:dyDescent="0.25">
      <c r="A241" s="30">
        <v>32984781</v>
      </c>
      <c r="B241" s="31" t="s">
        <v>763</v>
      </c>
      <c r="C241" s="32">
        <v>1007</v>
      </c>
      <c r="D241" s="33" t="s">
        <v>67</v>
      </c>
      <c r="E241" s="34" t="s">
        <v>34</v>
      </c>
      <c r="F241" s="34" t="s">
        <v>35</v>
      </c>
      <c r="G241" s="33" t="s">
        <v>50</v>
      </c>
      <c r="H241" s="35" t="s">
        <v>51</v>
      </c>
      <c r="I241" s="36"/>
      <c r="J241" s="34"/>
      <c r="K241" s="34" t="s">
        <v>25</v>
      </c>
      <c r="L241" s="37">
        <v>46252</v>
      </c>
      <c r="M241" s="38">
        <v>46244</v>
      </c>
      <c r="N241" s="39">
        <v>2.0</v>
      </c>
      <c r="O241" s="40"/>
      <c r="P241" s="39">
        <v>3.0</v>
      </c>
      <c r="Q241" s="39">
        <v>3.0</v>
      </c>
    </row>
    <row r="242" spans="1:17" ht="30" hidden="1" customHeight="1" x14ac:dyDescent="0.25">
      <c r="A242" s="30">
        <v>32984766</v>
      </c>
      <c r="B242" s="31" t="s">
        <v>764</v>
      </c>
      <c r="C242" s="32">
        <v>1008</v>
      </c>
      <c r="D242" s="33" t="s">
        <v>33</v>
      </c>
      <c r="E242" s="34" t="s">
        <v>34</v>
      </c>
      <c r="F242" s="34" t="s">
        <v>35</v>
      </c>
      <c r="G242" s="33" t="s">
        <v>208</v>
      </c>
      <c r="H242" s="35" t="s">
        <v>51</v>
      </c>
      <c r="I242" s="36"/>
      <c r="J242" s="34"/>
      <c r="K242" s="34" t="s">
        <v>37</v>
      </c>
      <c r="L242" s="37">
        <v>46252</v>
      </c>
      <c r="M242" s="38">
        <v>46252</v>
      </c>
      <c r="N242" s="39">
        <v>2.0</v>
      </c>
      <c r="O242" s="40"/>
      <c r="P242" s="39">
        <v>6.0</v>
      </c>
      <c r="Q242" s="39">
        <v>2.32</v>
      </c>
    </row>
    <row r="243" spans="1:17" ht="15.75" hidden="1" customHeight="1" x14ac:dyDescent="0.25">
      <c r="A243" s="30">
        <v>32984823</v>
      </c>
      <c r="B243" s="31" t="s">
        <v>765</v>
      </c>
      <c r="C243" s="32">
        <v>1009</v>
      </c>
      <c r="D243" s="33" t="s">
        <v>72</v>
      </c>
      <c r="E243" s="34" t="s">
        <v>34</v>
      </c>
      <c r="F243" s="34" t="s">
        <v>35</v>
      </c>
      <c r="G243" s="33" t="s">
        <v>167</v>
      </c>
      <c r="H243" s="35" t="s">
        <v>51</v>
      </c>
      <c r="I243" s="36"/>
      <c r="J243" s="34"/>
      <c r="K243" s="34" t="s">
        <v>25</v>
      </c>
      <c r="L243" s="37">
        <v>46226</v>
      </c>
      <c r="M243" s="38">
        <v>46226</v>
      </c>
      <c r="N243" s="39">
        <v>4.0</v>
      </c>
      <c r="O243" s="40"/>
      <c r="P243" s="39">
        <v>4.5</v>
      </c>
      <c r="Q243" s="39">
        <v>814.8</v>
      </c>
    </row>
    <row r="244" spans="1:17" ht="30" hidden="1" customHeight="1" x14ac:dyDescent="0.25">
      <c r="A244" s="30">
        <v>32984820</v>
      </c>
      <c r="B244" s="31" t="s">
        <v>766</v>
      </c>
      <c r="C244" s="32">
        <v>1010</v>
      </c>
      <c r="D244" s="33" t="s">
        <v>33</v>
      </c>
      <c r="E244" s="34" t="s">
        <v>34</v>
      </c>
      <c r="F244" s="34" t="s">
        <v>35</v>
      </c>
      <c r="G244" s="33" t="s">
        <v>208</v>
      </c>
      <c r="H244" s="35" t="s">
        <v>51</v>
      </c>
      <c r="I244" s="36"/>
      <c r="J244" s="34"/>
      <c r="K244" s="34" t="s">
        <v>37</v>
      </c>
      <c r="L244" s="37">
        <v>46256</v>
      </c>
      <c r="M244" s="38">
        <v>46253</v>
      </c>
      <c r="N244" s="39">
        <v>2.0</v>
      </c>
      <c r="O244" s="40"/>
      <c r="P244" s="39">
        <v>6.0</v>
      </c>
      <c r="Q244" s="39">
        <v>2.37</v>
      </c>
    </row>
    <row r="245" spans="1:17" ht="30" hidden="1" customHeight="1" x14ac:dyDescent="0.25">
      <c r="A245" s="30">
        <v>32984829</v>
      </c>
      <c r="B245" s="31" t="s">
        <v>767</v>
      </c>
      <c r="C245" s="32">
        <v>1011</v>
      </c>
      <c r="D245" s="33" t="s">
        <v>67</v>
      </c>
      <c r="E245" s="34" t="s">
        <v>34</v>
      </c>
      <c r="F245" s="34" t="s">
        <v>35</v>
      </c>
      <c r="G245" s="33" t="s">
        <v>50</v>
      </c>
      <c r="H245" s="35" t="s">
        <v>51</v>
      </c>
      <c r="I245" s="36"/>
      <c r="J245" s="34"/>
      <c r="K245" s="34" t="s">
        <v>25</v>
      </c>
      <c r="L245" s="37">
        <v>46252</v>
      </c>
      <c r="M245" s="38">
        <v>46244</v>
      </c>
      <c r="N245" s="39">
        <v>2.0</v>
      </c>
      <c r="O245" s="40"/>
      <c r="P245" s="39">
        <v>3.0</v>
      </c>
      <c r="Q245" s="39">
        <v>3.0</v>
      </c>
    </row>
    <row r="246" spans="1:17" ht="31.5" hidden="1" customHeight="1" x14ac:dyDescent="0.25">
      <c r="A246" s="30">
        <v>32984848</v>
      </c>
      <c r="B246" s="31" t="s">
        <v>768</v>
      </c>
      <c r="C246" s="32">
        <v>1012</v>
      </c>
      <c r="D246" s="33" t="s">
        <v>67</v>
      </c>
      <c r="E246" s="34" t="s">
        <v>34</v>
      </c>
      <c r="F246" s="34" t="s">
        <v>769</v>
      </c>
      <c r="G246" s="33" t="s">
        <v>747</v>
      </c>
      <c r="H246" s="35" t="s">
        <v>51</v>
      </c>
      <c r="I246" s="36"/>
      <c r="J246" s="34"/>
      <c r="K246" s="34" t="s">
        <v>25</v>
      </c>
      <c r="L246" s="37">
        <v>46256</v>
      </c>
      <c r="M246" s="38">
        <v>46254</v>
      </c>
      <c r="N246" s="40">
        <v>0.0</v>
      </c>
      <c r="O246" s="40"/>
      <c r="P246" s="39">
        <v>21.83</v>
      </c>
      <c r="Q246" s="39">
        <v>566.2</v>
      </c>
    </row>
    <row r="247" spans="1:17" ht="15.75" hidden="1" customHeight="1" x14ac:dyDescent="0.25">
      <c r="A247" s="30">
        <v>32984883</v>
      </c>
      <c r="B247" s="31" t="s">
        <v>770</v>
      </c>
      <c r="C247" s="32">
        <v>1013</v>
      </c>
      <c r="D247" s="33" t="s">
        <v>72</v>
      </c>
      <c r="E247" s="34" t="s">
        <v>34</v>
      </c>
      <c r="F247" s="34" t="s">
        <v>35</v>
      </c>
      <c r="G247" s="33" t="s">
        <v>167</v>
      </c>
      <c r="H247" s="35" t="s">
        <v>51</v>
      </c>
      <c r="I247" s="36"/>
      <c r="J247" s="34"/>
      <c r="K247" s="34" t="s">
        <v>25</v>
      </c>
      <c r="L247" s="37">
        <v>46229</v>
      </c>
      <c r="M247" s="38">
        <v>46229</v>
      </c>
      <c r="N247" s="39">
        <v>4.0</v>
      </c>
      <c r="O247" s="40"/>
      <c r="P247" s="39">
        <v>4.0</v>
      </c>
      <c r="Q247" s="39">
        <v>4.0</v>
      </c>
    </row>
    <row r="248" spans="1:17" ht="45" hidden="1" customHeight="1" x14ac:dyDescent="0.25">
      <c r="A248" s="30">
        <v>32984906</v>
      </c>
      <c r="B248" s="31" t="s">
        <v>771</v>
      </c>
      <c r="C248" s="32">
        <v>1014</v>
      </c>
      <c r="D248" s="33" t="s">
        <v>33</v>
      </c>
      <c r="E248" s="34" t="s">
        <v>22</v>
      </c>
      <c r="F248" s="34" t="s">
        <v>35</v>
      </c>
      <c r="G248" s="33" t="s">
        <v>50</v>
      </c>
      <c r="H248" s="35" t="s">
        <v>51</v>
      </c>
      <c r="I248" s="36"/>
      <c r="J248" s="34"/>
      <c r="K248" s="34" t="s">
        <v>29</v>
      </c>
      <c r="L248" s="37"/>
      <c r="M248" s="38"/>
      <c r="N248" s="39">
        <v>6.0</v>
      </c>
      <c r="O248" s="40"/>
      <c r="P248" s="39">
        <v>6.5</v>
      </c>
      <c r="Q248" s="39">
        <v>869.9</v>
      </c>
    </row>
    <row r="249" spans="1:17" ht="30" hidden="1" customHeight="1" x14ac:dyDescent="0.25">
      <c r="A249" s="30">
        <v>32984905</v>
      </c>
      <c r="B249" s="31" t="s">
        <v>772</v>
      </c>
      <c r="C249" s="32">
        <v>1015</v>
      </c>
      <c r="D249" s="33" t="s">
        <v>72</v>
      </c>
      <c r="E249" s="34" t="s">
        <v>34</v>
      </c>
      <c r="F249" s="34" t="s">
        <v>35</v>
      </c>
      <c r="G249" s="33" t="s">
        <v>167</v>
      </c>
      <c r="H249" s="35"/>
      <c r="I249" s="36"/>
      <c r="J249" s="34"/>
      <c r="K249" s="34" t="s">
        <v>25</v>
      </c>
      <c r="L249" s="37">
        <v>46224</v>
      </c>
      <c r="M249" s="38">
        <v>46224</v>
      </c>
      <c r="N249" s="39">
        <v>2.0</v>
      </c>
      <c r="O249" s="40"/>
      <c r="P249" s="39">
        <v>2.0</v>
      </c>
      <c r="Q249" s="39">
        <v>1.0</v>
      </c>
    </row>
    <row r="250" spans="1:17" ht="30" hidden="1" customHeight="1" x14ac:dyDescent="0.25">
      <c r="A250" s="30">
        <v>32984945</v>
      </c>
      <c r="B250" s="31" t="s">
        <v>773</v>
      </c>
      <c r="C250" s="32">
        <v>1017</v>
      </c>
      <c r="D250" s="33" t="s">
        <v>67</v>
      </c>
      <c r="E250" s="34" t="s">
        <v>34</v>
      </c>
      <c r="F250" s="34" t="s">
        <v>35</v>
      </c>
      <c r="G250" s="33" t="s">
        <v>167</v>
      </c>
      <c r="H250" s="35" t="s">
        <v>51</v>
      </c>
      <c r="I250" s="36"/>
      <c r="J250" s="34"/>
      <c r="K250" s="34" t="s">
        <v>25</v>
      </c>
      <c r="L250" s="37">
        <v>46231</v>
      </c>
      <c r="M250" s="38">
        <v>46231</v>
      </c>
      <c r="N250" s="39">
        <v>3.0</v>
      </c>
      <c r="O250" s="40"/>
      <c r="P250" s="39">
        <v>4.02</v>
      </c>
      <c r="Q250" s="39">
        <v>4.02</v>
      </c>
    </row>
    <row r="251" spans="1:17" ht="15.75" hidden="1" customHeight="1" x14ac:dyDescent="0.25">
      <c r="A251" s="30">
        <v>32985067</v>
      </c>
      <c r="B251" s="31" t="s">
        <v>774</v>
      </c>
      <c r="C251" s="32">
        <v>1027</v>
      </c>
      <c r="D251" s="33" t="s">
        <v>67</v>
      </c>
      <c r="E251" s="34" t="s">
        <v>34</v>
      </c>
      <c r="F251" s="34" t="s">
        <v>35</v>
      </c>
      <c r="G251" s="33" t="s">
        <v>50</v>
      </c>
      <c r="H251" s="35"/>
      <c r="I251" s="36"/>
      <c r="J251" s="34"/>
      <c r="K251" s="34" t="s">
        <v>25</v>
      </c>
      <c r="L251" s="145">
        <v>46252</v>
      </c>
      <c r="M251" s="38">
        <v>46245</v>
      </c>
      <c r="N251" s="39">
        <v>2.0</v>
      </c>
      <c r="O251" s="40"/>
      <c r="P251" s="39">
        <v>0.5</v>
      </c>
      <c r="Q251" s="39">
        <v>0.5</v>
      </c>
    </row>
    <row r="252" spans="1:17" ht="30" hidden="1" customHeight="1" x14ac:dyDescent="0.25">
      <c r="A252" s="30">
        <v>32985083</v>
      </c>
      <c r="B252" s="31" t="s">
        <v>775</v>
      </c>
      <c r="C252" s="32">
        <v>1030</v>
      </c>
      <c r="D252" s="33" t="s">
        <v>67</v>
      </c>
      <c r="E252" s="34" t="s">
        <v>34</v>
      </c>
      <c r="F252" s="34" t="s">
        <v>35</v>
      </c>
      <c r="G252" s="33" t="s">
        <v>50</v>
      </c>
      <c r="H252" s="35" t="s">
        <v>51</v>
      </c>
      <c r="I252" s="36" t="s">
        <v>36</v>
      </c>
      <c r="J252" s="34"/>
      <c r="K252" s="34" t="s">
        <v>25</v>
      </c>
      <c r="L252" s="37">
        <v>46259</v>
      </c>
      <c r="M252" s="38">
        <v>46257</v>
      </c>
      <c r="N252" s="39">
        <v>2.0</v>
      </c>
      <c r="O252" s="40"/>
      <c r="P252" s="39">
        <v>4.5</v>
      </c>
      <c r="Q252" s="39">
        <v>2.5</v>
      </c>
    </row>
    <row r="253" spans="1:17" ht="30" hidden="1" customHeight="1" x14ac:dyDescent="0.25">
      <c r="A253" s="30">
        <v>32985088</v>
      </c>
      <c r="B253" s="31" t="s">
        <v>776</v>
      </c>
      <c r="C253" s="32">
        <v>1031</v>
      </c>
      <c r="D253" s="33" t="s">
        <v>67</v>
      </c>
      <c r="E253" s="34" t="s">
        <v>34</v>
      </c>
      <c r="F253" s="34" t="s">
        <v>35</v>
      </c>
      <c r="G253" s="33" t="s">
        <v>50</v>
      </c>
      <c r="H253" s="35" t="s">
        <v>51</v>
      </c>
      <c r="I253" s="36" t="s">
        <v>36</v>
      </c>
      <c r="J253" s="34"/>
      <c r="K253" s="34" t="s">
        <v>25</v>
      </c>
      <c r="L253" s="37">
        <v>46259</v>
      </c>
      <c r="M253" s="38">
        <v>46257</v>
      </c>
      <c r="N253" s="39">
        <v>2.0</v>
      </c>
      <c r="O253" s="40"/>
      <c r="P253" s="39">
        <v>4.5</v>
      </c>
      <c r="Q253" s="39">
        <v>2.5</v>
      </c>
    </row>
    <row r="254" spans="1:17" ht="30" hidden="1" customHeight="1" x14ac:dyDescent="0.25">
      <c r="A254" s="30">
        <v>32985127</v>
      </c>
      <c r="B254" s="31" t="s">
        <v>777</v>
      </c>
      <c r="C254" s="32">
        <v>1034</v>
      </c>
      <c r="D254" s="33" t="s">
        <v>49</v>
      </c>
      <c r="E254" s="34" t="s">
        <v>34</v>
      </c>
      <c r="F254" s="34" t="s">
        <v>35</v>
      </c>
      <c r="G254" s="33" t="s">
        <v>50</v>
      </c>
      <c r="H254" s="35"/>
      <c r="I254" s="36"/>
      <c r="J254" s="34"/>
      <c r="K254" s="34" t="s">
        <v>25</v>
      </c>
      <c r="L254" s="37">
        <v>46238</v>
      </c>
      <c r="M254" s="38">
        <v>46238</v>
      </c>
      <c r="N254" s="39">
        <v>2.0</v>
      </c>
      <c r="O254" s="40"/>
      <c r="P254" s="39">
        <v>2.58</v>
      </c>
      <c r="Q254" s="39">
        <v>31.0</v>
      </c>
    </row>
    <row r="255" spans="1:17" ht="30" hidden="1" customHeight="1" x14ac:dyDescent="0.25">
      <c r="A255" s="30">
        <v>32985290</v>
      </c>
      <c r="B255" s="31" t="s">
        <v>778</v>
      </c>
      <c r="C255" s="32">
        <v>1035</v>
      </c>
      <c r="D255" s="33" t="s">
        <v>61</v>
      </c>
      <c r="E255" s="34" t="s">
        <v>34</v>
      </c>
      <c r="F255" s="34" t="s">
        <v>35</v>
      </c>
      <c r="G255" s="33" t="s">
        <v>50</v>
      </c>
      <c r="H255" s="35" t="s">
        <v>51</v>
      </c>
      <c r="I255" s="36"/>
      <c r="J255" s="34"/>
      <c r="K255" s="34" t="s">
        <v>25</v>
      </c>
      <c r="L255" s="37">
        <v>46252</v>
      </c>
      <c r="M255" s="38">
        <v>46240</v>
      </c>
      <c r="N255" s="40">
        <v>0.0</v>
      </c>
      <c r="O255" s="40"/>
      <c r="P255" s="39">
        <v>2.0</v>
      </c>
      <c r="Q255" s="39">
        <v>2.0</v>
      </c>
    </row>
    <row r="256" spans="1:17" ht="31.5" customHeight="1" x14ac:dyDescent="0.25">
      <c r="A256" s="30">
        <v>32985304</v>
      </c>
      <c r="B256" s="31" t="s">
        <v>779</v>
      </c>
      <c r="C256" s="32">
        <v>1036</v>
      </c>
      <c r="D256" s="33" t="s">
        <v>61</v>
      </c>
      <c r="E256" s="34" t="s">
        <v>34</v>
      </c>
      <c r="F256" s="34" t="s">
        <v>35</v>
      </c>
      <c r="G256" s="33" t="s">
        <v>50</v>
      </c>
      <c r="H256" s="35" t="s">
        <v>51</v>
      </c>
      <c r="I256" s="36"/>
      <c r="J256" s="34"/>
      <c r="K256" s="34" t="s">
        <v>25</v>
      </c>
      <c r="L256" s="37">
        <v>46260</v>
      </c>
      <c r="M256" s="38">
        <v>46259</v>
      </c>
      <c r="N256">
        <v>0.0</v>
      </c>
      <c r="O256" s="40"/>
      <c r="P256" s="39">
        <v>2.0</v>
      </c>
      <c r="Q256">
        <v>1.0</v>
      </c>
    </row>
    <row r="257" spans="1:17" ht="30" hidden="1" customHeight="1" x14ac:dyDescent="0.25">
      <c r="A257" s="30">
        <v>32985321</v>
      </c>
      <c r="B257" s="31" t="s">
        <v>780</v>
      </c>
      <c r="C257" s="32">
        <v>1037</v>
      </c>
      <c r="D257" s="33" t="s">
        <v>61</v>
      </c>
      <c r="E257" s="34" t="s">
        <v>34</v>
      </c>
      <c r="F257" s="34" t="s">
        <v>35</v>
      </c>
      <c r="G257" s="33" t="s">
        <v>50</v>
      </c>
      <c r="H257" s="35" t="s">
        <v>51</v>
      </c>
      <c r="I257" s="36"/>
      <c r="J257" s="34"/>
      <c r="K257" s="34" t="s">
        <v>25</v>
      </c>
      <c r="L257" s="37">
        <v>46252</v>
      </c>
      <c r="M257" s="38">
        <v>46240</v>
      </c>
      <c r="N257" s="40">
        <v>0.0</v>
      </c>
      <c r="O257" s="40"/>
      <c r="P257" s="39">
        <v>2.0</v>
      </c>
      <c r="Q257" s="39">
        <v>2.0</v>
      </c>
    </row>
    <row r="258" spans="1:17" ht="15.75" customHeight="1" x14ac:dyDescent="0.25">
      <c r="A258" s="30">
        <v>32985332</v>
      </c>
      <c r="B258" s="31" t="s">
        <v>781</v>
      </c>
      <c r="C258" s="32">
        <v>1038</v>
      </c>
      <c r="D258" s="33" t="s">
        <v>61</v>
      </c>
      <c r="E258" s="34" t="s">
        <v>22</v>
      </c>
      <c r="F258" s="34" t="s">
        <v>35</v>
      </c>
      <c r="G258" s="33" t="s">
        <v>50</v>
      </c>
      <c r="H258" s="35" t="s">
        <v>51</v>
      </c>
      <c r="I258" s="36"/>
      <c r="J258" s="34"/>
      <c r="K258" s="34" t="s">
        <v>25</v>
      </c>
      <c r="L258" s="37"/>
      <c r="M258" s="38"/>
      <c r="N258" s="40">
        <v>0.0</v>
      </c>
      <c r="O258" s="40"/>
      <c r="P258" s="39"/>
      <c r="Q258" s="39">
        <v>0.0</v>
      </c>
    </row>
    <row r="259" spans="1:17" ht="30" hidden="1" customHeight="1" x14ac:dyDescent="0.25">
      <c r="A259" s="30">
        <v>32985334</v>
      </c>
      <c r="B259" s="31" t="s">
        <v>782</v>
      </c>
      <c r="C259" s="32">
        <v>1039</v>
      </c>
      <c r="D259" s="33" t="s">
        <v>61</v>
      </c>
      <c r="E259" s="34" t="s">
        <v>34</v>
      </c>
      <c r="F259" s="34" t="s">
        <v>35</v>
      </c>
      <c r="G259" s="33" t="s">
        <v>167</v>
      </c>
      <c r="H259" s="35" t="s">
        <v>51</v>
      </c>
      <c r="I259" s="36"/>
      <c r="J259" s="34"/>
      <c r="K259" s="34" t="s">
        <v>25</v>
      </c>
      <c r="L259" s="37">
        <v>46229</v>
      </c>
      <c r="M259" s="38">
        <v>46229</v>
      </c>
      <c r="N259" s="39">
        <v>4.0</v>
      </c>
      <c r="O259" s="40"/>
      <c r="P259" s="39">
        <v>5.83</v>
      </c>
      <c r="Q259" s="39">
        <v>2.12</v>
      </c>
    </row>
    <row r="260" spans="1:17" ht="15.75" hidden="1" customHeight="1" x14ac:dyDescent="0.25">
      <c r="A260" s="30">
        <v>32985336</v>
      </c>
      <c r="B260" s="31" t="s">
        <v>783</v>
      </c>
      <c r="C260" s="32">
        <v>1040</v>
      </c>
      <c r="D260" s="33" t="s">
        <v>61</v>
      </c>
      <c r="E260" s="34" t="s">
        <v>34</v>
      </c>
      <c r="F260" s="34" t="s">
        <v>35</v>
      </c>
      <c r="G260" s="33" t="s">
        <v>167</v>
      </c>
      <c r="H260" s="35"/>
      <c r="I260" s="36"/>
      <c r="J260" s="34"/>
      <c r="K260" s="34" t="s">
        <v>25</v>
      </c>
      <c r="L260" s="37">
        <v>46229</v>
      </c>
      <c r="M260" s="38">
        <v>46229</v>
      </c>
      <c r="N260" s="39">
        <v>4.0</v>
      </c>
      <c r="O260" s="40"/>
      <c r="P260" s="39">
        <v>6.17</v>
      </c>
      <c r="Q260" s="39">
        <v>2.55</v>
      </c>
    </row>
    <row r="261" spans="1:17" ht="30" hidden="1" customHeight="1" x14ac:dyDescent="0.25">
      <c r="A261" s="30">
        <v>32985337</v>
      </c>
      <c r="B261" s="31" t="s">
        <v>784</v>
      </c>
      <c r="C261" s="32">
        <v>1041</v>
      </c>
      <c r="D261" s="33" t="s">
        <v>61</v>
      </c>
      <c r="E261" s="34" t="s">
        <v>34</v>
      </c>
      <c r="F261" s="34" t="s">
        <v>35</v>
      </c>
      <c r="G261" s="33" t="s">
        <v>50</v>
      </c>
      <c r="H261" s="35" t="s">
        <v>51</v>
      </c>
      <c r="I261" s="36" t="s">
        <v>36</v>
      </c>
      <c r="J261" s="34"/>
      <c r="K261" s="34" t="s">
        <v>29</v>
      </c>
      <c r="L261" s="37">
        <v>46236</v>
      </c>
      <c r="M261" s="38">
        <v>46236</v>
      </c>
      <c r="N261" s="40">
        <v>0.0</v>
      </c>
      <c r="O261" s="40"/>
      <c r="P261" s="39">
        <v>1.0</v>
      </c>
      <c r="Q261" s="39">
        <v>1.0</v>
      </c>
    </row>
    <row r="262" spans="1:17" ht="15.75" hidden="1" customHeight="1" x14ac:dyDescent="0.25">
      <c r="A262" s="30">
        <v>32985338</v>
      </c>
      <c r="B262" s="31" t="s">
        <v>785</v>
      </c>
      <c r="C262" s="32">
        <v>1042</v>
      </c>
      <c r="D262" s="33" t="s">
        <v>61</v>
      </c>
      <c r="E262" s="34" t="s">
        <v>34</v>
      </c>
      <c r="F262" s="34" t="s">
        <v>35</v>
      </c>
      <c r="G262" s="33" t="s">
        <v>167</v>
      </c>
      <c r="H262" s="35"/>
      <c r="I262" s="36"/>
      <c r="J262" s="34"/>
      <c r="K262" s="34" t="s">
        <v>29</v>
      </c>
      <c r="L262" s="37">
        <v>46225</v>
      </c>
      <c r="M262" s="38">
        <v>46225</v>
      </c>
      <c r="N262" s="40">
        <v>0.0</v>
      </c>
      <c r="O262" s="40"/>
      <c r="P262" s="39">
        <v>3.5</v>
      </c>
      <c r="Q262" s="39">
        <v>3.5</v>
      </c>
    </row>
    <row r="263" spans="1:17" ht="15.75" hidden="1" customHeight="1" x14ac:dyDescent="0.25">
      <c r="A263" s="30">
        <v>32985341</v>
      </c>
      <c r="B263" s="31" t="s">
        <v>786</v>
      </c>
      <c r="C263" s="32">
        <v>1043</v>
      </c>
      <c r="D263" s="33" t="s">
        <v>61</v>
      </c>
      <c r="E263" s="34" t="s">
        <v>34</v>
      </c>
      <c r="F263" s="34" t="s">
        <v>35</v>
      </c>
      <c r="G263" s="33" t="s">
        <v>167</v>
      </c>
      <c r="H263" s="35"/>
      <c r="I263" s="36"/>
      <c r="J263" s="34"/>
      <c r="K263" s="34" t="s">
        <v>29</v>
      </c>
      <c r="L263" s="37">
        <v>46225</v>
      </c>
      <c r="M263" s="38">
        <v>46225</v>
      </c>
      <c r="N263" s="40">
        <v>0.0</v>
      </c>
      <c r="O263" s="40"/>
      <c r="P263" s="39">
        <v>3.0</v>
      </c>
      <c r="Q263" s="39">
        <v>3.0</v>
      </c>
    </row>
    <row r="264" spans="1:17" ht="15.75" hidden="1" customHeight="1" x14ac:dyDescent="0.25">
      <c r="A264" s="30">
        <v>32985342</v>
      </c>
      <c r="B264" s="31" t="s">
        <v>787</v>
      </c>
      <c r="C264" s="32">
        <v>1044</v>
      </c>
      <c r="D264" s="33" t="s">
        <v>61</v>
      </c>
      <c r="E264" s="34" t="s">
        <v>34</v>
      </c>
      <c r="F264" s="34" t="s">
        <v>35</v>
      </c>
      <c r="G264" s="33" t="s">
        <v>167</v>
      </c>
      <c r="H264" s="35"/>
      <c r="I264" s="36"/>
      <c r="J264" s="34"/>
      <c r="K264" s="34" t="s">
        <v>29</v>
      </c>
      <c r="L264" s="37">
        <v>46229</v>
      </c>
      <c r="M264" s="38">
        <v>46229</v>
      </c>
      <c r="N264" s="39">
        <v>4.0</v>
      </c>
      <c r="O264" s="40"/>
      <c r="P264" s="39">
        <v>4.0</v>
      </c>
      <c r="Q264" s="39">
        <v>2.0</v>
      </c>
    </row>
    <row r="265" spans="1:17" ht="15.75" customHeight="1" x14ac:dyDescent="0.25">
      <c r="A265" s="30">
        <v>32985343</v>
      </c>
      <c r="B265" s="31" t="s">
        <v>788</v>
      </c>
      <c r="C265" s="32">
        <v>1045</v>
      </c>
      <c r="D265" s="33" t="s">
        <v>61</v>
      </c>
      <c r="E265" s="34" t="s">
        <v>22</v>
      </c>
      <c r="F265" s="34" t="s">
        <v>35</v>
      </c>
      <c r="G265" s="33" t="s">
        <v>50</v>
      </c>
      <c r="H265" s="35" t="s">
        <v>51</v>
      </c>
      <c r="I265" s="36"/>
      <c r="J265" s="34"/>
      <c r="K265" s="34" t="s">
        <v>25</v>
      </c>
      <c r="L265" s="37"/>
      <c r="M265" s="38"/>
      <c r="N265" s="40">
        <v>0.0</v>
      </c>
      <c r="O265" s="40"/>
      <c r="P265" s="39"/>
      <c r="Q265" s="39">
        <v>0.0</v>
      </c>
    </row>
    <row r="266" spans="1:17" ht="30" hidden="1" customHeight="1" x14ac:dyDescent="0.25">
      <c r="A266" s="30">
        <v>32985344</v>
      </c>
      <c r="B266" s="31" t="s">
        <v>789</v>
      </c>
      <c r="C266" s="32">
        <v>1046</v>
      </c>
      <c r="D266" s="33" t="s">
        <v>61</v>
      </c>
      <c r="E266" s="34" t="s">
        <v>34</v>
      </c>
      <c r="F266" s="34" t="s">
        <v>35</v>
      </c>
      <c r="G266" s="33" t="s">
        <v>50</v>
      </c>
      <c r="H266" s="35" t="s">
        <v>51</v>
      </c>
      <c r="I266" s="36"/>
      <c r="J266" s="34"/>
      <c r="K266" s="34" t="s">
        <v>25</v>
      </c>
      <c r="L266" s="37">
        <v>46252</v>
      </c>
      <c r="M266" s="38">
        <v>46240</v>
      </c>
      <c r="N266" s="40">
        <v>0.0</v>
      </c>
      <c r="O266" s="40"/>
      <c r="P266" s="39">
        <v>2.0</v>
      </c>
      <c r="Q266" s="39">
        <v>2.0</v>
      </c>
    </row>
    <row r="267" spans="1:17" ht="30" hidden="1" customHeight="1" x14ac:dyDescent="0.25">
      <c r="A267" s="30">
        <v>32985347</v>
      </c>
      <c r="B267" s="31" t="s">
        <v>790</v>
      </c>
      <c r="C267" s="32">
        <v>1047</v>
      </c>
      <c r="D267" s="33" t="s">
        <v>61</v>
      </c>
      <c r="E267" s="34" t="s">
        <v>34</v>
      </c>
      <c r="F267" s="34" t="s">
        <v>35</v>
      </c>
      <c r="G267" s="33" t="s">
        <v>167</v>
      </c>
      <c r="H267" s="35"/>
      <c r="I267" s="36"/>
      <c r="J267" s="34"/>
      <c r="K267" s="34" t="s">
        <v>25</v>
      </c>
      <c r="L267" s="37">
        <v>46225</v>
      </c>
      <c r="M267" s="38">
        <v>46225</v>
      </c>
      <c r="N267" s="40">
        <v>0.0</v>
      </c>
      <c r="O267" s="40"/>
      <c r="P267" s="39">
        <v>3.5</v>
      </c>
      <c r="Q267" s="39">
        <v>3.5</v>
      </c>
    </row>
    <row r="268" spans="1:17" ht="30" hidden="1" customHeight="1" x14ac:dyDescent="0.25">
      <c r="A268" s="30">
        <v>32985349</v>
      </c>
      <c r="B268" s="31" t="s">
        <v>791</v>
      </c>
      <c r="C268" s="32">
        <v>1048</v>
      </c>
      <c r="D268" s="33" t="s">
        <v>61</v>
      </c>
      <c r="E268" s="34" t="s">
        <v>34</v>
      </c>
      <c r="F268" s="34" t="s">
        <v>35</v>
      </c>
      <c r="G268" s="33" t="s">
        <v>50</v>
      </c>
      <c r="H268" s="35" t="s">
        <v>51</v>
      </c>
      <c r="I268" s="36"/>
      <c r="J268" s="34"/>
      <c r="K268" s="34" t="s">
        <v>25</v>
      </c>
      <c r="L268" s="37">
        <v>46252</v>
      </c>
      <c r="M268" s="38">
        <v>46240</v>
      </c>
      <c r="N268" s="40">
        <v>0.0</v>
      </c>
      <c r="O268" s="40"/>
      <c r="P268" s="39">
        <v>2.0</v>
      </c>
      <c r="Q268" s="39">
        <v>2.0</v>
      </c>
    </row>
    <row r="269" spans="1:17" ht="31.5" customHeight="1" x14ac:dyDescent="0.25">
      <c r="A269" s="30">
        <v>32985350</v>
      </c>
      <c r="B269" s="31" t="s">
        <v>792</v>
      </c>
      <c r="C269" s="32">
        <v>1049</v>
      </c>
      <c r="D269" s="33" t="s">
        <v>61</v>
      </c>
      <c r="E269" s="34" t="s">
        <v>34</v>
      </c>
      <c r="F269" s="34" t="s">
        <v>35</v>
      </c>
      <c r="G269" s="33" t="s">
        <v>50</v>
      </c>
      <c r="H269" s="35" t="s">
        <v>51</v>
      </c>
      <c r="I269" s="36"/>
      <c r="J269" s="34"/>
      <c r="K269" s="34" t="s">
        <v>25</v>
      </c>
      <c r="L269" s="37">
        <v>46260</v>
      </c>
      <c r="N269">
        <v>0.0</v>
      </c>
      <c r="O269" s="40"/>
      <c r="P269" s="39">
        <v>16.0</v>
      </c>
      <c r="Q269">
        <v>13.13</v>
      </c>
    </row>
    <row r="270" spans="1:17" ht="15.75" hidden="1" customHeight="1" x14ac:dyDescent="0.25">
      <c r="A270" s="30">
        <v>32985351</v>
      </c>
      <c r="B270" s="31" t="s">
        <v>793</v>
      </c>
      <c r="C270" s="32">
        <v>1050</v>
      </c>
      <c r="D270" s="33" t="s">
        <v>61</v>
      </c>
      <c r="E270" s="34" t="s">
        <v>34</v>
      </c>
      <c r="F270" s="34" t="s">
        <v>35</v>
      </c>
      <c r="G270" s="33" t="s">
        <v>167</v>
      </c>
      <c r="H270" s="35"/>
      <c r="I270" s="36"/>
      <c r="J270" s="34"/>
      <c r="K270" s="34" t="s">
        <v>29</v>
      </c>
      <c r="L270" s="37">
        <v>46225</v>
      </c>
      <c r="M270" s="38">
        <v>46225</v>
      </c>
      <c r="N270" s="40">
        <v>0.0</v>
      </c>
      <c r="O270" s="40"/>
      <c r="P270" s="39">
        <v>3.5</v>
      </c>
      <c r="Q270" s="39">
        <v>3.5</v>
      </c>
    </row>
    <row r="271" spans="1:17" ht="15.75" hidden="1" customHeight="1" x14ac:dyDescent="0.25">
      <c r="A271" s="30">
        <v>32985352</v>
      </c>
      <c r="B271" s="31" t="s">
        <v>794</v>
      </c>
      <c r="C271" s="32">
        <v>1051</v>
      </c>
      <c r="D271" s="33" t="s">
        <v>61</v>
      </c>
      <c r="E271" s="34" t="s">
        <v>34</v>
      </c>
      <c r="F271" s="34" t="s">
        <v>35</v>
      </c>
      <c r="G271" s="33" t="s">
        <v>167</v>
      </c>
      <c r="H271" s="35"/>
      <c r="I271" s="36"/>
      <c r="J271" s="34"/>
      <c r="K271" s="34" t="s">
        <v>29</v>
      </c>
      <c r="L271" s="37">
        <v>46225</v>
      </c>
      <c r="M271" s="38">
        <v>46225</v>
      </c>
      <c r="N271" s="40">
        <v>0.0</v>
      </c>
      <c r="O271" s="40"/>
      <c r="P271" s="39">
        <v>3.0</v>
      </c>
      <c r="Q271" s="39">
        <v>3.0</v>
      </c>
    </row>
    <row r="272" spans="1:17" ht="15.75" hidden="1" customHeight="1" x14ac:dyDescent="0.25">
      <c r="A272" s="30">
        <v>32985353</v>
      </c>
      <c r="B272" s="31" t="s">
        <v>795</v>
      </c>
      <c r="C272" s="32">
        <v>1052</v>
      </c>
      <c r="D272" s="33" t="s">
        <v>61</v>
      </c>
      <c r="E272" s="34" t="s">
        <v>34</v>
      </c>
      <c r="F272" s="34" t="s">
        <v>35</v>
      </c>
      <c r="G272" s="33" t="s">
        <v>50</v>
      </c>
      <c r="H272" s="35" t="s">
        <v>51</v>
      </c>
      <c r="I272" s="36"/>
      <c r="J272" s="34"/>
      <c r="K272" s="34" t="s">
        <v>29</v>
      </c>
      <c r="L272" s="37">
        <v>46236</v>
      </c>
      <c r="M272" s="38">
        <v>46236</v>
      </c>
      <c r="N272" s="40">
        <v>0.0</v>
      </c>
      <c r="O272" s="40"/>
      <c r="P272" s="39">
        <v>1.0</v>
      </c>
      <c r="Q272" s="39">
        <v>1.0</v>
      </c>
    </row>
    <row r="273" spans="1:17" ht="15.75" hidden="1" customHeight="1" x14ac:dyDescent="0.25">
      <c r="A273" s="30">
        <v>32985354</v>
      </c>
      <c r="B273" s="31" t="s">
        <v>796</v>
      </c>
      <c r="C273" s="32">
        <v>1053</v>
      </c>
      <c r="D273" s="33" t="s">
        <v>61</v>
      </c>
      <c r="E273" s="34" t="s">
        <v>34</v>
      </c>
      <c r="F273" s="34" t="s">
        <v>35</v>
      </c>
      <c r="G273" s="33" t="s">
        <v>50</v>
      </c>
      <c r="H273" s="35" t="s">
        <v>51</v>
      </c>
      <c r="I273" s="36"/>
      <c r="J273" s="34"/>
      <c r="K273" s="34" t="s">
        <v>29</v>
      </c>
      <c r="L273" s="37">
        <v>46259</v>
      </c>
      <c r="M273" s="38">
        <v>46257</v>
      </c>
      <c r="N273" s="40">
        <v>0.0</v>
      </c>
      <c r="O273" s="40"/>
      <c r="P273" s="39">
        <v>2.0</v>
      </c>
      <c r="Q273" s="39">
        <v>1.0</v>
      </c>
    </row>
    <row r="274" spans="1:17" ht="15.75" hidden="1" customHeight="1" x14ac:dyDescent="0.25">
      <c r="A274" s="30">
        <v>32985355</v>
      </c>
      <c r="B274" s="31" t="s">
        <v>797</v>
      </c>
      <c r="C274" s="32">
        <v>1054</v>
      </c>
      <c r="D274" s="33" t="s">
        <v>61</v>
      </c>
      <c r="E274" s="34" t="s">
        <v>34</v>
      </c>
      <c r="F274" s="34" t="s">
        <v>35</v>
      </c>
      <c r="G274" s="33" t="s">
        <v>167</v>
      </c>
      <c r="H274" s="35"/>
      <c r="I274" s="36"/>
      <c r="J274" s="34"/>
      <c r="K274" s="34" t="s">
        <v>29</v>
      </c>
      <c r="L274" s="37">
        <v>46225</v>
      </c>
      <c r="M274" s="38">
        <v>46225</v>
      </c>
      <c r="N274" s="40">
        <v>0.0</v>
      </c>
      <c r="O274" s="40"/>
      <c r="P274" s="39">
        <v>3.0</v>
      </c>
      <c r="Q274" s="39">
        <v>3.0</v>
      </c>
    </row>
    <row r="275" spans="1:17" ht="15.75" hidden="1" customHeight="1" x14ac:dyDescent="0.25">
      <c r="A275" s="30">
        <v>32985357</v>
      </c>
      <c r="B275" s="31" t="s">
        <v>798</v>
      </c>
      <c r="C275" s="32">
        <v>1055</v>
      </c>
      <c r="D275" s="33" t="s">
        <v>61</v>
      </c>
      <c r="E275" s="34" t="s">
        <v>34</v>
      </c>
      <c r="F275" s="34" t="s">
        <v>35</v>
      </c>
      <c r="G275" s="33" t="s">
        <v>50</v>
      </c>
      <c r="H275" s="35" t="s">
        <v>51</v>
      </c>
      <c r="I275" s="36" t="s">
        <v>36</v>
      </c>
      <c r="J275" s="34"/>
      <c r="K275" s="34" t="s">
        <v>29</v>
      </c>
      <c r="L275" s="37">
        <v>46236</v>
      </c>
      <c r="M275" s="38">
        <v>46236</v>
      </c>
      <c r="N275" s="40">
        <v>0.0</v>
      </c>
      <c r="O275" s="40"/>
      <c r="P275" s="39">
        <v>1.0</v>
      </c>
      <c r="Q275" s="39">
        <v>1.0</v>
      </c>
    </row>
    <row r="276" spans="1:17" ht="63" customHeight="1" x14ac:dyDescent="0.25">
      <c r="A276" s="30">
        <v>32985832</v>
      </c>
      <c r="B276" s="31" t="s">
        <v>799</v>
      </c>
      <c r="C276" s="32">
        <v>1061</v>
      </c>
      <c r="D276" s="33" t="s">
        <v>33</v>
      </c>
      <c r="E276" s="34" t="s">
        <v>22</v>
      </c>
      <c r="F276" s="34" t="s">
        <v>35</v>
      </c>
      <c r="G276" s="33" t="s">
        <v>50</v>
      </c>
      <c r="H276" s="35" t="s">
        <v>51</v>
      </c>
      <c r="I276" s="36"/>
      <c r="J276" s="34"/>
      <c r="K276" s="34" t="s">
        <v>24</v>
      </c>
      <c r="L276" s="37">
        <v>46224</v>
      </c>
      <c r="M276" s="38"/>
      <c r="N276" s="40">
        <v>0.0</v>
      </c>
      <c r="O276" s="40"/>
      <c r="P276" s="39"/>
      <c r="Q276" s="39">
        <v>46.0</v>
      </c>
    </row>
    <row r="277" spans="1:17" ht="63" customHeight="1" x14ac:dyDescent="0.25">
      <c r="A277" s="30">
        <v>32985833</v>
      </c>
      <c r="B277" s="31" t="s">
        <v>800</v>
      </c>
      <c r="C277" s="32">
        <v>1062</v>
      </c>
      <c r="D277" s="33" t="s">
        <v>33</v>
      </c>
      <c r="E277" s="34" t="s">
        <v>22</v>
      </c>
      <c r="F277" s="34" t="s">
        <v>35</v>
      </c>
      <c r="G277" s="33" t="s">
        <v>50</v>
      </c>
      <c r="H277" s="35" t="s">
        <v>51</v>
      </c>
      <c r="I277" s="36"/>
      <c r="J277" s="34"/>
      <c r="K277" s="34" t="s">
        <v>24</v>
      </c>
      <c r="L277" s="37">
        <v>46224</v>
      </c>
      <c r="M277" s="38"/>
      <c r="N277" s="40">
        <v>0.0</v>
      </c>
      <c r="O277" s="40"/>
      <c r="P277" s="39"/>
      <c r="Q277" s="39">
        <v>30.1</v>
      </c>
    </row>
    <row r="278" spans="1:17" ht="30" hidden="1" customHeight="1" x14ac:dyDescent="0.25">
      <c r="A278" s="30">
        <v>32987066</v>
      </c>
      <c r="B278" s="31" t="s">
        <v>801</v>
      </c>
      <c r="C278" s="32">
        <v>1075</v>
      </c>
      <c r="D278" s="33" t="s">
        <v>185</v>
      </c>
      <c r="E278" s="34" t="s">
        <v>34</v>
      </c>
      <c r="F278" s="34" t="s">
        <v>35</v>
      </c>
      <c r="G278" s="33" t="s">
        <v>186</v>
      </c>
      <c r="H278" s="35" t="s">
        <v>51</v>
      </c>
      <c r="I278" s="36"/>
      <c r="J278" s="34"/>
      <c r="K278" s="34" t="s">
        <v>37</v>
      </c>
      <c r="L278" s="37">
        <v>46259</v>
      </c>
      <c r="M278" s="38">
        <v>46257</v>
      </c>
      <c r="N278" s="39">
        <v>6.0</v>
      </c>
      <c r="O278" s="40"/>
      <c r="P278" s="39">
        <v>8.5</v>
      </c>
      <c r="Q278" s="39">
        <v>7.57</v>
      </c>
    </row>
    <row r="279" spans="1:17" ht="45" customHeight="1" x14ac:dyDescent="0.25">
      <c r="A279" s="30">
        <v>32987097</v>
      </c>
      <c r="B279" s="31" t="s">
        <v>802</v>
      </c>
      <c r="C279" s="32">
        <v>1077</v>
      </c>
      <c r="D279" s="33" t="s">
        <v>33</v>
      </c>
      <c r="E279" s="34" t="s">
        <v>34</v>
      </c>
      <c r="F279" s="34" t="s">
        <v>141</v>
      </c>
      <c r="G279" s="33" t="s">
        <v>50</v>
      </c>
      <c r="H279" s="35" t="s">
        <v>51</v>
      </c>
      <c r="I279" s="36"/>
      <c r="J279" s="34"/>
      <c r="K279" s="34" t="s">
        <v>24</v>
      </c>
      <c r="L279" s="37">
        <v>46260</v>
      </c>
      <c r="N279">
        <v>0.0</v>
      </c>
      <c r="O279" s="40"/>
      <c r="P279" s="39">
        <v>63.2</v>
      </c>
      <c r="Q279" s="39">
        <v>814.1</v>
      </c>
    </row>
    <row r="280" spans="1:17" ht="30" hidden="1" customHeight="1" x14ac:dyDescent="0.25">
      <c r="A280" s="30">
        <v>94844868</v>
      </c>
      <c r="B280" s="31" t="s">
        <v>803</v>
      </c>
      <c r="C280" s="32">
        <v>1082</v>
      </c>
      <c r="D280" s="33" t="s">
        <v>96</v>
      </c>
      <c r="E280" s="34" t="s">
        <v>34</v>
      </c>
      <c r="F280" s="34" t="s">
        <v>35</v>
      </c>
      <c r="G280" s="33" t="s">
        <v>50</v>
      </c>
      <c r="H280" s="35" t="s">
        <v>51</v>
      </c>
      <c r="I280" s="36"/>
      <c r="J280" s="34"/>
      <c r="K280" s="34" t="s">
        <v>29</v>
      </c>
      <c r="L280" s="37">
        <v>46252</v>
      </c>
      <c r="M280" s="38">
        <v>46251</v>
      </c>
      <c r="N280" s="40">
        <v>0.0</v>
      </c>
      <c r="O280" s="40"/>
      <c r="P280" s="39">
        <v>36.6</v>
      </c>
      <c r="Q280" s="39">
        <v>763.1</v>
      </c>
    </row>
    <row r="281" spans="1:17" ht="15.75" hidden="1" customHeight="1" x14ac:dyDescent="0.25">
      <c r="A281" s="30">
        <v>32974165</v>
      </c>
      <c r="B281" s="31" t="s">
        <v>804</v>
      </c>
      <c r="C281" s="32">
        <v>1086</v>
      </c>
      <c r="D281" s="33" t="s">
        <v>96</v>
      </c>
      <c r="E281" s="34" t="s">
        <v>22</v>
      </c>
      <c r="F281" s="34" t="s">
        <v>35</v>
      </c>
      <c r="G281" s="33" t="s">
        <v>50</v>
      </c>
      <c r="H281" s="35"/>
      <c r="I281" s="36"/>
      <c r="J281" s="34"/>
      <c r="K281" s="34" t="s">
        <v>29</v>
      </c>
      <c r="L281" s="37"/>
      <c r="M281" s="38"/>
      <c r="N281" s="39">
        <v>0.25</v>
      </c>
      <c r="O281" s="40"/>
      <c r="P281" s="39"/>
      <c r="Q281" s="39">
        <v>317.6</v>
      </c>
    </row>
    <row r="282" spans="1:17" ht="15.75" hidden="1" customHeight="1" x14ac:dyDescent="0.25">
      <c r="A282" s="30">
        <v>32987952</v>
      </c>
      <c r="B282" s="31" t="s">
        <v>805</v>
      </c>
      <c r="C282" s="32">
        <v>1093</v>
      </c>
      <c r="D282" s="33" t="s">
        <v>49</v>
      </c>
      <c r="E282" s="34" t="s">
        <v>34</v>
      </c>
      <c r="F282" s="34" t="s">
        <v>35</v>
      </c>
      <c r="G282" s="33" t="s">
        <v>50</v>
      </c>
      <c r="H282" s="35" t="s">
        <v>51</v>
      </c>
      <c r="I282" s="36"/>
      <c r="J282" s="34"/>
      <c r="K282" s="34" t="s">
        <v>25</v>
      </c>
      <c r="L282" s="37">
        <v>46226</v>
      </c>
      <c r="M282" s="38">
        <v>46226</v>
      </c>
      <c r="N282" s="40">
        <v>0.0</v>
      </c>
      <c r="O282" s="40"/>
      <c r="P282" s="39">
        <v>3.5</v>
      </c>
      <c r="Q282" s="39">
        <v>5.6</v>
      </c>
    </row>
    <row r="283" spans="1:17" ht="15.75" hidden="1" customHeight="1" x14ac:dyDescent="0.25">
      <c r="A283" s="30">
        <v>32987966</v>
      </c>
      <c r="B283" s="31" t="s">
        <v>806</v>
      </c>
      <c r="C283" s="32">
        <v>1098</v>
      </c>
      <c r="D283" s="33" t="s">
        <v>49</v>
      </c>
      <c r="E283" s="34" t="s">
        <v>34</v>
      </c>
      <c r="F283" s="34" t="s">
        <v>35</v>
      </c>
      <c r="G283" s="33" t="s">
        <v>50</v>
      </c>
      <c r="H283" s="35"/>
      <c r="I283" s="36"/>
      <c r="J283" s="34"/>
      <c r="K283" s="34" t="s">
        <v>25</v>
      </c>
      <c r="L283" s="37">
        <v>46226</v>
      </c>
      <c r="M283" s="38">
        <v>46226</v>
      </c>
      <c r="N283" s="40">
        <v>0.0</v>
      </c>
      <c r="O283" s="40"/>
      <c r="P283" s="39">
        <v>4.0</v>
      </c>
      <c r="Q283" s="39">
        <v>6.0</v>
      </c>
    </row>
    <row r="284" spans="1:17" ht="30" hidden="1" customHeight="1" x14ac:dyDescent="0.25">
      <c r="A284" s="30">
        <v>32988329</v>
      </c>
      <c r="B284" s="31" t="s">
        <v>807</v>
      </c>
      <c r="C284" s="32">
        <v>1107</v>
      </c>
      <c r="D284" s="33" t="s">
        <v>33</v>
      </c>
      <c r="E284" s="34" t="s">
        <v>22</v>
      </c>
      <c r="F284" s="34" t="s">
        <v>35</v>
      </c>
      <c r="G284" s="33" t="s">
        <v>167</v>
      </c>
      <c r="H284" s="35"/>
      <c r="I284" s="36"/>
      <c r="J284" s="34"/>
      <c r="K284" s="34" t="s">
        <v>29</v>
      </c>
      <c r="L284" s="37"/>
      <c r="M284" s="38"/>
      <c r="N284" s="39">
        <v>2.0</v>
      </c>
      <c r="O284" s="40"/>
      <c r="P284" s="39"/>
      <c r="Q284" s="39">
        <v>0.0</v>
      </c>
    </row>
    <row r="285" spans="1:17" ht="30" hidden="1" customHeight="1" x14ac:dyDescent="0.25">
      <c r="A285" s="30">
        <v>32988444</v>
      </c>
      <c r="B285" s="31" t="s">
        <v>808</v>
      </c>
      <c r="C285" s="32">
        <v>1108</v>
      </c>
      <c r="D285" s="33" t="s">
        <v>33</v>
      </c>
      <c r="E285" s="34" t="s">
        <v>22</v>
      </c>
      <c r="F285" s="34" t="s">
        <v>35</v>
      </c>
      <c r="G285" s="33" t="s">
        <v>50</v>
      </c>
      <c r="H285" s="35"/>
      <c r="I285" s="36"/>
      <c r="J285" s="34"/>
      <c r="K285" s="34" t="s">
        <v>29</v>
      </c>
      <c r="L285" s="37"/>
      <c r="M285" s="38"/>
      <c r="N285" s="39">
        <v>4.0</v>
      </c>
      <c r="O285" s="40"/>
      <c r="P285" s="39"/>
      <c r="Q285" s="39">
        <v>220.0</v>
      </c>
    </row>
    <row r="286" spans="1:17" ht="15.75" hidden="1" customHeight="1" x14ac:dyDescent="0.25">
      <c r="A286" s="30">
        <v>32988470</v>
      </c>
      <c r="B286" s="31" t="s">
        <v>809</v>
      </c>
      <c r="C286" s="32">
        <v>1109</v>
      </c>
      <c r="D286" s="33" t="s">
        <v>96</v>
      </c>
      <c r="E286" s="34" t="s">
        <v>34</v>
      </c>
      <c r="F286" s="34" t="s">
        <v>35</v>
      </c>
      <c r="G286" s="33" t="s">
        <v>50</v>
      </c>
      <c r="H286" s="35"/>
      <c r="I286" s="36"/>
      <c r="J286" s="34"/>
      <c r="K286" s="34" t="s">
        <v>29</v>
      </c>
      <c r="L286" s="37">
        <v>46232</v>
      </c>
      <c r="M286" s="38">
        <v>46232</v>
      </c>
      <c r="N286" s="39">
        <v>1.5</v>
      </c>
      <c r="O286" s="40"/>
      <c r="P286" s="39">
        <v>11.0</v>
      </c>
      <c r="Q286" s="39">
        <v>3.0</v>
      </c>
    </row>
    <row r="287" spans="1:17" ht="15.75" hidden="1" customHeight="1" x14ac:dyDescent="0.25">
      <c r="A287" s="30">
        <v>32988479</v>
      </c>
      <c r="B287" s="31" t="s">
        <v>810</v>
      </c>
      <c r="C287" s="32">
        <v>1110</v>
      </c>
      <c r="D287" s="33" t="s">
        <v>33</v>
      </c>
      <c r="E287" s="34" t="s">
        <v>34</v>
      </c>
      <c r="F287" s="34" t="s">
        <v>35</v>
      </c>
      <c r="G287" s="33" t="s">
        <v>50</v>
      </c>
      <c r="H287" s="35" t="s">
        <v>51</v>
      </c>
      <c r="I287" s="36"/>
      <c r="J287" s="34"/>
      <c r="K287" s="34" t="s">
        <v>29</v>
      </c>
      <c r="L287" s="37">
        <v>46252</v>
      </c>
      <c r="M287" s="38">
        <v>46240</v>
      </c>
      <c r="N287" s="39">
        <v>1.5</v>
      </c>
      <c r="O287" s="40"/>
      <c r="P287" s="39">
        <v>2.5</v>
      </c>
      <c r="Q287" s="39">
        <v>2.5</v>
      </c>
    </row>
    <row r="288" spans="1:17" ht="15.75" hidden="1" customHeight="1" x14ac:dyDescent="0.25">
      <c r="A288" s="30">
        <v>32988506</v>
      </c>
      <c r="B288" s="31" t="s">
        <v>811</v>
      </c>
      <c r="C288" s="32">
        <v>1111</v>
      </c>
      <c r="D288" s="33" t="s">
        <v>67</v>
      </c>
      <c r="E288" s="34" t="s">
        <v>34</v>
      </c>
      <c r="F288" s="34" t="s">
        <v>35</v>
      </c>
      <c r="G288" s="33" t="s">
        <v>50</v>
      </c>
      <c r="H288" s="35" t="s">
        <v>51</v>
      </c>
      <c r="I288" s="36"/>
      <c r="J288" s="34"/>
      <c r="K288" s="34" t="s">
        <v>25</v>
      </c>
      <c r="L288" s="146">
        <v>46240</v>
      </c>
      <c r="M288" s="38">
        <v>46240</v>
      </c>
      <c r="N288" s="40">
        <v>0.0</v>
      </c>
      <c r="O288" s="40"/>
      <c r="P288" s="39">
        <v>2.0</v>
      </c>
      <c r="Q288" s="39">
        <v>2.0</v>
      </c>
    </row>
    <row r="289" spans="1:17" ht="15.75" hidden="1" customHeight="1" x14ac:dyDescent="0.25">
      <c r="A289" s="30">
        <v>32988660</v>
      </c>
      <c r="B289" s="31" t="s">
        <v>812</v>
      </c>
      <c r="C289" s="32">
        <v>1112</v>
      </c>
      <c r="D289" s="33" t="s">
        <v>33</v>
      </c>
      <c r="E289" s="34" t="s">
        <v>22</v>
      </c>
      <c r="F289" s="34" t="s">
        <v>35</v>
      </c>
      <c r="G289" s="33" t="s">
        <v>167</v>
      </c>
      <c r="H289" s="35" t="s">
        <v>51</v>
      </c>
      <c r="I289" s="36" t="s">
        <v>813</v>
      </c>
      <c r="J289" s="34"/>
      <c r="K289" s="34" t="s">
        <v>29</v>
      </c>
      <c r="L289" s="37"/>
      <c r="M289" s="38"/>
      <c r="N289" s="39">
        <v>4.0</v>
      </c>
      <c r="O289" s="40"/>
      <c r="P289" s="39"/>
      <c r="Q289" s="39">
        <v>318.9</v>
      </c>
    </row>
    <row r="290" spans="1:17" ht="15.75" hidden="1" customHeight="1" x14ac:dyDescent="0.25">
      <c r="A290" s="30">
        <v>32988687</v>
      </c>
      <c r="B290" s="31" t="s">
        <v>814</v>
      </c>
      <c r="C290" s="32">
        <v>1113</v>
      </c>
      <c r="D290" s="33" t="s">
        <v>33</v>
      </c>
      <c r="E290" s="34" t="s">
        <v>22</v>
      </c>
      <c r="F290" s="34" t="s">
        <v>35</v>
      </c>
      <c r="G290" s="33" t="s">
        <v>50</v>
      </c>
      <c r="H290" s="35" t="s">
        <v>51</v>
      </c>
      <c r="I290" s="36"/>
      <c r="J290" s="34"/>
      <c r="K290" s="34" t="s">
        <v>29</v>
      </c>
      <c r="L290" s="37"/>
      <c r="M290" s="38"/>
      <c r="N290" s="39">
        <v>2.0</v>
      </c>
      <c r="O290" s="40"/>
      <c r="P290" s="39"/>
      <c r="Q290" s="39">
        <v>0.0</v>
      </c>
    </row>
    <row r="291" spans="1:17" ht="30" hidden="1" customHeight="1" x14ac:dyDescent="0.25">
      <c r="A291" s="30">
        <v>32988706</v>
      </c>
      <c r="B291" s="31" t="s">
        <v>815</v>
      </c>
      <c r="C291" s="32">
        <v>1114</v>
      </c>
      <c r="D291" s="33" t="s">
        <v>33</v>
      </c>
      <c r="E291" s="34" t="s">
        <v>34</v>
      </c>
      <c r="F291" s="34" t="s">
        <v>35</v>
      </c>
      <c r="G291" s="33" t="s">
        <v>50</v>
      </c>
      <c r="H291" s="35" t="s">
        <v>51</v>
      </c>
      <c r="I291" s="36"/>
      <c r="J291" s="34"/>
      <c r="K291" s="34" t="s">
        <v>25</v>
      </c>
      <c r="L291" s="37">
        <v>46259</v>
      </c>
      <c r="M291" s="38">
        <v>46258</v>
      </c>
      <c r="N291" s="39">
        <v>1.0</v>
      </c>
      <c r="O291" s="40"/>
      <c r="P291" s="39">
        <v>2.0</v>
      </c>
      <c r="Q291" s="39">
        <v>1.0</v>
      </c>
    </row>
    <row r="292" spans="1:17" ht="15.75" hidden="1" customHeight="1" x14ac:dyDescent="0.25">
      <c r="A292" s="30">
        <v>32988779</v>
      </c>
      <c r="B292" s="31" t="s">
        <v>816</v>
      </c>
      <c r="C292" s="32">
        <v>1115</v>
      </c>
      <c r="D292" s="33" t="s">
        <v>33</v>
      </c>
      <c r="E292" s="34" t="s">
        <v>34</v>
      </c>
      <c r="F292" s="34" t="s">
        <v>35</v>
      </c>
      <c r="G292" s="33" t="s">
        <v>50</v>
      </c>
      <c r="H292" s="35" t="s">
        <v>51</v>
      </c>
      <c r="I292" s="36"/>
      <c r="J292" s="34"/>
      <c r="K292" s="34" t="s">
        <v>25</v>
      </c>
      <c r="L292" s="37">
        <v>46259</v>
      </c>
      <c r="M292" s="38">
        <v>46257</v>
      </c>
      <c r="N292" s="39">
        <v>1.5</v>
      </c>
      <c r="O292" s="40"/>
      <c r="P292" s="39">
        <v>7.0</v>
      </c>
      <c r="Q292" s="39">
        <v>10.02</v>
      </c>
    </row>
    <row r="293" spans="1:17" ht="15.75" customHeight="1" x14ac:dyDescent="0.25">
      <c r="A293" s="30">
        <v>32988786</v>
      </c>
      <c r="B293" s="31" t="s">
        <v>818</v>
      </c>
      <c r="C293" s="32">
        <v>1116</v>
      </c>
      <c r="D293" s="33" t="s">
        <v>33</v>
      </c>
      <c r="E293" s="34" t="s">
        <v>22</v>
      </c>
      <c r="F293" s="34" t="s">
        <v>35</v>
      </c>
      <c r="G293" s="33" t="s">
        <v>167</v>
      </c>
      <c r="H293" s="35"/>
      <c r="I293" s="36" t="s">
        <v>813</v>
      </c>
      <c r="J293" s="34"/>
      <c r="K293" s="34" t="s">
        <v>25</v>
      </c>
      <c r="L293" s="37"/>
      <c r="M293" s="38"/>
      <c r="N293" s="39">
        <v>1.0</v>
      </c>
      <c r="O293" s="40"/>
      <c r="P293" s="39"/>
      <c r="Q293" s="39">
        <v>0.0</v>
      </c>
    </row>
    <row r="294" spans="1:17" ht="30" hidden="1" customHeight="1" x14ac:dyDescent="0.25">
      <c r="A294" s="30">
        <v>32988794</v>
      </c>
      <c r="B294" s="31" t="s">
        <v>819</v>
      </c>
      <c r="C294" s="32">
        <v>1117</v>
      </c>
      <c r="D294" s="33" t="s">
        <v>33</v>
      </c>
      <c r="E294" s="34" t="s">
        <v>34</v>
      </c>
      <c r="F294" s="34" t="s">
        <v>35</v>
      </c>
      <c r="G294" s="33" t="s">
        <v>50</v>
      </c>
      <c r="H294" s="35" t="s">
        <v>51</v>
      </c>
      <c r="I294" s="36"/>
      <c r="J294" s="34"/>
      <c r="K294" s="34" t="s">
        <v>29</v>
      </c>
      <c r="L294" s="37">
        <v>46244</v>
      </c>
      <c r="M294" s="38">
        <v>46244</v>
      </c>
      <c r="N294" s="39">
        <v>2.0</v>
      </c>
      <c r="O294" s="40"/>
      <c r="P294" s="39">
        <v>3.0</v>
      </c>
      <c r="Q294" s="39">
        <v>416.0</v>
      </c>
    </row>
    <row r="295" spans="1:17" ht="31.5" hidden="1" customHeight="1" x14ac:dyDescent="0.25">
      <c r="A295" s="30">
        <v>32988850</v>
      </c>
      <c r="B295" s="31" t="s">
        <v>820</v>
      </c>
      <c r="C295" s="32">
        <v>1121</v>
      </c>
      <c r="D295" s="33" t="s">
        <v>67</v>
      </c>
      <c r="E295" s="34" t="s">
        <v>34</v>
      </c>
      <c r="F295" s="34" t="s">
        <v>35</v>
      </c>
      <c r="G295" s="33" t="s">
        <v>50</v>
      </c>
      <c r="H295" s="35" t="s">
        <v>51</v>
      </c>
      <c r="I295" s="36" t="s">
        <v>36</v>
      </c>
      <c r="J295" s="34"/>
      <c r="K295" s="34" t="s">
        <v>25</v>
      </c>
      <c r="L295" s="37">
        <v>46259</v>
      </c>
      <c r="M295" s="38">
        <v>46257</v>
      </c>
      <c r="N295" s="40">
        <v>0.0</v>
      </c>
      <c r="O295" s="40"/>
      <c r="P295" s="39">
        <v>3.0</v>
      </c>
      <c r="Q295" s="39">
        <v>1.5</v>
      </c>
    </row>
    <row r="296" spans="1:17" ht="30" hidden="1" customHeight="1" x14ac:dyDescent="0.25">
      <c r="A296" s="30">
        <v>32989457</v>
      </c>
      <c r="B296" s="31" t="s">
        <v>821</v>
      </c>
      <c r="C296" s="32">
        <v>1126</v>
      </c>
      <c r="D296" s="33" t="s">
        <v>49</v>
      </c>
      <c r="E296" s="34" t="s">
        <v>34</v>
      </c>
      <c r="F296" s="34" t="s">
        <v>141</v>
      </c>
      <c r="G296" s="33" t="s">
        <v>50</v>
      </c>
      <c r="H296" s="35"/>
      <c r="I296" s="36"/>
      <c r="J296" s="34"/>
      <c r="K296" s="34" t="s">
        <v>25</v>
      </c>
      <c r="L296" s="37">
        <v>46259</v>
      </c>
      <c r="M296" s="38">
        <v>46257</v>
      </c>
      <c r="N296" s="40">
        <v>0.0</v>
      </c>
      <c r="O296" s="40"/>
      <c r="P296" s="39">
        <v>7.17</v>
      </c>
      <c r="Q296" s="39">
        <v>625.3</v>
      </c>
    </row>
    <row r="297" spans="1:17" ht="30" hidden="1" customHeight="1" x14ac:dyDescent="0.25">
      <c r="A297" s="30">
        <v>32989455</v>
      </c>
      <c r="B297" s="31" t="s">
        <v>822</v>
      </c>
      <c r="C297" s="32">
        <v>1127</v>
      </c>
      <c r="D297" s="33" t="s">
        <v>67</v>
      </c>
      <c r="E297" s="34" t="s">
        <v>34</v>
      </c>
      <c r="F297" s="34" t="s">
        <v>35</v>
      </c>
      <c r="G297" s="33" t="s">
        <v>50</v>
      </c>
      <c r="H297" s="35" t="s">
        <v>51</v>
      </c>
      <c r="I297" s="36" t="s">
        <v>36</v>
      </c>
      <c r="J297" s="34"/>
      <c r="K297" s="34" t="s">
        <v>29</v>
      </c>
      <c r="L297" s="37">
        <v>46259</v>
      </c>
      <c r="M297" s="38">
        <v>46257</v>
      </c>
      <c r="N297" s="40">
        <v>0.0</v>
      </c>
      <c r="O297" s="40"/>
      <c r="P297" s="39">
        <v>2.0</v>
      </c>
      <c r="Q297" s="39">
        <v>1.0</v>
      </c>
    </row>
    <row r="298" spans="1:17" ht="30" hidden="1" customHeight="1" x14ac:dyDescent="0.25">
      <c r="A298" s="30">
        <v>32989472</v>
      </c>
      <c r="B298" s="31" t="s">
        <v>823</v>
      </c>
      <c r="C298" s="32">
        <v>1128</v>
      </c>
      <c r="D298" s="33" t="s">
        <v>33</v>
      </c>
      <c r="E298" s="34" t="s">
        <v>34</v>
      </c>
      <c r="F298" s="34" t="s">
        <v>35</v>
      </c>
      <c r="G298" s="33" t="s">
        <v>50</v>
      </c>
      <c r="H298" s="35"/>
      <c r="I298" s="36"/>
      <c r="J298" s="34"/>
      <c r="K298" s="34" t="s">
        <v>25</v>
      </c>
      <c r="L298" s="37">
        <v>46259</v>
      </c>
      <c r="M298" s="38">
        <v>46257</v>
      </c>
      <c r="N298" s="40">
        <v>0.0</v>
      </c>
      <c r="O298" s="40"/>
      <c r="P298" s="39">
        <v>2.0</v>
      </c>
      <c r="Q298" s="39">
        <v>2.0</v>
      </c>
    </row>
    <row r="299" spans="1:17" ht="30" hidden="1" customHeight="1" x14ac:dyDescent="0.25">
      <c r="A299" s="30">
        <v>32989475</v>
      </c>
      <c r="B299" s="31" t="s">
        <v>824</v>
      </c>
      <c r="C299" s="32">
        <v>1129</v>
      </c>
      <c r="D299" s="33" t="s">
        <v>185</v>
      </c>
      <c r="E299" s="34" t="s">
        <v>22</v>
      </c>
      <c r="F299" s="34" t="s">
        <v>141</v>
      </c>
      <c r="G299" s="33" t="s">
        <v>50</v>
      </c>
      <c r="H299" s="35"/>
      <c r="I299" s="36"/>
      <c r="J299" s="34"/>
      <c r="K299" s="34" t="s">
        <v>29</v>
      </c>
      <c r="L299" s="37"/>
      <c r="M299" s="38"/>
      <c r="N299" s="39">
        <v>8.0</v>
      </c>
      <c r="O299" s="40"/>
      <c r="P299" s="39">
        <v>4</v>
      </c>
      <c r="Q299" s="39">
        <v>842.2</v>
      </c>
    </row>
    <row r="300" spans="1:17" ht="30" hidden="1" customHeight="1" x14ac:dyDescent="0.25">
      <c r="A300" s="30">
        <v>32989476</v>
      </c>
      <c r="B300" s="31" t="s">
        <v>825</v>
      </c>
      <c r="C300" s="32">
        <v>1130</v>
      </c>
      <c r="D300" s="33" t="s">
        <v>33</v>
      </c>
      <c r="E300" s="34" t="s">
        <v>34</v>
      </c>
      <c r="F300" s="34" t="s">
        <v>35</v>
      </c>
      <c r="G300" s="33" t="s">
        <v>50</v>
      </c>
      <c r="H300" s="35"/>
      <c r="I300" s="36"/>
      <c r="J300" s="34"/>
      <c r="K300" s="34" t="s">
        <v>25</v>
      </c>
      <c r="L300" s="37">
        <v>46252</v>
      </c>
      <c r="M300" s="38">
        <v>46240</v>
      </c>
      <c r="N300" s="40">
        <v>0.0</v>
      </c>
      <c r="O300" s="40"/>
      <c r="P300" s="39">
        <v>4.0</v>
      </c>
      <c r="Q300" s="39">
        <v>2.0</v>
      </c>
    </row>
    <row r="301" spans="1:17" ht="30" hidden="1" customHeight="1" x14ac:dyDescent="0.25">
      <c r="A301" s="30">
        <v>32989482</v>
      </c>
      <c r="B301" s="31" t="s">
        <v>826</v>
      </c>
      <c r="C301" s="32">
        <v>1131</v>
      </c>
      <c r="D301" s="33" t="s">
        <v>67</v>
      </c>
      <c r="E301" s="34" t="s">
        <v>34</v>
      </c>
      <c r="F301" s="34" t="s">
        <v>35</v>
      </c>
      <c r="G301" s="33" t="s">
        <v>50</v>
      </c>
      <c r="H301" s="35" t="s">
        <v>51</v>
      </c>
      <c r="I301" s="36"/>
      <c r="J301" s="34"/>
      <c r="K301" s="34" t="s">
        <v>25</v>
      </c>
      <c r="L301" s="37">
        <v>46259</v>
      </c>
      <c r="M301" s="38">
        <v>46258</v>
      </c>
      <c r="N301" s="40">
        <v>0.0</v>
      </c>
      <c r="O301" s="40"/>
      <c r="P301" s="39">
        <v>4.0</v>
      </c>
      <c r="Q301" s="39">
        <v>2.0</v>
      </c>
    </row>
    <row r="302" spans="1:17" ht="30" hidden="1" customHeight="1" x14ac:dyDescent="0.25">
      <c r="A302" s="30">
        <v>32989491</v>
      </c>
      <c r="B302" s="31" t="s">
        <v>827</v>
      </c>
      <c r="C302" s="32">
        <v>1132</v>
      </c>
      <c r="D302" s="33" t="s">
        <v>67</v>
      </c>
      <c r="E302" s="34" t="s">
        <v>34</v>
      </c>
      <c r="F302" s="34" t="s">
        <v>35</v>
      </c>
      <c r="G302" s="33" t="s">
        <v>50</v>
      </c>
      <c r="H302" s="35"/>
      <c r="I302" s="36"/>
      <c r="J302" s="34"/>
      <c r="K302" s="34" t="s">
        <v>25</v>
      </c>
      <c r="L302" s="37">
        <v>46259</v>
      </c>
      <c r="M302" s="38">
        <v>46258</v>
      </c>
      <c r="N302" s="40">
        <v>0.0</v>
      </c>
      <c r="O302" s="40"/>
      <c r="P302" s="39">
        <v>2.0</v>
      </c>
      <c r="Q302" s="39">
        <v>1.0</v>
      </c>
    </row>
    <row r="303" spans="1:17" ht="30" customHeight="1" x14ac:dyDescent="0.25">
      <c r="A303" s="30">
        <v>32989492</v>
      </c>
      <c r="B303" s="31" t="s">
        <v>828</v>
      </c>
      <c r="C303" s="32">
        <v>1133</v>
      </c>
      <c r="D303" s="33" t="s">
        <v>67</v>
      </c>
      <c r="E303" s="34" t="s">
        <v>34</v>
      </c>
      <c r="F303" s="34" t="s">
        <v>35</v>
      </c>
      <c r="G303" s="33" t="s">
        <v>50</v>
      </c>
      <c r="H303" s="35" t="s">
        <v>51</v>
      </c>
      <c r="I303" s="36"/>
      <c r="J303" s="34"/>
      <c r="K303" s="34" t="s">
        <v>25</v>
      </c>
      <c r="L303" s="37">
        <v>46260</v>
      </c>
      <c r="N303">
        <v>0.0</v>
      </c>
      <c r="O303" s="40"/>
      <c r="P303" s="39">
        <v>10.0</v>
      </c>
      <c r="Q303">
        <v>125.0</v>
      </c>
    </row>
    <row r="304" spans="1:17" ht="30" hidden="1" customHeight="1" x14ac:dyDescent="0.25">
      <c r="A304" s="30">
        <v>32989497</v>
      </c>
      <c r="B304" s="31" t="s">
        <v>829</v>
      </c>
      <c r="C304" s="32">
        <v>1134</v>
      </c>
      <c r="D304" s="33" t="s">
        <v>67</v>
      </c>
      <c r="E304" s="34" t="s">
        <v>34</v>
      </c>
      <c r="F304" s="34" t="s">
        <v>35</v>
      </c>
      <c r="G304" s="33" t="s">
        <v>50</v>
      </c>
      <c r="H304" s="35" t="s">
        <v>51</v>
      </c>
      <c r="I304" s="36"/>
      <c r="J304" s="34"/>
      <c r="K304" s="34" t="s">
        <v>25</v>
      </c>
      <c r="L304" s="37">
        <v>46244</v>
      </c>
      <c r="M304" s="38">
        <v>46244</v>
      </c>
      <c r="N304" s="40">
        <v>0.0</v>
      </c>
      <c r="O304" s="40"/>
      <c r="P304" s="39">
        <v>2.0</v>
      </c>
      <c r="Q304" s="39">
        <v>2.0</v>
      </c>
    </row>
    <row r="305" spans="1:17" ht="30" hidden="1" customHeight="1" x14ac:dyDescent="0.25">
      <c r="A305" s="30">
        <v>32989575</v>
      </c>
      <c r="B305" s="31" t="s">
        <v>830</v>
      </c>
      <c r="C305" s="32">
        <v>1138</v>
      </c>
      <c r="D305" s="33" t="s">
        <v>96</v>
      </c>
      <c r="E305" s="34" t="s">
        <v>34</v>
      </c>
      <c r="F305" s="34" t="s">
        <v>35</v>
      </c>
      <c r="G305" s="33" t="s">
        <v>167</v>
      </c>
      <c r="H305" s="35"/>
      <c r="I305" s="36"/>
      <c r="J305" s="34"/>
      <c r="K305" s="34" t="s">
        <v>29</v>
      </c>
      <c r="L305" s="37">
        <v>46231</v>
      </c>
      <c r="M305" s="38">
        <v>46231</v>
      </c>
      <c r="N305" s="39">
        <v>4.0</v>
      </c>
      <c r="O305" s="40"/>
      <c r="P305" s="39">
        <v>4.0</v>
      </c>
      <c r="Q305" s="39">
        <v>2.0</v>
      </c>
    </row>
    <row r="306" spans="1:17" ht="15.75" hidden="1" customHeight="1" x14ac:dyDescent="0.25">
      <c r="A306" s="30">
        <v>32989728</v>
      </c>
      <c r="B306" s="31" t="s">
        <v>831</v>
      </c>
      <c r="C306" s="32">
        <v>1141</v>
      </c>
      <c r="D306" s="33" t="s">
        <v>72</v>
      </c>
      <c r="E306" s="34" t="s">
        <v>34</v>
      </c>
      <c r="F306" s="34" t="s">
        <v>35</v>
      </c>
      <c r="G306" s="33" t="s">
        <v>50</v>
      </c>
      <c r="H306" s="35" t="s">
        <v>51</v>
      </c>
      <c r="I306" s="36"/>
      <c r="J306" s="34"/>
      <c r="K306" s="34" t="s">
        <v>29</v>
      </c>
      <c r="L306" s="37">
        <v>46259</v>
      </c>
      <c r="M306" s="38">
        <v>46258</v>
      </c>
      <c r="N306" s="40">
        <v>0.0</v>
      </c>
      <c r="O306" s="40"/>
      <c r="P306" s="39">
        <v>1.0</v>
      </c>
      <c r="Q306" s="39">
        <v>1.0</v>
      </c>
    </row>
    <row r="307" spans="1:17" ht="30" hidden="1" customHeight="1" x14ac:dyDescent="0.25">
      <c r="A307" s="30">
        <v>32989743</v>
      </c>
      <c r="B307" s="31" t="s">
        <v>832</v>
      </c>
      <c r="C307" s="32">
        <v>1142</v>
      </c>
      <c r="D307" s="33" t="s">
        <v>72</v>
      </c>
      <c r="E307" s="34" t="s">
        <v>34</v>
      </c>
      <c r="F307" s="34" t="s">
        <v>35</v>
      </c>
      <c r="G307" s="33" t="s">
        <v>50</v>
      </c>
      <c r="H307" s="35" t="s">
        <v>51</v>
      </c>
      <c r="I307" s="36"/>
      <c r="J307" s="34"/>
      <c r="K307" s="34" t="s">
        <v>29</v>
      </c>
      <c r="L307" s="37">
        <v>46256</v>
      </c>
      <c r="M307" s="38">
        <v>46254</v>
      </c>
      <c r="N307" s="40">
        <v>0.0</v>
      </c>
      <c r="O307" s="40"/>
      <c r="P307" s="39">
        <v>1.0</v>
      </c>
      <c r="Q307" s="39">
        <v>1.0</v>
      </c>
    </row>
    <row r="308" spans="1:17" ht="30" hidden="1" customHeight="1" x14ac:dyDescent="0.25">
      <c r="A308" s="30">
        <v>32989796</v>
      </c>
      <c r="B308" s="31" t="s">
        <v>833</v>
      </c>
      <c r="C308" s="32">
        <v>1143</v>
      </c>
      <c r="D308" s="33" t="s">
        <v>72</v>
      </c>
      <c r="E308" s="34" t="s">
        <v>34</v>
      </c>
      <c r="F308" s="34" t="s">
        <v>35</v>
      </c>
      <c r="G308" s="33" t="s">
        <v>50</v>
      </c>
      <c r="H308" s="35"/>
      <c r="I308" s="36"/>
      <c r="J308" s="34"/>
      <c r="K308" s="34" t="s">
        <v>24</v>
      </c>
      <c r="L308" s="37">
        <v>46252</v>
      </c>
      <c r="M308" s="38">
        <v>46240</v>
      </c>
      <c r="N308" s="40">
        <v>0.0</v>
      </c>
      <c r="O308" s="40"/>
      <c r="P308" s="39">
        <v>2.0</v>
      </c>
      <c r="Q308" s="39">
        <v>2.0</v>
      </c>
    </row>
    <row r="309" spans="1:17" ht="30" customHeight="1" x14ac:dyDescent="0.25">
      <c r="A309" s="30">
        <v>32989797</v>
      </c>
      <c r="B309" s="31" t="s">
        <v>834</v>
      </c>
      <c r="C309" s="32">
        <v>1144</v>
      </c>
      <c r="D309" s="33" t="s">
        <v>33</v>
      </c>
      <c r="E309" s="34" t="s">
        <v>22</v>
      </c>
      <c r="F309" s="34" t="s">
        <v>35</v>
      </c>
      <c r="G309" s="33" t="s">
        <v>747</v>
      </c>
      <c r="H309" s="35" t="s">
        <v>51</v>
      </c>
      <c r="I309" s="36"/>
      <c r="J309" s="34"/>
      <c r="K309" s="34" t="s">
        <v>25</v>
      </c>
      <c r="L309" s="37"/>
      <c r="M309" s="38"/>
      <c r="N309" s="40">
        <v>4.0</v>
      </c>
      <c r="O309" s="40"/>
      <c r="P309" s="39">
        <v>4.3</v>
      </c>
      <c r="Q309" s="39">
        <v>0.0</v>
      </c>
    </row>
    <row r="310" spans="1:17" ht="15.75" hidden="1" customHeight="1" x14ac:dyDescent="0.25">
      <c r="A310" s="30">
        <v>32989800</v>
      </c>
      <c r="B310" s="31" t="s">
        <v>835</v>
      </c>
      <c r="C310" s="32">
        <v>1145</v>
      </c>
      <c r="D310" s="33" t="s">
        <v>72</v>
      </c>
      <c r="E310" s="34" t="s">
        <v>34</v>
      </c>
      <c r="F310" s="34" t="s">
        <v>35</v>
      </c>
      <c r="G310" s="33" t="s">
        <v>50</v>
      </c>
      <c r="H310" s="35" t="s">
        <v>51</v>
      </c>
      <c r="I310" s="36"/>
      <c r="J310" s="34"/>
      <c r="K310" s="34" t="s">
        <v>29</v>
      </c>
      <c r="L310" s="37">
        <v>46256</v>
      </c>
      <c r="M310" s="38">
        <v>46254</v>
      </c>
      <c r="N310" s="40">
        <v>0.0</v>
      </c>
      <c r="O310" s="40"/>
      <c r="P310" s="39">
        <v>1.0</v>
      </c>
      <c r="Q310" s="39">
        <v>1.0</v>
      </c>
    </row>
    <row r="311" spans="1:17" ht="30" hidden="1" customHeight="1" x14ac:dyDescent="0.25">
      <c r="A311" s="30">
        <v>32989825</v>
      </c>
      <c r="B311" s="31" t="s">
        <v>836</v>
      </c>
      <c r="C311" s="32">
        <v>1146</v>
      </c>
      <c r="D311" s="33" t="s">
        <v>33</v>
      </c>
      <c r="E311" s="34" t="s">
        <v>34</v>
      </c>
      <c r="F311" s="34" t="s">
        <v>35</v>
      </c>
      <c r="G311" s="33" t="s">
        <v>50</v>
      </c>
      <c r="H311" s="35"/>
      <c r="I311" s="36"/>
      <c r="J311" s="34"/>
      <c r="K311" s="34" t="s">
        <v>25</v>
      </c>
      <c r="L311" s="37">
        <v>46259</v>
      </c>
      <c r="M311" s="38">
        <v>46258</v>
      </c>
      <c r="N311" s="40">
        <v>0.0</v>
      </c>
      <c r="O311" s="40"/>
      <c r="P311" s="39">
        <v>2.5</v>
      </c>
      <c r="Q311" s="39">
        <v>2.5</v>
      </c>
    </row>
    <row r="312" spans="1:17" ht="30" hidden="1" customHeight="1" x14ac:dyDescent="0.25">
      <c r="A312" s="30">
        <v>32989853</v>
      </c>
      <c r="B312" s="31" t="s">
        <v>837</v>
      </c>
      <c r="C312" s="32">
        <v>1147</v>
      </c>
      <c r="D312" s="33" t="s">
        <v>67</v>
      </c>
      <c r="E312" s="34" t="s">
        <v>34</v>
      </c>
      <c r="F312" s="34" t="s">
        <v>35</v>
      </c>
      <c r="G312" s="33" t="s">
        <v>50</v>
      </c>
      <c r="H312" s="35"/>
      <c r="I312" s="36" t="s">
        <v>36</v>
      </c>
      <c r="J312" s="34"/>
      <c r="K312" s="34" t="s">
        <v>25</v>
      </c>
      <c r="L312" s="37">
        <v>46259</v>
      </c>
      <c r="M312" s="38">
        <v>46257</v>
      </c>
      <c r="N312" s="39">
        <v>1.0</v>
      </c>
      <c r="O312" s="40"/>
      <c r="P312" s="39">
        <v>2.2</v>
      </c>
      <c r="Q312" s="39">
        <v>470.9</v>
      </c>
    </row>
    <row r="313" spans="1:17" ht="15.75" hidden="1" customHeight="1" x14ac:dyDescent="0.25">
      <c r="A313" s="30">
        <v>32989854</v>
      </c>
      <c r="B313" s="31" t="s">
        <v>838</v>
      </c>
      <c r="C313" s="32">
        <v>1148</v>
      </c>
      <c r="D313" s="33" t="s">
        <v>67</v>
      </c>
      <c r="E313" s="34" t="s">
        <v>34</v>
      </c>
      <c r="F313" s="34" t="s">
        <v>35</v>
      </c>
      <c r="G313" s="33" t="s">
        <v>50</v>
      </c>
      <c r="H313" s="35"/>
      <c r="I313" s="36"/>
      <c r="J313" s="34"/>
      <c r="K313" s="34" t="s">
        <v>25</v>
      </c>
      <c r="L313" s="37">
        <v>46238</v>
      </c>
      <c r="M313" s="38">
        <v>46238</v>
      </c>
      <c r="N313" s="40">
        <v>0.0</v>
      </c>
      <c r="O313" s="40"/>
      <c r="P313" s="39">
        <v>13.0</v>
      </c>
      <c r="Q313" s="39">
        <v>6.5</v>
      </c>
    </row>
    <row r="314" spans="1:17" ht="30" hidden="1" customHeight="1" x14ac:dyDescent="0.25">
      <c r="A314" s="30">
        <v>32989860</v>
      </c>
      <c r="B314" s="31" t="s">
        <v>839</v>
      </c>
      <c r="C314" s="32">
        <v>1149</v>
      </c>
      <c r="D314" s="33" t="s">
        <v>72</v>
      </c>
      <c r="E314" s="34" t="s">
        <v>34</v>
      </c>
      <c r="F314" s="34" t="s">
        <v>35</v>
      </c>
      <c r="G314" s="33" t="s">
        <v>50</v>
      </c>
      <c r="H314" s="35" t="s">
        <v>51</v>
      </c>
      <c r="I314" s="36"/>
      <c r="J314" s="34"/>
      <c r="K314" s="34" t="s">
        <v>25</v>
      </c>
      <c r="L314" s="37">
        <v>46259</v>
      </c>
      <c r="M314" s="38">
        <v>46258</v>
      </c>
      <c r="N314" s="40">
        <v>0.0</v>
      </c>
      <c r="O314" s="40"/>
      <c r="P314" s="39">
        <v>2.5</v>
      </c>
      <c r="Q314" s="39">
        <v>2.5</v>
      </c>
    </row>
    <row r="315" spans="1:17" ht="15.75" hidden="1" customHeight="1" x14ac:dyDescent="0.25">
      <c r="A315" s="30">
        <v>32989874</v>
      </c>
      <c r="B315" s="31" t="s">
        <v>840</v>
      </c>
      <c r="C315" s="32">
        <v>1150</v>
      </c>
      <c r="D315" s="33" t="s">
        <v>72</v>
      </c>
      <c r="E315" s="34" t="s">
        <v>34</v>
      </c>
      <c r="F315" s="34" t="s">
        <v>35</v>
      </c>
      <c r="G315" s="33" t="s">
        <v>50</v>
      </c>
      <c r="H315" s="35" t="s">
        <v>51</v>
      </c>
      <c r="I315" s="36"/>
      <c r="J315" s="34"/>
      <c r="K315" s="34" t="s">
        <v>29</v>
      </c>
      <c r="L315" s="37">
        <v>46256</v>
      </c>
      <c r="M315" s="38">
        <v>46254</v>
      </c>
      <c r="N315" s="40">
        <v>0.0</v>
      </c>
      <c r="O315" s="40"/>
      <c r="P315" s="39">
        <v>1.0</v>
      </c>
      <c r="Q315" s="39">
        <v>1.0</v>
      </c>
    </row>
    <row r="316" spans="1:17" ht="30" hidden="1" customHeight="1" x14ac:dyDescent="0.25">
      <c r="A316" s="30">
        <v>32989888</v>
      </c>
      <c r="B316" s="31" t="s">
        <v>841</v>
      </c>
      <c r="C316" s="32">
        <v>1151</v>
      </c>
      <c r="D316" s="33" t="s">
        <v>96</v>
      </c>
      <c r="E316" s="34" t="s">
        <v>34</v>
      </c>
      <c r="F316" s="34" t="s">
        <v>35</v>
      </c>
      <c r="G316" s="33" t="s">
        <v>167</v>
      </c>
      <c r="H316" s="35"/>
      <c r="I316" s="36"/>
      <c r="J316" s="34"/>
      <c r="K316" s="34" t="s">
        <v>29</v>
      </c>
      <c r="L316" s="37">
        <v>46231</v>
      </c>
      <c r="M316" s="38">
        <v>46231</v>
      </c>
      <c r="N316" s="39">
        <v>4.0</v>
      </c>
      <c r="O316" s="40"/>
      <c r="P316" s="39">
        <v>4.0</v>
      </c>
      <c r="Q316" s="39">
        <v>2.0</v>
      </c>
    </row>
    <row r="317" spans="1:17" ht="30" hidden="1" customHeight="1" x14ac:dyDescent="0.25">
      <c r="A317" s="30">
        <v>32989938</v>
      </c>
      <c r="B317" s="31" t="s">
        <v>842</v>
      </c>
      <c r="C317" s="32">
        <v>1152</v>
      </c>
      <c r="D317" s="33" t="s">
        <v>72</v>
      </c>
      <c r="E317" s="34" t="s">
        <v>34</v>
      </c>
      <c r="F317" s="34" t="s">
        <v>35</v>
      </c>
      <c r="G317" s="33" t="s">
        <v>167</v>
      </c>
      <c r="H317" s="35"/>
      <c r="I317" s="36"/>
      <c r="J317" s="34"/>
      <c r="K317" s="34" t="s">
        <v>29</v>
      </c>
      <c r="L317" s="37">
        <v>46226</v>
      </c>
      <c r="M317" s="38">
        <v>46226</v>
      </c>
      <c r="N317" s="40">
        <v>0.0</v>
      </c>
      <c r="O317" s="40"/>
      <c r="P317" s="39">
        <v>2.0</v>
      </c>
      <c r="Q317" s="39">
        <v>2.0</v>
      </c>
    </row>
    <row r="318" spans="1:17" ht="15.75" hidden="1" customHeight="1" x14ac:dyDescent="0.25">
      <c r="A318" s="30">
        <v>32989943</v>
      </c>
      <c r="B318" s="31" t="s">
        <v>843</v>
      </c>
      <c r="C318" s="32">
        <v>1154</v>
      </c>
      <c r="D318" s="33" t="s">
        <v>72</v>
      </c>
      <c r="E318" s="34" t="s">
        <v>34</v>
      </c>
      <c r="F318" s="34" t="s">
        <v>35</v>
      </c>
      <c r="G318" s="33" t="s">
        <v>50</v>
      </c>
      <c r="H318" s="35" t="s">
        <v>51</v>
      </c>
      <c r="I318" s="36"/>
      <c r="J318" s="34"/>
      <c r="K318" s="34" t="s">
        <v>29</v>
      </c>
      <c r="L318" s="37">
        <v>46259</v>
      </c>
      <c r="M318" s="38">
        <v>46257</v>
      </c>
      <c r="N318" s="40">
        <v>0.0</v>
      </c>
      <c r="O318" s="40"/>
      <c r="P318" s="39">
        <v>1.0</v>
      </c>
      <c r="Q318" s="39">
        <v>1.0</v>
      </c>
    </row>
    <row r="319" spans="1:17" ht="15.75" hidden="1" customHeight="1" x14ac:dyDescent="0.25">
      <c r="A319" s="30">
        <v>32989952</v>
      </c>
      <c r="B319" s="31" t="s">
        <v>844</v>
      </c>
      <c r="C319" s="32">
        <v>1156</v>
      </c>
      <c r="D319" s="33" t="s">
        <v>72</v>
      </c>
      <c r="E319" s="34" t="s">
        <v>34</v>
      </c>
      <c r="F319" s="34" t="s">
        <v>35</v>
      </c>
      <c r="G319" s="33" t="s">
        <v>50</v>
      </c>
      <c r="H319" s="35" t="s">
        <v>51</v>
      </c>
      <c r="I319" s="36"/>
      <c r="J319" s="34"/>
      <c r="K319" s="34" t="s">
        <v>29</v>
      </c>
      <c r="L319" s="37">
        <v>46260</v>
      </c>
      <c r="N319">
        <v>0.0</v>
      </c>
      <c r="O319" s="40"/>
      <c r="P319" s="39">
        <v>5.0</v>
      </c>
      <c r="Q319">
        <v>2.5</v>
      </c>
    </row>
    <row r="320" spans="1:17" ht="30" hidden="1" customHeight="1" x14ac:dyDescent="0.25">
      <c r="A320" s="30">
        <v>32989995</v>
      </c>
      <c r="B320" s="31" t="s">
        <v>845</v>
      </c>
      <c r="C320" s="32">
        <v>1171</v>
      </c>
      <c r="D320" s="33" t="s">
        <v>185</v>
      </c>
      <c r="E320" s="34" t="s">
        <v>22</v>
      </c>
      <c r="F320" s="34" t="s">
        <v>141</v>
      </c>
      <c r="G320" s="33" t="s">
        <v>50</v>
      </c>
      <c r="H320" s="35" t="s">
        <v>51</v>
      </c>
      <c r="I320" s="36"/>
      <c r="J320" s="34"/>
      <c r="K320" s="34" t="s">
        <v>29</v>
      </c>
      <c r="L320" s="37"/>
      <c r="M320" s="38"/>
      <c r="N320" s="40">
        <v>0.0</v>
      </c>
      <c r="O320" s="40"/>
      <c r="P320" s="39">
        <v>35.5</v>
      </c>
      <c r="Q320" s="39">
        <v>846.2</v>
      </c>
    </row>
    <row r="321" spans="1:17" ht="30" hidden="1" customHeight="1" x14ac:dyDescent="0.25">
      <c r="A321" s="30">
        <v>32990006</v>
      </c>
      <c r="B321" s="31" t="s">
        <v>846</v>
      </c>
      <c r="C321" s="32">
        <v>1173</v>
      </c>
      <c r="D321" s="33" t="s">
        <v>185</v>
      </c>
      <c r="E321" s="34" t="s">
        <v>34</v>
      </c>
      <c r="F321" s="34" t="s">
        <v>35</v>
      </c>
      <c r="G321" s="33" t="s">
        <v>186</v>
      </c>
      <c r="H321" s="35"/>
      <c r="I321" s="36"/>
      <c r="J321" s="34"/>
      <c r="K321" s="34" t="s">
        <v>37</v>
      </c>
      <c r="L321" s="37">
        <v>46225</v>
      </c>
      <c r="M321" s="38">
        <v>46225</v>
      </c>
      <c r="N321" s="39">
        <v>1.5</v>
      </c>
      <c r="O321" s="40"/>
      <c r="P321" s="39">
        <v>1.5</v>
      </c>
      <c r="Q321" s="39">
        <v>1.68</v>
      </c>
    </row>
    <row r="322" spans="1:17" ht="15.75" hidden="1" customHeight="1" x14ac:dyDescent="0.25">
      <c r="A322" s="30">
        <v>32990008</v>
      </c>
      <c r="B322" s="31" t="s">
        <v>847</v>
      </c>
      <c r="C322" s="32">
        <v>1174</v>
      </c>
      <c r="D322" s="33" t="s">
        <v>61</v>
      </c>
      <c r="E322" s="34" t="s">
        <v>22</v>
      </c>
      <c r="F322" s="34" t="s">
        <v>141</v>
      </c>
      <c r="G322" s="33" t="s">
        <v>50</v>
      </c>
      <c r="H322" s="35" t="s">
        <v>51</v>
      </c>
      <c r="I322" s="36"/>
      <c r="J322" s="34"/>
      <c r="K322" s="34" t="s">
        <v>29</v>
      </c>
      <c r="L322" s="37"/>
      <c r="M322" s="38"/>
      <c r="N322" s="40">
        <v>0.0</v>
      </c>
      <c r="O322" s="40"/>
      <c r="P322" s="39"/>
      <c r="Q322" s="39">
        <v>141.9</v>
      </c>
    </row>
    <row r="323" spans="1:17" ht="30" hidden="1" customHeight="1" x14ac:dyDescent="0.25">
      <c r="A323" s="30">
        <v>32990007</v>
      </c>
      <c r="B323" s="31" t="s">
        <v>848</v>
      </c>
      <c r="C323" s="32">
        <v>1175</v>
      </c>
      <c r="D323" s="33" t="s">
        <v>185</v>
      </c>
      <c r="E323" s="34" t="s">
        <v>34</v>
      </c>
      <c r="F323" s="34" t="s">
        <v>35</v>
      </c>
      <c r="G323" s="33" t="s">
        <v>208</v>
      </c>
      <c r="H323" s="35"/>
      <c r="I323" s="36"/>
      <c r="J323" s="34"/>
      <c r="K323" s="34" t="s">
        <v>37</v>
      </c>
      <c r="L323" s="37">
        <v>46252</v>
      </c>
      <c r="M323" s="38">
        <v>46252</v>
      </c>
      <c r="N323" s="39">
        <v>8.0</v>
      </c>
      <c r="O323" s="40"/>
      <c r="P323" s="39">
        <v>8.0</v>
      </c>
      <c r="Q323" s="39">
        <v>2.07</v>
      </c>
    </row>
    <row r="324" spans="1:17" ht="30" hidden="1" customHeight="1" x14ac:dyDescent="0.25">
      <c r="A324" s="30">
        <v>32990011</v>
      </c>
      <c r="B324" s="31" t="s">
        <v>849</v>
      </c>
      <c r="C324" s="32">
        <v>1176</v>
      </c>
      <c r="D324" s="33" t="s">
        <v>185</v>
      </c>
      <c r="E324" s="34" t="s">
        <v>34</v>
      </c>
      <c r="F324" s="34" t="s">
        <v>35</v>
      </c>
      <c r="G324" s="33" t="s">
        <v>208</v>
      </c>
      <c r="H324" s="35"/>
      <c r="I324" s="36"/>
      <c r="J324" s="34"/>
      <c r="K324" s="34" t="s">
        <v>37</v>
      </c>
      <c r="L324" s="37">
        <v>46252</v>
      </c>
      <c r="M324" s="38">
        <v>46252</v>
      </c>
      <c r="N324" s="39">
        <v>8.0</v>
      </c>
      <c r="O324" s="40"/>
      <c r="P324" s="39">
        <v>8.0</v>
      </c>
      <c r="Q324" s="39">
        <v>2.08</v>
      </c>
    </row>
    <row r="325" spans="1:17" ht="30" hidden="1" customHeight="1" x14ac:dyDescent="0.25">
      <c r="A325" s="30">
        <v>32990012</v>
      </c>
      <c r="B325" s="31" t="s">
        <v>850</v>
      </c>
      <c r="C325" s="32">
        <v>1177</v>
      </c>
      <c r="D325" s="33" t="s">
        <v>185</v>
      </c>
      <c r="E325" s="34" t="s">
        <v>34</v>
      </c>
      <c r="F325" s="34" t="s">
        <v>35</v>
      </c>
      <c r="G325" s="33" t="s">
        <v>208</v>
      </c>
      <c r="H325" s="35"/>
      <c r="I325" s="36"/>
      <c r="J325" s="34"/>
      <c r="K325" s="34" t="s">
        <v>37</v>
      </c>
      <c r="L325" s="37">
        <v>46252</v>
      </c>
      <c r="M325" s="38">
        <v>46252</v>
      </c>
      <c r="N325" s="39">
        <v>6.0</v>
      </c>
      <c r="O325" s="40"/>
      <c r="P325" s="39">
        <v>8.0</v>
      </c>
      <c r="Q325" s="39">
        <v>2.03</v>
      </c>
    </row>
    <row r="326" spans="1:17" ht="30" hidden="1" customHeight="1" x14ac:dyDescent="0.25">
      <c r="A326" s="30">
        <v>32990013</v>
      </c>
      <c r="B326" s="31" t="s">
        <v>851</v>
      </c>
      <c r="C326" s="32">
        <v>1178</v>
      </c>
      <c r="D326" s="33" t="s">
        <v>185</v>
      </c>
      <c r="E326" s="34" t="s">
        <v>34</v>
      </c>
      <c r="F326" s="34" t="s">
        <v>35</v>
      </c>
      <c r="G326" s="33" t="s">
        <v>208</v>
      </c>
      <c r="H326" s="35"/>
      <c r="I326" s="36"/>
      <c r="J326" s="34"/>
      <c r="K326" s="34" t="s">
        <v>37</v>
      </c>
      <c r="L326" s="37">
        <v>46252</v>
      </c>
      <c r="M326" s="38">
        <v>46252</v>
      </c>
      <c r="N326" s="39">
        <v>6.0</v>
      </c>
      <c r="O326" s="40"/>
      <c r="P326" s="39">
        <v>9.0</v>
      </c>
      <c r="Q326" s="39">
        <v>3.1</v>
      </c>
    </row>
    <row r="327" spans="1:17" ht="30" hidden="1" customHeight="1" x14ac:dyDescent="0.25">
      <c r="A327" s="30">
        <v>32990020</v>
      </c>
      <c r="B327" s="31" t="s">
        <v>852</v>
      </c>
      <c r="C327" s="32">
        <v>1179</v>
      </c>
      <c r="D327" s="33" t="s">
        <v>185</v>
      </c>
      <c r="E327" s="34" t="s">
        <v>34</v>
      </c>
      <c r="F327" s="34" t="s">
        <v>35</v>
      </c>
      <c r="G327" s="33" t="s">
        <v>208</v>
      </c>
      <c r="H327" s="35"/>
      <c r="I327" s="36"/>
      <c r="J327" s="34"/>
      <c r="K327" s="34" t="s">
        <v>37</v>
      </c>
      <c r="L327" s="37">
        <v>46252</v>
      </c>
      <c r="M327" s="38">
        <v>46252</v>
      </c>
      <c r="N327" s="39">
        <v>4.0</v>
      </c>
      <c r="O327" s="40"/>
      <c r="P327" s="39">
        <v>8.0</v>
      </c>
      <c r="Q327" s="39">
        <v>2.05</v>
      </c>
    </row>
    <row r="328" spans="1:17" ht="30" hidden="1" customHeight="1" x14ac:dyDescent="0.25">
      <c r="A328" s="30">
        <v>32990021</v>
      </c>
      <c r="B328" s="31" t="s">
        <v>853</v>
      </c>
      <c r="C328" s="32">
        <v>1180</v>
      </c>
      <c r="D328" s="33" t="s">
        <v>185</v>
      </c>
      <c r="E328" s="34" t="s">
        <v>34</v>
      </c>
      <c r="F328" s="34" t="s">
        <v>35</v>
      </c>
      <c r="G328" s="33" t="s">
        <v>186</v>
      </c>
      <c r="H328" s="35"/>
      <c r="I328" s="36"/>
      <c r="J328" s="34"/>
      <c r="K328" s="34" t="s">
        <v>37</v>
      </c>
      <c r="L328" s="37">
        <v>46225</v>
      </c>
      <c r="M328" s="38">
        <v>46225</v>
      </c>
      <c r="N328" s="40">
        <v>0.0</v>
      </c>
      <c r="O328" s="40"/>
      <c r="P328" s="39">
        <v>1.5</v>
      </c>
      <c r="Q328" s="39">
        <v>1.75</v>
      </c>
    </row>
    <row r="329" spans="1:17" ht="15.75" hidden="1" customHeight="1" x14ac:dyDescent="0.25">
      <c r="A329" s="30">
        <v>32990026</v>
      </c>
      <c r="B329" s="31" t="s">
        <v>854</v>
      </c>
      <c r="C329" s="32">
        <v>1181</v>
      </c>
      <c r="D329" s="33" t="s">
        <v>185</v>
      </c>
      <c r="E329" s="34" t="s">
        <v>34</v>
      </c>
      <c r="F329" s="34" t="s">
        <v>35</v>
      </c>
      <c r="G329" s="33" t="s">
        <v>186</v>
      </c>
      <c r="H329" s="35"/>
      <c r="I329" s="36"/>
      <c r="J329" s="34"/>
      <c r="K329" s="34" t="s">
        <v>37</v>
      </c>
      <c r="L329" s="37">
        <v>46226</v>
      </c>
      <c r="M329" s="38">
        <v>46226</v>
      </c>
      <c r="N329" s="40">
        <v>0.0</v>
      </c>
      <c r="O329" s="40"/>
      <c r="P329" s="39">
        <v>2.08</v>
      </c>
      <c r="Q329" s="39">
        <v>30.8</v>
      </c>
    </row>
    <row r="330" spans="1:17" ht="15.75" hidden="1" customHeight="1" x14ac:dyDescent="0.25">
      <c r="A330" s="30">
        <v>32990029</v>
      </c>
      <c r="B330" s="31" t="s">
        <v>855</v>
      </c>
      <c r="C330" s="32">
        <v>1182</v>
      </c>
      <c r="D330" s="33" t="s">
        <v>185</v>
      </c>
      <c r="E330" s="34" t="s">
        <v>34</v>
      </c>
      <c r="F330" s="34" t="s">
        <v>35</v>
      </c>
      <c r="G330" s="33" t="s">
        <v>186</v>
      </c>
      <c r="H330" s="35"/>
      <c r="I330" s="36"/>
      <c r="J330" s="34"/>
      <c r="K330" s="34" t="s">
        <v>37</v>
      </c>
      <c r="L330" s="37">
        <v>46226</v>
      </c>
      <c r="M330" s="38">
        <v>46226</v>
      </c>
      <c r="N330" s="40">
        <v>0.0</v>
      </c>
      <c r="O330" s="40"/>
      <c r="P330" s="39">
        <v>2.08</v>
      </c>
      <c r="Q330" s="39">
        <v>29.7</v>
      </c>
    </row>
    <row r="331" spans="1:17" ht="15.75" hidden="1" customHeight="1" x14ac:dyDescent="0.25">
      <c r="A331" s="30">
        <v>32990034</v>
      </c>
      <c r="B331" s="31" t="s">
        <v>856</v>
      </c>
      <c r="C331" s="32">
        <v>1183</v>
      </c>
      <c r="D331" s="33" t="s">
        <v>185</v>
      </c>
      <c r="E331" s="34" t="s">
        <v>34</v>
      </c>
      <c r="F331" s="34" t="s">
        <v>35</v>
      </c>
      <c r="G331" s="33" t="s">
        <v>186</v>
      </c>
      <c r="H331" s="35"/>
      <c r="I331" s="36"/>
      <c r="J331" s="34"/>
      <c r="K331" s="34" t="s">
        <v>37</v>
      </c>
      <c r="L331" s="37">
        <v>46226</v>
      </c>
      <c r="M331" s="38">
        <v>46226</v>
      </c>
      <c r="N331" s="40">
        <v>0.0</v>
      </c>
      <c r="O331" s="40"/>
      <c r="P331" s="39">
        <v>2.08</v>
      </c>
      <c r="Q331" s="39">
        <v>30.7</v>
      </c>
    </row>
    <row r="332" spans="1:17" ht="15.75" hidden="1" customHeight="1" x14ac:dyDescent="0.25">
      <c r="A332" s="30">
        <v>32990037</v>
      </c>
      <c r="B332" s="31" t="s">
        <v>857</v>
      </c>
      <c r="C332" s="32">
        <v>1184</v>
      </c>
      <c r="D332" s="33" t="s">
        <v>185</v>
      </c>
      <c r="E332" s="34" t="s">
        <v>34</v>
      </c>
      <c r="F332" s="34" t="s">
        <v>35</v>
      </c>
      <c r="G332" s="33" t="s">
        <v>186</v>
      </c>
      <c r="H332" s="35"/>
      <c r="I332" s="36"/>
      <c r="J332" s="34"/>
      <c r="K332" s="34" t="s">
        <v>37</v>
      </c>
      <c r="L332" s="37">
        <v>46226</v>
      </c>
      <c r="M332" s="38">
        <v>46226</v>
      </c>
      <c r="N332" s="40">
        <v>0.0</v>
      </c>
      <c r="O332" s="40"/>
      <c r="P332" s="39">
        <v>2.08</v>
      </c>
      <c r="Q332" s="39">
        <v>30.7</v>
      </c>
    </row>
    <row r="333" spans="1:17" ht="15.75" hidden="1" customHeight="1" x14ac:dyDescent="0.25">
      <c r="A333" s="30">
        <v>32991206</v>
      </c>
      <c r="B333" s="31" t="s">
        <v>858</v>
      </c>
      <c r="C333" s="32">
        <v>1199</v>
      </c>
      <c r="D333" s="33" t="s">
        <v>33</v>
      </c>
      <c r="E333" s="34" t="s">
        <v>34</v>
      </c>
      <c r="F333" s="34" t="s">
        <v>35</v>
      </c>
      <c r="G333" s="33" t="s">
        <v>50</v>
      </c>
      <c r="H333" s="35" t="s">
        <v>51</v>
      </c>
      <c r="I333" s="36"/>
      <c r="J333" s="34"/>
      <c r="K333" s="34" t="s">
        <v>24</v>
      </c>
      <c r="L333" s="37">
        <v>46259</v>
      </c>
      <c r="M333" s="38">
        <v>46257</v>
      </c>
      <c r="N333" s="40">
        <v>0.0</v>
      </c>
      <c r="O333" s="40"/>
      <c r="P333" s="39">
        <v>11.5</v>
      </c>
      <c r="Q333" s="39">
        <v>475.4</v>
      </c>
    </row>
    <row r="334" spans="1:17" ht="30" hidden="1" customHeight="1" x14ac:dyDescent="0.25">
      <c r="A334" s="30">
        <v>32991276</v>
      </c>
      <c r="B334" s="31" t="s">
        <v>859</v>
      </c>
      <c r="C334" s="32">
        <v>1200</v>
      </c>
      <c r="D334" s="33" t="s">
        <v>185</v>
      </c>
      <c r="E334" s="34" t="s">
        <v>22</v>
      </c>
      <c r="F334" s="34" t="s">
        <v>141</v>
      </c>
      <c r="G334" s="33" t="s">
        <v>208</v>
      </c>
      <c r="H334" s="35"/>
      <c r="I334" s="36"/>
      <c r="J334" s="34"/>
      <c r="K334" s="34" t="s">
        <v>29</v>
      </c>
      <c r="L334" s="37"/>
      <c r="M334" s="38"/>
      <c r="N334" s="40">
        <v>0.0</v>
      </c>
      <c r="O334" s="40"/>
      <c r="P334" s="39">
        <v>4</v>
      </c>
      <c r="Q334" s="39">
        <v>842.3</v>
      </c>
    </row>
    <row r="335" spans="1:17" ht="30" customHeight="1" x14ac:dyDescent="0.25">
      <c r="A335" s="30">
        <v>32991499</v>
      </c>
      <c r="B335" s="31" t="s">
        <v>860</v>
      </c>
      <c r="C335" s="32">
        <v>1201</v>
      </c>
      <c r="D335" s="33" t="s">
        <v>72</v>
      </c>
      <c r="E335" s="34" t="s">
        <v>34</v>
      </c>
      <c r="F335" s="34" t="s">
        <v>35</v>
      </c>
      <c r="G335" s="33" t="s">
        <v>50</v>
      </c>
      <c r="H335" s="35"/>
      <c r="I335" s="36"/>
      <c r="J335" s="34"/>
      <c r="K335" s="34" t="s">
        <v>25</v>
      </c>
      <c r="L335" s="37">
        <v>46260</v>
      </c>
      <c r="N335">
        <v>0.0</v>
      </c>
      <c r="O335" s="40"/>
      <c r="P335" s="39">
        <v>3.0</v>
      </c>
      <c r="Q335">
        <v>3.0</v>
      </c>
    </row>
    <row r="336" spans="1:17" ht="31.5" hidden="1" customHeight="1" x14ac:dyDescent="0.25">
      <c r="A336" s="30">
        <v>32991511</v>
      </c>
      <c r="B336" s="31" t="s">
        <v>861</v>
      </c>
      <c r="C336" s="32">
        <v>1202</v>
      </c>
      <c r="D336" s="33" t="s">
        <v>72</v>
      </c>
      <c r="E336" s="34" t="s">
        <v>22</v>
      </c>
      <c r="F336" s="34" t="s">
        <v>769</v>
      </c>
      <c r="G336" s="33" t="s">
        <v>50</v>
      </c>
      <c r="H336" s="35" t="s">
        <v>51</v>
      </c>
      <c r="I336" s="36"/>
      <c r="J336" s="34"/>
      <c r="K336" s="34" t="s">
        <v>29</v>
      </c>
      <c r="L336" s="37"/>
      <c r="M336" s="38"/>
      <c r="N336" s="40">
        <v>0.0</v>
      </c>
      <c r="O336" s="40"/>
      <c r="P336" s="39"/>
      <c r="Q336" s="39">
        <v>0.0</v>
      </c>
    </row>
    <row r="337" spans="1:17" ht="30" hidden="1" customHeight="1" x14ac:dyDescent="0.25">
      <c r="A337" s="30">
        <v>32991517</v>
      </c>
      <c r="B337" s="31" t="s">
        <v>862</v>
      </c>
      <c r="C337" s="32">
        <v>1203</v>
      </c>
      <c r="D337" s="33" t="s">
        <v>72</v>
      </c>
      <c r="E337" s="34" t="s">
        <v>34</v>
      </c>
      <c r="F337" s="34" t="s">
        <v>35</v>
      </c>
      <c r="G337" s="33" t="s">
        <v>167</v>
      </c>
      <c r="H337" s="35" t="s">
        <v>51</v>
      </c>
      <c r="I337" s="36"/>
      <c r="J337" s="34"/>
      <c r="K337" s="34" t="s">
        <v>29</v>
      </c>
      <c r="L337" s="37">
        <v>46231</v>
      </c>
      <c r="M337" s="38">
        <v>46231</v>
      </c>
      <c r="N337" s="39">
        <v>5.0</v>
      </c>
      <c r="O337" s="40"/>
      <c r="P337" s="39">
        <v>5.0</v>
      </c>
      <c r="Q337" s="39">
        <v>86.1</v>
      </c>
    </row>
    <row r="338" spans="1:17" ht="15.75" hidden="1" customHeight="1" x14ac:dyDescent="0.25">
      <c r="A338" s="30">
        <v>32991527</v>
      </c>
      <c r="B338" s="31" t="s">
        <v>863</v>
      </c>
      <c r="C338" s="32">
        <v>1205</v>
      </c>
      <c r="D338" s="33" t="s">
        <v>72</v>
      </c>
      <c r="E338" s="34" t="s">
        <v>22</v>
      </c>
      <c r="F338" s="34" t="s">
        <v>35</v>
      </c>
      <c r="G338" s="33" t="s">
        <v>50</v>
      </c>
      <c r="H338" s="35" t="s">
        <v>51</v>
      </c>
      <c r="I338" s="36"/>
      <c r="J338" s="34"/>
      <c r="K338" s="34" t="s">
        <v>29</v>
      </c>
      <c r="L338" s="37"/>
      <c r="M338" s="38"/>
      <c r="N338" s="40">
        <v>0.0</v>
      </c>
      <c r="O338" s="40"/>
      <c r="P338" s="39"/>
      <c r="Q338" s="39">
        <v>78.4</v>
      </c>
    </row>
    <row r="339" spans="1:17" ht="30" hidden="1" customHeight="1" x14ac:dyDescent="0.25">
      <c r="A339" s="30">
        <v>32991534</v>
      </c>
      <c r="B339" s="31" t="s">
        <v>864</v>
      </c>
      <c r="C339" s="32">
        <v>1206</v>
      </c>
      <c r="D339" s="33" t="s">
        <v>72</v>
      </c>
      <c r="E339" s="34" t="s">
        <v>22</v>
      </c>
      <c r="F339" s="34" t="s">
        <v>35</v>
      </c>
      <c r="G339" s="33" t="s">
        <v>167</v>
      </c>
      <c r="H339" s="35" t="s">
        <v>51</v>
      </c>
      <c r="I339" s="36"/>
      <c r="J339" s="34"/>
      <c r="K339" s="34" t="s">
        <v>29</v>
      </c>
      <c r="L339" s="37"/>
      <c r="M339" s="38"/>
      <c r="N339" s="39">
        <v>3.0</v>
      </c>
      <c r="O339" s="40"/>
      <c r="P339" s="39"/>
      <c r="Q339" s="39">
        <v>258.1</v>
      </c>
    </row>
    <row r="340" spans="1:17" ht="30" hidden="1" customHeight="1" x14ac:dyDescent="0.25">
      <c r="A340" s="30">
        <v>32991585</v>
      </c>
      <c r="B340" s="31" t="s">
        <v>865</v>
      </c>
      <c r="C340" s="32">
        <v>1208</v>
      </c>
      <c r="D340" s="33" t="s">
        <v>33</v>
      </c>
      <c r="E340" s="34" t="s">
        <v>34</v>
      </c>
      <c r="F340" s="34" t="s">
        <v>35</v>
      </c>
      <c r="G340" s="33" t="s">
        <v>186</v>
      </c>
      <c r="H340" s="35" t="s">
        <v>51</v>
      </c>
      <c r="I340" s="36"/>
      <c r="J340" s="34"/>
      <c r="K340" s="34" t="s">
        <v>37</v>
      </c>
      <c r="L340" s="37">
        <v>46225</v>
      </c>
      <c r="M340" s="38">
        <v>46225</v>
      </c>
      <c r="N340" s="39">
        <v>2.0</v>
      </c>
      <c r="O340" s="40"/>
      <c r="P340" s="39">
        <v>2.0</v>
      </c>
      <c r="Q340" s="39">
        <v>2.0</v>
      </c>
    </row>
    <row r="341" spans="1:17" ht="30" hidden="1" customHeight="1" x14ac:dyDescent="0.25">
      <c r="A341" s="30">
        <v>32991646</v>
      </c>
      <c r="B341" s="31" t="s">
        <v>866</v>
      </c>
      <c r="C341" s="32">
        <v>1211</v>
      </c>
      <c r="D341" s="33" t="s">
        <v>185</v>
      </c>
      <c r="E341" s="34" t="s">
        <v>34</v>
      </c>
      <c r="F341" s="34" t="s">
        <v>35</v>
      </c>
      <c r="G341" s="33" t="s">
        <v>208</v>
      </c>
      <c r="H341" s="35"/>
      <c r="I341" s="36"/>
      <c r="J341" s="34"/>
      <c r="K341" s="34" t="s">
        <v>29</v>
      </c>
      <c r="L341" s="37">
        <v>46256</v>
      </c>
      <c r="M341" s="38">
        <v>46254</v>
      </c>
      <c r="N341" s="40">
        <v>0.0</v>
      </c>
      <c r="O341" s="40"/>
      <c r="P341" s="39">
        <v>20</v>
      </c>
      <c r="Q341" s="39">
        <v>842.1</v>
      </c>
    </row>
    <row r="342" spans="1:17" ht="30" hidden="1" customHeight="1" x14ac:dyDescent="0.25">
      <c r="A342" s="30">
        <v>32991651</v>
      </c>
      <c r="B342" s="31" t="s">
        <v>867</v>
      </c>
      <c r="C342" s="32">
        <v>1212</v>
      </c>
      <c r="D342" s="33" t="s">
        <v>185</v>
      </c>
      <c r="E342" s="34" t="s">
        <v>34</v>
      </c>
      <c r="F342" s="34" t="s">
        <v>35</v>
      </c>
      <c r="G342" s="33" t="s">
        <v>208</v>
      </c>
      <c r="H342" s="35"/>
      <c r="I342" s="36"/>
      <c r="J342" s="34"/>
      <c r="K342" s="34" t="s">
        <v>29</v>
      </c>
      <c r="L342" s="37">
        <v>46256</v>
      </c>
      <c r="M342" s="38">
        <v>46254</v>
      </c>
      <c r="N342" s="40">
        <v>0.0</v>
      </c>
      <c r="O342" s="40"/>
      <c r="P342" s="39">
        <v>16</v>
      </c>
      <c r="Q342" s="39">
        <v>842.1</v>
      </c>
    </row>
    <row r="343" spans="1:17" ht="30" hidden="1" customHeight="1" x14ac:dyDescent="0.25">
      <c r="A343" s="30">
        <v>32992461</v>
      </c>
      <c r="B343" s="31" t="s">
        <v>868</v>
      </c>
      <c r="C343" s="32">
        <v>1218</v>
      </c>
      <c r="D343" s="33" t="s">
        <v>67</v>
      </c>
      <c r="E343" s="34" t="s">
        <v>34</v>
      </c>
      <c r="F343" s="34" t="s">
        <v>35</v>
      </c>
      <c r="G343" s="33" t="s">
        <v>747</v>
      </c>
      <c r="H343" s="35"/>
      <c r="I343" s="36"/>
      <c r="J343" s="34"/>
      <c r="K343" s="34" t="s">
        <v>25</v>
      </c>
      <c r="L343" s="37">
        <v>46256</v>
      </c>
      <c r="M343" s="38">
        <v>46253</v>
      </c>
      <c r="N343" s="40">
        <v>0.0</v>
      </c>
      <c r="O343" s="40"/>
      <c r="P343" s="39">
        <v>6.67</v>
      </c>
      <c r="Q343" s="39">
        <v>10.67</v>
      </c>
    </row>
    <row r="344" spans="1:17" ht="15.75" hidden="1" customHeight="1" x14ac:dyDescent="0.25">
      <c r="A344" s="30">
        <v>32992488</v>
      </c>
      <c r="B344" s="31" t="s">
        <v>869</v>
      </c>
      <c r="C344" s="32">
        <v>1219</v>
      </c>
      <c r="D344" s="33" t="s">
        <v>67</v>
      </c>
      <c r="E344" s="34" t="s">
        <v>22</v>
      </c>
      <c r="F344" s="34" t="s">
        <v>141</v>
      </c>
      <c r="G344" s="33" t="s">
        <v>50</v>
      </c>
      <c r="H344" s="35"/>
      <c r="I344" s="36"/>
      <c r="J344" s="34"/>
      <c r="K344" s="34" t="s">
        <v>29</v>
      </c>
      <c r="L344" s="37"/>
      <c r="M344" s="38"/>
      <c r="N344" s="40">
        <v>0.0</v>
      </c>
      <c r="O344" s="40"/>
      <c r="P344" s="39">
        <v>45.5</v>
      </c>
      <c r="Q344" s="39">
        <v>839.5</v>
      </c>
    </row>
    <row r="345" spans="1:17" ht="15.75" customHeight="1" x14ac:dyDescent="0.25">
      <c r="A345" s="30">
        <v>32992489</v>
      </c>
      <c r="B345" s="31" t="s">
        <v>870</v>
      </c>
      <c r="C345" s="32">
        <v>1220</v>
      </c>
      <c r="D345" s="33" t="s">
        <v>67</v>
      </c>
      <c r="E345" s="34" t="s">
        <v>22</v>
      </c>
      <c r="F345" s="34" t="s">
        <v>141</v>
      </c>
      <c r="G345" s="33" t="s">
        <v>50</v>
      </c>
      <c r="H345" s="35"/>
      <c r="I345" s="36"/>
      <c r="J345" s="34"/>
      <c r="K345" s="34" t="s">
        <v>25</v>
      </c>
      <c r="L345" s="37"/>
      <c r="M345" s="38"/>
      <c r="N345" s="40">
        <v>0.0</v>
      </c>
      <c r="O345" s="40"/>
      <c r="P345" s="39">
        <v>10</v>
      </c>
      <c r="Q345" s="39">
        <v>831.1</v>
      </c>
    </row>
    <row r="346" spans="1:17" ht="15.75" customHeight="1" x14ac:dyDescent="0.25">
      <c r="A346" s="30">
        <v>32992493</v>
      </c>
      <c r="B346" s="31" t="s">
        <v>871</v>
      </c>
      <c r="C346" s="32">
        <v>1221</v>
      </c>
      <c r="D346" s="33" t="s">
        <v>72</v>
      </c>
      <c r="E346" s="34" t="s">
        <v>22</v>
      </c>
      <c r="F346" s="34" t="s">
        <v>141</v>
      </c>
      <c r="G346" s="33" t="s">
        <v>50</v>
      </c>
      <c r="H346" s="35"/>
      <c r="I346" s="36"/>
      <c r="J346" s="34"/>
      <c r="K346" s="34" t="s">
        <v>25</v>
      </c>
      <c r="L346" s="37"/>
      <c r="M346" s="38"/>
      <c r="N346" s="40">
        <v>0.0</v>
      </c>
      <c r="O346" s="40"/>
      <c r="P346" s="39">
        <v>32</v>
      </c>
      <c r="Q346" s="39">
        <v>705.0</v>
      </c>
    </row>
    <row r="347" spans="1:17" ht="15.75" hidden="1" customHeight="1" x14ac:dyDescent="0.25">
      <c r="A347" s="30">
        <v>32992492</v>
      </c>
      <c r="B347" s="31" t="s">
        <v>872</v>
      </c>
      <c r="C347" s="32">
        <v>1222</v>
      </c>
      <c r="D347" s="33" t="s">
        <v>72</v>
      </c>
      <c r="E347" s="34" t="s">
        <v>22</v>
      </c>
      <c r="F347" s="34" t="s">
        <v>141</v>
      </c>
      <c r="G347" s="33" t="s">
        <v>50</v>
      </c>
      <c r="H347" s="35"/>
      <c r="I347" s="36"/>
      <c r="J347" s="34"/>
      <c r="K347" s="34" t="s">
        <v>29</v>
      </c>
      <c r="L347" s="37"/>
      <c r="M347" s="38"/>
      <c r="N347" s="40">
        <v>0.0</v>
      </c>
      <c r="O347" s="40"/>
      <c r="P347" s="39">
        <v>32.5</v>
      </c>
      <c r="Q347" s="39">
        <v>813.9</v>
      </c>
    </row>
    <row r="348" spans="1:17" ht="15.75" hidden="1" customHeight="1" x14ac:dyDescent="0.25">
      <c r="A348" s="30">
        <v>32992500</v>
      </c>
      <c r="B348" s="31" t="s">
        <v>873</v>
      </c>
      <c r="C348" s="32">
        <v>1223</v>
      </c>
      <c r="D348" s="33" t="s">
        <v>72</v>
      </c>
      <c r="E348" s="34" t="s">
        <v>22</v>
      </c>
      <c r="F348" s="34" t="s">
        <v>141</v>
      </c>
      <c r="G348" s="33" t="s">
        <v>50</v>
      </c>
      <c r="H348" s="35"/>
      <c r="I348" s="36"/>
      <c r="J348" s="34"/>
      <c r="K348" s="34" t="s">
        <v>29</v>
      </c>
      <c r="L348" s="37"/>
      <c r="M348" s="38"/>
      <c r="N348" s="40">
        <v>0.0</v>
      </c>
      <c r="O348" s="40"/>
      <c r="P348" s="39">
        <v>3</v>
      </c>
      <c r="Q348" s="39">
        <v>810.2</v>
      </c>
    </row>
    <row r="349" spans="1:17" ht="30" customHeight="1" x14ac:dyDescent="0.25">
      <c r="A349" s="30">
        <v>32992517</v>
      </c>
      <c r="B349" s="31" t="s">
        <v>874</v>
      </c>
      <c r="C349" s="32">
        <v>1224</v>
      </c>
      <c r="D349" s="33" t="s">
        <v>33</v>
      </c>
      <c r="E349" s="34" t="s">
        <v>22</v>
      </c>
      <c r="F349" s="34" t="s">
        <v>141</v>
      </c>
      <c r="G349" s="33" t="s">
        <v>50</v>
      </c>
      <c r="H349" s="35"/>
      <c r="I349" s="36"/>
      <c r="J349" s="34"/>
      <c r="K349" s="34" t="s">
        <v>25</v>
      </c>
      <c r="L349" s="37"/>
      <c r="M349" s="38"/>
      <c r="N349" s="40">
        <v>0.0</v>
      </c>
      <c r="O349" s="40"/>
      <c r="P349" s="39">
        <v>9.5</v>
      </c>
      <c r="Q349" s="39">
        <v>821.4</v>
      </c>
    </row>
    <row r="350" spans="1:17" ht="30" hidden="1" customHeight="1" x14ac:dyDescent="0.25">
      <c r="A350" s="30">
        <v>32992509</v>
      </c>
      <c r="B350" s="31" t="s">
        <v>875</v>
      </c>
      <c r="C350" s="32">
        <v>1225</v>
      </c>
      <c r="D350" s="33" t="s">
        <v>185</v>
      </c>
      <c r="E350" s="34" t="s">
        <v>22</v>
      </c>
      <c r="F350" s="34" t="s">
        <v>141</v>
      </c>
      <c r="G350" s="33" t="s">
        <v>50</v>
      </c>
      <c r="H350" s="35"/>
      <c r="I350" s="36"/>
      <c r="J350" s="34"/>
      <c r="K350" s="34" t="s">
        <v>29</v>
      </c>
      <c r="L350" s="37"/>
      <c r="M350" s="38"/>
      <c r="N350" s="40">
        <v>0.0</v>
      </c>
      <c r="O350" s="40"/>
      <c r="P350" s="39">
        <v>26</v>
      </c>
      <c r="Q350" s="39">
        <v>837.9</v>
      </c>
    </row>
    <row r="351" spans="1:17" ht="15.75" hidden="1" customHeight="1" x14ac:dyDescent="0.25">
      <c r="A351" s="30">
        <v>32992699</v>
      </c>
      <c r="B351" s="31" t="s">
        <v>876</v>
      </c>
      <c r="C351" s="32">
        <v>1227</v>
      </c>
      <c r="D351" s="33" t="s">
        <v>72</v>
      </c>
      <c r="E351" s="34" t="s">
        <v>34</v>
      </c>
      <c r="F351" s="34" t="s">
        <v>35</v>
      </c>
      <c r="G351" s="33" t="s">
        <v>50</v>
      </c>
      <c r="H351" s="35"/>
      <c r="I351" s="36"/>
      <c r="J351" s="34"/>
      <c r="K351" s="34" t="s">
        <v>29</v>
      </c>
      <c r="L351" s="37">
        <v>46256</v>
      </c>
      <c r="M351" s="38">
        <v>46254</v>
      </c>
      <c r="N351" s="40">
        <v>0.0</v>
      </c>
      <c r="O351" s="40"/>
      <c r="P351" s="39">
        <v>1.0</v>
      </c>
      <c r="Q351" s="39">
        <v>1.0</v>
      </c>
    </row>
    <row r="352" spans="1:17" ht="15.75" hidden="1" customHeight="1" x14ac:dyDescent="0.25">
      <c r="A352" s="30">
        <v>32992702</v>
      </c>
      <c r="B352" s="31" t="s">
        <v>877</v>
      </c>
      <c r="C352" s="32">
        <v>1228</v>
      </c>
      <c r="D352" s="33" t="s">
        <v>72</v>
      </c>
      <c r="E352" s="34" t="s">
        <v>34</v>
      </c>
      <c r="F352" s="34" t="s">
        <v>35</v>
      </c>
      <c r="G352" s="33" t="s">
        <v>50</v>
      </c>
      <c r="H352" s="35"/>
      <c r="I352" s="36"/>
      <c r="J352" s="34"/>
      <c r="K352" s="34" t="s">
        <v>29</v>
      </c>
      <c r="L352" s="37">
        <v>46256</v>
      </c>
      <c r="M352" s="38">
        <v>46254</v>
      </c>
      <c r="N352" s="40">
        <v>0.0</v>
      </c>
      <c r="O352" s="40"/>
      <c r="P352" s="39">
        <v>1.0</v>
      </c>
      <c r="Q352" s="39">
        <v>1.0</v>
      </c>
    </row>
    <row r="353" spans="1:17" ht="15.75" hidden="1" customHeight="1" x14ac:dyDescent="0.25">
      <c r="A353" s="30">
        <v>32992708</v>
      </c>
      <c r="B353" s="31" t="s">
        <v>878</v>
      </c>
      <c r="C353" s="32">
        <v>1229</v>
      </c>
      <c r="D353" s="33" t="s">
        <v>72</v>
      </c>
      <c r="E353" s="34" t="s">
        <v>34</v>
      </c>
      <c r="F353" s="34" t="s">
        <v>35</v>
      </c>
      <c r="G353" s="33" t="s">
        <v>50</v>
      </c>
      <c r="H353" s="35"/>
      <c r="I353" s="36"/>
      <c r="J353" s="34"/>
      <c r="K353" s="34" t="s">
        <v>29</v>
      </c>
      <c r="L353" s="37">
        <v>46256</v>
      </c>
      <c r="M353" s="38">
        <v>46254</v>
      </c>
      <c r="N353" s="40">
        <v>0.0</v>
      </c>
      <c r="O353" s="40"/>
      <c r="P353" s="39">
        <v>1.0</v>
      </c>
      <c r="Q353" s="39">
        <v>1.0</v>
      </c>
    </row>
    <row r="354" spans="1:17" ht="15.75" hidden="1" customHeight="1" x14ac:dyDescent="0.25">
      <c r="A354" s="30">
        <v>32992709</v>
      </c>
      <c r="B354" s="31" t="s">
        <v>879</v>
      </c>
      <c r="C354" s="32">
        <v>1230</v>
      </c>
      <c r="D354" s="33" t="s">
        <v>72</v>
      </c>
      <c r="E354" s="34" t="s">
        <v>34</v>
      </c>
      <c r="F354" s="34" t="s">
        <v>35</v>
      </c>
      <c r="G354" s="33" t="s">
        <v>50</v>
      </c>
      <c r="H354" s="35" t="s">
        <v>51</v>
      </c>
      <c r="I354" s="36"/>
      <c r="J354" s="34"/>
      <c r="K354" s="34" t="s">
        <v>29</v>
      </c>
      <c r="L354" s="37">
        <v>46259</v>
      </c>
      <c r="M354" s="38">
        <v>46258</v>
      </c>
      <c r="N354" s="40">
        <v>0.0</v>
      </c>
      <c r="O354" s="40"/>
      <c r="P354" s="39">
        <v>1.5</v>
      </c>
      <c r="Q354" s="39">
        <v>1.0</v>
      </c>
    </row>
    <row r="355" spans="1:17" ht="15.75" hidden="1" customHeight="1" x14ac:dyDescent="0.25">
      <c r="A355" s="30">
        <v>32992712</v>
      </c>
      <c r="B355" s="31" t="s">
        <v>880</v>
      </c>
      <c r="C355" s="32">
        <v>1231</v>
      </c>
      <c r="D355" s="33" t="s">
        <v>72</v>
      </c>
      <c r="E355" s="34" t="s">
        <v>34</v>
      </c>
      <c r="F355" s="34" t="s">
        <v>35</v>
      </c>
      <c r="G355" s="33" t="s">
        <v>50</v>
      </c>
      <c r="H355" s="35"/>
      <c r="I355" s="36"/>
      <c r="J355" s="34"/>
      <c r="K355" s="34" t="s">
        <v>29</v>
      </c>
      <c r="L355" s="37">
        <v>46259</v>
      </c>
      <c r="M355" s="38">
        <v>46258</v>
      </c>
      <c r="N355" s="40">
        <v>0.0</v>
      </c>
      <c r="O355" s="40"/>
      <c r="P355" s="39">
        <v>1.0</v>
      </c>
      <c r="Q355" s="39">
        <v>1.0</v>
      </c>
    </row>
    <row r="356" spans="1:17" ht="15.75" hidden="1" customHeight="1" x14ac:dyDescent="0.25">
      <c r="A356" s="30">
        <v>32992717</v>
      </c>
      <c r="B356" s="31" t="s">
        <v>881</v>
      </c>
      <c r="C356" s="32">
        <v>1232</v>
      </c>
      <c r="D356" s="33" t="s">
        <v>72</v>
      </c>
      <c r="E356" s="34" t="s">
        <v>34</v>
      </c>
      <c r="F356" s="34" t="s">
        <v>35</v>
      </c>
      <c r="G356" s="33" t="s">
        <v>50</v>
      </c>
      <c r="H356" s="35" t="s">
        <v>51</v>
      </c>
      <c r="I356" s="36"/>
      <c r="J356" s="34"/>
      <c r="K356" s="34" t="s">
        <v>29</v>
      </c>
      <c r="L356" s="37">
        <v>46260</v>
      </c>
      <c r="N356">
        <v>0.0</v>
      </c>
      <c r="O356" s="40"/>
      <c r="P356" s="39">
        <v>4.0</v>
      </c>
      <c r="Q356">
        <v>2.0</v>
      </c>
    </row>
    <row r="357" spans="1:17" ht="15.75" hidden="1" customHeight="1" x14ac:dyDescent="0.25">
      <c r="A357" s="30">
        <v>32992719</v>
      </c>
      <c r="B357" s="31" t="s">
        <v>882</v>
      </c>
      <c r="C357" s="32">
        <v>1233</v>
      </c>
      <c r="D357" s="33" t="s">
        <v>72</v>
      </c>
      <c r="E357" s="34" t="s">
        <v>34</v>
      </c>
      <c r="F357" s="34" t="s">
        <v>35</v>
      </c>
      <c r="G357" s="33" t="s">
        <v>50</v>
      </c>
      <c r="H357" s="35"/>
      <c r="I357" s="36"/>
      <c r="J357" s="34"/>
      <c r="K357" s="34" t="s">
        <v>29</v>
      </c>
      <c r="L357" s="37">
        <v>46260</v>
      </c>
      <c r="N357">
        <v>0.0</v>
      </c>
      <c r="O357" s="40"/>
      <c r="P357" s="39">
        <v>19.0</v>
      </c>
      <c r="Q357">
        <v>12.15</v>
      </c>
    </row>
    <row r="358" spans="1:17" ht="30" customHeight="1" x14ac:dyDescent="0.25">
      <c r="A358" s="30">
        <v>32992731</v>
      </c>
      <c r="B358" s="31" t="s">
        <v>883</v>
      </c>
      <c r="C358" s="32">
        <v>1234</v>
      </c>
      <c r="D358" s="33" t="s">
        <v>61</v>
      </c>
      <c r="E358" s="34" t="s">
        <v>22</v>
      </c>
      <c r="F358" s="34" t="s">
        <v>141</v>
      </c>
      <c r="G358" s="33" t="s">
        <v>50</v>
      </c>
      <c r="H358" s="35" t="s">
        <v>51</v>
      </c>
      <c r="I358" s="36"/>
      <c r="J358" s="34"/>
      <c r="K358" s="34" t="s">
        <v>25</v>
      </c>
      <c r="L358" s="37"/>
      <c r="M358" s="38"/>
      <c r="N358" s="40">
        <v>0.0</v>
      </c>
      <c r="O358" s="40"/>
      <c r="P358" s="39">
        <v>5</v>
      </c>
      <c r="Q358" s="39">
        <v>818.9</v>
      </c>
    </row>
    <row r="359" spans="1:17" ht="30" hidden="1" customHeight="1" x14ac:dyDescent="0.25">
      <c r="A359" s="30">
        <v>32992738</v>
      </c>
      <c r="B359" s="31" t="s">
        <v>884</v>
      </c>
      <c r="C359" s="32">
        <v>1235</v>
      </c>
      <c r="D359" s="33" t="s">
        <v>67</v>
      </c>
      <c r="E359" s="34" t="s">
        <v>22</v>
      </c>
      <c r="F359" s="34" t="s">
        <v>35</v>
      </c>
      <c r="G359" s="33" t="s">
        <v>50</v>
      </c>
      <c r="H359" s="35"/>
      <c r="I359" s="36"/>
      <c r="J359" s="34"/>
      <c r="K359" s="34" t="s">
        <v>29</v>
      </c>
      <c r="L359" s="37"/>
      <c r="M359" s="38"/>
      <c r="N359" s="40">
        <v>0.0</v>
      </c>
      <c r="O359" s="40"/>
      <c r="P359" s="39"/>
      <c r="Q359" s="39">
        <v>237.4</v>
      </c>
    </row>
    <row r="360" spans="1:17" ht="30" hidden="1" customHeight="1" x14ac:dyDescent="0.25">
      <c r="A360" s="30">
        <v>32994020</v>
      </c>
      <c r="B360" s="31" t="s">
        <v>885</v>
      </c>
      <c r="C360" s="32">
        <v>1247</v>
      </c>
      <c r="D360" s="33" t="s">
        <v>185</v>
      </c>
      <c r="E360" s="34" t="s">
        <v>34</v>
      </c>
      <c r="F360" s="34" t="s">
        <v>35</v>
      </c>
      <c r="G360" s="33" t="s">
        <v>186</v>
      </c>
      <c r="H360" s="35"/>
      <c r="I360" s="36"/>
      <c r="J360" s="34"/>
      <c r="K360" s="34" t="s">
        <v>37</v>
      </c>
      <c r="L360" s="37">
        <v>46229</v>
      </c>
      <c r="M360" s="38">
        <v>46229</v>
      </c>
      <c r="N360" s="39">
        <v>24.0</v>
      </c>
      <c r="O360" s="40"/>
      <c r="P360" s="39">
        <v>24.0</v>
      </c>
      <c r="Q360" s="39">
        <v>8.02</v>
      </c>
    </row>
    <row r="361" spans="1:17" ht="30" hidden="1" customHeight="1" x14ac:dyDescent="0.25">
      <c r="A361" s="30">
        <v>32994039</v>
      </c>
      <c r="B361" s="31" t="s">
        <v>886</v>
      </c>
      <c r="C361" s="32">
        <v>1248</v>
      </c>
      <c r="D361" s="33" t="s">
        <v>185</v>
      </c>
      <c r="E361" s="34" t="s">
        <v>34</v>
      </c>
      <c r="F361" s="34" t="s">
        <v>35</v>
      </c>
      <c r="G361" s="33" t="s">
        <v>186</v>
      </c>
      <c r="H361" s="35"/>
      <c r="I361" s="36"/>
      <c r="J361" s="34"/>
      <c r="K361" s="34" t="s">
        <v>37</v>
      </c>
      <c r="L361" s="37">
        <v>46229</v>
      </c>
      <c r="M361" s="38">
        <v>46229</v>
      </c>
      <c r="N361" s="39">
        <v>12.0</v>
      </c>
      <c r="O361" s="40"/>
      <c r="P361" s="39">
        <v>12.0</v>
      </c>
      <c r="Q361" s="39">
        <v>61.4</v>
      </c>
    </row>
    <row r="362" spans="1:17" ht="30" hidden="1" customHeight="1" x14ac:dyDescent="0.25">
      <c r="A362" s="30">
        <v>32994149</v>
      </c>
      <c r="B362" s="31" t="s">
        <v>887</v>
      </c>
      <c r="C362" s="32">
        <v>1250</v>
      </c>
      <c r="D362" s="33" t="s">
        <v>185</v>
      </c>
      <c r="E362" s="34" t="s">
        <v>34</v>
      </c>
      <c r="F362" s="34" t="s">
        <v>35</v>
      </c>
      <c r="G362" s="33" t="s">
        <v>186</v>
      </c>
      <c r="H362" s="35" t="s">
        <v>51</v>
      </c>
      <c r="I362" s="36"/>
      <c r="J362" s="34"/>
      <c r="K362" s="34" t="s">
        <v>37</v>
      </c>
      <c r="L362" s="37">
        <v>46260</v>
      </c>
      <c r="N362">
        <v>22.5</v>
      </c>
      <c r="O362" s="40"/>
      <c r="P362" s="39">
        <v>22.0</v>
      </c>
      <c r="Q362" s="39">
        <v>651.0</v>
      </c>
    </row>
    <row r="363" spans="1:17" ht="30" hidden="1" customHeight="1" x14ac:dyDescent="0.25">
      <c r="A363" s="30">
        <v>32994746</v>
      </c>
      <c r="B363" s="31" t="s">
        <v>888</v>
      </c>
      <c r="C363" s="32">
        <v>1254</v>
      </c>
      <c r="D363" s="33" t="s">
        <v>185</v>
      </c>
      <c r="E363" s="34" t="s">
        <v>34</v>
      </c>
      <c r="F363" s="34" t="s">
        <v>35</v>
      </c>
      <c r="G363" s="33" t="s">
        <v>186</v>
      </c>
      <c r="H363" s="35" t="s">
        <v>51</v>
      </c>
      <c r="I363" s="36"/>
      <c r="J363" s="34"/>
      <c r="K363" s="34" t="s">
        <v>37</v>
      </c>
      <c r="L363" s="37">
        <v>46256</v>
      </c>
      <c r="M363" s="38">
        <v>46253</v>
      </c>
      <c r="N363" s="39">
        <v>2.0</v>
      </c>
      <c r="O363" s="40"/>
      <c r="P363" s="39">
        <v>2.0</v>
      </c>
      <c r="Q363" s="39">
        <v>184.9</v>
      </c>
    </row>
    <row r="364" spans="1:17" ht="30" hidden="1" customHeight="1" x14ac:dyDescent="0.25">
      <c r="A364" s="30">
        <v>32996054</v>
      </c>
      <c r="B364" s="31" t="s">
        <v>889</v>
      </c>
      <c r="C364" s="32">
        <v>1261</v>
      </c>
      <c r="D364" s="33" t="s">
        <v>96</v>
      </c>
      <c r="E364" s="34" t="s">
        <v>34</v>
      </c>
      <c r="F364" s="34" t="s">
        <v>35</v>
      </c>
      <c r="G364" s="33" t="s">
        <v>157</v>
      </c>
      <c r="H364" s="35"/>
      <c r="I364" s="36"/>
      <c r="J364" s="34"/>
      <c r="K364" s="34" t="s">
        <v>37</v>
      </c>
      <c r="L364" s="37">
        <v>46259</v>
      </c>
      <c r="M364" s="38">
        <v>46258</v>
      </c>
      <c r="N364" s="40">
        <v>0.0</v>
      </c>
      <c r="O364" s="40"/>
      <c r="P364" s="39">
        <v>2.0</v>
      </c>
      <c r="Q364" s="39">
        <v>1.0</v>
      </c>
    </row>
    <row r="365" spans="1:17" ht="45" hidden="1" customHeight="1" x14ac:dyDescent="0.25">
      <c r="A365" s="30">
        <v>32996073</v>
      </c>
      <c r="B365" s="31" t="s">
        <v>890</v>
      </c>
      <c r="C365" s="32">
        <v>1262</v>
      </c>
      <c r="D365" s="33" t="s">
        <v>96</v>
      </c>
      <c r="E365" s="34" t="s">
        <v>22</v>
      </c>
      <c r="F365" s="34" t="s">
        <v>35</v>
      </c>
      <c r="G365" s="33" t="s">
        <v>157</v>
      </c>
      <c r="H365" s="35"/>
      <c r="I365" s="36"/>
      <c r="J365" s="34"/>
      <c r="K365" s="34" t="s">
        <v>37</v>
      </c>
      <c r="L365" s="37"/>
      <c r="M365" s="38"/>
      <c r="N365" s="39">
        <v>3.0</v>
      </c>
      <c r="O365" s="40"/>
      <c r="P365" s="39">
        <v>0.2</v>
      </c>
      <c r="Q365" s="39">
        <v>695.9</v>
      </c>
    </row>
    <row r="366" spans="1:17" ht="30" hidden="1" customHeight="1" x14ac:dyDescent="0.25">
      <c r="A366" s="30">
        <v>32996610</v>
      </c>
      <c r="B366" s="31" t="s">
        <v>891</v>
      </c>
      <c r="C366" s="32">
        <v>1264</v>
      </c>
      <c r="D366" s="33" t="s">
        <v>185</v>
      </c>
      <c r="E366" s="34" t="s">
        <v>34</v>
      </c>
      <c r="F366" s="34" t="s">
        <v>35</v>
      </c>
      <c r="G366" s="33" t="s">
        <v>186</v>
      </c>
      <c r="H366" s="35"/>
      <c r="I366" s="36"/>
      <c r="J366" s="34"/>
      <c r="K366" s="34" t="s">
        <v>37</v>
      </c>
      <c r="L366" s="37">
        <v>46229</v>
      </c>
      <c r="M366" s="38">
        <v>46229</v>
      </c>
      <c r="N366" s="39">
        <v>6.5</v>
      </c>
      <c r="O366" s="40"/>
      <c r="P366" s="39">
        <v>6.5</v>
      </c>
      <c r="Q366" s="39">
        <v>6.73</v>
      </c>
    </row>
    <row r="367" spans="1:17" ht="30" hidden="1" customHeight="1" x14ac:dyDescent="0.25">
      <c r="A367" s="30">
        <v>32998113</v>
      </c>
      <c r="B367" s="31" t="s">
        <v>892</v>
      </c>
      <c r="C367" s="32">
        <v>1271</v>
      </c>
      <c r="D367" s="33" t="s">
        <v>67</v>
      </c>
      <c r="E367" s="34" t="s">
        <v>34</v>
      </c>
      <c r="F367" s="34" t="s">
        <v>35</v>
      </c>
      <c r="G367" s="33" t="s">
        <v>167</v>
      </c>
      <c r="H367" s="35"/>
      <c r="I367" s="36"/>
      <c r="J367" s="34"/>
      <c r="K367" s="34" t="s">
        <v>37</v>
      </c>
      <c r="L367" s="37">
        <v>46252</v>
      </c>
      <c r="M367" s="38">
        <v>46244</v>
      </c>
      <c r="N367" s="39">
        <v>13.0</v>
      </c>
      <c r="O367" s="40"/>
      <c r="P367" s="39">
        <v>14.5</v>
      </c>
      <c r="Q367" s="39">
        <v>419.5</v>
      </c>
    </row>
    <row r="368" spans="1:17" ht="45" hidden="1" customHeight="1" x14ac:dyDescent="0.25">
      <c r="A368" s="30">
        <v>33011258</v>
      </c>
      <c r="B368" s="31" t="s">
        <v>893</v>
      </c>
      <c r="C368" s="32">
        <v>1302</v>
      </c>
      <c r="D368" s="33" t="s">
        <v>49</v>
      </c>
      <c r="E368" s="34" t="s">
        <v>34</v>
      </c>
      <c r="F368" s="34" t="s">
        <v>35</v>
      </c>
      <c r="G368" s="33" t="s">
        <v>167</v>
      </c>
      <c r="H368" s="35"/>
      <c r="I368" s="36"/>
      <c r="J368" s="34"/>
      <c r="K368" s="34" t="s">
        <v>37</v>
      </c>
      <c r="L368" s="37">
        <v>46233</v>
      </c>
      <c r="M368" s="38">
        <v>46233</v>
      </c>
      <c r="N368" s="39">
        <v>24.0</v>
      </c>
      <c r="O368" s="40"/>
      <c r="P368" s="39">
        <v>8.0</v>
      </c>
      <c r="Q368" s="39">
        <v>4.5</v>
      </c>
    </row>
    <row r="369" spans="1:17" ht="30" hidden="1" customHeight="1" x14ac:dyDescent="0.25">
      <c r="A369" s="107" t="s">
        <v>894</v>
      </c>
      <c r="B369" s="31" t="s">
        <v>895</v>
      </c>
      <c r="C369" s="32" t="s">
        <v>896</v>
      </c>
      <c r="D369" s="33" t="s">
        <v>49</v>
      </c>
      <c r="E369" s="34" t="s">
        <v>34</v>
      </c>
      <c r="F369" s="34" t="s">
        <v>35</v>
      </c>
      <c r="G369" s="33" t="s">
        <v>50</v>
      </c>
      <c r="H369" s="35"/>
      <c r="I369" s="36"/>
      <c r="J369" s="34"/>
      <c r="K369" s="34" t="s">
        <v>25</v>
      </c>
      <c r="L369" s="37">
        <v>46259</v>
      </c>
      <c r="M369" s="38">
        <v>46258</v>
      </c>
      <c r="N369" s="40">
        <v>0.0</v>
      </c>
      <c r="O369" s="40"/>
      <c r="P369" s="39">
        <v>14.0</v>
      </c>
      <c r="Q369" s="39">
        <v>293.6</v>
      </c>
    </row>
    <row r="370" spans="1:17" ht="15.75" customHeight="1" x14ac:dyDescent="0.25">
      <c r="A370" s="107" t="s">
        <v>897</v>
      </c>
      <c r="B370" s="31" t="s">
        <v>898</v>
      </c>
      <c r="C370" s="32" t="s">
        <v>899</v>
      </c>
      <c r="D370" s="33" t="s">
        <v>67</v>
      </c>
      <c r="E370" s="34" t="s">
        <v>22</v>
      </c>
      <c r="F370" s="34" t="s">
        <v>35</v>
      </c>
      <c r="G370" s="33" t="s">
        <v>50</v>
      </c>
      <c r="H370" s="35"/>
      <c r="I370" s="36"/>
      <c r="J370" s="34"/>
      <c r="K370" s="34" t="s">
        <v>25</v>
      </c>
      <c r="L370" s="37"/>
      <c r="M370" s="38"/>
      <c r="N370" s="40">
        <v>0.0</v>
      </c>
      <c r="O370" s="40"/>
      <c r="P370" s="39"/>
      <c r="Q370" s="39">
        <v>0.0</v>
      </c>
    </row>
    <row r="371" spans="1:17" ht="30" hidden="1" customHeight="1" x14ac:dyDescent="0.25">
      <c r="A371" s="107" t="s">
        <v>900</v>
      </c>
      <c r="B371" s="31" t="s">
        <v>901</v>
      </c>
      <c r="C371" s="32" t="s">
        <v>902</v>
      </c>
      <c r="D371" s="33" t="s">
        <v>67</v>
      </c>
      <c r="E371" s="34" t="s">
        <v>34</v>
      </c>
      <c r="F371" s="34" t="s">
        <v>35</v>
      </c>
      <c r="G371" s="33" t="s">
        <v>50</v>
      </c>
      <c r="H371" s="35"/>
      <c r="I371" s="36"/>
      <c r="J371" s="34"/>
      <c r="K371" s="34" t="s">
        <v>25</v>
      </c>
      <c r="L371" s="37">
        <v>46240</v>
      </c>
      <c r="M371" s="38">
        <v>46240</v>
      </c>
      <c r="N371" s="40">
        <v>0.0</v>
      </c>
      <c r="O371" s="40"/>
      <c r="P371" s="39">
        <v>3.0</v>
      </c>
      <c r="Q371" s="39">
        <v>2.5</v>
      </c>
    </row>
    <row r="372" spans="1:17" ht="45" hidden="1" customHeight="1" x14ac:dyDescent="0.25">
      <c r="A372" s="107" t="s">
        <v>903</v>
      </c>
      <c r="B372" s="31" t="s">
        <v>904</v>
      </c>
      <c r="C372" s="32" t="s">
        <v>905</v>
      </c>
      <c r="D372" s="33" t="s">
        <v>33</v>
      </c>
      <c r="E372" s="34" t="s">
        <v>34</v>
      </c>
      <c r="F372" s="34" t="s">
        <v>141</v>
      </c>
      <c r="G372" s="33" t="s">
        <v>50</v>
      </c>
      <c r="H372" s="35"/>
      <c r="I372" s="36"/>
      <c r="J372" s="34"/>
      <c r="K372" s="34" t="s">
        <v>24</v>
      </c>
      <c r="L372" s="37">
        <v>46252</v>
      </c>
      <c r="M372" s="38">
        <v>46252</v>
      </c>
      <c r="N372" s="40">
        <v>6.0</v>
      </c>
      <c r="O372" s="40"/>
      <c r="P372" s="39">
        <v>17.75</v>
      </c>
      <c r="Q372" s="39">
        <v>4.02</v>
      </c>
    </row>
    <row r="373" spans="1:17" ht="31.5" customHeight="1" x14ac:dyDescent="0.25">
      <c r="A373" s="107" t="s">
        <v>906</v>
      </c>
      <c r="B373" s="31" t="s">
        <v>907</v>
      </c>
      <c r="C373" s="32" t="s">
        <v>908</v>
      </c>
      <c r="D373" s="33" t="s">
        <v>96</v>
      </c>
      <c r="E373" s="34" t="s">
        <v>22</v>
      </c>
      <c r="F373" s="34" t="s">
        <v>141</v>
      </c>
      <c r="G373" s="33" t="s">
        <v>50</v>
      </c>
      <c r="H373" s="35" t="s">
        <v>51</v>
      </c>
      <c r="I373" s="36"/>
      <c r="J373" s="34"/>
      <c r="K373" s="34" t="s">
        <v>25</v>
      </c>
      <c r="L373" s="37"/>
      <c r="M373" s="38"/>
      <c r="N373" s="40">
        <v>0.0</v>
      </c>
      <c r="O373" s="40"/>
      <c r="P373" s="39">
        <v>6</v>
      </c>
      <c r="Q373" s="39">
        <v>722.5</v>
      </c>
    </row>
    <row r="374" spans="1:17" ht="31.5" customHeight="1" x14ac:dyDescent="0.25">
      <c r="A374" s="107" t="s">
        <v>909</v>
      </c>
      <c r="B374" s="31" t="s">
        <v>910</v>
      </c>
      <c r="C374" s="32" t="s">
        <v>911</v>
      </c>
      <c r="D374" s="33" t="s">
        <v>96</v>
      </c>
      <c r="E374" s="34" t="s">
        <v>22</v>
      </c>
      <c r="F374" s="34" t="s">
        <v>141</v>
      </c>
      <c r="G374" s="33" t="s">
        <v>50</v>
      </c>
      <c r="H374" s="35" t="s">
        <v>51</v>
      </c>
      <c r="I374" s="36"/>
      <c r="J374" s="34"/>
      <c r="K374" s="34" t="s">
        <v>25</v>
      </c>
      <c r="L374" s="37"/>
      <c r="M374" s="38"/>
      <c r="N374" s="40">
        <v>0.0</v>
      </c>
      <c r="O374" s="40"/>
      <c r="P374" s="39">
        <v>6</v>
      </c>
      <c r="Q374" s="39">
        <v>722.4</v>
      </c>
    </row>
    <row r="375" spans="1:17" ht="31.5" hidden="1" customHeight="1" x14ac:dyDescent="0.25">
      <c r="A375" s="107" t="s">
        <v>912</v>
      </c>
      <c r="B375" s="31" t="s">
        <v>913</v>
      </c>
      <c r="C375" s="32" t="s">
        <v>914</v>
      </c>
      <c r="D375" s="33" t="s">
        <v>96</v>
      </c>
      <c r="E375" s="34" t="s">
        <v>22</v>
      </c>
      <c r="F375" s="34" t="s">
        <v>141</v>
      </c>
      <c r="G375" s="33" t="s">
        <v>50</v>
      </c>
      <c r="H375" s="35" t="s">
        <v>51</v>
      </c>
      <c r="I375" s="36"/>
      <c r="J375" s="34"/>
      <c r="K375" s="34" t="s">
        <v>29</v>
      </c>
      <c r="L375" s="37"/>
      <c r="M375" s="38"/>
      <c r="N375" s="40">
        <v>0.0</v>
      </c>
      <c r="O375" s="40"/>
      <c r="P375" s="39">
        <v>9</v>
      </c>
      <c r="Q375" s="39">
        <v>722.3</v>
      </c>
    </row>
    <row r="376" spans="1:17" ht="30" hidden="1" customHeight="1" x14ac:dyDescent="0.25">
      <c r="A376" s="107" t="s">
        <v>915</v>
      </c>
      <c r="B376" s="31" t="s">
        <v>916</v>
      </c>
      <c r="C376" s="32" t="s">
        <v>917</v>
      </c>
      <c r="D376" s="33" t="s">
        <v>96</v>
      </c>
      <c r="E376" s="34" t="s">
        <v>22</v>
      </c>
      <c r="F376" s="34" t="s">
        <v>141</v>
      </c>
      <c r="G376" s="33" t="s">
        <v>50</v>
      </c>
      <c r="H376" s="35" t="s">
        <v>51</v>
      </c>
      <c r="I376" s="36"/>
      <c r="J376" s="34"/>
      <c r="K376" s="34" t="s">
        <v>29</v>
      </c>
      <c r="L376" s="37"/>
      <c r="M376" s="38"/>
      <c r="N376" s="40">
        <v>0.0</v>
      </c>
      <c r="O376" s="40"/>
      <c r="P376" s="39">
        <v>9</v>
      </c>
      <c r="Q376" s="39">
        <v>722.2</v>
      </c>
    </row>
    <row r="377" spans="1:17" ht="30" hidden="1" customHeight="1" x14ac:dyDescent="0.25">
      <c r="A377" s="107" t="s">
        <v>918</v>
      </c>
      <c r="B377" s="31" t="s">
        <v>919</v>
      </c>
      <c r="C377" s="32" t="s">
        <v>920</v>
      </c>
      <c r="D377" s="33" t="s">
        <v>96</v>
      </c>
      <c r="E377" s="34" t="s">
        <v>34</v>
      </c>
      <c r="F377" s="34" t="s">
        <v>35</v>
      </c>
      <c r="G377" s="33" t="s">
        <v>167</v>
      </c>
      <c r="H377" s="35"/>
      <c r="I377" s="36"/>
      <c r="J377" s="34"/>
      <c r="K377" s="34" t="s">
        <v>25</v>
      </c>
      <c r="L377" s="37">
        <v>46233</v>
      </c>
      <c r="M377" s="38">
        <v>46233</v>
      </c>
      <c r="N377" s="39">
        <v>24.0</v>
      </c>
      <c r="O377" s="40"/>
      <c r="P377" s="39">
        <v>9.0</v>
      </c>
      <c r="Q377" s="39">
        <v>47.4</v>
      </c>
    </row>
    <row r="378" spans="1:17" ht="30" hidden="1" customHeight="1" x14ac:dyDescent="0.25">
      <c r="A378" s="107" t="s">
        <v>921</v>
      </c>
      <c r="B378" s="31" t="s">
        <v>922</v>
      </c>
      <c r="C378" s="32" t="s">
        <v>923</v>
      </c>
      <c r="D378" s="33" t="s">
        <v>96</v>
      </c>
      <c r="E378" s="34" t="s">
        <v>34</v>
      </c>
      <c r="F378" s="34" t="s">
        <v>35</v>
      </c>
      <c r="G378" s="33" t="s">
        <v>167</v>
      </c>
      <c r="H378" s="35"/>
      <c r="I378" s="36"/>
      <c r="J378" s="34"/>
      <c r="K378" s="34" t="s">
        <v>29</v>
      </c>
      <c r="L378" s="37">
        <v>46233</v>
      </c>
      <c r="M378" s="38">
        <v>46233</v>
      </c>
      <c r="N378" s="39">
        <v>24.0</v>
      </c>
      <c r="O378" s="40"/>
      <c r="P378" s="39">
        <v>16.5</v>
      </c>
      <c r="Q378" s="39">
        <v>49.1</v>
      </c>
    </row>
    <row r="379" spans="1:17" ht="47.25" hidden="1" customHeight="1" x14ac:dyDescent="0.25">
      <c r="A379" s="107" t="s">
        <v>924</v>
      </c>
      <c r="B379" s="31" t="s">
        <v>925</v>
      </c>
      <c r="C379" s="32" t="s">
        <v>926</v>
      </c>
      <c r="D379" s="33" t="s">
        <v>33</v>
      </c>
      <c r="E379" s="34" t="s">
        <v>34</v>
      </c>
      <c r="F379" s="34" t="s">
        <v>23</v>
      </c>
      <c r="G379" s="33" t="s">
        <v>747</v>
      </c>
      <c r="H379" s="35"/>
      <c r="I379" s="36"/>
      <c r="J379" s="34"/>
      <c r="K379" s="34" t="s">
        <v>29</v>
      </c>
      <c r="L379" s="37">
        <v>46252</v>
      </c>
      <c r="M379" s="38">
        <v>46251</v>
      </c>
      <c r="N379" s="40">
        <v>0.0</v>
      </c>
      <c r="O379" s="40"/>
      <c r="P379" s="39">
        <v>2.67</v>
      </c>
      <c r="Q379" s="39">
        <v>437.7</v>
      </c>
    </row>
    <row r="380" spans="1:17" ht="63" hidden="1" customHeight="1" x14ac:dyDescent="0.25">
      <c r="A380" s="107" t="s">
        <v>927</v>
      </c>
      <c r="B380" s="31" t="s">
        <v>928</v>
      </c>
      <c r="C380" s="32" t="s">
        <v>929</v>
      </c>
      <c r="D380" s="33" t="s">
        <v>33</v>
      </c>
      <c r="E380" s="34" t="s">
        <v>34</v>
      </c>
      <c r="F380" s="34" t="s">
        <v>23</v>
      </c>
      <c r="G380" s="33" t="s">
        <v>747</v>
      </c>
      <c r="H380" s="35"/>
      <c r="I380" s="36"/>
      <c r="J380" s="34"/>
      <c r="K380" s="34" t="s">
        <v>29</v>
      </c>
      <c r="L380" s="37">
        <v>46252</v>
      </c>
      <c r="M380" s="38">
        <v>46246</v>
      </c>
      <c r="N380" s="40">
        <v>0.0</v>
      </c>
      <c r="O380" s="40"/>
      <c r="P380" s="39">
        <v>12.33</v>
      </c>
      <c r="Q380" s="39">
        <v>333.4</v>
      </c>
    </row>
    <row r="381" spans="1:17" ht="63" hidden="1" customHeight="1" x14ac:dyDescent="0.25">
      <c r="A381" s="107" t="s">
        <v>930</v>
      </c>
      <c r="B381" s="31" t="s">
        <v>931</v>
      </c>
      <c r="C381" s="32" t="s">
        <v>932</v>
      </c>
      <c r="D381" s="33" t="s">
        <v>33</v>
      </c>
      <c r="E381" s="34" t="s">
        <v>34</v>
      </c>
      <c r="F381" s="34" t="s">
        <v>23</v>
      </c>
      <c r="G381" s="33" t="s">
        <v>747</v>
      </c>
      <c r="H381" s="35" t="s">
        <v>51</v>
      </c>
      <c r="I381" s="36"/>
      <c r="J381" s="34"/>
      <c r="K381" s="34" t="s">
        <v>29</v>
      </c>
      <c r="L381" s="37">
        <v>46259</v>
      </c>
      <c r="M381" s="38">
        <v>46257</v>
      </c>
      <c r="N381" s="40">
        <v>0.0</v>
      </c>
      <c r="O381" s="40"/>
      <c r="P381" s="39">
        <v>8.25</v>
      </c>
      <c r="Q381" s="39">
        <v>332.0</v>
      </c>
    </row>
    <row r="382" spans="1:17" ht="78.75" hidden="1" customHeight="1" x14ac:dyDescent="0.25">
      <c r="A382" s="107" t="s">
        <v>933</v>
      </c>
      <c r="B382" s="31" t="s">
        <v>934</v>
      </c>
      <c r="C382" s="32" t="s">
        <v>935</v>
      </c>
      <c r="D382" s="33" t="s">
        <v>33</v>
      </c>
      <c r="E382" s="34" t="s">
        <v>34</v>
      </c>
      <c r="F382" s="34" t="s">
        <v>23</v>
      </c>
      <c r="G382" s="33" t="s">
        <v>50</v>
      </c>
      <c r="H382" s="35"/>
      <c r="I382" s="36"/>
      <c r="J382" s="34"/>
      <c r="K382" s="34" t="s">
        <v>29</v>
      </c>
      <c r="L382" s="37">
        <v>46260</v>
      </c>
      <c r="N382">
        <v>0.0</v>
      </c>
      <c r="O382" s="40"/>
      <c r="P382" s="39">
        <v>3.92</v>
      </c>
      <c r="Q382" s="39">
        <v>242.1</v>
      </c>
    </row>
    <row r="383" spans="1:17" ht="30" customHeight="1" x14ac:dyDescent="0.25">
      <c r="A383" s="107">
        <v>33021722</v>
      </c>
      <c r="B383" s="31" t="s">
        <v>936</v>
      </c>
      <c r="C383" s="32">
        <v>1339</v>
      </c>
      <c r="D383" s="33" t="s">
        <v>67</v>
      </c>
      <c r="E383" s="34" t="s">
        <v>34</v>
      </c>
      <c r="F383" s="34" t="s">
        <v>35</v>
      </c>
      <c r="G383" s="33" t="s">
        <v>747</v>
      </c>
      <c r="H383" s="35"/>
      <c r="I383" s="36"/>
      <c r="J383" s="34"/>
      <c r="K383" s="34" t="s">
        <v>25</v>
      </c>
      <c r="L383" s="37">
        <v>46260</v>
      </c>
      <c r="N383">
        <v>0.0</v>
      </c>
      <c r="O383" s="40"/>
      <c r="P383" s="39">
        <v>0.5</v>
      </c>
      <c r="Q383">
        <v>0.5</v>
      </c>
    </row>
    <row r="384" spans="1:17" ht="30" hidden="1" customHeight="1" x14ac:dyDescent="0.25">
      <c r="A384" s="107">
        <v>33021799</v>
      </c>
      <c r="B384" s="31" t="s">
        <v>937</v>
      </c>
      <c r="C384" s="32">
        <v>1340</v>
      </c>
      <c r="D384" s="33" t="s">
        <v>33</v>
      </c>
      <c r="E384" s="34" t="s">
        <v>34</v>
      </c>
      <c r="F384" s="34" t="s">
        <v>35</v>
      </c>
      <c r="G384" s="33" t="s">
        <v>50</v>
      </c>
      <c r="H384" s="35"/>
      <c r="I384" s="36"/>
      <c r="J384" s="34"/>
      <c r="K384" s="34" t="s">
        <v>25</v>
      </c>
      <c r="L384" s="37">
        <v>46256</v>
      </c>
      <c r="M384" s="38">
        <v>46254</v>
      </c>
      <c r="N384" s="40">
        <v>0.0</v>
      </c>
      <c r="O384" s="40"/>
      <c r="P384" s="39">
        <v>47.5</v>
      </c>
      <c r="Q384" s="39">
        <v>549.0</v>
      </c>
    </row>
    <row r="385" spans="1:17" ht="15.75" hidden="1" customHeight="1" x14ac:dyDescent="0.25">
      <c r="A385" s="107">
        <v>33021843</v>
      </c>
      <c r="B385" s="31" t="s">
        <v>938</v>
      </c>
      <c r="C385" s="32">
        <v>1341</v>
      </c>
      <c r="D385" s="33" t="s">
        <v>67</v>
      </c>
      <c r="E385" s="34" t="s">
        <v>34</v>
      </c>
      <c r="F385" s="34" t="s">
        <v>35</v>
      </c>
      <c r="G385" s="33" t="s">
        <v>50</v>
      </c>
      <c r="H385" s="35"/>
      <c r="I385" s="36"/>
      <c r="J385" s="34"/>
      <c r="K385" s="34" t="s">
        <v>25</v>
      </c>
      <c r="L385" s="37">
        <v>46240</v>
      </c>
      <c r="M385" s="38">
        <v>46240</v>
      </c>
      <c r="N385" s="40">
        <v>0.0</v>
      </c>
      <c r="O385" s="40"/>
      <c r="P385" s="39">
        <v>2.0</v>
      </c>
      <c r="Q385" s="39">
        <v>2.0</v>
      </c>
    </row>
    <row r="386" spans="1:17" ht="15.75" hidden="1" customHeight="1" x14ac:dyDescent="0.25">
      <c r="A386" s="107">
        <v>33022670</v>
      </c>
      <c r="B386" s="31" t="s">
        <v>939</v>
      </c>
      <c r="C386" s="32">
        <v>1342</v>
      </c>
      <c r="D386" s="33" t="s">
        <v>67</v>
      </c>
      <c r="E386" s="34" t="s">
        <v>34</v>
      </c>
      <c r="F386" s="34" t="s">
        <v>35</v>
      </c>
      <c r="G386" s="33" t="s">
        <v>50</v>
      </c>
      <c r="H386" s="35" t="s">
        <v>51</v>
      </c>
      <c r="I386" s="36" t="s">
        <v>940</v>
      </c>
      <c r="J386" s="34"/>
      <c r="K386" s="34" t="s">
        <v>25</v>
      </c>
      <c r="L386" s="37">
        <v>46259</v>
      </c>
      <c r="M386" s="38">
        <v>46258</v>
      </c>
      <c r="N386" s="40">
        <v>0.0</v>
      </c>
      <c r="O386" s="40"/>
      <c r="P386" s="39">
        <v>2.5</v>
      </c>
      <c r="Q386" s="39">
        <v>2.5</v>
      </c>
    </row>
    <row r="387" spans="1:17" ht="31.5" customHeight="1" x14ac:dyDescent="0.25">
      <c r="A387" s="107">
        <v>33022800</v>
      </c>
      <c r="B387" s="31" t="s">
        <v>941</v>
      </c>
      <c r="C387" s="32">
        <v>1343</v>
      </c>
      <c r="D387" s="33" t="s">
        <v>67</v>
      </c>
      <c r="E387" s="34" t="s">
        <v>22</v>
      </c>
      <c r="F387" s="34" t="s">
        <v>35</v>
      </c>
      <c r="G387" s="33" t="s">
        <v>50</v>
      </c>
      <c r="H387" s="35" t="s">
        <v>51</v>
      </c>
      <c r="I387" s="36"/>
      <c r="J387" s="34"/>
      <c r="K387" s="34" t="s">
        <v>25</v>
      </c>
      <c r="L387" s="37"/>
      <c r="M387" s="38"/>
      <c r="N387" s="40">
        <v>0.0</v>
      </c>
      <c r="O387" s="40"/>
      <c r="P387" s="39"/>
      <c r="Q387" s="39">
        <v>102.9</v>
      </c>
    </row>
    <row r="388" spans="1:17" ht="30" hidden="1" customHeight="1" x14ac:dyDescent="0.25">
      <c r="A388" s="107">
        <v>33022853</v>
      </c>
      <c r="B388" s="31" t="s">
        <v>942</v>
      </c>
      <c r="C388" s="32">
        <v>1344</v>
      </c>
      <c r="D388" s="33" t="s">
        <v>67</v>
      </c>
      <c r="E388" s="34" t="s">
        <v>34</v>
      </c>
      <c r="F388" s="34" t="s">
        <v>35</v>
      </c>
      <c r="G388" s="33" t="s">
        <v>50</v>
      </c>
      <c r="H388" s="35"/>
      <c r="I388" s="36"/>
      <c r="J388" s="34"/>
      <c r="K388" s="34" t="s">
        <v>25</v>
      </c>
      <c r="L388" s="37">
        <v>46244</v>
      </c>
      <c r="M388" s="38">
        <v>46244</v>
      </c>
      <c r="N388" s="40">
        <v>0.0</v>
      </c>
      <c r="O388" s="40"/>
      <c r="P388" s="39">
        <v>2.5</v>
      </c>
      <c r="Q388" s="39">
        <v>2.5</v>
      </c>
    </row>
    <row r="389" spans="1:17" ht="30" hidden="1" customHeight="1" x14ac:dyDescent="0.25">
      <c r="A389" s="107">
        <v>33022868</v>
      </c>
      <c r="B389" s="31" t="s">
        <v>943</v>
      </c>
      <c r="C389" s="32">
        <v>1345</v>
      </c>
      <c r="D389" s="33" t="s">
        <v>49</v>
      </c>
      <c r="E389" s="34" t="s">
        <v>34</v>
      </c>
      <c r="F389" s="34" t="s">
        <v>35</v>
      </c>
      <c r="G389" s="33" t="s">
        <v>50</v>
      </c>
      <c r="H389" s="35"/>
      <c r="I389" s="36"/>
      <c r="J389" s="34"/>
      <c r="K389" s="34" t="s">
        <v>25</v>
      </c>
      <c r="L389" s="37">
        <v>46243</v>
      </c>
      <c r="M389" s="38">
        <v>46243</v>
      </c>
      <c r="N389" s="40">
        <v>0.0</v>
      </c>
      <c r="O389" s="40"/>
      <c r="P389" s="39">
        <v>2.5</v>
      </c>
      <c r="Q389" s="39">
        <v>2.5</v>
      </c>
    </row>
    <row r="390" spans="1:17" ht="30" hidden="1" customHeight="1" x14ac:dyDescent="0.25">
      <c r="A390" s="107">
        <v>33022953</v>
      </c>
      <c r="B390" s="31" t="s">
        <v>944</v>
      </c>
      <c r="C390" s="32">
        <v>1347</v>
      </c>
      <c r="D390" s="33" t="s">
        <v>49</v>
      </c>
      <c r="E390" s="34" t="s">
        <v>34</v>
      </c>
      <c r="F390" s="34" t="s">
        <v>35</v>
      </c>
      <c r="G390" s="33" t="s">
        <v>50</v>
      </c>
      <c r="H390" s="35"/>
      <c r="I390" s="36"/>
      <c r="J390" s="34"/>
      <c r="K390" s="34" t="s">
        <v>25</v>
      </c>
      <c r="L390" s="37">
        <v>46238</v>
      </c>
      <c r="M390" s="38">
        <v>46238</v>
      </c>
      <c r="N390" s="40">
        <v>0.0</v>
      </c>
      <c r="O390" s="40"/>
      <c r="P390" s="39">
        <v>1.0</v>
      </c>
      <c r="Q390" s="39">
        <v>1.0</v>
      </c>
    </row>
    <row r="391" spans="1:17" ht="30" hidden="1" customHeight="1" x14ac:dyDescent="0.25">
      <c r="A391" s="107">
        <v>33022966</v>
      </c>
      <c r="B391" s="31" t="s">
        <v>945</v>
      </c>
      <c r="C391" s="32">
        <v>1348</v>
      </c>
      <c r="D391" s="33" t="s">
        <v>49</v>
      </c>
      <c r="E391" s="34" t="s">
        <v>34</v>
      </c>
      <c r="F391" s="34" t="s">
        <v>35</v>
      </c>
      <c r="G391" s="33" t="s">
        <v>50</v>
      </c>
      <c r="H391" s="35"/>
      <c r="I391" s="36"/>
      <c r="J391" s="34"/>
      <c r="K391" s="34" t="s">
        <v>25</v>
      </c>
      <c r="L391" s="37">
        <v>46246</v>
      </c>
      <c r="M391" s="38">
        <v>46246</v>
      </c>
      <c r="N391" s="40">
        <v>0.0</v>
      </c>
      <c r="O391" s="40"/>
      <c r="P391" s="39">
        <v>1.5</v>
      </c>
      <c r="Q391" s="39">
        <v>173.4</v>
      </c>
    </row>
    <row r="392" spans="1:17" ht="15.75" hidden="1" customHeight="1" x14ac:dyDescent="0.25">
      <c r="A392" s="107">
        <v>33022983</v>
      </c>
      <c r="B392" s="31" t="s">
        <v>946</v>
      </c>
      <c r="C392" s="32">
        <v>1349</v>
      </c>
      <c r="D392" s="33" t="s">
        <v>72</v>
      </c>
      <c r="E392" s="34" t="s">
        <v>34</v>
      </c>
      <c r="F392" s="34" t="s">
        <v>35</v>
      </c>
      <c r="G392" s="33" t="s">
        <v>50</v>
      </c>
      <c r="H392" s="35"/>
      <c r="I392" s="36"/>
      <c r="J392" s="34"/>
      <c r="K392" s="34" t="s">
        <v>25</v>
      </c>
      <c r="L392" s="37">
        <v>46252</v>
      </c>
      <c r="M392" s="38">
        <v>46250</v>
      </c>
      <c r="N392" s="40">
        <v>0.0</v>
      </c>
      <c r="O392" s="40"/>
      <c r="P392" s="39">
        <v>2.5</v>
      </c>
      <c r="Q392" s="39">
        <v>2.5</v>
      </c>
    </row>
    <row r="393" spans="1:17" ht="30" hidden="1" customHeight="1" x14ac:dyDescent="0.25">
      <c r="A393" s="107">
        <v>33023575</v>
      </c>
      <c r="B393" s="31" t="s">
        <v>947</v>
      </c>
      <c r="C393" s="32">
        <v>1352</v>
      </c>
      <c r="D393" s="33" t="s">
        <v>96</v>
      </c>
      <c r="E393" s="34" t="s">
        <v>34</v>
      </c>
      <c r="F393" s="34" t="s">
        <v>35</v>
      </c>
      <c r="G393" s="33" t="s">
        <v>167</v>
      </c>
      <c r="H393" s="35"/>
      <c r="I393" s="36"/>
      <c r="J393" s="34"/>
      <c r="K393" s="34" t="s">
        <v>25</v>
      </c>
      <c r="L393" s="37">
        <v>46232</v>
      </c>
      <c r="M393" s="38">
        <v>46232</v>
      </c>
      <c r="N393" s="39">
        <v>9.0</v>
      </c>
      <c r="O393" s="40"/>
      <c r="P393" s="39">
        <v>10.0</v>
      </c>
      <c r="Q393" s="39">
        <v>5.15</v>
      </c>
    </row>
    <row r="394" spans="1:17" ht="30" customHeight="1" x14ac:dyDescent="0.25">
      <c r="A394" s="107">
        <v>33023666</v>
      </c>
      <c r="B394" s="31" t="s">
        <v>948</v>
      </c>
      <c r="C394" s="32">
        <v>1353</v>
      </c>
      <c r="D394" s="33" t="s">
        <v>49</v>
      </c>
      <c r="E394" s="34" t="s">
        <v>34</v>
      </c>
      <c r="F394" s="34" t="s">
        <v>35</v>
      </c>
      <c r="G394" s="33" t="s">
        <v>50</v>
      </c>
      <c r="H394" s="35" t="s">
        <v>51</v>
      </c>
      <c r="I394" s="36"/>
      <c r="J394" s="34"/>
      <c r="K394" s="34" t="s">
        <v>25</v>
      </c>
      <c r="L394" s="37">
        <v>46260</v>
      </c>
      <c r="N394">
        <v>0.0</v>
      </c>
      <c r="O394" s="40"/>
      <c r="P394" s="39">
        <v>19.17</v>
      </c>
      <c r="Q394">
        <v>172.7</v>
      </c>
    </row>
    <row r="395" spans="1:17" ht="30" hidden="1" customHeight="1" x14ac:dyDescent="0.25">
      <c r="A395" s="107">
        <v>33023735</v>
      </c>
      <c r="B395" s="31" t="s">
        <v>949</v>
      </c>
      <c r="C395" s="32">
        <v>1354</v>
      </c>
      <c r="D395" s="33" t="s">
        <v>96</v>
      </c>
      <c r="E395" s="34" t="s">
        <v>34</v>
      </c>
      <c r="F395" s="34" t="s">
        <v>35</v>
      </c>
      <c r="G395" s="33" t="s">
        <v>167</v>
      </c>
      <c r="H395" s="35"/>
      <c r="I395" s="36"/>
      <c r="J395" s="34"/>
      <c r="K395" s="34" t="s">
        <v>29</v>
      </c>
      <c r="L395" s="37">
        <v>46232</v>
      </c>
      <c r="M395" s="38">
        <v>46232</v>
      </c>
      <c r="N395" s="39">
        <v>7.0</v>
      </c>
      <c r="O395" s="40"/>
      <c r="P395" s="39">
        <v>8.0</v>
      </c>
      <c r="Q395" s="39">
        <v>5.08</v>
      </c>
    </row>
    <row r="396" spans="1:17" ht="30" hidden="1" customHeight="1" x14ac:dyDescent="0.25">
      <c r="A396" s="107">
        <v>33023745</v>
      </c>
      <c r="B396" s="31" t="s">
        <v>950</v>
      </c>
      <c r="C396" s="32">
        <v>1355</v>
      </c>
      <c r="D396" s="33" t="s">
        <v>49</v>
      </c>
      <c r="E396" s="34" t="s">
        <v>34</v>
      </c>
      <c r="F396" s="34" t="s">
        <v>35</v>
      </c>
      <c r="G396" s="33" t="s">
        <v>50</v>
      </c>
      <c r="H396" s="35"/>
      <c r="I396" s="36"/>
      <c r="J396" s="34"/>
      <c r="K396" s="34" t="s">
        <v>25</v>
      </c>
      <c r="L396" s="37">
        <v>46237</v>
      </c>
      <c r="M396" s="38">
        <v>46237</v>
      </c>
      <c r="N396" s="40">
        <v>0.0</v>
      </c>
      <c r="O396" s="40"/>
      <c r="P396" s="39">
        <v>7.58</v>
      </c>
      <c r="Q396" s="39">
        <v>5.93</v>
      </c>
    </row>
    <row r="397" spans="1:17" ht="30.75" hidden="1" customHeight="1" x14ac:dyDescent="0.25">
      <c r="A397" s="107">
        <v>33023803</v>
      </c>
      <c r="B397" s="31" t="s">
        <v>951</v>
      </c>
      <c r="C397" s="32">
        <v>1356</v>
      </c>
      <c r="D397" s="33" t="s">
        <v>49</v>
      </c>
      <c r="E397" s="34" t="s">
        <v>34</v>
      </c>
      <c r="F397" s="34" t="s">
        <v>35</v>
      </c>
      <c r="G397" s="33" t="s">
        <v>50</v>
      </c>
      <c r="H397" s="35" t="s">
        <v>51</v>
      </c>
      <c r="I397" s="36" t="s">
        <v>952</v>
      </c>
      <c r="J397" s="34"/>
      <c r="K397" s="34" t="s">
        <v>25</v>
      </c>
      <c r="L397" s="37">
        <v>46246</v>
      </c>
      <c r="M397" s="38">
        <v>46246</v>
      </c>
      <c r="N397" s="40">
        <v>0.0</v>
      </c>
      <c r="O397" s="40"/>
      <c r="P397" s="39">
        <v>14.5</v>
      </c>
      <c r="Q397" s="39">
        <v>224.7</v>
      </c>
    </row>
    <row r="398" spans="1:17" ht="30" hidden="1" customHeight="1" x14ac:dyDescent="0.25">
      <c r="A398" s="107">
        <v>33023820</v>
      </c>
      <c r="B398" s="31" t="s">
        <v>953</v>
      </c>
      <c r="C398" s="32">
        <v>1357</v>
      </c>
      <c r="D398" s="33" t="s">
        <v>67</v>
      </c>
      <c r="E398" s="34" t="s">
        <v>34</v>
      </c>
      <c r="F398" s="34" t="s">
        <v>35</v>
      </c>
      <c r="G398" s="33" t="s">
        <v>50</v>
      </c>
      <c r="H398" s="35"/>
      <c r="I398" s="36"/>
      <c r="J398" s="34"/>
      <c r="K398" s="34" t="s">
        <v>25</v>
      </c>
      <c r="L398" s="37">
        <v>46252</v>
      </c>
      <c r="M398" s="38">
        <v>46251</v>
      </c>
      <c r="N398" s="40">
        <v>0.0</v>
      </c>
      <c r="O398" s="40"/>
      <c r="P398" s="39">
        <v>1.5</v>
      </c>
      <c r="Q398" s="39">
        <v>1.5</v>
      </c>
    </row>
    <row r="399" spans="1:17" ht="30" hidden="1" customHeight="1" x14ac:dyDescent="0.25">
      <c r="A399" s="107">
        <v>33023837</v>
      </c>
      <c r="B399" s="31" t="s">
        <v>954</v>
      </c>
      <c r="C399" s="32">
        <v>1358</v>
      </c>
      <c r="D399" s="33" t="s">
        <v>67</v>
      </c>
      <c r="E399" s="34" t="s">
        <v>34</v>
      </c>
      <c r="F399" s="34" t="s">
        <v>35</v>
      </c>
      <c r="G399" s="33" t="s">
        <v>50</v>
      </c>
      <c r="H399" s="35"/>
      <c r="I399" s="36" t="s">
        <v>36</v>
      </c>
      <c r="J399" s="34"/>
      <c r="K399" s="34" t="s">
        <v>25</v>
      </c>
      <c r="L399" s="37">
        <v>46259</v>
      </c>
      <c r="M399" s="38">
        <v>46257</v>
      </c>
      <c r="N399" s="40">
        <v>0.0</v>
      </c>
      <c r="O399" s="40"/>
      <c r="P399" s="39">
        <v>5.0</v>
      </c>
      <c r="Q399" s="39">
        <v>5.0</v>
      </c>
    </row>
    <row r="400" spans="1:17" ht="31.5" customHeight="1" x14ac:dyDescent="0.25">
      <c r="A400" s="107">
        <v>33025667</v>
      </c>
      <c r="B400" s="31" t="s">
        <v>955</v>
      </c>
      <c r="C400" s="32">
        <v>1360</v>
      </c>
      <c r="D400" s="33" t="s">
        <v>96</v>
      </c>
      <c r="E400" s="34" t="s">
        <v>22</v>
      </c>
      <c r="F400" s="34" t="s">
        <v>35</v>
      </c>
      <c r="G400" s="33" t="s">
        <v>50</v>
      </c>
      <c r="H400" s="35" t="s">
        <v>51</v>
      </c>
      <c r="I400" s="36"/>
      <c r="J400" s="34"/>
      <c r="K400" s="34" t="s">
        <v>25</v>
      </c>
      <c r="L400" s="37"/>
      <c r="M400" s="38"/>
      <c r="N400" s="40">
        <v>0.0</v>
      </c>
      <c r="O400" s="40"/>
      <c r="P400" s="39"/>
      <c r="Q400" s="39">
        <v>450.7</v>
      </c>
    </row>
    <row r="401" spans="1:17" ht="30" customHeight="1" x14ac:dyDescent="0.25">
      <c r="A401" s="107" t="s">
        <v>956</v>
      </c>
      <c r="B401" s="31" t="s">
        <v>957</v>
      </c>
      <c r="C401" s="32" t="s">
        <v>958</v>
      </c>
      <c r="D401" s="33" t="s">
        <v>67</v>
      </c>
      <c r="E401" s="34" t="s">
        <v>34</v>
      </c>
      <c r="F401" s="34" t="s">
        <v>35</v>
      </c>
      <c r="G401" s="33" t="s">
        <v>50</v>
      </c>
      <c r="H401" s="35"/>
      <c r="I401" s="36" t="s">
        <v>959</v>
      </c>
      <c r="J401" s="34"/>
      <c r="K401" s="34" t="s">
        <v>25</v>
      </c>
      <c r="L401" s="37">
        <v>46260</v>
      </c>
      <c r="N401">
        <v>0.0</v>
      </c>
      <c r="O401" s="40"/>
      <c r="P401" s="39">
        <v>2.0</v>
      </c>
      <c r="Q401">
        <v>2.0</v>
      </c>
    </row>
    <row r="402" spans="1:17" ht="45" hidden="1" customHeight="1" x14ac:dyDescent="0.25">
      <c r="A402" s="107" t="s">
        <v>960</v>
      </c>
      <c r="B402" s="31" t="s">
        <v>961</v>
      </c>
      <c r="C402" s="32" t="s">
        <v>962</v>
      </c>
      <c r="D402" s="33" t="s">
        <v>96</v>
      </c>
      <c r="E402" s="34" t="s">
        <v>34</v>
      </c>
      <c r="F402" s="34" t="s">
        <v>35</v>
      </c>
      <c r="G402" s="33" t="s">
        <v>747</v>
      </c>
      <c r="H402" s="35"/>
      <c r="I402" s="36"/>
      <c r="J402" s="34"/>
      <c r="K402" s="34" t="s">
        <v>29</v>
      </c>
      <c r="L402" s="37">
        <v>46252</v>
      </c>
      <c r="M402" s="38">
        <v>46238</v>
      </c>
      <c r="N402" s="40">
        <v>0.0</v>
      </c>
      <c r="O402" s="40"/>
      <c r="P402" s="39">
        <v>28.1</v>
      </c>
      <c r="Q402" s="39">
        <v>120.0</v>
      </c>
    </row>
    <row r="403" spans="1:17" ht="45" hidden="1" customHeight="1" x14ac:dyDescent="0.25">
      <c r="A403" s="107" t="s">
        <v>963</v>
      </c>
      <c r="B403" s="31" t="s">
        <v>964</v>
      </c>
      <c r="C403" s="32" t="s">
        <v>965</v>
      </c>
      <c r="D403" s="33" t="s">
        <v>96</v>
      </c>
      <c r="E403" s="34" t="s">
        <v>34</v>
      </c>
      <c r="F403" s="34" t="s">
        <v>35</v>
      </c>
      <c r="G403" s="33" t="s">
        <v>747</v>
      </c>
      <c r="H403" s="35"/>
      <c r="I403" s="36"/>
      <c r="J403" s="34"/>
      <c r="K403" s="34" t="s">
        <v>29</v>
      </c>
      <c r="L403" s="37">
        <v>46252</v>
      </c>
      <c r="M403" s="38">
        <v>46238</v>
      </c>
      <c r="N403" s="40">
        <v>0.0</v>
      </c>
      <c r="O403" s="40"/>
      <c r="P403" s="39">
        <v>17.25</v>
      </c>
      <c r="Q403" s="39">
        <v>127.5</v>
      </c>
    </row>
    <row r="404" spans="1:17" ht="15.75" customHeight="1" x14ac:dyDescent="0.25">
      <c r="A404" s="107" t="s">
        <v>966</v>
      </c>
      <c r="B404" s="31" t="s">
        <v>967</v>
      </c>
      <c r="C404" s="32" t="s">
        <v>968</v>
      </c>
      <c r="D404" s="33" t="s">
        <v>67</v>
      </c>
      <c r="E404" s="34" t="s">
        <v>22</v>
      </c>
      <c r="F404" s="34" t="s">
        <v>141</v>
      </c>
      <c r="G404" s="33" t="s">
        <v>50</v>
      </c>
      <c r="H404" s="35"/>
      <c r="I404" s="36"/>
      <c r="J404" s="34"/>
      <c r="K404" s="34" t="s">
        <v>25</v>
      </c>
      <c r="L404" s="37"/>
      <c r="M404" s="38"/>
      <c r="N404" s="40"/>
      <c r="O404" s="40"/>
      <c r="P404" s="39">
        <v>19.5</v>
      </c>
      <c r="Q404" s="39">
        <v>143.4</v>
      </c>
    </row>
    <row r="405" spans="1:17" ht="15.75" customHeight="1" x14ac:dyDescent="0.25">
      <c r="A405" s="107" t="s">
        <v>969</v>
      </c>
      <c r="B405" s="31" t="s">
        <v>970</v>
      </c>
      <c r="C405" s="32" t="s">
        <v>971</v>
      </c>
      <c r="D405" s="33" t="s">
        <v>185</v>
      </c>
      <c r="E405" s="34" t="s">
        <v>22</v>
      </c>
      <c r="F405" s="34" t="s">
        <v>141</v>
      </c>
      <c r="G405" s="33" t="s">
        <v>50</v>
      </c>
      <c r="H405" s="35"/>
      <c r="I405" s="36"/>
      <c r="J405" s="34"/>
      <c r="K405" s="34" t="s">
        <v>25</v>
      </c>
      <c r="L405" s="37"/>
      <c r="M405" s="38"/>
      <c r="N405" s="40"/>
      <c r="O405" s="40"/>
      <c r="P405" s="39">
        <v>26</v>
      </c>
      <c r="Q405" s="39">
        <v>143.4</v>
      </c>
    </row>
    <row r="406" spans="1:17" ht="30.75" hidden="1" customHeight="1" x14ac:dyDescent="0.25">
      <c r="A406" s="107" t="s">
        <v>972</v>
      </c>
      <c r="B406" s="31" t="s">
        <v>973</v>
      </c>
      <c r="C406" s="32" t="s">
        <v>974</v>
      </c>
      <c r="D406" s="33" t="s">
        <v>33</v>
      </c>
      <c r="E406" s="34" t="s">
        <v>34</v>
      </c>
      <c r="F406" s="34" t="s">
        <v>35</v>
      </c>
      <c r="G406" s="33" t="s">
        <v>50</v>
      </c>
      <c r="H406" s="35" t="s">
        <v>51</v>
      </c>
      <c r="I406" s="36" t="s">
        <v>975</v>
      </c>
      <c r="J406" s="34"/>
      <c r="K406" s="34" t="s">
        <v>25</v>
      </c>
      <c r="L406" s="37">
        <v>46259</v>
      </c>
      <c r="M406" s="38">
        <v>46258</v>
      </c>
      <c r="N406" s="40">
        <v>0.0</v>
      </c>
      <c r="O406" s="40"/>
      <c r="P406" s="39">
        <v>4.0</v>
      </c>
      <c r="Q406" s="39">
        <v>9.72</v>
      </c>
    </row>
    <row r="407" spans="1:17" ht="30" customHeight="1" x14ac:dyDescent="0.25">
      <c r="A407" s="107" t="s">
        <v>976</v>
      </c>
      <c r="B407" s="31" t="s">
        <v>977</v>
      </c>
      <c r="C407" s="32" t="s">
        <v>978</v>
      </c>
      <c r="D407" s="33" t="s">
        <v>67</v>
      </c>
      <c r="E407" s="34" t="s">
        <v>34</v>
      </c>
      <c r="F407" s="34" t="s">
        <v>35</v>
      </c>
      <c r="G407" s="33" t="s">
        <v>167</v>
      </c>
      <c r="H407" s="35"/>
      <c r="I407" s="36"/>
      <c r="J407" s="34"/>
      <c r="K407" s="34" t="s">
        <v>25</v>
      </c>
      <c r="L407" s="37">
        <v>46260</v>
      </c>
      <c r="N407">
        <v>0.0</v>
      </c>
      <c r="O407" s="40"/>
      <c r="P407" s="39">
        <v>6.0</v>
      </c>
      <c r="Q407">
        <v>3.0</v>
      </c>
    </row>
    <row r="408" spans="1:17" ht="60" hidden="1" customHeight="1" x14ac:dyDescent="0.25">
      <c r="A408" s="107" t="s">
        <v>979</v>
      </c>
      <c r="B408" s="31" t="s">
        <v>980</v>
      </c>
      <c r="C408" s="32" t="s">
        <v>981</v>
      </c>
      <c r="D408" s="33" t="s">
        <v>67</v>
      </c>
      <c r="E408" s="34" t="s">
        <v>34</v>
      </c>
      <c r="F408" s="34" t="s">
        <v>35</v>
      </c>
      <c r="G408" s="33" t="s">
        <v>747</v>
      </c>
      <c r="H408" s="35"/>
      <c r="I408" s="36"/>
      <c r="J408" s="34"/>
      <c r="K408" s="34" t="s">
        <v>25</v>
      </c>
      <c r="L408" s="37">
        <v>46252</v>
      </c>
      <c r="M408" s="38">
        <v>46245</v>
      </c>
      <c r="N408" s="40">
        <v>0.0</v>
      </c>
      <c r="O408" s="40"/>
      <c r="P408" s="39">
        <v>54.2</v>
      </c>
      <c r="Q408" s="39">
        <v>288.2</v>
      </c>
    </row>
    <row r="409" spans="1:17" ht="15.75" customHeight="1" x14ac:dyDescent="0.25">
      <c r="A409" s="87" t="s">
        <v>966</v>
      </c>
      <c r="B409" s="31" t="s">
        <v>967</v>
      </c>
      <c r="C409" s="32" t="s">
        <v>968</v>
      </c>
      <c r="D409" s="33" t="s">
        <v>67</v>
      </c>
      <c r="E409" s="34" t="s">
        <v>22</v>
      </c>
      <c r="F409" s="34" t="s">
        <v>141</v>
      </c>
      <c r="G409" s="33" t="s">
        <v>50</v>
      </c>
      <c r="H409" s="35"/>
      <c r="I409" s="36"/>
      <c r="J409" s="34"/>
      <c r="K409" s="34" t="s">
        <v>25</v>
      </c>
      <c r="L409" s="37"/>
      <c r="M409" s="38"/>
      <c r="N409" s="40">
        <v>0.0</v>
      </c>
      <c r="O409" s="40"/>
      <c r="P409" s="39">
        <v>19.5</v>
      </c>
      <c r="Q409" s="39">
        <v>677.9</v>
      </c>
    </row>
    <row r="410" spans="1:17" ht="15.75" customHeight="1" x14ac:dyDescent="0.25">
      <c r="A410" s="87" t="s">
        <v>969</v>
      </c>
      <c r="B410" s="31" t="s">
        <v>970</v>
      </c>
      <c r="C410" s="32" t="s">
        <v>971</v>
      </c>
      <c r="D410" s="33" t="s">
        <v>185</v>
      </c>
      <c r="E410" s="34" t="s">
        <v>22</v>
      </c>
      <c r="F410" s="34" t="s">
        <v>141</v>
      </c>
      <c r="G410" s="33" t="s">
        <v>50</v>
      </c>
      <c r="H410" s="35"/>
      <c r="I410" s="36"/>
      <c r="J410" s="34"/>
      <c r="K410" s="34" t="s">
        <v>25</v>
      </c>
      <c r="L410" s="37"/>
      <c r="M410" s="38"/>
      <c r="N410" s="40">
        <v>0.0</v>
      </c>
      <c r="O410" s="40"/>
      <c r="P410" s="39">
        <v>26</v>
      </c>
      <c r="Q410" s="39">
        <v>677.9</v>
      </c>
    </row>
    <row r="411" spans="1:17" ht="30.75" hidden="1" customHeight="1" x14ac:dyDescent="0.25">
      <c r="A411" s="87" t="s">
        <v>982</v>
      </c>
      <c r="B411" s="31" t="s">
        <v>983</v>
      </c>
      <c r="C411" s="32" t="s">
        <v>984</v>
      </c>
      <c r="D411" s="33" t="s">
        <v>67</v>
      </c>
      <c r="E411" s="34" t="s">
        <v>34</v>
      </c>
      <c r="F411" s="34" t="s">
        <v>35</v>
      </c>
      <c r="G411" s="33" t="s">
        <v>50</v>
      </c>
      <c r="H411" s="35" t="s">
        <v>51</v>
      </c>
      <c r="I411" s="36" t="s">
        <v>36</v>
      </c>
      <c r="J411" s="34"/>
      <c r="K411" s="34" t="s">
        <v>25</v>
      </c>
      <c r="L411" s="37">
        <v>46259</v>
      </c>
      <c r="M411" s="38">
        <v>46257</v>
      </c>
      <c r="N411" s="40">
        <v>0.0</v>
      </c>
      <c r="O411" s="40"/>
      <c r="P411" s="39">
        <v>8.0</v>
      </c>
      <c r="Q411" s="39">
        <v>2.05</v>
      </c>
    </row>
    <row r="412" spans="1:17" ht="46.9" hidden="1" customHeight="1" x14ac:dyDescent="0.25">
      <c r="A412" s="30" t="s">
        <v>985</v>
      </c>
      <c r="B412" s="31" t="s">
        <v>986</v>
      </c>
      <c r="C412" s="32">
        <v>1392</v>
      </c>
      <c r="D412" s="33" t="s">
        <v>661</v>
      </c>
      <c r="E412" s="34" t="s">
        <v>34</v>
      </c>
      <c r="F412" s="34" t="s">
        <v>35</v>
      </c>
      <c r="G412" s="33" t="s">
        <v>987</v>
      </c>
      <c r="H412" s="35"/>
      <c r="I412" s="36"/>
      <c r="J412" s="34"/>
      <c r="K412" s="34" t="s">
        <v>25</v>
      </c>
      <c r="L412" s="37">
        <v>46233</v>
      </c>
      <c r="M412" s="84">
        <v>46233</v>
      </c>
      <c r="N412" s="39">
        <v>32.0</v>
      </c>
      <c r="O412" s="85"/>
      <c r="P412" s="39">
        <v>31.0</v>
      </c>
      <c r="Q412" s="39">
        <v>7.48</v>
      </c>
    </row>
    <row r="413" spans="1:17" ht="15.75" hidden="1" customHeight="1" x14ac:dyDescent="0.25">
      <c r="A413" s="87" t="s">
        <v>988</v>
      </c>
      <c r="B413" s="31" t="s">
        <v>989</v>
      </c>
      <c r="C413" s="32" t="s">
        <v>990</v>
      </c>
      <c r="D413" s="33" t="s">
        <v>33</v>
      </c>
      <c r="E413" s="34" t="s">
        <v>34</v>
      </c>
      <c r="F413" s="34" t="s">
        <v>35</v>
      </c>
      <c r="G413" s="33" t="s">
        <v>987</v>
      </c>
      <c r="H413" s="35" t="s">
        <v>51</v>
      </c>
      <c r="I413" s="36"/>
      <c r="J413" s="34"/>
      <c r="K413" s="34" t="s">
        <v>25</v>
      </c>
      <c r="L413" s="37">
        <v>46238</v>
      </c>
      <c r="M413" s="38">
        <v>46238</v>
      </c>
      <c r="N413" s="39">
        <v>24.0</v>
      </c>
      <c r="O413" s="40"/>
      <c r="P413" s="39">
        <v>29.0</v>
      </c>
      <c r="Q413" s="39">
        <v>14.67</v>
      </c>
    </row>
    <row r="414" spans="1:17" ht="15.75" hidden="1" customHeight="1" x14ac:dyDescent="0.25">
      <c r="A414" s="87" t="s">
        <v>991</v>
      </c>
      <c r="B414" s="31" t="s">
        <v>992</v>
      </c>
      <c r="C414" s="32" t="s">
        <v>993</v>
      </c>
      <c r="D414" s="33" t="s">
        <v>33</v>
      </c>
      <c r="E414" s="34" t="s">
        <v>34</v>
      </c>
      <c r="F414" s="34" t="s">
        <v>35</v>
      </c>
      <c r="G414" s="33" t="s">
        <v>987</v>
      </c>
      <c r="H414" s="35" t="s">
        <v>51</v>
      </c>
      <c r="I414" s="36"/>
      <c r="J414" s="34"/>
      <c r="K414" s="34" t="s">
        <v>25</v>
      </c>
      <c r="L414" s="37">
        <v>46238</v>
      </c>
      <c r="M414" s="38">
        <v>46238</v>
      </c>
      <c r="N414" s="39">
        <v>12.0</v>
      </c>
      <c r="O414" s="40"/>
      <c r="P414" s="39">
        <v>16.0</v>
      </c>
      <c r="Q414" s="39">
        <v>14.67</v>
      </c>
    </row>
    <row r="415" spans="1:17" ht="30.75" hidden="1" customHeight="1" x14ac:dyDescent="0.25">
      <c r="A415" s="87" t="s">
        <v>994</v>
      </c>
      <c r="B415" s="31" t="s">
        <v>995</v>
      </c>
      <c r="C415" s="32" t="s">
        <v>996</v>
      </c>
      <c r="D415" s="33" t="s">
        <v>33</v>
      </c>
      <c r="E415" s="34" t="s">
        <v>22</v>
      </c>
      <c r="F415" s="34" t="s">
        <v>35</v>
      </c>
      <c r="G415" s="33" t="s">
        <v>50</v>
      </c>
      <c r="H415" s="35" t="s">
        <v>51</v>
      </c>
      <c r="I415" s="36"/>
      <c r="J415" s="34"/>
      <c r="K415" s="34" t="s">
        <v>29</v>
      </c>
      <c r="L415" s="37"/>
      <c r="M415" s="38"/>
      <c r="N415" s="40">
        <v>0.0</v>
      </c>
      <c r="O415" s="40"/>
      <c r="P415" s="39"/>
      <c r="Q415" s="39">
        <v>14.87</v>
      </c>
    </row>
    <row r="416" spans="1:17" ht="31.15" hidden="1" customHeight="1" x14ac:dyDescent="0.25">
      <c r="A416" s="30" t="s">
        <v>997</v>
      </c>
      <c r="B416" s="31" t="s">
        <v>998</v>
      </c>
      <c r="C416" s="32">
        <v>1413</v>
      </c>
      <c r="D416" s="33" t="s">
        <v>67</v>
      </c>
      <c r="E416" s="34" t="s">
        <v>34</v>
      </c>
      <c r="F416" s="34" t="s">
        <v>35</v>
      </c>
      <c r="G416" s="33" t="s">
        <v>987</v>
      </c>
      <c r="H416" s="35"/>
      <c r="I416" s="36"/>
      <c r="J416" s="34"/>
      <c r="K416" s="34" t="s">
        <v>25</v>
      </c>
      <c r="L416" s="37">
        <v>46238</v>
      </c>
      <c r="M416" s="84">
        <v>46238</v>
      </c>
      <c r="N416" s="39">
        <v>6.0</v>
      </c>
      <c r="O416" s="85"/>
      <c r="P416" s="39">
        <v>7.5</v>
      </c>
      <c r="Q416" s="39">
        <v>6.5</v>
      </c>
    </row>
    <row r="417" spans="1:17" ht="31.15" hidden="1" customHeight="1" x14ac:dyDescent="0.25">
      <c r="A417" s="30" t="s">
        <v>999</v>
      </c>
      <c r="B417" s="31" t="s">
        <v>1000</v>
      </c>
      <c r="C417" s="32">
        <v>1414</v>
      </c>
      <c r="D417" s="33" t="s">
        <v>67</v>
      </c>
      <c r="E417" s="34" t="s">
        <v>34</v>
      </c>
      <c r="F417" s="34" t="s">
        <v>35</v>
      </c>
      <c r="G417" s="33" t="s">
        <v>987</v>
      </c>
      <c r="H417" s="35"/>
      <c r="I417" s="36"/>
      <c r="J417" s="34"/>
      <c r="K417" s="34" t="s">
        <v>25</v>
      </c>
      <c r="L417" s="37">
        <v>46238</v>
      </c>
      <c r="M417" s="84">
        <v>46238</v>
      </c>
      <c r="N417" s="39">
        <v>6.0</v>
      </c>
      <c r="O417" s="85"/>
      <c r="P417" s="39">
        <v>7.5</v>
      </c>
      <c r="Q417" s="39">
        <v>6.5</v>
      </c>
    </row>
    <row r="418" spans="1:17" ht="31.15" hidden="1" customHeight="1" x14ac:dyDescent="0.25">
      <c r="A418" s="30" t="s">
        <v>1001</v>
      </c>
      <c r="B418" s="31" t="s">
        <v>1002</v>
      </c>
      <c r="C418" s="32">
        <v>1415</v>
      </c>
      <c r="D418" s="33" t="s">
        <v>67</v>
      </c>
      <c r="E418" s="34" t="s">
        <v>34</v>
      </c>
      <c r="F418" s="34" t="s">
        <v>35</v>
      </c>
      <c r="G418" s="33" t="s">
        <v>987</v>
      </c>
      <c r="H418" s="35"/>
      <c r="I418" s="36"/>
      <c r="J418" s="34"/>
      <c r="K418" s="34" t="s">
        <v>29</v>
      </c>
      <c r="L418" s="37">
        <v>46238</v>
      </c>
      <c r="M418" s="84">
        <v>46238</v>
      </c>
      <c r="N418" s="39">
        <v>6.0</v>
      </c>
      <c r="O418" s="85"/>
      <c r="P418" s="39">
        <v>6.5</v>
      </c>
      <c r="Q418" s="39">
        <v>6.5</v>
      </c>
    </row>
    <row r="419" spans="1:17" ht="15.75" hidden="1" customHeight="1" x14ac:dyDescent="0.25">
      <c r="A419" s="87">
        <v>33057946</v>
      </c>
      <c r="B419" s="31" t="s">
        <v>1003</v>
      </c>
      <c r="C419" s="32">
        <v>1416</v>
      </c>
      <c r="D419" s="33" t="s">
        <v>661</v>
      </c>
      <c r="E419" s="34" t="s">
        <v>34</v>
      </c>
      <c r="F419" s="34" t="s">
        <v>35</v>
      </c>
      <c r="G419" s="33" t="s">
        <v>987</v>
      </c>
      <c r="H419" s="35" t="s">
        <v>51</v>
      </c>
      <c r="I419" s="36"/>
      <c r="J419" s="34"/>
      <c r="K419" s="34" t="s">
        <v>25</v>
      </c>
      <c r="L419" s="37">
        <v>46259</v>
      </c>
      <c r="M419" s="38">
        <v>46257</v>
      </c>
      <c r="N419" s="40">
        <v>0.0</v>
      </c>
      <c r="O419" s="40"/>
      <c r="P419" s="39">
        <v>23.0</v>
      </c>
      <c r="Q419" s="39">
        <v>446.9</v>
      </c>
    </row>
    <row r="420" spans="1:17" ht="15.75" hidden="1" customHeight="1" x14ac:dyDescent="0.25">
      <c r="A420" s="87">
        <v>33058259</v>
      </c>
      <c r="B420" s="31" t="s">
        <v>1004</v>
      </c>
      <c r="C420" s="32">
        <v>1417</v>
      </c>
      <c r="D420" s="33" t="s">
        <v>661</v>
      </c>
      <c r="E420" s="34" t="s">
        <v>34</v>
      </c>
      <c r="F420" s="34" t="s">
        <v>35</v>
      </c>
      <c r="G420" s="33" t="s">
        <v>987</v>
      </c>
      <c r="H420" s="35" t="s">
        <v>51</v>
      </c>
      <c r="I420" s="36"/>
      <c r="J420" s="34"/>
      <c r="K420" s="34" t="s">
        <v>37</v>
      </c>
      <c r="L420" s="37">
        <v>46259</v>
      </c>
      <c r="M420" s="38">
        <v>46257</v>
      </c>
      <c r="N420" s="40">
        <v>12.0</v>
      </c>
      <c r="O420" s="40"/>
      <c r="P420" s="39">
        <v>19.5</v>
      </c>
      <c r="Q420" s="39">
        <v>33.4</v>
      </c>
    </row>
    <row r="421" spans="1:17" ht="30.75" hidden="1" customHeight="1" x14ac:dyDescent="0.25">
      <c r="A421" s="87">
        <v>33058303</v>
      </c>
      <c r="B421" s="31" t="s">
        <v>1005</v>
      </c>
      <c r="C421" s="32">
        <v>1418</v>
      </c>
      <c r="D421" s="33" t="s">
        <v>661</v>
      </c>
      <c r="E421" s="34" t="s">
        <v>34</v>
      </c>
      <c r="F421" s="34" t="s">
        <v>35</v>
      </c>
      <c r="G421" s="33" t="s">
        <v>987</v>
      </c>
      <c r="H421" s="35"/>
      <c r="I421" s="36"/>
      <c r="J421" s="34"/>
      <c r="K421" s="34" t="s">
        <v>37</v>
      </c>
      <c r="L421" s="37">
        <v>46252</v>
      </c>
      <c r="M421" s="38">
        <v>46248</v>
      </c>
      <c r="N421" s="40">
        <v>12.0</v>
      </c>
      <c r="O421" s="40"/>
      <c r="P421" s="39">
        <v>15.0</v>
      </c>
      <c r="Q421" s="39">
        <v>207.1</v>
      </c>
    </row>
    <row r="422" spans="1:17" ht="15.75" hidden="1" customHeight="1" x14ac:dyDescent="0.25">
      <c r="A422" s="87">
        <v>33058312</v>
      </c>
      <c r="B422" s="31" t="s">
        <v>1006</v>
      </c>
      <c r="C422" s="32">
        <v>1419</v>
      </c>
      <c r="D422" s="33" t="s">
        <v>661</v>
      </c>
      <c r="E422" s="34" t="s">
        <v>34</v>
      </c>
      <c r="F422" s="34" t="s">
        <v>35</v>
      </c>
      <c r="G422" s="33" t="s">
        <v>987</v>
      </c>
      <c r="H422" s="35" t="s">
        <v>51</v>
      </c>
      <c r="I422" s="36"/>
      <c r="J422" s="34"/>
      <c r="K422" s="34" t="s">
        <v>37</v>
      </c>
      <c r="L422" s="37">
        <v>46259</v>
      </c>
      <c r="M422" s="38">
        <v>46257</v>
      </c>
      <c r="N422" s="40">
        <v>12.0</v>
      </c>
      <c r="O422" s="40"/>
      <c r="P422" s="39">
        <v>23.0</v>
      </c>
      <c r="Q422" s="39">
        <v>439.8</v>
      </c>
    </row>
    <row r="423" spans="1:17" ht="30.75" hidden="1" customHeight="1" x14ac:dyDescent="0.25">
      <c r="A423" s="87">
        <v>33060679</v>
      </c>
      <c r="B423" s="31" t="s">
        <v>1007</v>
      </c>
      <c r="C423" s="32">
        <v>1420</v>
      </c>
      <c r="D423" s="33" t="s">
        <v>661</v>
      </c>
      <c r="E423" s="34" t="s">
        <v>34</v>
      </c>
      <c r="F423" s="34" t="s">
        <v>35</v>
      </c>
      <c r="G423" s="33" t="s">
        <v>987</v>
      </c>
      <c r="H423" s="35"/>
      <c r="I423" s="36"/>
      <c r="J423" s="34"/>
      <c r="K423" s="34" t="s">
        <v>37</v>
      </c>
      <c r="L423" s="37">
        <v>46252</v>
      </c>
      <c r="M423" s="38">
        <v>46240</v>
      </c>
      <c r="N423" s="40">
        <v>12.0</v>
      </c>
      <c r="O423" s="40"/>
      <c r="P423" s="39">
        <v>19.5</v>
      </c>
      <c r="Q423" s="39">
        <v>27.6</v>
      </c>
    </row>
    <row r="424" spans="1:17" ht="30.75" hidden="1" customHeight="1" x14ac:dyDescent="0.25">
      <c r="A424" s="87">
        <v>33060680</v>
      </c>
      <c r="B424" s="31" t="s">
        <v>1008</v>
      </c>
      <c r="C424" s="32">
        <v>1421</v>
      </c>
      <c r="D424" s="33" t="s">
        <v>661</v>
      </c>
      <c r="E424" s="34" t="s">
        <v>34</v>
      </c>
      <c r="F424" s="34" t="s">
        <v>35</v>
      </c>
      <c r="G424" s="33" t="s">
        <v>987</v>
      </c>
      <c r="H424" s="35"/>
      <c r="I424" s="36"/>
      <c r="J424" s="34"/>
      <c r="K424" s="34" t="s">
        <v>37</v>
      </c>
      <c r="L424" s="37">
        <v>46252</v>
      </c>
      <c r="M424" s="38">
        <v>46244</v>
      </c>
      <c r="N424" s="40">
        <v>6.0</v>
      </c>
      <c r="O424" s="40"/>
      <c r="P424" s="39">
        <v>13.0</v>
      </c>
      <c r="Q424" s="39">
        <v>6.5</v>
      </c>
    </row>
    <row r="425" spans="1:17" ht="30.75" hidden="1" customHeight="1" x14ac:dyDescent="0.25">
      <c r="A425" s="87">
        <v>33060681</v>
      </c>
      <c r="B425" s="31" t="s">
        <v>1009</v>
      </c>
      <c r="C425" s="32">
        <v>1422</v>
      </c>
      <c r="D425" s="33" t="s">
        <v>661</v>
      </c>
      <c r="E425" s="34" t="s">
        <v>34</v>
      </c>
      <c r="F425" s="34" t="s">
        <v>35</v>
      </c>
      <c r="G425" s="33" t="s">
        <v>987</v>
      </c>
      <c r="H425" s="35"/>
      <c r="I425" s="36"/>
      <c r="J425" s="34"/>
      <c r="K425" s="34" t="s">
        <v>37</v>
      </c>
      <c r="L425" s="37">
        <v>46252</v>
      </c>
      <c r="M425" s="38">
        <v>46240</v>
      </c>
      <c r="N425" s="40">
        <v>12.0</v>
      </c>
      <c r="O425" s="40"/>
      <c r="P425" s="39">
        <v>19.5</v>
      </c>
      <c r="Q425" s="39">
        <v>21.32</v>
      </c>
    </row>
    <row r="426" spans="1:17" ht="30.75" customHeight="1" x14ac:dyDescent="0.25">
      <c r="A426" s="87">
        <v>33062059</v>
      </c>
      <c r="B426" s="31" t="s">
        <v>1010</v>
      </c>
      <c r="C426" s="32">
        <v>1423</v>
      </c>
      <c r="D426" s="33" t="s">
        <v>49</v>
      </c>
      <c r="E426" s="34" t="s">
        <v>22</v>
      </c>
      <c r="F426" s="34" t="s">
        <v>35</v>
      </c>
      <c r="G426" s="33" t="s">
        <v>167</v>
      </c>
      <c r="H426" s="35"/>
      <c r="I426" s="36"/>
      <c r="J426" s="34"/>
      <c r="K426" s="34" t="s">
        <v>25</v>
      </c>
      <c r="L426" s="37"/>
      <c r="M426" s="38"/>
      <c r="N426" s="40">
        <v>8.0</v>
      </c>
      <c r="O426" s="40"/>
      <c r="P426" s="39"/>
      <c r="Q426" s="39">
        <v>460.5</v>
      </c>
    </row>
    <row r="427" spans="1:17" ht="30.75" hidden="1" customHeight="1" x14ac:dyDescent="0.25">
      <c r="A427" s="87">
        <v>33062121</v>
      </c>
      <c r="B427" s="31" t="s">
        <v>1011</v>
      </c>
      <c r="C427" s="32">
        <v>1424</v>
      </c>
      <c r="D427" s="33" t="s">
        <v>49</v>
      </c>
      <c r="E427" s="34" t="s">
        <v>34</v>
      </c>
      <c r="F427" s="34" t="s">
        <v>35</v>
      </c>
      <c r="G427" s="33" t="s">
        <v>167</v>
      </c>
      <c r="H427" s="35"/>
      <c r="I427" s="36"/>
      <c r="J427" s="34"/>
      <c r="K427" s="34" t="s">
        <v>25</v>
      </c>
      <c r="L427" s="37">
        <v>46252</v>
      </c>
      <c r="M427" s="38">
        <v>46243</v>
      </c>
      <c r="N427" s="40">
        <v>0.0</v>
      </c>
      <c r="O427" s="40"/>
      <c r="P427" s="39">
        <v>2.0</v>
      </c>
      <c r="Q427" s="39">
        <v>2.0</v>
      </c>
    </row>
    <row r="428" spans="1:17" ht="30.75" hidden="1" customHeight="1" x14ac:dyDescent="0.25">
      <c r="A428" s="87">
        <v>33062156</v>
      </c>
      <c r="B428" s="31" t="s">
        <v>1012</v>
      </c>
      <c r="C428" s="32">
        <v>1425</v>
      </c>
      <c r="D428" s="33" t="s">
        <v>49</v>
      </c>
      <c r="E428" s="34" t="s">
        <v>34</v>
      </c>
      <c r="F428" s="34" t="s">
        <v>35</v>
      </c>
      <c r="G428" s="33" t="s">
        <v>167</v>
      </c>
      <c r="H428" s="35"/>
      <c r="I428" s="36"/>
      <c r="J428" s="34"/>
      <c r="K428" s="34" t="s">
        <v>25</v>
      </c>
      <c r="L428" s="37">
        <v>46252</v>
      </c>
      <c r="M428" s="38">
        <v>46243</v>
      </c>
      <c r="N428" s="40">
        <v>0.0</v>
      </c>
      <c r="O428" s="40"/>
      <c r="P428" s="39">
        <v>5.0</v>
      </c>
      <c r="Q428" s="39">
        <v>3.0</v>
      </c>
    </row>
    <row r="429" spans="1:17" ht="15.75" hidden="1" customHeight="1" x14ac:dyDescent="0.25">
      <c r="A429" s="87">
        <v>33062169</v>
      </c>
      <c r="B429" s="31" t="s">
        <v>1013</v>
      </c>
      <c r="C429" s="32">
        <v>1426</v>
      </c>
      <c r="D429" s="33" t="s">
        <v>49</v>
      </c>
      <c r="E429" s="34" t="s">
        <v>34</v>
      </c>
      <c r="F429" s="34" t="s">
        <v>35</v>
      </c>
      <c r="G429" s="33" t="s">
        <v>167</v>
      </c>
      <c r="H429" s="35"/>
      <c r="I429" s="36"/>
      <c r="J429" s="34"/>
      <c r="K429" s="34" t="s">
        <v>25</v>
      </c>
      <c r="L429" s="37">
        <v>46252</v>
      </c>
      <c r="M429" s="38">
        <v>46243</v>
      </c>
      <c r="N429" s="40">
        <v>0.0</v>
      </c>
      <c r="O429" s="40"/>
      <c r="P429" s="39">
        <v>3.5</v>
      </c>
      <c r="Q429" s="39">
        <v>2.5</v>
      </c>
    </row>
    <row r="430" spans="1:17" ht="30.75" hidden="1" customHeight="1" x14ac:dyDescent="0.25">
      <c r="A430" s="87">
        <v>33069516</v>
      </c>
      <c r="B430" s="31" t="s">
        <v>1014</v>
      </c>
      <c r="C430" s="32">
        <v>1430</v>
      </c>
      <c r="D430" s="33" t="s">
        <v>661</v>
      </c>
      <c r="E430" s="34" t="s">
        <v>34</v>
      </c>
      <c r="F430" s="34" t="s">
        <v>35</v>
      </c>
      <c r="G430" s="33" t="s">
        <v>987</v>
      </c>
      <c r="H430" s="35"/>
      <c r="I430" s="36"/>
      <c r="J430" s="34"/>
      <c r="K430" s="34" t="s">
        <v>29</v>
      </c>
      <c r="L430" s="37">
        <v>46252</v>
      </c>
      <c r="M430" s="38">
        <v>46244</v>
      </c>
      <c r="N430" s="40">
        <v>0.0</v>
      </c>
      <c r="O430" s="40"/>
      <c r="P430" s="39">
        <v>15.0</v>
      </c>
      <c r="Q430" s="39">
        <v>102.4</v>
      </c>
    </row>
    <row r="431" spans="1:17" ht="15.75" hidden="1" customHeight="1" x14ac:dyDescent="0.25">
      <c r="A431" s="87">
        <v>33069524</v>
      </c>
      <c r="B431" s="31" t="s">
        <v>1015</v>
      </c>
      <c r="C431" s="32">
        <v>1431</v>
      </c>
      <c r="D431" s="33" t="s">
        <v>67</v>
      </c>
      <c r="E431" s="34" t="s">
        <v>34</v>
      </c>
      <c r="F431" s="34" t="s">
        <v>35</v>
      </c>
      <c r="G431" s="33" t="s">
        <v>50</v>
      </c>
      <c r="H431" s="35" t="s">
        <v>51</v>
      </c>
      <c r="I431" s="36"/>
      <c r="J431" s="34"/>
      <c r="K431" s="34" t="s">
        <v>29</v>
      </c>
      <c r="L431" s="37">
        <v>46259</v>
      </c>
      <c r="M431" s="38">
        <v>46257</v>
      </c>
      <c r="N431" s="40">
        <v>0.0</v>
      </c>
      <c r="O431" s="40"/>
      <c r="P431" s="39">
        <v>2.0</v>
      </c>
      <c r="Q431" s="39">
        <v>1.0</v>
      </c>
    </row>
    <row r="432" spans="1:17" ht="30.75" hidden="1" customHeight="1" x14ac:dyDescent="0.25">
      <c r="A432" s="87">
        <v>33073741</v>
      </c>
      <c r="B432" s="31" t="s">
        <v>1016</v>
      </c>
      <c r="C432" s="32">
        <v>1432</v>
      </c>
      <c r="D432" s="33" t="s">
        <v>61</v>
      </c>
      <c r="E432" s="34" t="s">
        <v>34</v>
      </c>
      <c r="F432" s="34" t="s">
        <v>35</v>
      </c>
      <c r="G432" s="33" t="s">
        <v>50</v>
      </c>
      <c r="H432" s="35" t="s">
        <v>51</v>
      </c>
      <c r="I432" s="36"/>
      <c r="J432" s="34"/>
      <c r="K432" s="34" t="s">
        <v>25</v>
      </c>
      <c r="L432" s="37">
        <v>46259</v>
      </c>
      <c r="M432" s="38">
        <v>46257</v>
      </c>
      <c r="N432" s="40">
        <v>2.5</v>
      </c>
      <c r="O432" s="40"/>
      <c r="P432" s="39">
        <v>2.5</v>
      </c>
      <c r="Q432" s="39">
        <v>2.5</v>
      </c>
    </row>
    <row r="433" spans="1:17" ht="30.75" hidden="1" customHeight="1" x14ac:dyDescent="0.25">
      <c r="A433" s="87">
        <v>33073939</v>
      </c>
      <c r="B433" s="31" t="s">
        <v>1017</v>
      </c>
      <c r="C433" s="32">
        <v>1433</v>
      </c>
      <c r="D433" s="33" t="s">
        <v>33</v>
      </c>
      <c r="E433" s="34" t="s">
        <v>34</v>
      </c>
      <c r="F433" s="34" t="s">
        <v>35</v>
      </c>
      <c r="G433" s="33" t="s">
        <v>747</v>
      </c>
      <c r="H433" s="35"/>
      <c r="I433" s="36"/>
      <c r="J433" s="34"/>
      <c r="K433" s="34" t="s">
        <v>25</v>
      </c>
      <c r="L433" s="37">
        <v>46244</v>
      </c>
      <c r="M433" s="38">
        <v>46244</v>
      </c>
      <c r="N433" s="40">
        <v>0.0</v>
      </c>
      <c r="O433" s="40"/>
      <c r="P433" s="39">
        <v>20.75</v>
      </c>
      <c r="Q433" s="39">
        <v>11.53</v>
      </c>
    </row>
    <row r="434" spans="1:17" ht="31.15" hidden="1" customHeight="1" x14ac:dyDescent="0.25">
      <c r="A434" s="30" t="s">
        <v>1018</v>
      </c>
      <c r="B434" s="31" t="s">
        <v>1019</v>
      </c>
      <c r="C434" s="32">
        <v>1440</v>
      </c>
      <c r="D434" s="33" t="s">
        <v>67</v>
      </c>
      <c r="E434" s="34" t="s">
        <v>34</v>
      </c>
      <c r="F434" s="34" t="s">
        <v>35</v>
      </c>
      <c r="G434" s="33" t="s">
        <v>50</v>
      </c>
      <c r="H434" s="35"/>
      <c r="I434" s="36"/>
      <c r="J434" s="34"/>
      <c r="K434" s="34" t="s">
        <v>29</v>
      </c>
      <c r="L434" s="37">
        <v>46244</v>
      </c>
      <c r="M434" s="84">
        <v>46244</v>
      </c>
      <c r="N434" s="39">
        <v>0.0</v>
      </c>
      <c r="O434" s="85"/>
      <c r="P434" s="39">
        <v>5.67</v>
      </c>
      <c r="Q434" s="39">
        <v>379.7</v>
      </c>
    </row>
    <row r="435" spans="1:17" ht="31.15" hidden="1" customHeight="1" x14ac:dyDescent="0.25">
      <c r="A435" s="30" t="s">
        <v>1020</v>
      </c>
      <c r="B435" s="31" t="s">
        <v>649</v>
      </c>
      <c r="C435" s="32">
        <v>1442</v>
      </c>
      <c r="D435" s="33" t="s">
        <v>49</v>
      </c>
      <c r="E435" s="34" t="s">
        <v>34</v>
      </c>
      <c r="F435" s="34" t="s">
        <v>35</v>
      </c>
      <c r="G435" s="33" t="s">
        <v>50</v>
      </c>
      <c r="H435" s="35"/>
      <c r="I435" s="36"/>
      <c r="J435" s="34"/>
      <c r="K435" s="34" t="s">
        <v>25</v>
      </c>
      <c r="L435" s="37">
        <v>46259</v>
      </c>
      <c r="M435" s="84">
        <v>46258</v>
      </c>
      <c r="N435" s="39">
        <v>1.67</v>
      </c>
      <c r="O435" s="85"/>
      <c r="P435" s="39">
        <v>4.0</v>
      </c>
      <c r="Q435" s="39">
        <v>118.0</v>
      </c>
    </row>
    <row r="436" spans="1:17" ht="31.15" hidden="1" customHeight="1" x14ac:dyDescent="0.25">
      <c r="A436" s="30" t="s">
        <v>1021</v>
      </c>
      <c r="B436" s="31" t="s">
        <v>1022</v>
      </c>
      <c r="C436" s="32">
        <v>1444</v>
      </c>
      <c r="D436" s="33" t="s">
        <v>33</v>
      </c>
      <c r="E436" s="34" t="s">
        <v>34</v>
      </c>
      <c r="F436" s="34" t="s">
        <v>35</v>
      </c>
      <c r="G436" s="33" t="s">
        <v>167</v>
      </c>
      <c r="H436" s="35"/>
      <c r="I436" s="36"/>
      <c r="J436" s="34"/>
      <c r="K436" s="34" t="s">
        <v>25</v>
      </c>
      <c r="L436" s="37">
        <v>46245</v>
      </c>
      <c r="M436" s="84">
        <v>46245</v>
      </c>
      <c r="N436" s="39">
        <v>0.0</v>
      </c>
      <c r="O436" s="85"/>
      <c r="P436" s="39">
        <v>4.0</v>
      </c>
      <c r="Q436" s="39">
        <v>2.0</v>
      </c>
    </row>
    <row r="437" spans="1:17" ht="31.15" hidden="1" customHeight="1" x14ac:dyDescent="0.25">
      <c r="A437" s="30" t="s">
        <v>1023</v>
      </c>
      <c r="B437" s="31" t="s">
        <v>1024</v>
      </c>
      <c r="C437" s="32">
        <v>1445</v>
      </c>
      <c r="D437" s="33" t="s">
        <v>49</v>
      </c>
      <c r="E437" s="34" t="s">
        <v>34</v>
      </c>
      <c r="F437" s="34" t="s">
        <v>35</v>
      </c>
      <c r="G437" s="33" t="s">
        <v>50</v>
      </c>
      <c r="H437" s="35"/>
      <c r="I437" s="36"/>
      <c r="J437" s="34"/>
      <c r="K437" s="34" t="s">
        <v>25</v>
      </c>
      <c r="L437" s="37">
        <v>46251</v>
      </c>
      <c r="M437" s="84">
        <v>46251</v>
      </c>
      <c r="N437" s="39">
        <v>0.0</v>
      </c>
      <c r="O437" s="85"/>
      <c r="P437" s="39">
        <v>2.0</v>
      </c>
      <c r="Q437" s="39">
        <v>2.0</v>
      </c>
    </row>
    <row r="438" spans="1:17" ht="31.15" hidden="1" customHeight="1" x14ac:dyDescent="0.25">
      <c r="A438" s="30" t="s">
        <v>1025</v>
      </c>
      <c r="B438" s="31" t="s">
        <v>1026</v>
      </c>
      <c r="C438" s="32">
        <v>1446</v>
      </c>
      <c r="D438" s="33" t="s">
        <v>49</v>
      </c>
      <c r="E438" s="34" t="s">
        <v>34</v>
      </c>
      <c r="F438" s="34" t="s">
        <v>35</v>
      </c>
      <c r="G438" s="33" t="s">
        <v>50</v>
      </c>
      <c r="H438" s="35"/>
      <c r="I438" s="36"/>
      <c r="J438" s="34"/>
      <c r="K438" s="34" t="s">
        <v>25</v>
      </c>
      <c r="L438" s="37">
        <v>46256</v>
      </c>
      <c r="M438" s="84">
        <v>46254</v>
      </c>
      <c r="N438" s="39">
        <v>0.0</v>
      </c>
      <c r="O438" s="85"/>
      <c r="P438" s="39">
        <v>2.0</v>
      </c>
      <c r="Q438" s="39">
        <v>2.0</v>
      </c>
    </row>
    <row r="439" spans="1:17" ht="31.15" hidden="1" customHeight="1" x14ac:dyDescent="0.25">
      <c r="A439" s="30" t="s">
        <v>1027</v>
      </c>
      <c r="B439" s="31" t="s">
        <v>1028</v>
      </c>
      <c r="C439" s="32">
        <v>1447</v>
      </c>
      <c r="D439" s="33" t="s">
        <v>49</v>
      </c>
      <c r="E439" s="34" t="s">
        <v>34</v>
      </c>
      <c r="F439" s="34" t="s">
        <v>35</v>
      </c>
      <c r="G439" s="33" t="s">
        <v>167</v>
      </c>
      <c r="H439" s="35"/>
      <c r="I439" s="36"/>
      <c r="J439" s="34"/>
      <c r="K439" s="34" t="s">
        <v>25</v>
      </c>
      <c r="L439" s="37">
        <v>46252</v>
      </c>
      <c r="M439" s="84">
        <v>46252</v>
      </c>
      <c r="N439" s="39">
        <v>0.0</v>
      </c>
      <c r="O439" s="85"/>
      <c r="P439" s="39">
        <v>4.83</v>
      </c>
      <c r="Q439" s="39">
        <v>4.0</v>
      </c>
    </row>
    <row r="440" spans="1:17" ht="31.15" hidden="1" customHeight="1" x14ac:dyDescent="0.25">
      <c r="A440" s="30" t="s">
        <v>1029</v>
      </c>
      <c r="B440" s="31" t="s">
        <v>1030</v>
      </c>
      <c r="C440" s="32">
        <v>1448</v>
      </c>
      <c r="D440" s="33" t="s">
        <v>49</v>
      </c>
      <c r="E440" s="34" t="s">
        <v>34</v>
      </c>
      <c r="F440" s="34" t="s">
        <v>35</v>
      </c>
      <c r="G440" s="33" t="s">
        <v>50</v>
      </c>
      <c r="H440" s="35"/>
      <c r="I440" s="36"/>
      <c r="J440" s="34"/>
      <c r="K440" s="34" t="s">
        <v>25</v>
      </c>
      <c r="L440" s="37">
        <v>46256</v>
      </c>
      <c r="M440" s="84">
        <v>46254</v>
      </c>
      <c r="N440" s="39">
        <v>0.0</v>
      </c>
      <c r="O440" s="85"/>
      <c r="P440" s="39">
        <v>2.0</v>
      </c>
      <c r="Q440" s="39">
        <v>2.0</v>
      </c>
    </row>
    <row r="441" spans="1:17" ht="31.15" hidden="1" customHeight="1" x14ac:dyDescent="0.25">
      <c r="A441" s="30" t="s">
        <v>1031</v>
      </c>
      <c r="B441" s="31" t="s">
        <v>1032</v>
      </c>
      <c r="C441" s="32">
        <v>1449</v>
      </c>
      <c r="D441" s="33" t="s">
        <v>49</v>
      </c>
      <c r="E441" s="34" t="s">
        <v>34</v>
      </c>
      <c r="F441" s="34" t="s">
        <v>35</v>
      </c>
      <c r="G441" s="33" t="s">
        <v>50</v>
      </c>
      <c r="H441" s="35"/>
      <c r="I441" s="36"/>
      <c r="J441" s="34"/>
      <c r="K441" s="34" t="s">
        <v>25</v>
      </c>
      <c r="L441" s="37">
        <v>46256</v>
      </c>
      <c r="M441" s="84">
        <v>46254</v>
      </c>
      <c r="N441" s="39">
        <v>0.0</v>
      </c>
      <c r="O441" s="85"/>
      <c r="P441" s="39">
        <v>2.0</v>
      </c>
      <c r="Q441" s="39">
        <v>2.0</v>
      </c>
    </row>
    <row r="442" spans="1:17" ht="31.15" hidden="1" customHeight="1" x14ac:dyDescent="0.25">
      <c r="A442" s="30" t="s">
        <v>1033</v>
      </c>
      <c r="B442" s="31" t="s">
        <v>1034</v>
      </c>
      <c r="C442" s="32">
        <v>1450</v>
      </c>
      <c r="D442" s="33" t="s">
        <v>49</v>
      </c>
      <c r="E442" s="34" t="s">
        <v>34</v>
      </c>
      <c r="F442" s="34" t="s">
        <v>35</v>
      </c>
      <c r="G442" s="33" t="s">
        <v>50</v>
      </c>
      <c r="H442" s="35"/>
      <c r="I442" s="36"/>
      <c r="J442" s="34"/>
      <c r="K442" s="34" t="s">
        <v>25</v>
      </c>
      <c r="L442" s="37">
        <v>46256</v>
      </c>
      <c r="M442" s="84">
        <v>46254</v>
      </c>
      <c r="N442" s="39">
        <v>0.0</v>
      </c>
      <c r="O442" s="85"/>
      <c r="P442" s="39">
        <v>1.0</v>
      </c>
      <c r="Q442" s="39">
        <v>1.0</v>
      </c>
    </row>
    <row r="443" spans="1:17" ht="62.45" customHeight="1" x14ac:dyDescent="0.25">
      <c r="A443" s="30" t="s">
        <v>1035</v>
      </c>
      <c r="B443" s="31" t="s">
        <v>1036</v>
      </c>
      <c r="C443" s="32">
        <v>1451</v>
      </c>
      <c r="D443" s="33" t="s">
        <v>49</v>
      </c>
      <c r="E443" s="34" t="s">
        <v>22</v>
      </c>
      <c r="F443" s="34" t="s">
        <v>35</v>
      </c>
      <c r="G443" s="33" t="s">
        <v>167</v>
      </c>
      <c r="H443" s="35" t="s">
        <v>51</v>
      </c>
      <c r="I443" s="36"/>
      <c r="J443" s="34"/>
      <c r="K443" s="34" t="s">
        <v>25</v>
      </c>
      <c r="L443" s="37"/>
      <c r="M443" s="84"/>
      <c r="N443" s="39">
        <v>4.0</v>
      </c>
      <c r="O443" s="85"/>
      <c r="P443" s="39"/>
      <c r="Q443" s="39">
        <v>0.0</v>
      </c>
    </row>
    <row r="444" spans="1:17" ht="31.15" hidden="1" customHeight="1" x14ac:dyDescent="0.25">
      <c r="A444" s="30" t="s">
        <v>1037</v>
      </c>
      <c r="B444" s="31" t="s">
        <v>1038</v>
      </c>
      <c r="C444" s="32">
        <v>1452</v>
      </c>
      <c r="D444" s="33" t="s">
        <v>49</v>
      </c>
      <c r="E444" s="34" t="s">
        <v>34</v>
      </c>
      <c r="F444" s="34" t="s">
        <v>35</v>
      </c>
      <c r="G444" s="33" t="s">
        <v>50</v>
      </c>
      <c r="H444" s="35"/>
      <c r="I444" s="36"/>
      <c r="J444" s="34"/>
      <c r="K444" s="34" t="s">
        <v>25</v>
      </c>
      <c r="L444" s="37">
        <v>46256</v>
      </c>
      <c r="M444" s="84">
        <v>46254</v>
      </c>
      <c r="N444" s="39">
        <v>0.0</v>
      </c>
      <c r="O444" s="85"/>
      <c r="P444" s="39">
        <v>1.5</v>
      </c>
      <c r="Q444" s="39">
        <v>1.5</v>
      </c>
    </row>
    <row r="445" spans="1:17" ht="31.15" hidden="1" customHeight="1" x14ac:dyDescent="0.25">
      <c r="A445" s="30" t="s">
        <v>1039</v>
      </c>
      <c r="B445" s="31" t="s">
        <v>1040</v>
      </c>
      <c r="C445" s="32">
        <v>1453</v>
      </c>
      <c r="D445" s="33" t="s">
        <v>61</v>
      </c>
      <c r="E445" s="34" t="s">
        <v>34</v>
      </c>
      <c r="F445" s="34" t="s">
        <v>35</v>
      </c>
      <c r="G445" s="33" t="s">
        <v>167</v>
      </c>
      <c r="H445" s="35"/>
      <c r="I445" s="36"/>
      <c r="J445" s="34"/>
      <c r="K445" s="34" t="s">
        <v>24</v>
      </c>
      <c r="L445" s="37">
        <v>46251</v>
      </c>
      <c r="M445" s="84">
        <v>46251</v>
      </c>
      <c r="N445" s="39">
        <v>0.0</v>
      </c>
      <c r="O445" s="85"/>
      <c r="P445" s="39">
        <v>50.8</v>
      </c>
      <c r="Q445" s="39">
        <v>151.4</v>
      </c>
    </row>
    <row r="446" spans="1:17" ht="31.15" hidden="1" customHeight="1" x14ac:dyDescent="0.25">
      <c r="A446" s="30" t="s">
        <v>1041</v>
      </c>
      <c r="B446" s="31" t="s">
        <v>1042</v>
      </c>
      <c r="C446" s="32">
        <v>1460</v>
      </c>
      <c r="D446" s="33" t="s">
        <v>49</v>
      </c>
      <c r="E446" s="34" t="s">
        <v>34</v>
      </c>
      <c r="F446" s="34" t="s">
        <v>35</v>
      </c>
      <c r="G446" s="33" t="s">
        <v>50</v>
      </c>
      <c r="H446" s="35"/>
      <c r="I446" s="36"/>
      <c r="J446" s="34"/>
      <c r="K446" s="34" t="s">
        <v>25</v>
      </c>
      <c r="L446" s="37">
        <v>46256</v>
      </c>
      <c r="M446" s="84">
        <v>46254</v>
      </c>
      <c r="N446" s="39">
        <v>0.0</v>
      </c>
      <c r="O446" s="85"/>
      <c r="P446" s="39">
        <v>2.0</v>
      </c>
      <c r="Q446" s="39">
        <v>2.0</v>
      </c>
    </row>
    <row r="447" spans="1:17" ht="31.15" hidden="1" customHeight="1" x14ac:dyDescent="0.25">
      <c r="A447" s="30" t="s">
        <v>1043</v>
      </c>
      <c r="B447" s="31" t="s">
        <v>1044</v>
      </c>
      <c r="C447" s="32">
        <v>1467</v>
      </c>
      <c r="D447" s="33" t="s">
        <v>49</v>
      </c>
      <c r="E447" s="34" t="s">
        <v>34</v>
      </c>
      <c r="F447" s="34" t="s">
        <v>35</v>
      </c>
      <c r="G447" s="33" t="s">
        <v>50</v>
      </c>
      <c r="H447" s="35"/>
      <c r="I447" s="36"/>
      <c r="J447" s="34"/>
      <c r="K447" s="34" t="s">
        <v>25</v>
      </c>
      <c r="L447" s="37">
        <v>46256</v>
      </c>
      <c r="M447" s="84">
        <v>46254</v>
      </c>
      <c r="N447" s="39">
        <v>0.0</v>
      </c>
      <c r="O447" s="85"/>
      <c r="P447" s="39">
        <v>2.0</v>
      </c>
      <c r="Q447" s="39">
        <v>2.0</v>
      </c>
    </row>
    <row r="448" spans="1:17" ht="31.15" hidden="1" customHeight="1" x14ac:dyDescent="0.25">
      <c r="A448" s="30" t="s">
        <v>1045</v>
      </c>
      <c r="B448" s="31" t="s">
        <v>1046</v>
      </c>
      <c r="C448" s="32">
        <v>1469</v>
      </c>
      <c r="D448" s="33" t="s">
        <v>49</v>
      </c>
      <c r="E448" s="34" t="s">
        <v>34</v>
      </c>
      <c r="F448" s="34" t="s">
        <v>35</v>
      </c>
      <c r="G448" s="33" t="s">
        <v>167</v>
      </c>
      <c r="H448" s="35"/>
      <c r="I448" s="36"/>
      <c r="J448" s="34"/>
      <c r="K448" s="34" t="s">
        <v>25</v>
      </c>
      <c r="L448" s="37">
        <v>46252</v>
      </c>
      <c r="M448" s="84">
        <v>46252</v>
      </c>
      <c r="N448" s="39">
        <v>8.0</v>
      </c>
      <c r="O448" s="85"/>
      <c r="P448" s="39">
        <v>11.0</v>
      </c>
      <c r="Q448" s="39">
        <v>91.2</v>
      </c>
    </row>
    <row r="449" spans="1:17" ht="31.15" hidden="1" customHeight="1" x14ac:dyDescent="0.25">
      <c r="A449" s="30" t="s">
        <v>1047</v>
      </c>
      <c r="B449" s="31" t="s">
        <v>1048</v>
      </c>
      <c r="C449" s="32">
        <v>1471</v>
      </c>
      <c r="D449" s="33" t="s">
        <v>96</v>
      </c>
      <c r="E449" s="34" t="s">
        <v>34</v>
      </c>
      <c r="F449" s="34" t="s">
        <v>35</v>
      </c>
      <c r="G449" s="33" t="s">
        <v>167</v>
      </c>
      <c r="H449" s="35"/>
      <c r="I449" s="36"/>
      <c r="J449" s="34"/>
      <c r="K449" s="34" t="s">
        <v>24</v>
      </c>
      <c r="L449" s="37">
        <v>46248</v>
      </c>
      <c r="M449" s="84">
        <v>46248</v>
      </c>
      <c r="N449" s="39">
        <v>12.0</v>
      </c>
      <c r="O449" s="85"/>
      <c r="P449" s="39">
        <v>18.5</v>
      </c>
      <c r="Q449" s="39">
        <v>8.32</v>
      </c>
    </row>
    <row r="450" spans="1:17" ht="31.15" hidden="1" customHeight="1" x14ac:dyDescent="0.25">
      <c r="A450" s="30" t="s">
        <v>1049</v>
      </c>
      <c r="B450" s="31" t="s">
        <v>1050</v>
      </c>
      <c r="C450" s="32">
        <v>1473</v>
      </c>
      <c r="D450" s="33" t="s">
        <v>72</v>
      </c>
      <c r="E450" s="34" t="s">
        <v>34</v>
      </c>
      <c r="F450" s="34" t="s">
        <v>35</v>
      </c>
      <c r="G450" s="33" t="s">
        <v>987</v>
      </c>
      <c r="H450" s="35"/>
      <c r="I450" s="36"/>
      <c r="J450" s="34"/>
      <c r="K450" s="34" t="s">
        <v>29</v>
      </c>
      <c r="L450" s="37">
        <v>46248</v>
      </c>
      <c r="M450" s="84">
        <v>46248</v>
      </c>
      <c r="N450" s="39">
        <v>0.0</v>
      </c>
      <c r="O450" s="85"/>
      <c r="P450" s="39">
        <v>15.0</v>
      </c>
      <c r="Q450" s="39">
        <v>50.4</v>
      </c>
    </row>
    <row r="451" spans="1:17" ht="31.15" hidden="1" customHeight="1" x14ac:dyDescent="0.25">
      <c r="A451" s="30" t="s">
        <v>1051</v>
      </c>
      <c r="B451" s="31" t="s">
        <v>1052</v>
      </c>
      <c r="C451" s="32">
        <v>1474</v>
      </c>
      <c r="D451" s="33" t="s">
        <v>72</v>
      </c>
      <c r="E451" s="34" t="s">
        <v>34</v>
      </c>
      <c r="F451" s="34" t="s">
        <v>35</v>
      </c>
      <c r="G451" s="33" t="s">
        <v>987</v>
      </c>
      <c r="H451" s="35"/>
      <c r="I451" s="36"/>
      <c r="J451" s="34"/>
      <c r="K451" s="34" t="s">
        <v>29</v>
      </c>
      <c r="L451" s="37">
        <v>46248</v>
      </c>
      <c r="M451" s="84">
        <v>46248</v>
      </c>
      <c r="N451" s="39">
        <v>0.0</v>
      </c>
      <c r="O451" s="85"/>
      <c r="P451" s="39">
        <v>14.0</v>
      </c>
      <c r="Q451" s="39">
        <v>50.2</v>
      </c>
    </row>
    <row r="452" spans="1:17" ht="31.15" hidden="1" customHeight="1" x14ac:dyDescent="0.25">
      <c r="A452" s="30" t="s">
        <v>1053</v>
      </c>
      <c r="B452" s="31" t="s">
        <v>1054</v>
      </c>
      <c r="C452" s="32">
        <v>1480</v>
      </c>
      <c r="D452" s="33" t="s">
        <v>72</v>
      </c>
      <c r="E452" s="34" t="s">
        <v>34</v>
      </c>
      <c r="F452" s="34" t="s">
        <v>35</v>
      </c>
      <c r="G452" s="33" t="s">
        <v>167</v>
      </c>
      <c r="H452" s="35"/>
      <c r="I452" s="36"/>
      <c r="J452" s="34"/>
      <c r="K452" s="34" t="s">
        <v>25</v>
      </c>
      <c r="L452" s="37">
        <v>46256</v>
      </c>
      <c r="M452" s="84">
        <v>46254</v>
      </c>
      <c r="N452" s="39">
        <v>6.0</v>
      </c>
      <c r="O452" s="85"/>
      <c r="P452" s="39">
        <v>6.0</v>
      </c>
      <c r="Q452" s="39">
        <v>4.0</v>
      </c>
    </row>
    <row r="453" spans="1:17" ht="31.15" hidden="1" customHeight="1" x14ac:dyDescent="0.25">
      <c r="A453" s="30" t="s">
        <v>1055</v>
      </c>
      <c r="B453" s="31" t="s">
        <v>1056</v>
      </c>
      <c r="C453" s="32">
        <v>1485</v>
      </c>
      <c r="D453" s="33" t="s">
        <v>72</v>
      </c>
      <c r="E453" s="34" t="s">
        <v>34</v>
      </c>
      <c r="F453" s="34" t="s">
        <v>35</v>
      </c>
      <c r="G453" s="33" t="s">
        <v>987</v>
      </c>
      <c r="H453" s="35"/>
      <c r="I453" s="36"/>
      <c r="J453" s="34"/>
      <c r="K453" s="34" t="s">
        <v>29</v>
      </c>
      <c r="L453" s="37">
        <v>46251</v>
      </c>
      <c r="M453" s="84">
        <v>46251</v>
      </c>
      <c r="N453" s="39">
        <v>12.0</v>
      </c>
      <c r="O453" s="85"/>
      <c r="P453" s="39">
        <v>19.5</v>
      </c>
      <c r="Q453" s="39">
        <v>27.9</v>
      </c>
    </row>
    <row r="454" spans="1:17" ht="31.15" hidden="1" customHeight="1" x14ac:dyDescent="0.25">
      <c r="A454" s="30" t="s">
        <v>1057</v>
      </c>
      <c r="B454" s="31" t="s">
        <v>1058</v>
      </c>
      <c r="C454" s="32">
        <v>1486</v>
      </c>
      <c r="D454" s="33" t="s">
        <v>661</v>
      </c>
      <c r="E454" s="34" t="s">
        <v>34</v>
      </c>
      <c r="F454" s="34" t="s">
        <v>35</v>
      </c>
      <c r="G454" s="33" t="s">
        <v>987</v>
      </c>
      <c r="H454" s="35"/>
      <c r="I454" s="36"/>
      <c r="J454" s="34"/>
      <c r="K454" s="34" t="s">
        <v>25</v>
      </c>
      <c r="L454" s="37">
        <v>46251</v>
      </c>
      <c r="M454" s="84">
        <v>46251</v>
      </c>
      <c r="N454" s="39">
        <v>6.0</v>
      </c>
      <c r="O454" s="85"/>
      <c r="P454" s="39">
        <v>13.0</v>
      </c>
      <c r="Q454" s="39">
        <v>14.82</v>
      </c>
    </row>
    <row r="455" spans="1:17" ht="46.9" hidden="1" customHeight="1" x14ac:dyDescent="0.25">
      <c r="A455" s="30" t="s">
        <v>1059</v>
      </c>
      <c r="B455" s="31" t="s">
        <v>1060</v>
      </c>
      <c r="C455" s="32">
        <v>1488</v>
      </c>
      <c r="D455" s="33" t="s">
        <v>49</v>
      </c>
      <c r="E455" s="34" t="s">
        <v>34</v>
      </c>
      <c r="F455" s="34" t="s">
        <v>35</v>
      </c>
      <c r="G455" s="33" t="s">
        <v>167</v>
      </c>
      <c r="H455" s="35"/>
      <c r="I455" s="36"/>
      <c r="J455" s="34"/>
      <c r="K455" s="34" t="s">
        <v>25</v>
      </c>
      <c r="L455" s="37">
        <v>46251</v>
      </c>
      <c r="M455" s="84">
        <v>46251</v>
      </c>
      <c r="N455" s="39">
        <v>4.0</v>
      </c>
      <c r="O455" s="85"/>
      <c r="P455" s="39">
        <v>2.0</v>
      </c>
      <c r="Q455" s="39">
        <v>1.0</v>
      </c>
    </row>
    <row r="456" spans="1:17" ht="15.6" hidden="1" customHeight="1" x14ac:dyDescent="0.25">
      <c r="A456" s="30" t="s">
        <v>1061</v>
      </c>
      <c r="B456" s="31" t="s">
        <v>1062</v>
      </c>
      <c r="C456" s="32">
        <v>1490</v>
      </c>
      <c r="D456" s="33" t="s">
        <v>661</v>
      </c>
      <c r="E456" s="34" t="s">
        <v>34</v>
      </c>
      <c r="F456" s="34" t="s">
        <v>35</v>
      </c>
      <c r="G456" s="33" t="s">
        <v>987</v>
      </c>
      <c r="H456" s="35" t="s">
        <v>51</v>
      </c>
      <c r="I456" s="36"/>
      <c r="J456" s="34"/>
      <c r="K456" s="34" t="s">
        <v>29</v>
      </c>
      <c r="L456" s="37">
        <v>46259</v>
      </c>
      <c r="M456" s="84">
        <v>46257</v>
      </c>
      <c r="N456" s="39">
        <v>8.0</v>
      </c>
      <c r="O456" s="85"/>
      <c r="P456" s="39">
        <v>13.0</v>
      </c>
      <c r="Q456" s="39">
        <v>6.5</v>
      </c>
    </row>
    <row r="457" spans="1:17" ht="31.15" hidden="1" customHeight="1" x14ac:dyDescent="0.25">
      <c r="A457" s="30" t="s">
        <v>1063</v>
      </c>
      <c r="B457" s="31" t="s">
        <v>1064</v>
      </c>
      <c r="C457" s="32">
        <v>1491</v>
      </c>
      <c r="D457" s="33" t="s">
        <v>661</v>
      </c>
      <c r="E457" s="34" t="s">
        <v>34</v>
      </c>
      <c r="F457" s="34" t="s">
        <v>35</v>
      </c>
      <c r="G457" s="33" t="s">
        <v>987</v>
      </c>
      <c r="H457" s="35"/>
      <c r="I457" s="36"/>
      <c r="J457" s="34"/>
      <c r="K457" s="34" t="s">
        <v>25</v>
      </c>
      <c r="L457" s="37">
        <v>46251</v>
      </c>
      <c r="M457" s="84">
        <v>46251</v>
      </c>
      <c r="N457" s="39">
        <v>8.0</v>
      </c>
      <c r="O457" s="85"/>
      <c r="P457" s="39">
        <v>15.0</v>
      </c>
      <c r="Q457" s="39">
        <v>14.78</v>
      </c>
    </row>
    <row r="458" spans="1:17" ht="31.15" hidden="1" customHeight="1" x14ac:dyDescent="0.25">
      <c r="A458" s="30" t="s">
        <v>1065</v>
      </c>
      <c r="B458" s="31" t="s">
        <v>1066</v>
      </c>
      <c r="C458" s="32">
        <v>1492</v>
      </c>
      <c r="D458" s="33" t="s">
        <v>33</v>
      </c>
      <c r="E458" s="34" t="s">
        <v>34</v>
      </c>
      <c r="F458" s="34" t="s">
        <v>35</v>
      </c>
      <c r="G458" s="33" t="s">
        <v>50</v>
      </c>
      <c r="H458" s="35" t="s">
        <v>51</v>
      </c>
      <c r="I458" s="36"/>
      <c r="J458" s="34"/>
      <c r="K458" s="34" t="s">
        <v>24</v>
      </c>
      <c r="L458" s="37">
        <v>46259</v>
      </c>
      <c r="M458" s="84">
        <v>46258</v>
      </c>
      <c r="N458" s="39">
        <v>0.0</v>
      </c>
      <c r="O458" s="85"/>
      <c r="P458" s="39">
        <v>6.0</v>
      </c>
      <c r="Q458" s="39">
        <v>9.73</v>
      </c>
    </row>
    <row r="459" spans="1:17" ht="31.15" hidden="1" customHeight="1" x14ac:dyDescent="0.25">
      <c r="A459" s="30" t="s">
        <v>1067</v>
      </c>
      <c r="B459" s="31" t="s">
        <v>1068</v>
      </c>
      <c r="C459" s="32">
        <v>1493</v>
      </c>
      <c r="D459" s="33" t="s">
        <v>185</v>
      </c>
      <c r="E459" s="34" t="s">
        <v>34</v>
      </c>
      <c r="F459" s="34" t="s">
        <v>35</v>
      </c>
      <c r="G459" s="33" t="s">
        <v>186</v>
      </c>
      <c r="H459" s="35"/>
      <c r="I459" s="36"/>
      <c r="J459" s="34"/>
      <c r="K459" s="34"/>
      <c r="L459" s="37">
        <v>46256</v>
      </c>
      <c r="M459" s="84">
        <v>46253</v>
      </c>
      <c r="N459" s="39">
        <v>2.0</v>
      </c>
      <c r="O459" s="85"/>
      <c r="P459" s="39">
        <v>2.0</v>
      </c>
      <c r="Q459" s="39">
        <v>2.0</v>
      </c>
    </row>
    <row r="460" spans="1:17" ht="31.15" customHeight="1" x14ac:dyDescent="0.25">
      <c r="A460" s="30" t="s">
        <v>1069</v>
      </c>
      <c r="B460" s="31" t="s">
        <v>1070</v>
      </c>
      <c r="C460" s="32">
        <v>1494</v>
      </c>
      <c r="D460" s="33" t="s">
        <v>61</v>
      </c>
      <c r="E460" s="34" t="s">
        <v>22</v>
      </c>
      <c r="F460" s="34" t="s">
        <v>35</v>
      </c>
      <c r="G460" s="33" t="s">
        <v>50</v>
      </c>
      <c r="H460" s="35" t="s">
        <v>51</v>
      </c>
      <c r="I460" s="36"/>
      <c r="J460" s="34"/>
      <c r="K460" s="34" t="s">
        <v>25</v>
      </c>
      <c r="L460" s="37"/>
      <c r="M460" s="84"/>
      <c r="N460" s="39">
        <v>0.0</v>
      </c>
      <c r="O460" s="85"/>
      <c r="P460" s="39"/>
      <c r="Q460" s="39">
        <v>0.0</v>
      </c>
    </row>
    <row r="461" spans="1:17" ht="31.15" customHeight="1" x14ac:dyDescent="0.25">
      <c r="A461" s="30" t="s">
        <v>1071</v>
      </c>
      <c r="B461" s="31" t="s">
        <v>1072</v>
      </c>
      <c r="C461" s="32">
        <v>1495</v>
      </c>
      <c r="D461" s="33" t="s">
        <v>61</v>
      </c>
      <c r="E461" s="34" t="s">
        <v>22</v>
      </c>
      <c r="F461" s="34" t="s">
        <v>35</v>
      </c>
      <c r="G461" s="33" t="s">
        <v>50</v>
      </c>
      <c r="H461" s="35"/>
      <c r="I461" s="36"/>
      <c r="J461" s="34"/>
      <c r="K461" s="34" t="s">
        <v>25</v>
      </c>
      <c r="L461" s="37"/>
      <c r="M461" s="84"/>
      <c r="N461" s="39">
        <v>0.0</v>
      </c>
      <c r="O461" s="85"/>
      <c r="P461" s="39"/>
      <c r="Q461" s="39">
        <v>0.0</v>
      </c>
    </row>
    <row r="462" spans="1:17" ht="31.15" hidden="1" customHeight="1" x14ac:dyDescent="0.25">
      <c r="A462" s="30" t="s">
        <v>1073</v>
      </c>
      <c r="B462" s="31" t="s">
        <v>1074</v>
      </c>
      <c r="C462" s="32">
        <v>1496</v>
      </c>
      <c r="D462" s="33" t="s">
        <v>61</v>
      </c>
      <c r="E462" s="34" t="s">
        <v>22</v>
      </c>
      <c r="F462" s="34" t="s">
        <v>35</v>
      </c>
      <c r="G462" s="33" t="s">
        <v>50</v>
      </c>
      <c r="H462" s="35" t="s">
        <v>51</v>
      </c>
      <c r="L462" s="37"/>
      <c r="M462" s="84"/>
      <c r="N462" s="39">
        <v>0.0</v>
      </c>
      <c r="O462" s="85"/>
      <c r="P462" s="39"/>
      <c r="Q462" s="39">
        <v>45.8</v>
      </c>
    </row>
    <row r="463" spans="1:17" ht="31.15" hidden="1" customHeight="1" x14ac:dyDescent="0.25">
      <c r="A463" s="30" t="s">
        <v>1075</v>
      </c>
      <c r="B463" s="31" t="s">
        <v>1076</v>
      </c>
      <c r="C463" s="32">
        <v>1499</v>
      </c>
      <c r="D463" s="33" t="s">
        <v>661</v>
      </c>
      <c r="E463" s="34" t="s">
        <v>34</v>
      </c>
      <c r="F463" s="34" t="s">
        <v>35</v>
      </c>
      <c r="G463" s="33" t="s">
        <v>987</v>
      </c>
      <c r="H463" s="35" t="s">
        <v>51</v>
      </c>
      <c r="I463" s="36"/>
      <c r="J463" s="34"/>
      <c r="K463" s="34" t="s">
        <v>29</v>
      </c>
      <c r="L463" s="37">
        <v>46256</v>
      </c>
      <c r="M463" s="84">
        <v>46253</v>
      </c>
      <c r="N463" s="39">
        <v>13.0</v>
      </c>
      <c r="O463" s="85"/>
      <c r="P463" s="39">
        <v>13.0</v>
      </c>
      <c r="Q463" s="39">
        <v>6.5</v>
      </c>
    </row>
    <row r="464" spans="1:17" ht="31.15" hidden="1" customHeight="1" x14ac:dyDescent="0.25">
      <c r="A464" s="30" t="s">
        <v>1077</v>
      </c>
      <c r="B464" s="31" t="s">
        <v>1078</v>
      </c>
      <c r="C464" s="32">
        <v>1500</v>
      </c>
      <c r="D464" s="33" t="s">
        <v>661</v>
      </c>
      <c r="E464" s="34" t="s">
        <v>34</v>
      </c>
      <c r="F464" s="34" t="s">
        <v>35</v>
      </c>
      <c r="G464" s="33" t="s">
        <v>987</v>
      </c>
      <c r="H464" s="35" t="s">
        <v>51</v>
      </c>
      <c r="I464" s="36"/>
      <c r="J464" s="34"/>
      <c r="K464" s="34" t="s">
        <v>29</v>
      </c>
      <c r="L464" s="37">
        <v>46256</v>
      </c>
      <c r="M464" s="84">
        <v>46253</v>
      </c>
      <c r="N464" s="39">
        <v>13.0</v>
      </c>
      <c r="O464" s="85"/>
      <c r="P464" s="39">
        <v>13.0</v>
      </c>
      <c r="Q464" s="39">
        <v>6.55</v>
      </c>
    </row>
    <row r="465" spans="1:17" ht="30" hidden="1" x14ac:dyDescent="0.25">
      <c r="A465" s="30" t="s">
        <v>1079</v>
      </c>
      <c r="B465" s="31" t="s">
        <v>1080</v>
      </c>
      <c r="C465" s="32">
        <v>1510</v>
      </c>
      <c r="D465" s="33" t="s">
        <v>33</v>
      </c>
      <c r="E465" s="34" t="s">
        <v>22</v>
      </c>
      <c r="F465" s="34" t="s">
        <v>35</v>
      </c>
      <c r="G465" s="33" t="s">
        <v>50</v>
      </c>
      <c r="H465" s="35" t="s">
        <v>51</v>
      </c>
      <c r="I465" s="36"/>
      <c r="J465" s="106"/>
      <c r="K465" s="34" t="s">
        <v>29</v>
      </c>
      <c r="L465" s="37"/>
      <c r="M465" s="106"/>
      <c r="N465" s="106">
        <v>0</v>
      </c>
      <c r="O465" s="106"/>
      <c r="P465" s="106"/>
      <c r="Q465" s="106">
        <v>0</v>
      </c>
    </row>
    <row r="466" spans="1:17" hidden="1" x14ac:dyDescent="0.25">
      <c r="A466" s="106"/>
      <c r="B466" s="106"/>
      <c r="C466" s="106"/>
      <c r="D466" s="147"/>
      <c r="E466" s="106"/>
      <c r="F466" s="106"/>
      <c r="G466" s="106"/>
      <c r="H466" s="106"/>
      <c r="I466" s="106"/>
      <c r="J466" s="106"/>
      <c r="K466" s="106"/>
      <c r="L466" s="106"/>
      <c r="M466" s="106"/>
      <c r="N466" s="106"/>
      <c r="O466" s="106"/>
      <c r="P466" s="106"/>
      <c r="Q466" s="106"/>
    </row>
    <row r="467" spans="1:17" hidden="1" x14ac:dyDescent="0.25">
      <c r="A467" s="106"/>
      <c r="B467" s="106"/>
      <c r="C467" s="106"/>
      <c r="D467" s="147"/>
      <c r="E467" s="106"/>
      <c r="F467" s="106"/>
      <c r="G467" s="106"/>
      <c r="H467" s="106"/>
      <c r="I467" s="106"/>
      <c r="J467" s="106"/>
      <c r="K467" s="106"/>
      <c r="L467" s="106"/>
      <c r="M467" s="106"/>
      <c r="N467" s="106"/>
      <c r="O467" s="106"/>
      <c r="P467" s="106"/>
      <c r="Q467" s="106"/>
    </row>
    <row r="468" spans="1:17" hidden="1" x14ac:dyDescent="0.25">
      <c r="A468" s="106"/>
      <c r="B468" s="106"/>
      <c r="C468" s="106"/>
      <c r="D468" s="147"/>
      <c r="E468" s="106"/>
      <c r="F468" s="106"/>
      <c r="G468" s="106"/>
      <c r="H468" s="106"/>
      <c r="I468" s="106"/>
      <c r="J468" s="106"/>
      <c r="K468" s="106"/>
      <c r="L468" s="106"/>
      <c r="M468" s="106"/>
      <c r="N468" s="106"/>
      <c r="O468" s="106"/>
      <c r="P468" s="106"/>
      <c r="Q468" s="106"/>
    </row>
    <row r="469" spans="1:17" hidden="1" x14ac:dyDescent="0.25">
      <c r="A469" s="106"/>
      <c r="B469" s="106"/>
      <c r="C469" s="106"/>
      <c r="D469" s="147"/>
      <c r="E469" s="106"/>
      <c r="F469" s="106"/>
      <c r="G469" s="106"/>
      <c r="H469" s="106"/>
      <c r="I469" s="106"/>
      <c r="J469" s="106"/>
      <c r="K469" s="106"/>
      <c r="L469" s="106"/>
      <c r="M469" s="106"/>
      <c r="N469" s="106"/>
      <c r="O469" s="106"/>
      <c r="P469" s="106"/>
      <c r="Q469" s="106"/>
    </row>
    <row r="470" spans="1:17" hidden="1" x14ac:dyDescent="0.25">
      <c r="A470" s="106"/>
      <c r="B470" s="106"/>
      <c r="C470" s="106"/>
      <c r="D470" s="147"/>
      <c r="E470" s="106"/>
      <c r="F470" s="106"/>
      <c r="G470" s="106"/>
      <c r="H470" s="106"/>
      <c r="I470" s="106"/>
      <c r="J470" s="106"/>
      <c r="K470" s="106"/>
      <c r="L470" s="106"/>
      <c r="M470" s="106"/>
      <c r="N470" s="106"/>
      <c r="O470" s="106"/>
      <c r="P470" s="106"/>
      <c r="Q470" s="106"/>
    </row>
    <row r="471" spans="1:17" hidden="1" x14ac:dyDescent="0.25">
      <c r="A471" s="106"/>
      <c r="B471" s="106"/>
      <c r="C471" s="106"/>
      <c r="D471" s="147"/>
      <c r="E471" s="106"/>
      <c r="F471" s="106"/>
      <c r="G471" s="106"/>
      <c r="H471" s="106"/>
      <c r="I471" s="106"/>
      <c r="J471" s="106"/>
      <c r="K471" s="106"/>
      <c r="L471" s="106"/>
      <c r="M471" s="106"/>
      <c r="N471" s="106"/>
      <c r="O471" s="106"/>
      <c r="P471" s="106"/>
      <c r="Q471" s="106"/>
    </row>
    <row r="472" spans="1:17" hidden="1" x14ac:dyDescent="0.25">
      <c r="A472" s="106"/>
      <c r="B472" s="106"/>
      <c r="C472" s="106"/>
      <c r="D472" s="147"/>
      <c r="E472" s="106"/>
      <c r="F472" s="106"/>
      <c r="G472" s="106"/>
      <c r="H472" s="106"/>
      <c r="I472" s="106"/>
      <c r="J472" s="106"/>
      <c r="K472" s="106"/>
      <c r="L472" s="106"/>
      <c r="M472" s="106"/>
      <c r="N472" s="106"/>
      <c r="O472" s="106"/>
      <c r="P472" s="106"/>
      <c r="Q472" s="106"/>
    </row>
    <row r="473" spans="1:17" hidden="1" x14ac:dyDescent="0.25">
      <c r="A473" s="106"/>
      <c r="B473" s="106"/>
      <c r="C473" s="106"/>
      <c r="D473" s="147"/>
      <c r="E473" s="106"/>
      <c r="F473" s="106"/>
      <c r="G473" s="106"/>
      <c r="H473" s="106"/>
      <c r="I473" s="106"/>
      <c r="J473" s="106"/>
      <c r="K473" s="106"/>
      <c r="L473" s="106"/>
      <c r="M473" s="106"/>
      <c r="N473" s="106"/>
      <c r="O473" s="106"/>
      <c r="P473" s="106"/>
      <c r="Q473" s="106"/>
    </row>
    <row r="474" spans="1:17" hidden="1" x14ac:dyDescent="0.25">
      <c r="A474" s="106"/>
      <c r="B474" s="106"/>
      <c r="C474" s="106"/>
      <c r="D474" s="147"/>
      <c r="E474" s="106"/>
      <c r="F474" s="106"/>
      <c r="G474" s="106"/>
      <c r="H474" s="106"/>
      <c r="I474" s="106"/>
      <c r="J474" s="106"/>
      <c r="K474" s="106"/>
      <c r="L474" s="106"/>
      <c r="M474" s="106"/>
      <c r="N474" s="106"/>
      <c r="O474" s="106"/>
      <c r="P474" s="106"/>
      <c r="Q474" s="106"/>
    </row>
    <row r="475" spans="1:17" hidden="1" x14ac:dyDescent="0.25">
      <c r="A475" s="106"/>
      <c r="B475" s="106"/>
      <c r="C475" s="106"/>
      <c r="D475" s="147"/>
      <c r="E475" s="106"/>
      <c r="F475" s="106"/>
      <c r="G475" s="106"/>
      <c r="H475" s="106"/>
      <c r="I475" s="106"/>
      <c r="J475" s="106"/>
      <c r="K475" s="106"/>
      <c r="L475" s="106"/>
      <c r="M475" s="106"/>
      <c r="N475" s="106"/>
      <c r="O475" s="106"/>
      <c r="P475" s="106"/>
      <c r="Q475" s="106"/>
    </row>
    <row r="476" spans="1:17" hidden="1" x14ac:dyDescent="0.25">
      <c r="A476" s="106"/>
      <c r="B476" s="106"/>
      <c r="C476" s="106"/>
      <c r="D476" s="147"/>
      <c r="E476" s="106"/>
      <c r="F476" s="106"/>
      <c r="G476" s="106"/>
      <c r="H476" s="106"/>
      <c r="I476" s="106"/>
      <c r="J476" s="106"/>
      <c r="K476" s="106"/>
      <c r="L476" s="106"/>
      <c r="M476" s="106"/>
      <c r="N476" s="106"/>
      <c r="O476" s="106"/>
      <c r="P476" s="106"/>
      <c r="Q476" s="106"/>
    </row>
    <row r="477" spans="1:17" hidden="1" x14ac:dyDescent="0.25">
      <c r="A477" s="106"/>
      <c r="B477" s="106"/>
      <c r="C477" s="106"/>
      <c r="D477" s="147"/>
      <c r="E477" s="106"/>
      <c r="F477" s="106"/>
      <c r="G477" s="106"/>
      <c r="H477" s="106"/>
      <c r="I477" s="106"/>
      <c r="J477" s="106"/>
      <c r="K477" s="106"/>
      <c r="L477" s="106"/>
      <c r="M477" s="106"/>
      <c r="N477" s="106"/>
      <c r="O477" s="106"/>
      <c r="P477" s="106"/>
      <c r="Q477" s="106"/>
    </row>
    <row r="478" spans="1:17" hidden="1" x14ac:dyDescent="0.25">
      <c r="A478" s="106"/>
      <c r="B478" s="106"/>
      <c r="C478" s="106"/>
      <c r="D478" s="147"/>
      <c r="E478" s="106"/>
      <c r="F478" s="106"/>
      <c r="G478" s="106"/>
      <c r="H478" s="106"/>
      <c r="I478" s="106"/>
      <c r="J478" s="106"/>
      <c r="K478" s="106"/>
      <c r="L478" s="106"/>
      <c r="M478" s="106"/>
      <c r="N478" s="106"/>
      <c r="O478" s="106"/>
      <c r="P478" s="106"/>
      <c r="Q478" s="106"/>
    </row>
    <row r="479" spans="1:17" hidden="1" x14ac:dyDescent="0.25">
      <c r="A479" s="106"/>
      <c r="B479" s="106"/>
      <c r="C479" s="106"/>
      <c r="D479" s="147"/>
      <c r="E479" s="106"/>
      <c r="F479" s="106"/>
      <c r="G479" s="106"/>
      <c r="H479" s="106"/>
      <c r="I479" s="106"/>
      <c r="J479" s="106"/>
      <c r="K479" s="106"/>
      <c r="L479" s="106"/>
      <c r="M479" s="106"/>
      <c r="N479" s="106"/>
      <c r="O479" s="106"/>
      <c r="P479" s="106"/>
      <c r="Q479" s="106"/>
    </row>
    <row r="480" spans="1:17" hidden="1" x14ac:dyDescent="0.25">
      <c r="A480" s="106"/>
      <c r="B480" s="106"/>
      <c r="C480" s="106"/>
      <c r="D480" s="147"/>
      <c r="E480" s="106"/>
      <c r="F480" s="106"/>
      <c r="G480" s="106"/>
      <c r="H480" s="106"/>
      <c r="I480" s="106"/>
      <c r="J480" s="106"/>
      <c r="K480" s="106"/>
      <c r="L480" s="106"/>
      <c r="M480" s="106"/>
      <c r="N480" s="106"/>
      <c r="O480" s="106"/>
      <c r="P480" s="106"/>
      <c r="Q480" s="106"/>
    </row>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spans="1:17" hidden="1" x14ac:dyDescent="0.25">
      <c r="A977" s="106"/>
      <c r="B977" s="106"/>
      <c r="C977" s="106"/>
      <c r="D977" s="147"/>
      <c r="E977" s="106"/>
      <c r="F977" s="106"/>
      <c r="G977" s="106"/>
      <c r="H977" s="106"/>
      <c r="I977" s="106"/>
      <c r="J977" s="106"/>
      <c r="K977" s="106"/>
      <c r="L977" s="106"/>
      <c r="M977" s="106"/>
      <c r="N977" s="106"/>
      <c r="O977" s="106"/>
      <c r="P977" s="106"/>
      <c r="Q977" s="106"/>
    </row>
    <row r="978" spans="1:17" hidden="1" x14ac:dyDescent="0.25">
      <c r="A978" s="106"/>
      <c r="B978" s="106"/>
      <c r="C978" s="106"/>
      <c r="D978" s="147"/>
      <c r="E978" s="106"/>
      <c r="F978" s="106"/>
      <c r="G978" s="106"/>
      <c r="H978" s="106"/>
      <c r="I978" s="106"/>
      <c r="J978" s="106"/>
      <c r="K978" s="106"/>
      <c r="L978" s="106"/>
      <c r="M978" s="106"/>
      <c r="N978" s="106"/>
      <c r="O978" s="106"/>
      <c r="P978" s="106"/>
      <c r="Q978" s="106"/>
    </row>
    <row r="979" spans="1:17" hidden="1" x14ac:dyDescent="0.25">
      <c r="A979" s="106"/>
      <c r="B979" s="106"/>
      <c r="C979" s="106"/>
      <c r="D979" s="147"/>
      <c r="E979" s="106"/>
      <c r="F979" s="106"/>
      <c r="G979" s="106"/>
      <c r="H979" s="106"/>
      <c r="I979" s="106"/>
      <c r="J979" s="106"/>
      <c r="K979" s="106"/>
      <c r="L979" s="106"/>
      <c r="M979" s="106"/>
      <c r="N979" s="106"/>
      <c r="O979" s="106"/>
      <c r="P979" s="106"/>
      <c r="Q979" s="106"/>
    </row>
    <row r="980" spans="1:17" hidden="1" x14ac:dyDescent="0.25">
      <c r="A980" s="106"/>
      <c r="B980" s="106"/>
      <c r="C980" s="106"/>
      <c r="D980" s="147"/>
      <c r="E980" s="106"/>
      <c r="F980" s="106"/>
      <c r="G980" s="106"/>
      <c r="H980" s="106"/>
      <c r="I980" s="106"/>
      <c r="J980" s="106"/>
      <c r="K980" s="106"/>
      <c r="L980" s="106"/>
      <c r="M980" s="106"/>
      <c r="N980" s="106"/>
      <c r="O980" s="106"/>
      <c r="P980" s="106"/>
      <c r="Q980" s="106"/>
    </row>
    <row r="981" spans="1:17" hidden="1" x14ac:dyDescent="0.25">
      <c r="A981" s="106"/>
      <c r="B981" s="106"/>
      <c r="C981" s="106"/>
      <c r="D981" s="147"/>
      <c r="E981" s="106"/>
      <c r="F981" s="106"/>
      <c r="G981" s="106"/>
      <c r="H981" s="106"/>
      <c r="I981" s="106"/>
      <c r="J981" s="106"/>
      <c r="K981" s="106"/>
      <c r="L981" s="106"/>
      <c r="M981" s="106"/>
      <c r="N981" s="106"/>
      <c r="O981" s="106"/>
      <c r="P981" s="106"/>
      <c r="Q981" s="106"/>
    </row>
    <row r="982" spans="1:17" hidden="1" x14ac:dyDescent="0.25">
      <c r="A982" s="106"/>
      <c r="B982" s="106"/>
      <c r="C982" s="106"/>
      <c r="D982" s="147"/>
      <c r="E982" s="106"/>
      <c r="F982" s="106"/>
      <c r="G982" s="106"/>
      <c r="H982" s="106"/>
      <c r="I982" s="106"/>
      <c r="J982" s="106"/>
      <c r="K982" s="106"/>
      <c r="L982" s="106"/>
      <c r="M982" s="106"/>
      <c r="N982" s="106"/>
      <c r="O982" s="106"/>
      <c r="P982" s="106"/>
      <c r="Q982" s="106"/>
    </row>
    <row r="983" spans="1:17" hidden="1" x14ac:dyDescent="0.25">
      <c r="A983" s="106"/>
      <c r="B983" s="106"/>
      <c r="C983" s="106"/>
      <c r="D983" s="147"/>
      <c r="E983" s="106"/>
      <c r="F983" s="106"/>
      <c r="G983" s="106"/>
      <c r="H983" s="106"/>
      <c r="I983" s="106"/>
      <c r="J983" s="106"/>
      <c r="K983" s="106"/>
      <c r="L983" s="106"/>
      <c r="M983" s="106"/>
      <c r="N983" s="106"/>
      <c r="O983" s="106"/>
      <c r="P983" s="106"/>
      <c r="Q983" s="106"/>
    </row>
    <row r="984" spans="1:17" hidden="1" x14ac:dyDescent="0.25">
      <c r="A984" s="106"/>
      <c r="B984" s="106"/>
      <c r="C984" s="106"/>
      <c r="D984" s="147"/>
      <c r="E984" s="106"/>
      <c r="F984" s="106"/>
      <c r="G984" s="106"/>
      <c r="H984" s="106"/>
      <c r="I984" s="106"/>
      <c r="J984" s="106"/>
      <c r="K984" s="106"/>
      <c r="L984" s="106"/>
      <c r="M984" s="106"/>
      <c r="N984" s="106"/>
      <c r="O984" s="106"/>
      <c r="P984" s="106"/>
      <c r="Q984" s="106"/>
    </row>
    <row r="985" spans="1:17" hidden="1" x14ac:dyDescent="0.25">
      <c r="A985" s="106"/>
      <c r="B985" s="106"/>
      <c r="C985" s="106"/>
      <c r="D985" s="147"/>
      <c r="E985" s="106"/>
      <c r="F985" s="106"/>
      <c r="G985" s="106"/>
      <c r="H985" s="106"/>
      <c r="I985" s="106"/>
      <c r="J985" s="106"/>
      <c r="K985" s="106"/>
      <c r="L985" s="106"/>
      <c r="M985" s="106"/>
      <c r="N985" s="106"/>
      <c r="O985" s="106"/>
      <c r="P985" s="106"/>
      <c r="Q985" s="106"/>
    </row>
    <row r="986" spans="1:17" hidden="1" x14ac:dyDescent="0.25">
      <c r="A986" s="106"/>
      <c r="B986" s="106"/>
      <c r="C986" s="106"/>
      <c r="D986" s="147"/>
      <c r="E986" s="106"/>
      <c r="F986" s="106"/>
      <c r="G986" s="106"/>
      <c r="H986" s="106"/>
      <c r="I986" s="106"/>
      <c r="J986" s="106"/>
      <c r="K986" s="106"/>
      <c r="L986" s="106"/>
      <c r="M986" s="106"/>
      <c r="N986" s="106"/>
      <c r="O986" s="106"/>
      <c r="P986" s="106"/>
      <c r="Q986" s="106"/>
    </row>
    <row r="987" spans="1:17" hidden="1" x14ac:dyDescent="0.25">
      <c r="A987" s="106"/>
      <c r="B987" s="106"/>
      <c r="C987" s="106"/>
      <c r="D987" s="147"/>
      <c r="E987" s="106"/>
      <c r="F987" s="106"/>
      <c r="G987" s="106"/>
      <c r="H987" s="106"/>
      <c r="I987" s="106"/>
      <c r="J987" s="106"/>
      <c r="K987" s="106"/>
      <c r="L987" s="106"/>
      <c r="M987" s="106"/>
      <c r="N987" s="106"/>
      <c r="O987" s="106"/>
      <c r="P987" s="106"/>
      <c r="Q987" s="106"/>
    </row>
    <row r="988" spans="1:17" hidden="1" x14ac:dyDescent="0.25">
      <c r="A988" s="106"/>
      <c r="B988" s="106"/>
      <c r="C988" s="106"/>
      <c r="D988" s="147"/>
      <c r="E988" s="106"/>
      <c r="F988" s="106"/>
      <c r="G988" s="106"/>
      <c r="H988" s="106"/>
      <c r="I988" s="106"/>
      <c r="J988" s="106"/>
      <c r="K988" s="106"/>
      <c r="L988" s="106"/>
      <c r="M988" s="106"/>
      <c r="N988" s="106"/>
      <c r="O988" s="106"/>
      <c r="P988" s="106"/>
      <c r="Q988" s="106"/>
    </row>
    <row r="989" spans="1:17" hidden="1" x14ac:dyDescent="0.25">
      <c r="A989" s="106"/>
      <c r="B989" s="106"/>
      <c r="C989" s="106"/>
      <c r="D989" s="147"/>
      <c r="E989" s="106"/>
      <c r="F989" s="106"/>
      <c r="G989" s="106"/>
      <c r="H989" s="106"/>
      <c r="I989" s="106"/>
      <c r="J989" s="106"/>
      <c r="K989" s="106"/>
      <c r="L989" s="106"/>
      <c r="M989" s="106"/>
      <c r="N989" s="106"/>
      <c r="O989" s="106"/>
      <c r="P989" s="106"/>
      <c r="Q989" s="106"/>
    </row>
    <row r="990" spans="1:17" hidden="1" x14ac:dyDescent="0.25">
      <c r="A990" s="106"/>
      <c r="B990" s="106"/>
      <c r="C990" s="106"/>
      <c r="D990" s="147"/>
      <c r="E990" s="106"/>
      <c r="F990" s="106"/>
      <c r="G990" s="106"/>
      <c r="H990" s="106"/>
      <c r="I990" s="106"/>
      <c r="J990" s="106"/>
      <c r="K990" s="106"/>
      <c r="L990" s="106"/>
      <c r="M990" s="106"/>
      <c r="N990" s="106"/>
      <c r="O990" s="106"/>
      <c r="P990" s="106"/>
      <c r="Q990" s="106"/>
    </row>
    <row r="991" spans="1:17" hidden="1" x14ac:dyDescent="0.25">
      <c r="A991" s="106"/>
      <c r="B991" s="106"/>
      <c r="C991" s="106"/>
      <c r="D991" s="147"/>
      <c r="E991" s="106"/>
      <c r="F991" s="106"/>
      <c r="G991" s="106"/>
      <c r="H991" s="106"/>
      <c r="I991" s="106"/>
      <c r="J991" s="106"/>
      <c r="K991" s="106"/>
      <c r="L991" s="106"/>
      <c r="M991" s="106"/>
      <c r="N991" s="106"/>
      <c r="O991" s="106"/>
      <c r="P991" s="106"/>
      <c r="Q991" s="106"/>
    </row>
    <row r="992" spans="1:17" ht="30" x14ac:dyDescent="0.25">
      <c r="A992" s="30">
        <v>33163295</v>
      </c>
      <c r="B992" s="31" t="s">
        <v>1081</v>
      </c>
      <c r="C992" s="32">
        <v>1510</v>
      </c>
      <c r="D992" s="33" t="s">
        <v>61</v>
      </c>
      <c r="E992" s="34" t="s">
        <v>22</v>
      </c>
      <c r="F992" s="34" t="s">
        <v>35</v>
      </c>
      <c r="G992" s="33" t="s">
        <v>50</v>
      </c>
      <c r="H992" s="35" t="s">
        <v>51</v>
      </c>
      <c r="I992" s="36"/>
      <c r="J992" s="148"/>
      <c r="K992" s="34" t="s">
        <v>25</v>
      </c>
      <c r="L992" s="37"/>
      <c r="M992" s="106"/>
      <c r="N992" s="106">
        <v>0.0</v>
      </c>
      <c r="O992" s="106"/>
      <c r="P992" s="106"/>
      <c r="Q992" s="106">
        <v>23.03</v>
      </c>
    </row>
    <row r="993" spans="1:17" ht="30" x14ac:dyDescent="0.25">
      <c r="A993" s="30">
        <v>33173578</v>
      </c>
      <c r="B993" s="31" t="s">
        <v>1083</v>
      </c>
      <c r="C993" s="32">
        <v>1512</v>
      </c>
      <c r="D993" s="33" t="s">
        <v>61</v>
      </c>
      <c r="E993" s="34" t="s">
        <v>22</v>
      </c>
      <c r="F993" s="34" t="s">
        <v>35</v>
      </c>
      <c r="G993" s="33" t="s">
        <v>747</v>
      </c>
      <c r="H993" s="35"/>
      <c r="I993" s="36"/>
      <c r="J993" s="148"/>
      <c r="K993" s="34" t="s">
        <v>25</v>
      </c>
      <c r="L993" s="37"/>
      <c r="M993" s="106"/>
      <c r="N993" s="106">
        <v>0.0</v>
      </c>
      <c r="O993" s="106"/>
      <c r="P993" s="106"/>
      <c r="Q993" s="106">
        <v>0.0</v>
      </c>
    </row>
    <row r="994" spans="1:17" ht="30" x14ac:dyDescent="0.25">
      <c r="A994" s="30">
        <v>33191839</v>
      </c>
      <c r="B994" s="31" t="s">
        <v>5630</v>
      </c>
      <c r="C994">
        <v>1533</v>
      </c>
      <c r="D994" s="3" t="s">
        <v>61</v>
      </c>
      <c r="E994" s="34" t="s">
        <v>34</v>
      </c>
      <c r="F994" s="34" t="s">
        <v>35</v>
      </c>
      <c r="G994" s="33" t="s">
        <v>50</v>
      </c>
      <c r="H994" s="35"/>
      <c r="I994" s="36"/>
      <c r="J994" s="148"/>
      <c r="K994" s="34" t="s">
        <v>25</v>
      </c>
      <c r="L994" s="37">
        <v>46260</v>
      </c>
      <c r="N994">
        <v>0.0</v>
      </c>
      <c r="P994">
        <v>4.5</v>
      </c>
      <c r="Q994">
        <v>3.28</v>
      </c>
    </row>
  </sheetData>
  <mergeCells count="5">
    <mergeCell ref="A1:D1"/>
    <mergeCell ref="E1:G2"/>
    <mergeCell ref="H2:Q2"/>
    <mergeCell ref="A2:D2"/>
    <mergeCell ref="H1:Q1"/>
  </mergeCells>
  <conditionalFormatting sqref="A4:A994">
    <cfRule type="expression" dxfId="59" priority="1299" stopIfTrue="1">
      <formula>AND($A4&lt;&gt;"",COUNTIF($A$4:$A$994,$A4)&gt;1)</formula>
    </cfRule>
    <cfRule type="expression" dxfId="58" priority="1300" stopIfTrue="1">
      <formula>AND(AND($A4&lt;&gt;"",LEN($A4)=8,ISNUMBER(--$A4)),LEFT($B4,8)="REPLACE ")</formula>
    </cfRule>
    <cfRule type="expression" dxfId="57" priority="1301" stopIfTrue="1">
      <formula>AND(AND($A4&lt;&gt;"",LEN($A4)=8,ISNUMBER(--$A4)),OR(LEFT($B4,4)="EOD-",LEFT($B4,3)="EO-",LEFT($B4,3)="ER-",LEFT($B4,5)="FRSEO",AND(LEFT($B4,1)="S",ISNUMBER(--MID($B4,2,2)),MID($B4,4,2)="-R"),ISNUMBER(SEARCH("/AD-",$B4))))</formula>
    </cfRule>
    <cfRule type="expression" dxfId="56" priority="1302">
      <formula>AND(AND($A4&lt;&gt;"",LEN($A4)=8,ISNUMBER(--$A4)),NOT(OR(LEFT($B4,4)="EOD-",LEFT($B4,3)="EO-",LEFT($B4,3)="ER-",LEFT($B4,5)="FRSEO",AND(LEFT($B4,1)="S",ISNUMBER(--MID($B4,2,2)),MID($B4,4,2)="-R"),ISNUMBER(SEARCH("/AD-",$B4)))),NOT(LEFT($B4,8)="REPLACE "),NOT(OR(LEFT($B4,3)="6Y_",LEFT($B4,4)="A_N ",LEFT($B4,4)="C_N ",LEFT($B4,4)="DCC-",LEFT($B4,4)="CCC-",LEFT($B4,4)="ISC-",LEFT($B4,7)="WEEKLY-")))</formula>
    </cfRule>
    <cfRule type="expression" dxfId="55" priority="1303">
      <formula>LEFT($A4,4)="STJC"</formula>
    </cfRule>
  </conditionalFormatting>
  <conditionalFormatting sqref="A366:A369">
    <cfRule type="expression" dxfId="302" priority="8">
      <formula>AND($A366&lt;&gt;"",MOD(ROW(),2)=0)</formula>
    </cfRule>
    <cfRule type="expression" dxfId="301" priority="76">
      <formula>AND($A366&lt;&gt;"",$L366=TODAY())</formula>
    </cfRule>
  </conditionalFormatting>
  <conditionalFormatting sqref="A4:C426 A427:B433 C433 A434:C1005">
    <cfRule type="expression" dxfId="182" priority="10">
      <formula>$F4="Critical"</formula>
    </cfRule>
  </conditionalFormatting>
  <conditionalFormatting sqref="A4:C426 C433 A427:B433 A434:C1005">
    <cfRule type="expression" dxfId="181" priority="9">
      <formula>$F4="AOG"</formula>
    </cfRule>
  </conditionalFormatting>
  <conditionalFormatting sqref="D343:H370 A371:H384 D385:H402 C403:H404 B405:H405 A406:H418 C419:H419 D420:H432 C433:H433 B340:B433 A342:C364 A365:B365 C365:C403 A370:B370 A385:A412 B401:C412 C419:C432 A419:A434 A434:H993 E994:H994 J4:L994 A4:H342">
    <cfRule type="expression" dxfId="54" priority="78">
      <formula>AND($A4&lt;&gt;"",$L4=TODAY())</formula>
    </cfRule>
  </conditionalFormatting>
  <conditionalFormatting sqref="C278:M342 D343:M370 A371:M384 D385:M402 C403:M404 B405:M405 A406:M418 C419:M419 D420:M432 C433:M433 K403:K410 A277:B365 C342:C403 A370 A385:A412 B385:B433 B401:C412 C419:C432 A419:A434 A434:M993 E994:I994 K994:L994 A4:M277">
    <cfRule type="expression" dxfId="300" priority="175">
      <formula>AND($A4&lt;&gt;"",MOD(ROW(),2)=0)</formula>
    </cfRule>
  </conditionalFormatting>
  <conditionalFormatting sqref="B4:B1005">
    <cfRule type="expression" dxfId="53" priority="7">
      <formula>$F4="AOG"</formula>
    </cfRule>
    <cfRule type="expression" dxfId="52" priority="1298">
      <formula>$F4="Critical"</formula>
    </cfRule>
  </conditionalFormatting>
  <conditionalFormatting sqref="C427:C434">
    <cfRule type="expression" dxfId="299" priority="5">
      <formula>$F427="AOG"</formula>
    </cfRule>
    <cfRule type="expression" dxfId="298" priority="6">
      <formula>$F427="Critical"</formula>
    </cfRule>
  </conditionalFormatting>
  <conditionalFormatting sqref="D4:D994">
    <cfRule type="cellIs" dxfId="51" priority="20" operator="equal">
      <formula>"GENERAL CABIN"</formula>
    </cfRule>
    <cfRule type="cellIs" dxfId="50" priority="21" operator="equal">
      <formula>"GALLEY"</formula>
    </cfRule>
    <cfRule type="cellIs" dxfId="49" priority="22" operator="equal">
      <formula>"LAVATORY"</formula>
    </cfRule>
    <cfRule type="cellIs" dxfId="48" priority="23" operator="equal">
      <formula>"PAX DOORS"</formula>
    </cfRule>
    <cfRule type="cellIs" dxfId="47" priority="24" operator="equal">
      <formula>"F/A SEAT"</formula>
    </cfRule>
    <cfRule type="cellIs" dxfId="46" priority="25" operator="equal">
      <formula>"PAX SEAT"</formula>
    </cfRule>
    <cfRule type="cellIs" dxfId="45" priority="26" operator="equal">
      <formula>"FLIGHT DECK"</formula>
    </cfRule>
    <cfRule type="cellIs" dxfId="44" priority="27" operator="equal">
      <formula>"OFAR/OFCR"</formula>
    </cfRule>
    <cfRule type="cellIs" dxfId="43" priority="28" operator="equal">
      <formula>"TEDLAR/SIDEWALL"</formula>
    </cfRule>
    <cfRule type="cellIs" dxfId="42" priority="29" operator="equal">
      <formula>"PAINT"</formula>
    </cfRule>
    <cfRule type="cellIs" dxfId="41" priority="30" operator="equal">
      <formula>"ACFT GENERAL T/C"</formula>
    </cfRule>
    <cfRule type="cellIs" dxfId="40" priority="67" operator="equal">
      <formula>"ACCESS"</formula>
    </cfRule>
  </conditionalFormatting>
  <conditionalFormatting sqref="E4:E994">
    <cfRule type="cellIs" dxfId="39" priority="110" operator="equal">
      <formula>"Open"</formula>
    </cfRule>
    <cfRule type="cellIs" dxfId="38" priority="111" operator="equal">
      <formula>"I/W"</formula>
    </cfRule>
    <cfRule type="cellIs" dxfId="37" priority="114" operator="equal">
      <formula>"N/A"</formula>
    </cfRule>
    <cfRule type="cellIs" dxfId="36" priority="171" operator="equal">
      <formula>"HPC"</formula>
    </cfRule>
    <cfRule type="cellIs" dxfId="35" priority="172" operator="equal">
      <formula>"Closed"</formula>
    </cfRule>
    <cfRule type="cellIs" dxfId="34" priority="172" operator="equal">
      <formula>"Deferred"</formula>
    </cfRule>
    <cfRule type="cellIs" dxfId="33" priority="172" operator="equal">
      <formula>"On Hold"</formula>
    </cfRule>
  </conditionalFormatting>
  <conditionalFormatting sqref="F4:F994">
    <cfRule type="cellIs" dxfId="32" priority="70" operator="equal">
      <formula>"Normal"</formula>
    </cfRule>
  </conditionalFormatting>
  <conditionalFormatting sqref="F4:F994">
    <cfRule type="expression" dxfId="31" priority="75">
      <formula>$F4="ACCESS"</formula>
    </cfRule>
  </conditionalFormatting>
  <conditionalFormatting sqref="F4:F1005">
    <cfRule type="expression" dxfId="30" priority="11">
      <formula>$F4="AOG"</formula>
    </cfRule>
    <cfRule type="expression" dxfId="29" priority="12">
      <formula>$F4="Critical"</formula>
    </cfRule>
  </conditionalFormatting>
  <conditionalFormatting sqref="G4:G994">
    <cfRule type="cellIs" dxfId="28" priority="46" operator="equal">
      <formula>"CAB"</formula>
    </cfRule>
    <cfRule type="cellIs" dxfId="27" priority="47" operator="equal">
      <formula>"SEAT"</formula>
    </cfRule>
    <cfRule type="cellIs" dxfId="26" priority="48" operator="equal">
      <formula>"AV"</formula>
    </cfRule>
    <cfRule type="cellIs" dxfId="25" priority="49" operator="equal">
      <formula>"WALL"</formula>
    </cfRule>
    <cfRule type="cellIs" dxfId="24" priority="50" operator="equal">
      <formula>"S/M"</formula>
    </cfRule>
    <cfRule type="cellIs" dxfId="23" priority="51" operator="equal">
      <formula>"PAINT"</formula>
    </cfRule>
    <cfRule type="cellIs" dxfId="22" priority="52" operator="equal">
      <formula>"JOINT"</formula>
    </cfRule>
    <cfRule type="cellIs" dxfId="21" priority="53" operator="equal">
      <formula>"INSP"</formula>
    </cfRule>
    <cfRule type="cellIs" dxfId="20" priority="173" operator="equal">
      <formula>"AP"</formula>
    </cfRule>
  </conditionalFormatting>
  <conditionalFormatting sqref="H4:H994">
    <cfRule type="cellIs" dxfId="19" priority="40" operator="equal">
      <formula>"N/R"</formula>
    </cfRule>
    <cfRule type="cellIs" dxfId="18" priority="41" operator="equal">
      <formula>"Requested"</formula>
    </cfRule>
    <cfRule type="cellIs" dxfId="17" priority="42" operator="equal">
      <formula>"Requested - R"</formula>
    </cfRule>
    <cfRule type="cellIs" dxfId="16" priority="43" operator="equal">
      <formula>"Requested - CR"</formula>
    </cfRule>
    <cfRule type="cellIs" dxfId="15" priority="44" operator="equal">
      <formula>"Pending EVAL"</formula>
    </cfRule>
    <cfRule type="cellIs" dxfId="14" priority="45" operator="equal">
      <formula>"N/A"</formula>
    </cfRule>
  </conditionalFormatting>
  <conditionalFormatting sqref="I4:I994">
    <cfRule type="expression" dxfId="13" priority="141">
      <formula>OR(TRIM(I4)="C/W",TRIM(I4)="CW")</formula>
    </cfRule>
  </conditionalFormatting>
  <conditionalFormatting sqref="J4:J994">
    <cfRule type="cellIs" dxfId="12" priority="166" operator="equal">
      <formula>"Yes"</formula>
    </cfRule>
    <cfRule type="cellIs" dxfId="11" priority="167" operator="equal">
      <formula>"No"</formula>
    </cfRule>
    <cfRule type="cellIs" dxfId="10" priority="168" operator="equal">
      <formula>"N/A"</formula>
    </cfRule>
  </conditionalFormatting>
  <conditionalFormatting sqref="K4:K994">
    <cfRule type="cellIs" dxfId="9" priority="66" operator="equal">
      <formula>"MID"</formula>
    </cfRule>
    <cfRule type="cellIs" dxfId="8" priority="137" operator="equal">
      <formula>"FWD"</formula>
    </cfRule>
    <cfRule type="cellIs" dxfId="7" priority="138" operator="equal">
      <formula>"AFT"</formula>
    </cfRule>
    <cfRule type="cellIs" dxfId="6" priority="139" operator="equal">
      <formula>"JOINT"</formula>
    </cfRule>
  </conditionalFormatting>
  <conditionalFormatting sqref="M4:M994">
    <cfRule type="expression" dxfId="5" priority="174">
      <formula>AND($M4&lt;&gt;"",$E4&lt;&gt;"Closed")</formula>
    </cfRule>
    <cfRule type="expression" dxfId="4" priority="174">
      <formula>AND($E4="Closed",$M4="")</formula>
    </cfRule>
  </conditionalFormatting>
  <conditionalFormatting sqref="B994">
    <cfRule type="expression" dxfId="195" priority="3">
      <formula>AND($A994&lt;&gt;"",$L994=TODAY())</formula>
    </cfRule>
  </conditionalFormatting>
  <conditionalFormatting sqref="B994">
    <cfRule type="expression" dxfId="194" priority="4">
      <formula>AND($A994&lt;&gt;"",MOD(ROW(),2)=0)</formula>
    </cfRule>
  </conditionalFormatting>
  <conditionalFormatting sqref="A994">
    <cfRule type="expression" dxfId="186" priority="1">
      <formula>AND($A994&lt;&gt;"",$L994=TODAY())</formula>
    </cfRule>
  </conditionalFormatting>
  <conditionalFormatting sqref="A994">
    <cfRule type="expression" dxfId="184" priority="2">
      <formula>AND($A994&lt;&gt;"",MOD(ROW(),2)=0)</formula>
    </cfRule>
  </conditionalFormatting>
  <dataValidations count="7">
    <dataValidation type="list" allowBlank="1" sqref="H4:H994">
      <formula1>"N/R,Requested,Requested - CR,Requested - R,Pending EVAL,N/A"</formula1>
    </dataValidation>
    <dataValidation type="list" allowBlank="1" sqref="F4:F994">
      <formula1>"AOG,Critical,Normal,ACCESS"</formula1>
    </dataValidation>
    <dataValidation type="list" allowBlank="1" sqref="D4:D994">
      <formula1>"GENERAL CABIN,GALLEY,LAVATORY,PAX DOORS,F/A SEAT,PAX SEAT,FLIGHT DECK,TEDLAR/SIDEWALL,ACFT GENERAL T/C"</formula1>
    </dataValidation>
    <dataValidation type="list" allowBlank="1" sqref="J4:J994">
      <formula1>"Yes,No,N/A"</formula1>
    </dataValidation>
    <dataValidation type="list" allowBlank="1" sqref="G4:G994">
      <formula1>"CAB,SEAT,AV,WALL,S/M,PAINT,JOINT,INSP,AP"</formula1>
    </dataValidation>
    <dataValidation type="list" allowBlank="1" sqref="E4:E994">
      <formula1>"Open,I/W,HPC,Closed,Deferred,On Hold,N/A"</formula1>
    </dataValidation>
    <dataValidation type="list" allowBlank="1" sqref="K4:K994">
      <formula1>"FWD,MID,AFT,JOINT"</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sheetPr>
  <dimension ref="A1:M100"/>
  <sheetViews>
    <sheetView showGridLines="0" workbookViewId="0">
      <selection activeCell="A3" sqref="A3:G3"/>
    </sheetView>
  </sheetViews>
  <sheetFormatPr defaultRowHeight="15" x14ac:dyDescent="0.25"/>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25">
      <c r="A1" s="187" t="s">
        <v>1084</v>
      </c>
      <c r="B1" s="152"/>
      <c r="C1" s="152"/>
      <c r="D1" s="152"/>
      <c r="E1" s="152"/>
      <c r="F1" s="184" t="str">
        <f ca="1">"DAY "&amp;MAX(MIN(TODAY()-DASHBOARD!$M$1+1,DASHBOARD!$M$2-DASHBOARD!$M$1+1),0)&amp;"/"&amp;(DASHBOARD!$M$2-DASHBOARD!$M$1+1)</f>
        <v>DAY 38/38</v>
      </c>
      <c r="G1" s="152"/>
      <c r="H1" s="106"/>
      <c r="I1" s="106"/>
      <c r="J1" s="106"/>
      <c r="K1" s="106"/>
      <c r="L1" s="108" t="s">
        <v>1085</v>
      </c>
      <c r="M1" s="29">
        <v>46221</v>
      </c>
    </row>
    <row r="2" spans="1:13" ht="21.95" customHeight="1" x14ac:dyDescent="0.25">
      <c r="A2" s="182"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67%  ·  Overdue by 2 days</v>
      </c>
      <c r="B2" s="152"/>
      <c r="C2" s="152"/>
      <c r="D2" s="152"/>
      <c r="E2" s="152"/>
      <c r="F2" s="152"/>
      <c r="G2" s="152"/>
      <c r="H2" s="106"/>
      <c r="I2" s="106"/>
      <c r="J2" s="106"/>
      <c r="K2" s="106"/>
      <c r="L2" s="108" t="s">
        <v>1086</v>
      </c>
      <c r="M2" s="29">
        <v>46258</v>
      </c>
    </row>
    <row r="3" spans="1:13" ht="28" customHeight="1" x14ac:dyDescent="0.3">
      <c r="A3" t="inlineStr">
        <is>
          <r>
            <rPr>
              <b/>
              <sz val="13"/>
              <color rgb="FFDC2626"/>
            </rPr>
            <t xml:space="preserve">⛔  OVERRUN — B.I.S REVISED → 03 SEP 2026  (EXTENSION +10 DAYS)</t>
          </r>
        </is>
      </c>
      <c r="B3" s="159"/>
      <c r="C3" s="159"/>
      <c r="D3" s="159"/>
      <c r="E3" s="159"/>
      <c r="F3" s="159"/>
      <c r="G3" s="159"/>
      <c r="H3" s="106"/>
      <c r="I3" s="106"/>
      <c r="J3" s="106"/>
      <c r="K3" s="106"/>
      <c r="L3" s="106"/>
      <c r="M3" s="106"/>
    </row>
    <row r="4" spans="1:13" ht="28.15" customHeight="1" x14ac:dyDescent="0.25">
      <c r="A4" s="109" t="s">
        <v>1087</v>
      </c>
      <c r="B4" s="110" t="s">
        <v>1088</v>
      </c>
      <c r="C4" s="111" t="s">
        <v>1089</v>
      </c>
      <c r="D4" s="112" t="s">
        <v>1090</v>
      </c>
      <c r="E4" s="113" t="s">
        <v>1091</v>
      </c>
      <c r="F4" s="114" t="s">
        <v>1092</v>
      </c>
      <c r="G4" s="115" t="s">
        <v>1093</v>
      </c>
      <c r="H4" s="88"/>
      <c r="I4" s="106"/>
      <c r="J4" s="106"/>
      <c r="K4" s="106"/>
      <c r="L4" s="106"/>
      <c r="M4" s="106"/>
    </row>
    <row r="5" spans="1:13" ht="32.1" customHeight="1" x14ac:dyDescent="0.25">
      <c r="A5" s="116">
        <f>COUNTIF('HZ-ASD Tracker'!$A$5:$A$994,"&lt;&gt;")</f>
        <v>464</v>
      </c>
      <c r="B5" s="117">
        <f>COUNTIFS('HZ-ASD Tracker'!$A$5:$A$994,"&lt;&gt;",'HZ-ASD Tracker'!$E$5:$E$994,"Closed")</f>
        <v>310</v>
      </c>
      <c r="C5" s="118">
        <f>COUNTIFS('HZ-ASD Tracker'!$A$5:$A$994,"&lt;&gt;",'HZ-ASD Tracker'!$E$5:$E$994,"Open")</f>
        <v>152</v>
      </c>
      <c r="D5" s="119">
        <f>COUNTIFS('HZ-ASD Tracker'!$A$5:$A$994,"&lt;&gt;",'HZ-ASD Tracker'!$E$5:$E$994,"HPC")</f>
        <v>0</v>
      </c>
      <c r="E5" s="120">
        <f>COUNTIFS('HZ-ASD Tracker'!$A$5:$A$994,"&lt;&gt;",'HZ-ASD Tracker'!$F$5:$F$994,"AOG",'HZ-ASD Tracker'!$E$5:$E$994,"&lt;&gt;Closed")</f>
        <v>1</v>
      </c>
      <c r="F5" s="121">
        <f>COUNTIFS('HZ-ASD Tracker'!$A$5:$A$994,"&lt;&gt;",'HZ-ASD Tracker'!$F$5:$F$994,"Critical",'HZ-ASD Tracker'!$E$5:$E$994,"&lt;&gt;Closed")</f>
        <v>13</v>
      </c>
      <c r="G5" s="122">
        <f>IFERROR(COUNTIFS('HZ-ASD Tracker'!$A$5:$A$994,"&lt;&gt;",'HZ-ASD Tracker'!$E$5:$E$994,"Closed")/COUNTIF('HZ-ASD Tracker'!$A$5:$A$994,"&lt;&gt;"),0)</f>
        <v>0.6681034482758621</v>
      </c>
      <c r="H5" s="89"/>
      <c r="I5" s="106"/>
      <c r="J5" s="106"/>
      <c r="K5" s="106"/>
      <c r="L5" s="106"/>
      <c r="M5" s="106"/>
    </row>
    <row r="6" spans="1:13" ht="7.15" customHeight="1" x14ac:dyDescent="0.25">
      <c r="A6" s="106"/>
      <c r="B6" s="106"/>
      <c r="C6" s="106"/>
      <c r="D6" s="106"/>
      <c r="E6" s="106"/>
      <c r="F6" s="106"/>
      <c r="G6" s="106"/>
      <c r="H6" s="106"/>
      <c r="I6" s="106"/>
      <c r="J6" s="106"/>
      <c r="K6" s="106"/>
      <c r="L6" s="106"/>
      <c r="M6" s="106"/>
    </row>
    <row r="7" spans="1:13" ht="18" customHeight="1" x14ac:dyDescent="0.25">
      <c r="A7" s="162" t="s">
        <v>1094</v>
      </c>
      <c r="B7" s="152"/>
      <c r="C7" s="152"/>
      <c r="D7" s="152"/>
      <c r="E7" s="152"/>
      <c r="F7" s="152"/>
      <c r="G7" s="152"/>
      <c r="H7" s="106"/>
      <c r="I7" s="106"/>
      <c r="J7" s="106"/>
      <c r="K7" s="106"/>
      <c r="L7" s="106"/>
      <c r="M7" s="106"/>
    </row>
    <row r="8" spans="1:13" ht="24" customHeight="1" x14ac:dyDescent="0.25">
      <c r="A8" s="166" t="str">
        <f ca="1">"🛬 O.O.S  "&amp;TEXT(DASHBOARD!$M$1-1,"DD-MMM")&amp;"      🛫 B.I.S  "&amp;TEXT(DASHBOARD!$M$2,"DD-MMM")&amp;"      GROUND TIME "&amp;(DASHBOARD!$M$2-DASHBOARD!$M$1+1)&amp;" days"&amp;"      ·      DAY "&amp;MAX(MIN(TODAY()-DASHBOARD!$M$1+1,DASHBOARD!$M$2-DASHBOARD!$M$1+1),0)&amp;"/"&amp;(DASHBOARD!$M$2-DASHBOARD!$M$1+1)</f>
        <v>🛬 O.O.S  17-Jul      🛫 B.I.S  24-Aug      GROUND TIME 38 days      ·      DAY 38/38</v>
      </c>
      <c r="B8" s="152"/>
      <c r="C8" s="152"/>
      <c r="D8" s="152"/>
      <c r="E8" s="152"/>
      <c r="F8" s="152"/>
      <c r="G8" s="152"/>
      <c r="H8" s="106"/>
      <c r="I8" s="106"/>
      <c r="J8" s="106"/>
      <c r="K8" s="106"/>
      <c r="L8" s="106"/>
      <c r="M8" s="106"/>
    </row>
    <row r="9" spans="1:13" ht="18" customHeight="1" x14ac:dyDescent="0.25">
      <c r="A9" s="189"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152"/>
      <c r="C9" s="152"/>
      <c r="D9" s="152"/>
      <c r="E9" s="152"/>
      <c r="F9" s="152"/>
      <c r="G9" s="152"/>
      <c r="H9" s="106"/>
      <c r="I9" s="106"/>
      <c r="J9" s="106"/>
      <c r="K9" s="106"/>
      <c r="L9" s="106"/>
      <c r="M9" s="106"/>
    </row>
    <row r="10" spans="1:13" ht="18" customHeight="1" x14ac:dyDescent="0.25">
      <c r="A10" s="188" t="str">
        <f ca="1">IF(NOT(ISNUMBER(LAYOVER!$B$19)),"⏳ set findings cutoff (LAYOVER)",IF(TODAY()&gt;LAYOVER!$B$19,"🔒 FINDINGS WINDOW CLOSED","⏳ Findings window closes in: "&amp;(LAYOVER!$B$19-TODAY())&amp;" day(s)"))</f>
        <v>🔒 FINDINGS WINDOW CLOSED</v>
      </c>
      <c r="B10" s="152"/>
      <c r="C10" s="152"/>
      <c r="D10" s="152"/>
      <c r="E10" s="152"/>
      <c r="F10" s="152"/>
      <c r="G10" s="152"/>
      <c r="H10" s="106"/>
      <c r="I10" s="106"/>
      <c r="J10" s="106"/>
      <c r="K10" s="106"/>
      <c r="L10" s="106"/>
      <c r="M10" s="106"/>
    </row>
    <row r="11" spans="1:13" ht="18" customHeight="1" x14ac:dyDescent="0.25">
      <c r="A11" s="190" t="str">
        <f ca="1">IF(MIN(LAYOVER!$D$41:$D$48)=9^9,"📅 No upcoming milestone","📅 Next: "&amp;INDEX(LAYOVER!$A$41:$A$48,MATCH(MIN(LAYOVER!$D$41:$D$48),LAYOVER!$D$41:$D$48,0))&amp;" — "&amp;TEXT(MIN(LAYOVER!$D$41:$D$48),"DD-MMM")&amp;IF(MIN(LAYOVER!$D$41:$D$48)=TODAY()," (TODAY!)"," (in "&amp;(MIN(LAYOVER!$D$41:$D$48)-TODAY())&amp;"d)"))</f>
        <v>📅 No upcoming milestone</v>
      </c>
      <c r="B11" s="152"/>
      <c r="C11" s="152"/>
      <c r="D11" s="152"/>
      <c r="E11" s="152"/>
      <c r="F11" s="152"/>
      <c r="G11" s="152"/>
      <c r="H11" s="106"/>
      <c r="I11" s="106"/>
      <c r="J11" s="106"/>
      <c r="K11" s="106"/>
      <c r="L11" s="106"/>
      <c r="M11" s="106"/>
    </row>
    <row r="12" spans="1:13" ht="18" customHeight="1" x14ac:dyDescent="0.25">
      <c r="A12" s="186" t="str">
        <f ca="1">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28 ACCESS still open</v>
      </c>
      <c r="B12" s="152"/>
      <c r="C12" s="152"/>
      <c r="D12" s="152"/>
      <c r="E12" s="152"/>
      <c r="F12" s="152"/>
      <c r="G12" s="152"/>
      <c r="H12" s="106"/>
      <c r="I12" s="106"/>
      <c r="J12" s="106"/>
      <c r="K12" s="106"/>
      <c r="L12" s="106"/>
      <c r="M12" s="106"/>
    </row>
    <row r="13" spans="1:13" ht="18" customHeight="1" x14ac:dyDescent="0.25">
      <c r="A13" s="162" t="s">
        <v>1095</v>
      </c>
      <c r="B13" s="152"/>
      <c r="C13" s="152"/>
      <c r="D13" s="152"/>
      <c r="E13" s="152"/>
      <c r="F13" s="152"/>
      <c r="G13" s="152"/>
      <c r="H13" s="106"/>
      <c r="I13" s="106"/>
      <c r="J13" s="106"/>
      <c r="K13" s="106"/>
      <c r="L13" s="106"/>
      <c r="M13" s="106"/>
    </row>
    <row r="14" spans="1:13" ht="12" customHeight="1" x14ac:dyDescent="0.25">
      <c r="A14" s="123"/>
      <c r="B14" s="123" t="s">
        <v>34</v>
      </c>
      <c r="C14" s="123" t="s">
        <v>1096</v>
      </c>
      <c r="D14" s="123" t="s">
        <v>1097</v>
      </c>
      <c r="E14" s="123" t="s">
        <v>1098</v>
      </c>
      <c r="F14" s="123" t="s">
        <v>1099</v>
      </c>
      <c r="G14" s="106"/>
      <c r="H14" s="106"/>
      <c r="I14" s="106"/>
      <c r="J14" s="106"/>
      <c r="K14" s="106"/>
      <c r="L14" s="106"/>
      <c r="M14" s="106"/>
    </row>
    <row r="15" spans="1:13" ht="16.5" customHeight="1" x14ac:dyDescent="0.25">
      <c r="A15" s="13" t="s">
        <v>1100</v>
      </c>
      <c r="B15" s="14">
        <f>(COUNTIFS('HZ-ASD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103</v>
      </c>
      <c r="C15" s="14">
        <f>(COUNTIF('HZ-ASD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15">
        <f>IFERROR(B15/C15,0)</f>
        <v>0.62424242424242427</v>
      </c>
      <c r="E15" s="15">
        <f ca="1">MIN(MAX((TODAY()-DASHBOARD!$M$1)/(DASHBOARD!$M$2-DASHBOARD!$M$1),0),1)</f>
        <v>1</v>
      </c>
      <c r="F15" s="24">
        <f>C15-B15</f>
        <v>62</v>
      </c>
      <c r="G15" s="11">
        <f>IF(D15=0,"",D15)</f>
        <v>0.62424242424242427</v>
      </c>
      <c r="H15" s="106"/>
      <c r="I15" s="106"/>
      <c r="J15" s="106"/>
      <c r="K15" s="106"/>
      <c r="L15" s="106"/>
      <c r="M15" s="106"/>
    </row>
    <row r="16" spans="1:13" ht="16.5" customHeight="1" x14ac:dyDescent="0.25">
      <c r="A16" s="16" t="s">
        <v>1101</v>
      </c>
      <c r="B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10</v>
      </c>
      <c r="C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15">
        <f>IFERROR(B16/C16,0)</f>
        <v>0.52631578947368418</v>
      </c>
      <c r="E16" s="15">
        <f ca="1">IF(AND(ISNUMBER(LAYOVER!$B$22),ISNUMBER(LAYOVER!$C$22)),MIN(MAX((TODAY()-LAYOVER!$B$22)/(LAYOVER!$C$22-LAYOVER!$B$22),0),1),"")</f>
        <v>1</v>
      </c>
      <c r="F16" s="24">
        <f>C16-B16</f>
        <v>9</v>
      </c>
      <c r="G16" s="11">
        <f>IF(D16=0,"",D16)</f>
        <v>0.52631578947368418</v>
      </c>
      <c r="H16" s="106"/>
      <c r="I16" s="106"/>
      <c r="J16" s="106"/>
      <c r="K16" s="106"/>
      <c r="L16" s="106"/>
      <c r="M16" s="106"/>
    </row>
    <row r="17" spans="1:7" ht="16.5" customHeight="1" x14ac:dyDescent="0.25">
      <c r="A17" s="17" t="s">
        <v>1102</v>
      </c>
      <c r="B17" s="14">
        <f>(SUMPRODUCT(('HZ-ASD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197</v>
      </c>
      <c r="C17" s="14">
        <f>(SUMPRODUCT(('HZ-ASD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280</v>
      </c>
      <c r="D17" s="15">
        <f>IFERROR(B17/C17,0)</f>
        <v>0.70357142857142863</v>
      </c>
      <c r="E17" s="15">
        <f ca="1">IF(AND(ISNUMBER(LAYOVER!$B$21),ISNUMBER(LAYOVER!$C$21)),MIN(MAX((TODAY()-LAYOVER!$B$21)/(LAYOVER!$C$21-LAYOVER!$B$21),0),1),"")</f>
        <v>1</v>
      </c>
      <c r="F17" s="24">
        <f>C17-B17</f>
        <v>83</v>
      </c>
      <c r="G17" s="11">
        <f>IF(D17=0,"",D17)</f>
        <v>0.70357142857142863</v>
      </c>
    </row>
    <row r="18" spans="1:7" ht="7.15" customHeight="1" x14ac:dyDescent="0.25">
      <c r="A18" s="106"/>
      <c r="B18" s="106"/>
      <c r="C18" s="106"/>
      <c r="D18" s="106"/>
      <c r="E18" s="106"/>
      <c r="F18" s="106"/>
      <c r="G18" s="106"/>
    </row>
    <row r="19" spans="1:7" ht="18" customHeight="1" x14ac:dyDescent="0.25">
      <c r="A19" s="162" t="s">
        <v>1103</v>
      </c>
      <c r="B19" s="152"/>
      <c r="C19" s="152"/>
      <c r="D19" s="152"/>
      <c r="E19" s="152"/>
      <c r="F19" s="152"/>
      <c r="G19" s="152"/>
    </row>
    <row r="20" spans="1:7" ht="12" customHeight="1" x14ac:dyDescent="0.25">
      <c r="A20" s="123"/>
      <c r="B20" s="123" t="s">
        <v>34</v>
      </c>
      <c r="C20" s="123" t="s">
        <v>1096</v>
      </c>
      <c r="D20" s="123" t="s">
        <v>1097</v>
      </c>
      <c r="E20" s="123" t="s">
        <v>1104</v>
      </c>
      <c r="F20" s="123" t="s">
        <v>1099</v>
      </c>
      <c r="G20" s="106"/>
    </row>
    <row r="21" spans="1:7" ht="16.5" customHeight="1" x14ac:dyDescent="0.25">
      <c r="A21" s="74" t="s">
        <v>33</v>
      </c>
      <c r="B21" s="14">
        <f>COUNTIFS('HZ-ASD Tracker'!$A$5:$A$994,"&lt;&gt;",'HZ-ASD Tracker'!$D$5:$D$994,"GENERAL CABIN",'HZ-ASD Tracker'!$E$5:$E$994,"Closed")</f>
        <v>43</v>
      </c>
      <c r="C21" s="14">
        <f>COUNTIFS('HZ-ASD Tracker'!$A$5:$A$994,"&lt;&gt;",'HZ-ASD Tracker'!$D$5:$D$994,"GENERAL CABIN")</f>
        <v>73</v>
      </c>
      <c r="D21" s="15">
        <f t="shared" ref="D21:D30" si="0">IFERROR(B21/C21,0)</f>
        <v>0.58904109589041098</v>
      </c>
      <c r="E21" s="15">
        <f>IFERROR(C21/COUNTIF('HZ-ASD Tracker'!$A$5:$A$994,"&lt;&gt;"),0)</f>
        <v>0.15732758620689655</v>
      </c>
      <c r="F21" s="24">
        <f t="shared" ref="F21:F30" si="1">C21-B21</f>
        <v>30</v>
      </c>
      <c r="G21" s="11">
        <f t="shared" ref="G21:G30" si="2">IF(D21=0,"",D21)</f>
        <v>0.58904109589041098</v>
      </c>
    </row>
    <row r="22" spans="1:7" ht="16.5" customHeight="1" x14ac:dyDescent="0.25">
      <c r="A22" s="75" t="s">
        <v>67</v>
      </c>
      <c r="B22" s="14">
        <f>COUNTIFS('HZ-ASD Tracker'!$A$5:$A$994,"&lt;&gt;",'HZ-ASD Tracker'!$D$5:$D$994,"GALLEY",'HZ-ASD Tracker'!$E$5:$E$994,"Closed")</f>
        <v>36</v>
      </c>
      <c r="C22" s="14">
        <f>COUNTIFS('HZ-ASD Tracker'!$A$5:$A$994,"&lt;&gt;",'HZ-ASD Tracker'!$D$5:$D$994,"GALLEY")</f>
        <v>53</v>
      </c>
      <c r="D22" s="15">
        <f t="shared" si="0"/>
        <v>0.67924528301886788</v>
      </c>
      <c r="E22" s="15">
        <f>IFERROR(C22/COUNTIF('HZ-ASD Tracker'!$A$5:$A$994,"&lt;&gt;"),0)</f>
        <v>0.11422413793103449</v>
      </c>
      <c r="F22" s="24">
        <f t="shared" si="1"/>
        <v>17</v>
      </c>
      <c r="G22" s="11">
        <f t="shared" si="2"/>
        <v>0.67924528301886788</v>
      </c>
    </row>
    <row r="23" spans="1:7" ht="16.5" customHeight="1" x14ac:dyDescent="0.25">
      <c r="A23" s="18" t="s">
        <v>72</v>
      </c>
      <c r="B23" s="14">
        <f>COUNTIFS('HZ-ASD Tracker'!$A$5:$A$994,"&lt;&gt;",'HZ-ASD Tracker'!$D$5:$D$994,"LAVATORY",'HZ-ASD Tracker'!$E$5:$E$994,"Closed")</f>
        <v>33</v>
      </c>
      <c r="C23" s="14">
        <f>COUNTIFS('HZ-ASD Tracker'!$A$5:$A$994,"&lt;&gt;",'HZ-ASD Tracker'!$D$5:$D$994,"LAVATORY")</f>
        <v>43</v>
      </c>
      <c r="D23" s="15">
        <f t="shared" si="0"/>
        <v>0.76744186046511631</v>
      </c>
      <c r="E23" s="15">
        <f>IFERROR(C23/COUNTIF('HZ-ASD Tracker'!$A$5:$A$994,"&lt;&gt;"),0)</f>
        <v>9.2672413793103453E-2</v>
      </c>
      <c r="F23" s="24">
        <f t="shared" si="1"/>
        <v>10</v>
      </c>
      <c r="G23" s="11">
        <f t="shared" si="2"/>
        <v>0.76744186046511631</v>
      </c>
    </row>
    <row r="24" spans="1:7" ht="16.5" customHeight="1" x14ac:dyDescent="0.25">
      <c r="A24" s="72" t="s">
        <v>96</v>
      </c>
      <c r="B24" s="14">
        <f>COUNTIFS('HZ-ASD Tracker'!$A$5:$A$994,"&lt;&gt;",'HZ-ASD Tracker'!$D$5:$D$994,"PAX DOORS",'HZ-ASD Tracker'!$E$5:$E$994,"Closed")</f>
        <v>45</v>
      </c>
      <c r="C24" s="14">
        <f>COUNTIFS('HZ-ASD Tracker'!$A$5:$A$994,"&lt;&gt;",'HZ-ASD Tracker'!$D$5:$D$994,"PAX DOORS")</f>
        <v>63</v>
      </c>
      <c r="D24" s="15">
        <f t="shared" si="0"/>
        <v>0.7142857142857143</v>
      </c>
      <c r="E24" s="15">
        <f>IFERROR(C24/COUNTIF('HZ-ASD Tracker'!$A$5:$A$994,"&lt;&gt;"),0)</f>
        <v>0.13577586206896552</v>
      </c>
      <c r="F24" s="24">
        <f t="shared" si="1"/>
        <v>18</v>
      </c>
      <c r="G24" s="11">
        <f t="shared" si="2"/>
        <v>0.7142857142857143</v>
      </c>
    </row>
    <row r="25" spans="1:7" ht="16.5" customHeight="1" x14ac:dyDescent="0.25">
      <c r="A25" s="77" t="s">
        <v>61</v>
      </c>
      <c r="B25" s="14">
        <f>COUNTIFS('HZ-ASD Tracker'!$A$5:$A$994,"&lt;&gt;",'HZ-ASD Tracker'!$D$5:$D$994,"F/A SEAT",'HZ-ASD Tracker'!$E$5:$E$994,"Closed")</f>
        <v>24</v>
      </c>
      <c r="C25" s="14">
        <f>COUNTIFS('HZ-ASD Tracker'!$A$5:$A$994,"&lt;&gt;",'HZ-ASD Tracker'!$D$5:$D$994,"F/A SEAT")</f>
        <v>41</v>
      </c>
      <c r="D25" s="15">
        <f t="shared" si="0"/>
        <v>0.58536585365853655</v>
      </c>
      <c r="E25" s="15">
        <f>IFERROR(C25/COUNTIF('HZ-ASD Tracker'!$A$5:$A$994,"&lt;&gt;"),0)</f>
        <v>8.8362068965517238E-2</v>
      </c>
      <c r="F25" s="24">
        <f t="shared" si="1"/>
        <v>17</v>
      </c>
      <c r="G25" s="11">
        <f t="shared" si="2"/>
        <v>0.58536585365853655</v>
      </c>
    </row>
    <row r="26" spans="1:7" ht="16.5" customHeight="1" x14ac:dyDescent="0.25">
      <c r="A26" s="19" t="s">
        <v>185</v>
      </c>
      <c r="B26" s="14">
        <f>COUNTIFS('HZ-ASD Tracker'!$A$5:$A$994,"&lt;&gt;",'HZ-ASD Tracker'!$D$5:$D$994,"PAX SEAT",'HZ-ASD Tracker'!$E$5:$E$994,"Closed")</f>
        <v>45</v>
      </c>
      <c r="C26" s="14">
        <f>COUNTIFS('HZ-ASD Tracker'!$A$5:$A$994,"&lt;&gt;",'HZ-ASD Tracker'!$D$5:$D$994,"PAX SEAT")</f>
        <v>68</v>
      </c>
      <c r="D26" s="15">
        <f t="shared" si="0"/>
        <v>0.66176470588235292</v>
      </c>
      <c r="E26" s="15">
        <f>IFERROR(C26/COUNTIF('HZ-ASD Tracker'!$A$5:$A$994,"&lt;&gt;"),0)</f>
        <v>0.14655172413793102</v>
      </c>
      <c r="F26" s="24">
        <f t="shared" si="1"/>
        <v>23</v>
      </c>
      <c r="G26" s="11">
        <f t="shared" si="2"/>
        <v>0.66176470588235292</v>
      </c>
    </row>
    <row r="27" spans="1:7" ht="16.5" customHeight="1" x14ac:dyDescent="0.25">
      <c r="A27" s="20" t="s">
        <v>49</v>
      </c>
      <c r="B27" s="14">
        <f>COUNTIFS('HZ-ASD Tracker'!$A$5:$A$994,"&lt;&gt;",'HZ-ASD Tracker'!$D$5:$D$994,"FLIGHT DECK",'HZ-ASD Tracker'!$E$5:$E$994,"Closed")</f>
        <v>56</v>
      </c>
      <c r="C27" s="14">
        <f>COUNTIFS('HZ-ASD Tracker'!$A$5:$A$994,"&lt;&gt;",'HZ-ASD Tracker'!$D$5:$D$994,"FLIGHT DECK")</f>
        <v>60</v>
      </c>
      <c r="D27" s="15">
        <f t="shared" si="0"/>
        <v>0.93333333333333335</v>
      </c>
      <c r="E27" s="15">
        <f>IFERROR(C27/COUNTIF('HZ-ASD Tracker'!$A$5:$A$994,"&lt;&gt;"),0)</f>
        <v>0.12931034482758622</v>
      </c>
      <c r="F27" s="24">
        <f t="shared" si="1"/>
        <v>4</v>
      </c>
      <c r="G27" s="11">
        <f t="shared" si="2"/>
        <v>0.93333333333333335</v>
      </c>
    </row>
    <row r="28" spans="1:7" ht="16.5" customHeight="1" x14ac:dyDescent="0.25">
      <c r="A28" s="78" t="s">
        <v>661</v>
      </c>
      <c r="B28" s="14">
        <f>COUNTIFS('HZ-ASD Tracker'!$A$5:$A$994,"&lt;&gt;",'HZ-ASD Tracker'!$D$5:$D$994,"TEDLAR/SIDEWALL",'HZ-ASD Tracker'!$E$5:$E$994,"Closed")</f>
        <v>14</v>
      </c>
      <c r="C28" s="14">
        <f>COUNTIFS('HZ-ASD Tracker'!$A$5:$A$994,"&lt;&gt;",'HZ-ASD Tracker'!$D$5:$D$994,"TEDLAR/SIDEWALL")</f>
        <v>15</v>
      </c>
      <c r="D28" s="15">
        <f t="shared" si="0"/>
        <v>0.93333333333333335</v>
      </c>
      <c r="E28" s="15">
        <f>IFERROR(C28/COUNTIF('HZ-ASD Tracker'!$A$5:$A$994,"&lt;&gt;"),0)</f>
        <v>3.2327586206896554E-2</v>
      </c>
      <c r="F28" s="24">
        <f t="shared" si="1"/>
        <v>1</v>
      </c>
      <c r="G28" s="11">
        <f t="shared" si="2"/>
        <v>0.93333333333333335</v>
      </c>
    </row>
    <row r="29" spans="1:7" ht="16.5" customHeight="1" x14ac:dyDescent="0.25">
      <c r="A29" s="21" t="s">
        <v>141</v>
      </c>
      <c r="B29" s="14">
        <f>COUNTIFS('HZ-ASD Tracker'!$A$5:$A$994,"&lt;&gt;",'HZ-ASD Tracker'!$F$5:$F$994,"ACCESS",'HZ-ASD Tracker'!$E$5:$E$994,"Closed")</f>
        <v>3</v>
      </c>
      <c r="C29" s="14">
        <f>COUNTIFS('HZ-ASD Tracker'!$A$5:$A$994,"&lt;&gt;",'HZ-ASD Tracker'!$F$5:$F$994,"ACCESS")</f>
        <v>31</v>
      </c>
      <c r="D29" s="15">
        <f t="shared" si="0"/>
        <v>9.6774193548387094E-2</v>
      </c>
      <c r="E29" s="15">
        <f>IFERROR(C29/COUNTIF('HZ-ASD Tracker'!$A$5:$A$994,"&lt;&gt;"),0)</f>
        <v>6.6810344827586202E-2</v>
      </c>
      <c r="F29" s="24">
        <f t="shared" si="1"/>
        <v>28</v>
      </c>
      <c r="G29" s="11">
        <f t="shared" si="2"/>
        <v>9.6774193548387094E-2</v>
      </c>
    </row>
    <row r="30" spans="1:7" ht="16.5" customHeight="1" x14ac:dyDescent="0.25">
      <c r="A30" s="22" t="s">
        <v>21</v>
      </c>
      <c r="B30" s="14">
        <f>COUNTIFS('HZ-ASD Tracker'!$A$5:$A$994,"&lt;&gt;",'HZ-ASD Tracker'!$D$5:$D$994,"ACFT GENERAL T/C",'HZ-ASD Tracker'!$E$5:$E$994,"Closed")</f>
        <v>13</v>
      </c>
      <c r="C30" s="14">
        <f>COUNTIFS('HZ-ASD Tracker'!$A$5:$A$994,"&lt;&gt;",'HZ-ASD Tracker'!$D$5:$D$994,"ACFT GENERAL T/C")</f>
        <v>47</v>
      </c>
      <c r="D30" s="15">
        <f t="shared" si="0"/>
        <v>0.27659574468085107</v>
      </c>
      <c r="E30" s="15">
        <f>IFERROR(C30/COUNTIF('HZ-ASD Tracker'!$A$5:$A$994,"&lt;&gt;"),0)</f>
        <v>0.10129310344827586</v>
      </c>
      <c r="F30" s="24">
        <f t="shared" si="1"/>
        <v>34</v>
      </c>
      <c r="G30" s="11">
        <f t="shared" si="2"/>
        <v>0.27659574468085107</v>
      </c>
    </row>
    <row r="31" spans="1:7" ht="7.15" customHeight="1" x14ac:dyDescent="0.25">
      <c r="A31" s="106"/>
      <c r="B31" s="106"/>
      <c r="C31" s="106"/>
      <c r="D31" s="106"/>
      <c r="E31" s="106"/>
      <c r="F31" s="106"/>
      <c r="G31" s="106"/>
    </row>
    <row r="32" spans="1:7" ht="18" customHeight="1" x14ac:dyDescent="0.25">
      <c r="A32" s="162" t="s">
        <v>1105</v>
      </c>
      <c r="B32" s="152"/>
      <c r="C32" s="152"/>
      <c r="D32" s="152"/>
      <c r="E32" s="152"/>
      <c r="F32" s="152"/>
      <c r="G32" s="152"/>
    </row>
    <row r="33" spans="1:7" ht="12" customHeight="1" x14ac:dyDescent="0.25">
      <c r="A33" s="123"/>
      <c r="B33" s="123" t="s">
        <v>34</v>
      </c>
      <c r="C33" s="123" t="s">
        <v>1096</v>
      </c>
      <c r="D33" s="123" t="s">
        <v>1097</v>
      </c>
      <c r="E33" s="123" t="s">
        <v>1104</v>
      </c>
      <c r="F33" s="123" t="s">
        <v>1099</v>
      </c>
      <c r="G33" s="106"/>
    </row>
    <row r="34" spans="1:7" ht="16.5" customHeight="1" x14ac:dyDescent="0.25">
      <c r="A34" s="79" t="s">
        <v>50</v>
      </c>
      <c r="B34" s="14">
        <f>COUNTIFS('HZ-ASD Tracker'!$A$5:$A$994,"&lt;&gt;",'HZ-ASD Tracker'!$G$5:$G$994,"CAB",'HZ-ASD Tracker'!$E$5:$E$994,"Closed")</f>
        <v>131</v>
      </c>
      <c r="C34" s="14">
        <f>COUNTIFS('HZ-ASD Tracker'!$A$5:$A$994,"&lt;&gt;",'HZ-ASD Tracker'!$G$5:$G$994,"CAB")</f>
        <v>216</v>
      </c>
      <c r="D34" s="15">
        <f t="shared" ref="D34:D42" si="3">IFERROR(B34/C34,0)</f>
        <v>0.60648148148148151</v>
      </c>
      <c r="E34" s="15">
        <f>IFERROR(C34/COUNTIF('HZ-ASD Tracker'!$A$5:$A$994,"&lt;&gt;"),0)</f>
        <v>0.46551724137931033</v>
      </c>
      <c r="F34" s="24">
        <f t="shared" ref="F34:F42" si="4">C34-B34</f>
        <v>85</v>
      </c>
      <c r="G34" s="11">
        <f t="shared" ref="G34:G42" si="5">IF(D34=0,"",D34)</f>
        <v>0.60648148148148151</v>
      </c>
    </row>
    <row r="35" spans="1:7" ht="16.5" customHeight="1" x14ac:dyDescent="0.25">
      <c r="A35" s="77" t="s">
        <v>186</v>
      </c>
      <c r="B35" s="14">
        <f>COUNTIFS('HZ-ASD Tracker'!$A$5:$A$994,"&lt;&gt;",'HZ-ASD Tracker'!$G$5:$G$994,"SEAT",'HZ-ASD Tracker'!$E$5:$E$994,"Closed")</f>
        <v>39</v>
      </c>
      <c r="C35" s="14">
        <f>COUNTIFS('HZ-ASD Tracker'!$A$5:$A$994,"&lt;&gt;",'HZ-ASD Tracker'!$G$5:$G$994,"SEAT")</f>
        <v>54</v>
      </c>
      <c r="D35" s="15">
        <f t="shared" si="3"/>
        <v>0.72222222222222221</v>
      </c>
      <c r="E35" s="15">
        <f>IFERROR(C35/COUNTIF('HZ-ASD Tracker'!$A$5:$A$994,"&lt;&gt;"),0)</f>
        <v>0.11637931034482758</v>
      </c>
      <c r="F35" s="24">
        <f t="shared" si="4"/>
        <v>15</v>
      </c>
      <c r="G35" s="11">
        <f t="shared" si="5"/>
        <v>0.72222222222222221</v>
      </c>
    </row>
    <row r="36" spans="1:7" ht="16.5" customHeight="1" x14ac:dyDescent="0.25">
      <c r="A36" s="72" t="s">
        <v>208</v>
      </c>
      <c r="B36" s="14">
        <f>COUNTIFS('HZ-ASD Tracker'!$A$5:$A$994,"&lt;&gt;",'HZ-ASD Tracker'!$G$5:$G$994,"AV",'HZ-ASD Tracker'!$E$5:$E$994,"Closed")</f>
        <v>30</v>
      </c>
      <c r="C36" s="14">
        <f>COUNTIFS('HZ-ASD Tracker'!$A$5:$A$994,"&lt;&gt;",'HZ-ASD Tracker'!$G$5:$G$994,"AV")</f>
        <v>37</v>
      </c>
      <c r="D36" s="15">
        <f t="shared" si="3"/>
        <v>0.81081081081081086</v>
      </c>
      <c r="E36" s="15">
        <f>IFERROR(C36/COUNTIF('HZ-ASD Tracker'!$A$5:$A$994,"&lt;&gt;"),0)</f>
        <v>7.9741379310344834E-2</v>
      </c>
      <c r="F36" s="24">
        <f t="shared" si="4"/>
        <v>7</v>
      </c>
      <c r="G36" s="11">
        <f t="shared" si="5"/>
        <v>0.81081081081081086</v>
      </c>
    </row>
    <row r="37" spans="1:7" ht="16.5" customHeight="1" x14ac:dyDescent="0.25">
      <c r="A37" s="78" t="s">
        <v>987</v>
      </c>
      <c r="B37" s="14">
        <f>COUNTIFS('HZ-ASD Tracker'!$A$5:$A$994,"&lt;&gt;",'HZ-ASD Tracker'!$G$5:$G$994,"WALL",'HZ-ASD Tracker'!$E$5:$E$994,"Closed")</f>
        <v>22</v>
      </c>
      <c r="C37" s="14">
        <f>COUNTIFS('HZ-ASD Tracker'!$A$5:$A$994,"&lt;&gt;",'HZ-ASD Tracker'!$G$5:$G$994,"WALL")</f>
        <v>22</v>
      </c>
      <c r="D37" s="15">
        <f t="shared" si="3"/>
        <v>1</v>
      </c>
      <c r="E37" s="15">
        <f>IFERROR(C37/COUNTIF('HZ-ASD Tracker'!$A$5:$A$994,"&lt;&gt;"),0)</f>
        <v>4.7413793103448273E-2</v>
      </c>
      <c r="F37" s="24">
        <f t="shared" si="4"/>
        <v>0</v>
      </c>
      <c r="G37" s="11">
        <f t="shared" si="5"/>
        <v>1</v>
      </c>
    </row>
    <row r="38" spans="1:7" ht="16.5" customHeight="1" x14ac:dyDescent="0.25">
      <c r="A38" s="75" t="s">
        <v>747</v>
      </c>
      <c r="B38" s="14">
        <f>COUNTIFS('HZ-ASD Tracker'!$A$5:$A$994,"&lt;&gt;",'HZ-ASD Tracker'!$G$5:$G$994,"S/M",'HZ-ASD Tracker'!$E$5:$E$994,"Closed")</f>
        <v>10</v>
      </c>
      <c r="C38" s="14">
        <f>COUNTIFS('HZ-ASD Tracker'!$A$5:$A$994,"&lt;&gt;",'HZ-ASD Tracker'!$G$5:$G$994,"S/M")</f>
        <v>14</v>
      </c>
      <c r="D38" s="15">
        <f t="shared" si="3"/>
        <v>0.7142857142857143</v>
      </c>
      <c r="E38" s="15">
        <f>IFERROR(C38/COUNTIF('HZ-ASD Tracker'!$A$5:$A$994,"&lt;&gt;"),0)</f>
        <v>3.017241379310345E-2</v>
      </c>
      <c r="F38" s="24">
        <f t="shared" si="4"/>
        <v>4</v>
      </c>
      <c r="G38" s="11">
        <f t="shared" si="5"/>
        <v>0.7142857142857143</v>
      </c>
    </row>
    <row r="39" spans="1:7" ht="16.5" customHeight="1" x14ac:dyDescent="0.25">
      <c r="A39" s="76" t="s">
        <v>167</v>
      </c>
      <c r="B39" s="14">
        <f>COUNTIFS('HZ-ASD Tracker'!$A$5:$A$994,"&lt;&gt;",'HZ-ASD Tracker'!$G$5:$G$994,"PAINT",'HZ-ASD Tracker'!$E$5:$E$994,"Closed")</f>
        <v>33</v>
      </c>
      <c r="C39" s="14">
        <f>COUNTIFS('HZ-ASD Tracker'!$A$5:$A$994,"&lt;&gt;",'HZ-ASD Tracker'!$G$5:$G$994,"PAINT")</f>
        <v>41</v>
      </c>
      <c r="D39" s="15">
        <f t="shared" si="3"/>
        <v>0.80487804878048785</v>
      </c>
      <c r="E39" s="15">
        <f>IFERROR(C39/COUNTIF('HZ-ASD Tracker'!$A$5:$A$994,"&lt;&gt;"),0)</f>
        <v>8.8362068965517238E-2</v>
      </c>
      <c r="F39" s="24">
        <f t="shared" si="4"/>
        <v>8</v>
      </c>
      <c r="G39" s="11">
        <f t="shared" si="5"/>
        <v>0.80487804878048785</v>
      </c>
    </row>
    <row r="40" spans="1:7" ht="16.5" customHeight="1" x14ac:dyDescent="0.25">
      <c r="A40" s="71" t="s">
        <v>24</v>
      </c>
      <c r="B40" s="14">
        <f>COUNTIFS('HZ-ASD Tracker'!$A$5:$A$994,"&lt;&gt;",'HZ-ASD Tracker'!$G$5:$G$994,"JOINT",'HZ-ASD Tracker'!$E$5:$E$994,"Closed")</f>
        <v>22</v>
      </c>
      <c r="C40" s="14">
        <f>COUNTIFS('HZ-ASD Tracker'!$A$5:$A$994,"&lt;&gt;",'HZ-ASD Tracker'!$G$5:$G$994,"JOINT")</f>
        <v>36</v>
      </c>
      <c r="D40" s="15">
        <f t="shared" si="3"/>
        <v>0.61111111111111116</v>
      </c>
      <c r="E40" s="15">
        <f>IFERROR(C40/COUNTIF('HZ-ASD Tracker'!$A$5:$A$994,"&lt;&gt;"),0)</f>
        <v>7.7586206896551727E-2</v>
      </c>
      <c r="F40" s="24">
        <f t="shared" si="4"/>
        <v>14</v>
      </c>
      <c r="G40" s="11">
        <f t="shared" si="5"/>
        <v>0.61111111111111116</v>
      </c>
    </row>
    <row r="41" spans="1:7" ht="16.5" customHeight="1" x14ac:dyDescent="0.25">
      <c r="A41" s="74" t="s">
        <v>83</v>
      </c>
      <c r="B41" s="14">
        <f>COUNTIFS('HZ-ASD Tracker'!$A$5:$A$994,"&lt;&gt;",'HZ-ASD Tracker'!$G$5:$G$994,"INSP",'HZ-ASD Tracker'!$E$5:$E$994,"Closed")</f>
        <v>11</v>
      </c>
      <c r="C41" s="14">
        <f>COUNTIFS('HZ-ASD Tracker'!$A$5:$A$994,"&lt;&gt;",'HZ-ASD Tracker'!$G$5:$G$994,"INSP")</f>
        <v>18</v>
      </c>
      <c r="D41" s="15">
        <f t="shared" si="3"/>
        <v>0.61111111111111116</v>
      </c>
      <c r="E41" s="15">
        <f>IFERROR(C41/COUNTIF('HZ-ASD Tracker'!$A$5:$A$994,"&lt;&gt;"),0)</f>
        <v>3.8793103448275863E-2</v>
      </c>
      <c r="F41" s="24">
        <f t="shared" si="4"/>
        <v>7</v>
      </c>
      <c r="G41" s="11">
        <f t="shared" si="5"/>
        <v>0.61111111111111116</v>
      </c>
    </row>
    <row r="42" spans="1:7" ht="16.5" customHeight="1" x14ac:dyDescent="0.25">
      <c r="A42" s="73" t="s">
        <v>157</v>
      </c>
      <c r="B42" s="14">
        <f>COUNTIFS('HZ-ASD Tracker'!$A$5:$A$994,"&lt;&gt;",'HZ-ASD Tracker'!$G$5:$G$994,"AP",'HZ-ASD Tracker'!$E$5:$E$994,"Closed")</f>
        <v>9</v>
      </c>
      <c r="C42" s="14">
        <f>COUNTIFS('HZ-ASD Tracker'!$A$5:$A$994,"&lt;&gt;",'HZ-ASD Tracker'!$G$5:$G$994,"AP")</f>
        <v>18</v>
      </c>
      <c r="D42" s="15">
        <f t="shared" si="3"/>
        <v>0.5</v>
      </c>
      <c r="E42" s="15">
        <f>IFERROR(C42/COUNTIF('HZ-ASD Tracker'!$A$5:$A$994,"&lt;&gt;"),0)</f>
        <v>3.8793103448275863E-2</v>
      </c>
      <c r="F42" s="24">
        <f t="shared" si="4"/>
        <v>9</v>
      </c>
      <c r="G42" s="11">
        <f t="shared" si="5"/>
        <v>0.5</v>
      </c>
    </row>
    <row r="43" spans="1:7" ht="7.15" customHeight="1" x14ac:dyDescent="0.25">
      <c r="A43" s="106"/>
      <c r="B43" s="106"/>
      <c r="C43" s="106"/>
      <c r="D43" s="106"/>
      <c r="E43" s="106"/>
      <c r="F43" s="106"/>
      <c r="G43" s="106"/>
    </row>
    <row r="44" spans="1:7" ht="18" customHeight="1" x14ac:dyDescent="0.25">
      <c r="A44" s="162" t="s">
        <v>1106</v>
      </c>
      <c r="B44" s="152"/>
      <c r="C44" s="124" t="s">
        <v>1107</v>
      </c>
      <c r="D44" s="124" t="s">
        <v>1099</v>
      </c>
      <c r="E44" s="124" t="s">
        <v>1108</v>
      </c>
      <c r="F44" s="171" t="e">
        <f ca="1">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f>
        <v>#N/A</v>
      </c>
      <c r="G44" s="152"/>
    </row>
    <row r="45" spans="1:7" ht="15" customHeight="1" x14ac:dyDescent="0.25">
      <c r="A45" s="23">
        <f ca="1">TODAY()-9</f>
        <v>46251</v>
      </c>
      <c r="B45" s="12">
        <f ca="1">COUNTIFS('HZ-ASD Tracker'!$M$5:$M$994,TODAY()-9,'HZ-ASD Tracker'!$E$5:$E$994,"Closed")</f>
        <v>11</v>
      </c>
      <c r="C45" s="24">
        <f ca="1">COUNTIFS('HZ-ASD Tracker'!$M$5:$M$994,"&lt;="&amp;TODAY()-9,'HZ-ASD Tracker'!$E$5:$E$994,"Closed")</f>
        <v>205</v>
      </c>
      <c r="D45" s="24">
        <f ca="1">COUNTIF('HZ-ASD Tracker'!$A$5:$A$994,"&lt;&gt;")-C45</f>
        <v>259</v>
      </c>
      <c r="E45" s="25">
        <f ca="1">IFERROR(C45/COUNTIF('HZ-ASD Tracker'!$A$5:$A$994,"&lt;&gt;"),0)</f>
        <v>0.44181034482758619</v>
      </c>
      <c r="F45" s="11">
        <f t="shared" ref="F45:F54" ca="1" si="6">IF(E45=0,"",E45)</f>
        <v>0.44181034482758619</v>
      </c>
      <c r="G45" s="11">
        <f t="shared" ref="G45:G54" ca="1" si="7">IF(B45=0,"",B45)</f>
        <v>11</v>
      </c>
    </row>
    <row r="46" spans="1:7" ht="15" customHeight="1" x14ac:dyDescent="0.25">
      <c r="A46" s="23">
        <f ca="1">TODAY()-8</f>
        <v>46252</v>
      </c>
      <c r="B46" s="12">
        <f ca="1">COUNTIFS('HZ-ASD Tracker'!$M$5:$M$994,TODAY()-8,'HZ-ASD Tracker'!$E$5:$E$994,"Closed")</f>
        <v>10</v>
      </c>
      <c r="C46" s="24">
        <f ca="1">COUNTIFS('HZ-ASD Tracker'!$M$5:$M$994,"&lt;="&amp;TODAY()-8,'HZ-ASD Tracker'!$E$5:$E$994,"Closed")</f>
        <v>215</v>
      </c>
      <c r="D46" s="24">
        <f ca="1">COUNTIF('HZ-ASD Tracker'!$A$5:$A$994,"&lt;&gt;")-C46</f>
        <v>249</v>
      </c>
      <c r="E46" s="25">
        <f ca="1">IFERROR(C46/COUNTIF('HZ-ASD Tracker'!$A$5:$A$994,"&lt;&gt;"),0)</f>
        <v>0.46336206896551724</v>
      </c>
      <c r="F46" s="11">
        <f t="shared" ca="1" si="6"/>
        <v>0.46336206896551724</v>
      </c>
      <c r="G46" s="11">
        <f t="shared" ca="1" si="7"/>
        <v>10</v>
      </c>
    </row>
    <row r="47" spans="1:7" ht="15" customHeight="1" x14ac:dyDescent="0.25">
      <c r="A47" s="23">
        <f ca="1">TODAY()-7</f>
        <v>46253</v>
      </c>
      <c r="B47" s="12">
        <f ca="1">COUNTIFS('HZ-ASD Tracker'!$M$5:$M$994,TODAY()-7,'HZ-ASD Tracker'!$E$5:$E$994,"Closed")</f>
        <v>9</v>
      </c>
      <c r="C47" s="24">
        <f ca="1">COUNTIFS('HZ-ASD Tracker'!$M$5:$M$994,"&lt;="&amp;TODAY()-7,'HZ-ASD Tracker'!$E$5:$E$994,"Closed")</f>
        <v>224</v>
      </c>
      <c r="D47" s="24">
        <f ca="1">COUNTIF('HZ-ASD Tracker'!$A$5:$A$994,"&lt;&gt;")-C47</f>
        <v>240</v>
      </c>
      <c r="E47" s="25">
        <f ca="1">IFERROR(C47/COUNTIF('HZ-ASD Tracker'!$A$5:$A$994,"&lt;&gt;"),0)</f>
        <v>0.48275862068965519</v>
      </c>
      <c r="F47" s="11">
        <f t="shared" ca="1" si="6"/>
        <v>0.48275862068965519</v>
      </c>
      <c r="G47" s="11">
        <f t="shared" ca="1" si="7"/>
        <v>9</v>
      </c>
    </row>
    <row r="48" spans="1:7" ht="15" customHeight="1" x14ac:dyDescent="0.25">
      <c r="A48" s="23">
        <f ca="1">TODAY()-6</f>
        <v>46254</v>
      </c>
      <c r="B48" s="12">
        <f ca="1">COUNTIFS('HZ-ASD Tracker'!$M$5:$M$994,TODAY()-6,'HZ-ASD Tracker'!$E$5:$E$994,"Closed")</f>
        <v>24</v>
      </c>
      <c r="C48" s="24">
        <f ca="1">COUNTIFS('HZ-ASD Tracker'!$M$5:$M$994,"&lt;="&amp;TODAY()-6,'HZ-ASD Tracker'!$E$5:$E$994,"Closed")</f>
        <v>248</v>
      </c>
      <c r="D48" s="24">
        <f ca="1">COUNTIF('HZ-ASD Tracker'!$A$5:$A$994,"&lt;&gt;")-C48</f>
        <v>216</v>
      </c>
      <c r="E48" s="25">
        <f ca="1">IFERROR(C48/COUNTIF('HZ-ASD Tracker'!$A$5:$A$994,"&lt;&gt;"),0)</f>
        <v>0.53448275862068961</v>
      </c>
      <c r="F48" s="11">
        <f t="shared" ca="1" si="6"/>
        <v>0.53448275862068961</v>
      </c>
      <c r="G48" s="11">
        <f t="shared" ca="1" si="7"/>
        <v>24</v>
      </c>
    </row>
    <row r="49" spans="1:7" ht="15" customHeight="1" x14ac:dyDescent="0.25">
      <c r="A49" s="23">
        <f ca="1">TODAY()-5</f>
        <v>46255</v>
      </c>
      <c r="B49" s="12">
        <f ca="1">COUNTIFS('HZ-ASD Tracker'!$M$5:$M$994,TODAY()-5,'HZ-ASD Tracker'!$E$5:$E$994,"Closed")</f>
        <v>0</v>
      </c>
      <c r="C49" s="24">
        <f ca="1">COUNTIFS('HZ-ASD Tracker'!$M$5:$M$994,"&lt;="&amp;TODAY()-5,'HZ-ASD Tracker'!$E$5:$E$994,"Closed")</f>
        <v>248</v>
      </c>
      <c r="D49" s="24">
        <f ca="1">COUNTIF('HZ-ASD Tracker'!$A$5:$A$994,"&lt;&gt;")-C49</f>
        <v>216</v>
      </c>
      <c r="E49" s="25">
        <f ca="1">IFERROR(C49/COUNTIF('HZ-ASD Tracker'!$A$5:$A$994,"&lt;&gt;"),0)</f>
        <v>0.53448275862068961</v>
      </c>
      <c r="F49" s="11">
        <f t="shared" ca="1" si="6"/>
        <v>0.53448275862068961</v>
      </c>
      <c r="G49" s="11" t="str">
        <f t="shared" ca="1" si="7"/>
        <v/>
      </c>
    </row>
    <row r="50" spans="1:7" ht="15" customHeight="1" x14ac:dyDescent="0.25">
      <c r="A50" s="23">
        <f ca="1">TODAY()-4</f>
        <v>46256</v>
      </c>
      <c r="B50" s="12">
        <f ca="1">COUNTIFS('HZ-ASD Tracker'!$M$5:$M$994,TODAY()-4,'HZ-ASD Tracker'!$E$5:$E$994,"Closed")</f>
        <v>0</v>
      </c>
      <c r="C50" s="24">
        <f ca="1">COUNTIFS('HZ-ASD Tracker'!$M$5:$M$994,"&lt;="&amp;TODAY()-4,'HZ-ASD Tracker'!$E$5:$E$994,"Closed")</f>
        <v>248</v>
      </c>
      <c r="D50" s="24">
        <f ca="1">COUNTIF('HZ-ASD Tracker'!$A$5:$A$994,"&lt;&gt;")-C50</f>
        <v>216</v>
      </c>
      <c r="E50" s="25">
        <f ca="1">IFERROR(C50/COUNTIF('HZ-ASD Tracker'!$A$5:$A$994,"&lt;&gt;"),0)</f>
        <v>0.53448275862068961</v>
      </c>
      <c r="F50" s="11">
        <f t="shared" ca="1" si="6"/>
        <v>0.53448275862068961</v>
      </c>
      <c r="G50" s="11" t="str">
        <f t="shared" ca="1" si="7"/>
        <v/>
      </c>
    </row>
    <row r="51" spans="1:7" ht="15" customHeight="1" x14ac:dyDescent="0.25">
      <c r="A51" s="23">
        <f ca="1">TODAY()-3</f>
        <v>46257</v>
      </c>
      <c r="B51" s="12">
        <f ca="1">COUNTIFS('HZ-ASD Tracker'!$M$5:$M$994,TODAY()-3,'HZ-ASD Tracker'!$E$5:$E$994,"Closed")</f>
        <v>39</v>
      </c>
      <c r="C51" s="24">
        <f ca="1">COUNTIFS('HZ-ASD Tracker'!$M$5:$M$994,"&lt;="&amp;TODAY()-3,'HZ-ASD Tracker'!$E$5:$E$994,"Closed")</f>
        <v>287</v>
      </c>
      <c r="D51" s="24">
        <f ca="1">COUNTIF('HZ-ASD Tracker'!$A$5:$A$994,"&lt;&gt;")-C51</f>
        <v>177</v>
      </c>
      <c r="E51" s="25">
        <f ca="1">IFERROR(C51/COUNTIF('HZ-ASD Tracker'!$A$5:$A$994,"&lt;&gt;"),0)</f>
        <v>0.61853448275862066</v>
      </c>
      <c r="F51" s="11">
        <f t="shared" ca="1" si="6"/>
        <v>0.61853448275862066</v>
      </c>
      <c r="G51" s="11">
        <f t="shared" ca="1" si="7"/>
        <v>39</v>
      </c>
    </row>
    <row r="52" spans="1:7" ht="15" customHeight="1" x14ac:dyDescent="0.25">
      <c r="A52" s="23">
        <f ca="1">TODAY()-2</f>
        <v>46258</v>
      </c>
      <c r="B52" s="12">
        <f ca="1">COUNTIFS('HZ-ASD Tracker'!$M$5:$M$994,TODAY()-2,'HZ-ASD Tracker'!$E$5:$E$994,"Closed")</f>
        <v>23</v>
      </c>
      <c r="C52" s="24">
        <f ca="1">COUNTIFS('HZ-ASD Tracker'!$M$5:$M$994,"&lt;="&amp;TODAY()-2,'HZ-ASD Tracker'!$E$5:$E$994,"Closed")</f>
        <v>310</v>
      </c>
      <c r="D52" s="24">
        <f ca="1">COUNTIF('HZ-ASD Tracker'!$A$5:$A$994,"&lt;&gt;")-C52</f>
        <v>154</v>
      </c>
      <c r="E52" s="25">
        <f ca="1">IFERROR(C52/COUNTIF('HZ-ASD Tracker'!$A$5:$A$994,"&lt;&gt;"),0)</f>
        <v>0.6681034482758621</v>
      </c>
      <c r="F52" s="11">
        <f t="shared" ca="1" si="6"/>
        <v>0.6681034482758621</v>
      </c>
      <c r="G52" s="11">
        <f t="shared" ca="1" si="7"/>
        <v>23</v>
      </c>
    </row>
    <row r="53" spans="1:7" ht="15" customHeight="1" x14ac:dyDescent="0.25">
      <c r="A53" s="23">
        <f ca="1">TODAY()-1</f>
        <v>46259</v>
      </c>
      <c r="B53" s="12">
        <f ca="1">COUNTIFS('HZ-ASD Tracker'!$M$5:$M$994,TODAY()-1,'HZ-ASD Tracker'!$E$5:$E$994,"Closed")</f>
        <v>0</v>
      </c>
      <c r="C53" s="24">
        <f ca="1">COUNTIFS('HZ-ASD Tracker'!$M$5:$M$994,"&lt;="&amp;TODAY()-1,'HZ-ASD Tracker'!$E$5:$E$994,"Closed")</f>
        <v>310</v>
      </c>
      <c r="D53" s="24">
        <f ca="1">COUNTIF('HZ-ASD Tracker'!$A$5:$A$994,"&lt;&gt;")-C53</f>
        <v>154</v>
      </c>
      <c r="E53" s="25">
        <f ca="1">IFERROR(C53/COUNTIF('HZ-ASD Tracker'!$A$5:$A$994,"&lt;&gt;"),0)</f>
        <v>0.6681034482758621</v>
      </c>
      <c r="F53" s="11">
        <f t="shared" ca="1" si="6"/>
        <v>0.6681034482758621</v>
      </c>
      <c r="G53" s="11" t="str">
        <f t="shared" ca="1" si="7"/>
        <v/>
      </c>
    </row>
    <row r="54" spans="1:7" ht="15" customHeight="1" x14ac:dyDescent="0.25">
      <c r="A54" s="23">
        <f ca="1">TODAY()-0</f>
        <v>46260</v>
      </c>
      <c r="B54" s="12">
        <f ca="1">COUNTIFS('HZ-ASD Tracker'!$M$5:$M$994,TODAY()-0,'HZ-ASD Tracker'!$E$5:$E$994,"Closed")</f>
        <v>0</v>
      </c>
      <c r="C54" s="24">
        <f ca="1">COUNTIFS('HZ-ASD Tracker'!$M$5:$M$994,"&lt;="&amp;TODAY()-0,'HZ-ASD Tracker'!$E$5:$E$994,"Closed")</f>
        <v>310</v>
      </c>
      <c r="D54" s="24">
        <f ca="1">COUNTIF('HZ-ASD Tracker'!$A$5:$A$994,"&lt;&gt;")-C54</f>
        <v>154</v>
      </c>
      <c r="E54" s="25">
        <f ca="1">IFERROR(C54/COUNTIF('HZ-ASD Tracker'!$A$5:$A$994,"&lt;&gt;"),0)</f>
        <v>0.6681034482758621</v>
      </c>
      <c r="F54" s="11">
        <f t="shared" ca="1" si="6"/>
        <v>0.6681034482758621</v>
      </c>
      <c r="G54" s="11" t="str">
        <f t="shared" ca="1" si="7"/>
        <v/>
      </c>
    </row>
    <row r="55" spans="1:7" ht="7.15" customHeight="1" x14ac:dyDescent="0.25">
      <c r="A55" s="106"/>
      <c r="B55" s="106"/>
      <c r="C55" s="106"/>
      <c r="D55" s="106"/>
      <c r="E55" s="106"/>
      <c r="F55" s="106"/>
      <c r="G55" s="106"/>
    </row>
    <row r="56" spans="1:7" ht="18" customHeight="1" x14ac:dyDescent="0.25">
      <c r="A56" s="162" t="s">
        <v>1109</v>
      </c>
      <c r="B56" s="152"/>
      <c r="C56" s="152"/>
      <c r="D56" s="152"/>
      <c r="E56" s="171" t="str">
        <f ca="1">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28 open</v>
      </c>
      <c r="F56" s="152"/>
      <c r="G56" s="152"/>
    </row>
    <row r="57" spans="1:7" ht="12" customHeight="1" x14ac:dyDescent="0.25">
      <c r="A57" s="123" t="s">
        <v>1110</v>
      </c>
      <c r="B57" s="123">
        <f>COUNTIFS('HZ-ASD Tracker'!$A$5:$A$994,"&lt;&gt;",'HZ-ASD Tracker'!$F$5:$F$994,"ACCESS",'HZ-ASD Tracker'!$E$5:$E$994,"&lt;&gt;Closed")</f>
        <v>28</v>
      </c>
      <c r="C57" s="123">
        <f>COUNTIFS('HZ-ASD Tracker'!$A$5:$A$994,"&lt;&gt;",'HZ-ASD Tracker'!$F$5:$F$994,"ACCESS")</f>
        <v>31</v>
      </c>
      <c r="D57" s="125">
        <f>IFERROR(B57/C57,0)</f>
        <v>0.90322580645161288</v>
      </c>
      <c r="E57" s="123"/>
      <c r="F57" s="106"/>
      <c r="G57" s="106"/>
    </row>
    <row r="58" spans="1:7" ht="16.5" customHeight="1" x14ac:dyDescent="0.25">
      <c r="A58" s="19" t="s">
        <v>1111</v>
      </c>
      <c r="B58" s="14">
        <f>COUNTIFS('HZ-ASD Tracker'!$A$5:$A$994,"&lt;&gt;",'HZ-ASD Tracker'!$F$5:$F$994,"ACCESS",'HZ-ASD Tracker'!$E$5:$E$994,"Closed")</f>
        <v>3</v>
      </c>
      <c r="C58" s="14">
        <f>COUNTIFS('HZ-ASD Tracker'!$A$5:$A$994,"&lt;&gt;",'HZ-ASD Tracker'!$F$5:$F$994,"ACCESS")</f>
        <v>31</v>
      </c>
      <c r="D58" s="15">
        <f>IFERROR(B58/C58,0)</f>
        <v>9.6774193548387094E-2</v>
      </c>
      <c r="E58" s="90"/>
      <c r="F58" s="86"/>
      <c r="G58" s="11">
        <f>IF(D58=0,"",D58)</f>
        <v>9.6774193548387094E-2</v>
      </c>
    </row>
    <row r="59" spans="1:7" ht="7.15" customHeight="1" x14ac:dyDescent="0.25">
      <c r="A59" s="126"/>
      <c r="B59" s="127"/>
      <c r="C59" s="127"/>
      <c r="D59" s="128"/>
      <c r="E59" s="128"/>
      <c r="F59" s="106"/>
      <c r="G59" s="129"/>
    </row>
    <row r="60" spans="1:7" ht="6" hidden="1" customHeight="1" x14ac:dyDescent="0.25">
      <c r="A60" s="130"/>
      <c r="B60" s="127"/>
      <c r="C60" s="127"/>
      <c r="D60" s="128"/>
      <c r="E60" s="128"/>
      <c r="F60" s="106"/>
      <c r="G60" s="129"/>
    </row>
    <row r="61" spans="1:7" ht="19.899999999999999" customHeight="1" x14ac:dyDescent="0.25">
      <c r="A61" s="162" t="s">
        <v>1112</v>
      </c>
      <c r="B61" s="152"/>
      <c r="C61" s="152"/>
      <c r="D61" s="152"/>
      <c r="E61" s="152"/>
      <c r="F61" s="152"/>
      <c r="G61" s="152"/>
    </row>
    <row r="62" spans="1:7" ht="18.399999999999999" customHeight="1" x14ac:dyDescent="0.25">
      <c r="A62" s="168" t="str">
        <f>"🔧 PARTS — Requested: "&amp;COUNTIFS('HZ-ASD Tracker'!$A$5:$A$994,"&lt;&gt;",'HZ-ASD Tracker'!$H$5:$H$994,"Requested")&amp;"   ·   Pending EVAL: "&amp;COUNTIFS('HZ-ASD Tracker'!$A$5:$A$994,"&lt;&gt;",'HZ-ASD Tracker'!$H$5:$H$994,"Pending EVAL")&amp;"   ·   Not required: "&amp;COUNTIFS('HZ-ASD Tracker'!$A$5:$A$994,"&lt;&gt;",'HZ-ASD Tracker'!$H$5:$H$994,"N/R")</f>
        <v>🔧 PARTS — Requested: 204   ·   Pending EVAL: 0   ·   Not required: 0</v>
      </c>
      <c r="B62" s="152"/>
      <c r="C62" s="152"/>
      <c r="D62" s="152"/>
      <c r="E62" s="152"/>
      <c r="F62" s="152"/>
      <c r="G62" s="152"/>
    </row>
    <row r="63" spans="1:7" ht="18.399999999999999" customHeight="1" x14ac:dyDescent="0.25">
      <c r="A63" s="168" t="str">
        <f>"⏸ ON HOLD / DEFERRED — Deferred: "&amp;COUNTIFS('HZ-ASD Tracker'!$A$5:$A$994,"&lt;&gt;",'HZ-ASD Tracker'!$E$5:$E$994,"Deferred")&amp;"   ·   On Hold: "&amp;COUNTIFS('HZ-ASD Tracker'!$A$5:$A$994,"&lt;&gt;",'HZ-ASD Tracker'!$E$5:$E$994,"On Hold")&amp;"   ·   HPC: "&amp;COUNTIFS('HZ-ASD Tracker'!$A$5:$A$994,"&lt;&gt;",'HZ-ASD Tracker'!$E$5:$E$994,"HPC")</f>
        <v>⏸ ON HOLD / DEFERRED — Deferred: 0   ·   On Hold: 0   ·   HPC: 0</v>
      </c>
      <c r="B63" s="152"/>
      <c r="C63" s="152"/>
      <c r="D63" s="152"/>
      <c r="E63" s="152"/>
      <c r="F63" s="152"/>
      <c r="G63" s="152"/>
    </row>
    <row r="64" spans="1:7" ht="18.399999999999999" customHeight="1" x14ac:dyDescent="0.25">
      <c r="A64" s="180" t="str">
        <f>"🕐 CABIN WORKLOAD — Estimated "&amp;TEXT(SUM('HZ-ASD Tracker'!$N$5:$N$994),"#,##0")&amp;" MH   ·   Booked "&amp;TEXT(SUM('HZ-ASD Tracker'!$P$5:$P$994),"#,##0")&amp;" MH   ·   Booked / Est "&amp;TEXT(IFERROR(SUM('HZ-ASD Tracker'!$P$5:$P$994)/SUM('HZ-ASD Tracker'!$N$5:$N$994),0),"0%")</f>
        <v>🕐 CABIN WORKLOAD — Estimated 2,678 MH   ·   Booked 5,761 MH   ·   Booked / Est 215%</v>
      </c>
      <c r="B64" s="152"/>
      <c r="C64" s="152"/>
      <c r="D64" s="152"/>
      <c r="E64" s="152"/>
      <c r="F64" s="152"/>
      <c r="G64" s="152"/>
    </row>
    <row r="65" spans="1:7" ht="7.15" customHeight="1" x14ac:dyDescent="0.25">
      <c r="A65" s="185"/>
      <c r="B65" s="152"/>
      <c r="C65" s="152"/>
      <c r="D65" s="152"/>
      <c r="E65" s="152"/>
      <c r="F65" s="152"/>
      <c r="G65" s="152"/>
    </row>
    <row r="66" spans="1:7" ht="30" customHeight="1" x14ac:dyDescent="0.25">
      <c r="A66" s="162" t="s">
        <v>1113</v>
      </c>
      <c r="B66" s="152"/>
      <c r="C66" s="131" t="s">
        <v>1114</v>
      </c>
      <c r="D66" s="131" t="s">
        <v>1115</v>
      </c>
      <c r="E66" s="131" t="s">
        <v>1116</v>
      </c>
      <c r="F66" s="91" t="s">
        <v>1117</v>
      </c>
      <c r="G66" s="132"/>
    </row>
    <row r="67" spans="1:7" ht="16.5" customHeight="1" x14ac:dyDescent="0.25">
      <c r="A67" s="183" t="s">
        <v>50</v>
      </c>
      <c r="B67" s="161"/>
      <c r="C67" s="26">
        <f>SUMIFS('HZ-ASD Tracker'!$N$5:$N$994,'HZ-ASD Tracker'!$G$5:$G$994,"CAB")</f>
        <v>413.11000000000013</v>
      </c>
      <c r="D67" s="26">
        <f>SUMIFS('HZ-ASD Tracker'!$P$5:$P$994,'HZ-ASD Tracker'!$G$5:$G$994,"CAB")</f>
        <v>2431.94</v>
      </c>
      <c r="E67" s="15">
        <f>IFERROR(C67/SUM('HZ-ASD Tracker'!$N$5:$N$994),0)</f>
        <v>0.15428368688377656</v>
      </c>
      <c r="F67" s="15">
        <f>IFERROR(D67/SUM('HZ-ASD Tracker'!$P$5:$P$994),0)</f>
        <v>0.42215976850075765</v>
      </c>
      <c r="G67" s="11">
        <f t="shared" ref="G67:G75" si="8">IF(E67=0,"",E67)</f>
        <v>0.15428368688377656</v>
      </c>
    </row>
    <row r="68" spans="1:7" ht="16.5" customHeight="1" x14ac:dyDescent="0.25">
      <c r="A68" s="175" t="s">
        <v>186</v>
      </c>
      <c r="B68" s="161"/>
      <c r="C68" s="26">
        <f>SUMIFS('HZ-ASD Tracker'!$N$5:$N$994,'HZ-ASD Tracker'!$G$5:$G$994,"SEAT")</f>
        <v>627.82999999999993</v>
      </c>
      <c r="D68" s="26">
        <f>SUMIFS('HZ-ASD Tracker'!$P$5:$P$994,'HZ-ASD Tracker'!$G$5:$G$994,"SEAT")</f>
        <v>991.82000000000016</v>
      </c>
      <c r="E68" s="15">
        <f>IFERROR(C68/SUM('HZ-ASD Tracker'!$N$5:$N$994),0)</f>
        <v>0.23447490289811765</v>
      </c>
      <c r="F68" s="15">
        <f>IFERROR(D68/SUM('HZ-ASD Tracker'!$P$5:$P$994),0)</f>
        <v>0.17216974990929937</v>
      </c>
      <c r="G68" s="11">
        <f t="shared" si="8"/>
        <v>0.23447490289811765</v>
      </c>
    </row>
    <row r="69" spans="1:7" ht="16.5" customHeight="1" x14ac:dyDescent="0.25">
      <c r="A69" s="178" t="s">
        <v>208</v>
      </c>
      <c r="B69" s="161"/>
      <c r="C69" s="26">
        <f>SUMIFS('HZ-ASD Tracker'!$N$5:$N$994,'HZ-ASD Tracker'!$G$5:$G$994,"AV")</f>
        <v>769.20999999999992</v>
      </c>
      <c r="D69" s="26">
        <f>SUMIFS('HZ-ASD Tracker'!$P$5:$P$994,'HZ-ASD Tracker'!$G$5:$G$994,"AV")</f>
        <v>551.29999999999995</v>
      </c>
      <c r="E69" s="15">
        <f>IFERROR(C69/SUM('HZ-ASD Tracker'!$N$5:$N$994),0)</f>
        <v>0.28727591873319386</v>
      </c>
      <c r="F69" s="15">
        <f>IFERROR(D69/SUM('HZ-ASD Tracker'!$P$5:$P$994),0)</f>
        <v>9.5700009200254801E-2</v>
      </c>
      <c r="G69" s="11">
        <f t="shared" si="8"/>
        <v>0.28727591873319386</v>
      </c>
    </row>
    <row r="70" spans="1:7" ht="16.5" customHeight="1" x14ac:dyDescent="0.25">
      <c r="A70" s="177" t="s">
        <v>987</v>
      </c>
      <c r="B70" s="161"/>
      <c r="C70" s="26">
        <f>SUMIFS('HZ-ASD Tracker'!$N$5:$N$994,'HZ-ASD Tracker'!$G$5:$G$994,"WALL")</f>
        <v>212</v>
      </c>
      <c r="D70" s="26">
        <f>SUMIFS('HZ-ASD Tracker'!$P$5:$P$994,'HZ-ASD Tracker'!$G$5:$G$994,"WALL")</f>
        <v>360.5</v>
      </c>
      <c r="E70" s="15">
        <f>IFERROR(C70/SUM('HZ-ASD Tracker'!$N$5:$N$994),0)</f>
        <v>7.9175380938153558E-2</v>
      </c>
      <c r="F70" s="15">
        <f>IFERROR(D70/SUM('HZ-ASD Tracker'!$P$5:$P$994),0)</f>
        <v>6.25790918133355E-2</v>
      </c>
      <c r="G70" s="11">
        <f t="shared" si="8"/>
        <v>7.9175380938153558E-2</v>
      </c>
    </row>
    <row r="71" spans="1:7" ht="16.5" customHeight="1" x14ac:dyDescent="0.25">
      <c r="A71" s="160" t="s">
        <v>747</v>
      </c>
      <c r="B71" s="161"/>
      <c r="C71" s="26">
        <f>SUMIFS('HZ-ASD Tracker'!$N$5:$N$994,'HZ-ASD Tracker'!$G$5:$G$994,"S/M")</f>
        <v>8</v>
      </c>
      <c r="D71" s="26">
        <f>SUMIFS('HZ-ASD Tracker'!$P$5:$P$994,'HZ-ASD Tracker'!$G$5:$G$994,"S/M")</f>
        <v>182.85000000000002</v>
      </c>
      <c r="E71" s="15">
        <f>IFERROR(C71/SUM('HZ-ASD Tracker'!$N$5:$N$994),0)</f>
        <v>2.9877502240812665E-3</v>
      </c>
      <c r="F71" s="15">
        <f>IFERROR(D71/SUM('HZ-ASD Tracker'!$P$5:$P$994),0)</f>
        <v>3.1740879162464347E-2</v>
      </c>
      <c r="G71" s="11">
        <f t="shared" si="8"/>
        <v>2.9877502240812665E-3</v>
      </c>
    </row>
    <row r="72" spans="1:7" ht="16.5" customHeight="1" x14ac:dyDescent="0.25">
      <c r="A72" s="174" t="s">
        <v>167</v>
      </c>
      <c r="B72" s="161"/>
      <c r="C72" s="26">
        <f>SUMIFS('HZ-ASD Tracker'!$N$5:$N$994,'HZ-ASD Tracker'!$G$5:$G$994,"PAINT")</f>
        <v>184</v>
      </c>
      <c r="D72" s="26">
        <f>SUMIFS('HZ-ASD Tracker'!$P$5:$P$994,'HZ-ASD Tracker'!$G$5:$G$994,"PAINT")</f>
        <v>238.65000000000003</v>
      </c>
      <c r="E72" s="15">
        <f>IFERROR(C72/SUM('HZ-ASD Tracker'!$N$5:$N$994),0)</f>
        <v>6.8718255153869132E-2</v>
      </c>
      <c r="F72" s="15">
        <f>IFERROR(D72/SUM('HZ-ASD Tracker'!$P$5:$P$994),0)</f>
        <v>4.1427185190714338E-2</v>
      </c>
      <c r="G72" s="11">
        <f t="shared" si="8"/>
        <v>6.8718255153869132E-2</v>
      </c>
    </row>
    <row r="73" spans="1:7" ht="16.5" customHeight="1" x14ac:dyDescent="0.25">
      <c r="A73" s="167" t="s">
        <v>24</v>
      </c>
      <c r="B73" s="161"/>
      <c r="C73" s="26">
        <f>SUMIFS('HZ-ASD Tracker'!$N$5:$N$994,'HZ-ASD Tracker'!$G$5:$G$994,"JOINT")</f>
        <v>138.50999999999996</v>
      </c>
      <c r="D73" s="26">
        <f>SUMIFS('HZ-ASD Tracker'!$P$5:$P$994,'HZ-ASD Tracker'!$G$5:$G$994,"JOINT")</f>
        <v>776.4</v>
      </c>
      <c r="E73" s="15">
        <f>IFERROR(C73/SUM('HZ-ASD Tracker'!$N$5:$N$994),0)</f>
        <v>5.1729160442187012E-2</v>
      </c>
      <c r="F73" s="15">
        <f>IFERROR(D73/SUM('HZ-ASD Tracker'!$P$5:$P$994),0)</f>
        <v>0.13477505376941382</v>
      </c>
      <c r="G73" s="11">
        <f t="shared" si="8"/>
        <v>5.1729160442187012E-2</v>
      </c>
    </row>
    <row r="74" spans="1:7" ht="16.5" customHeight="1" x14ac:dyDescent="0.25">
      <c r="A74" s="181" t="s">
        <v>83</v>
      </c>
      <c r="B74" s="161"/>
      <c r="C74" s="26">
        <f>SUMIFS('HZ-ASD Tracker'!$N$5:$N$994,'HZ-ASD Tracker'!$G$5:$G$994,"INSP")</f>
        <v>95.37</v>
      </c>
      <c r="D74" s="26">
        <f>SUMIFS('HZ-ASD Tracker'!$P$5:$P$994,'HZ-ASD Tracker'!$G$5:$G$994,"INSP")</f>
        <v>137.22</v>
      </c>
      <c r="E74" s="15">
        <f>IFERROR(C74/SUM('HZ-ASD Tracker'!$N$5:$N$994),0)</f>
        <v>3.56177173588288E-2</v>
      </c>
      <c r="F74" s="15">
        <f>IFERROR(D74/SUM('HZ-ASD Tracker'!$P$5:$P$994),0)</f>
        <v>2.381998052323411E-2</v>
      </c>
      <c r="G74" s="11">
        <f t="shared" si="8"/>
        <v>3.56177173588288E-2</v>
      </c>
    </row>
    <row r="75" spans="1:7" ht="16.5" customHeight="1" x14ac:dyDescent="0.25">
      <c r="A75" s="179" t="s">
        <v>157</v>
      </c>
      <c r="B75" s="161"/>
      <c r="C75" s="26">
        <f>SUMIFS('HZ-ASD Tracker'!$N$5:$N$994,'HZ-ASD Tracker'!$G$5:$G$994,"AP")</f>
        <v>125.17</v>
      </c>
      <c r="D75" s="26">
        <f>SUMIFS('HZ-ASD Tracker'!$P$5:$P$994,'HZ-ASD Tracker'!$G$5:$G$994,"AP")</f>
        <v>79.58</v>
      </c>
      <c r="E75" s="15">
        <f>IFERROR(C75/SUM('HZ-ASD Tracker'!$N$5:$N$994),0)</f>
        <v>4.6747086943531517E-2</v>
      </c>
      <c r="F75" s="15">
        <f>IFERROR(D75/SUM('HZ-ASD Tracker'!$P$5:$P$994),0)</f>
        <v>1.3814269421651149E-2</v>
      </c>
      <c r="G75" s="11">
        <f t="shared" si="8"/>
        <v>4.6747086943531517E-2</v>
      </c>
    </row>
    <row r="76" spans="1:7" ht="7.15" customHeight="1" x14ac:dyDescent="0.25">
      <c r="A76" s="176"/>
      <c r="B76" s="152"/>
      <c r="C76" s="152"/>
      <c r="D76" s="152"/>
      <c r="E76" s="152"/>
      <c r="F76" s="152"/>
      <c r="G76" s="152"/>
    </row>
    <row r="77" spans="1:7" hidden="1" x14ac:dyDescent="0.25">
      <c r="A77" s="106"/>
      <c r="B77" s="106"/>
      <c r="C77" s="106"/>
      <c r="D77" s="106"/>
      <c r="E77" s="106"/>
      <c r="F77" s="106"/>
      <c r="G77" s="106"/>
    </row>
    <row r="78" spans="1:7" ht="19.899999999999999" customHeight="1" x14ac:dyDescent="0.25">
      <c r="A78" s="170" t="s">
        <v>1118</v>
      </c>
      <c r="B78" s="152"/>
      <c r="C78" s="152"/>
      <c r="D78" s="152"/>
      <c r="E78" s="152"/>
      <c r="F78" s="152"/>
      <c r="G78" s="152"/>
    </row>
    <row r="79" spans="1:7" ht="12.95" customHeight="1" x14ac:dyDescent="0.25">
      <c r="A79" s="133" t="s">
        <v>1119</v>
      </c>
      <c r="B79" s="133" t="s">
        <v>1088</v>
      </c>
      <c r="C79" s="133" t="s">
        <v>1089</v>
      </c>
      <c r="D79" s="133" t="s">
        <v>1093</v>
      </c>
      <c r="E79" s="133" t="s">
        <v>1120</v>
      </c>
      <c r="F79" s="133" t="s">
        <v>1114</v>
      </c>
      <c r="G79" s="133" t="s">
        <v>1121</v>
      </c>
    </row>
    <row r="80" spans="1:7" ht="24" customHeight="1" x14ac:dyDescent="0.25">
      <c r="A80" s="134">
        <f>COUNTIF('FULL PKG'!$B$2:$B$3000,"&lt;&gt;")</f>
        <v>1509</v>
      </c>
      <c r="B80" s="134">
        <f>COUNTIF('FULL PKG'!$H$2:$H$3000,"Closed")</f>
        <v>1113</v>
      </c>
      <c r="C80" s="134">
        <f>COUNTIF('FULL PKG'!$B$2:$B$3000,"&lt;&gt;")-COUNTIF('FULL PKG'!$H$2:$H$3000,"Closed")</f>
        <v>396</v>
      </c>
      <c r="D80" s="135">
        <f>IFERROR(COUNTIF('FULL PKG'!$H$2:$H$3000,"Closed")/COUNTIF('FULL PKG'!$B$2:$B$3000,"&lt;&gt;"),0)</f>
        <v>0.7375745526838966</v>
      </c>
      <c r="E80" s="135">
        <f ca="1">MIN(MAX((TODAY()-DASHBOARD!$M$1+1)/(DASHBOARD!$M$2-DASHBOARD!$M$1+1),0),1)</f>
        <v>1</v>
      </c>
      <c r="F80" s="136">
        <f>SUM('FULL PKG'!$E$2:$E$3000)</f>
        <v>7002.3199999999679</v>
      </c>
      <c r="G80" s="136">
        <f>SUM('FULL PKG'!$F$2:$F$3000)</f>
        <v>23534.540000000037</v>
      </c>
    </row>
    <row r="81" spans="1:7" ht="18.399999999999999" customHeight="1" x14ac:dyDescent="0.25">
      <c r="A81" s="169" t="str">
        <f>"⚖️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310/464 (67%)   ·   Non-cabin 803/1045 (77%)   ·   Package 1113/1509 (74%)</v>
      </c>
      <c r="B81" s="152"/>
      <c r="C81" s="152"/>
      <c r="D81" s="152"/>
      <c r="E81" s="152"/>
      <c r="F81" s="152"/>
      <c r="G81" s="152"/>
    </row>
    <row r="82" spans="1:7" ht="18.399999999999999" customHeight="1" x14ac:dyDescent="0.25">
      <c r="A82" s="169" t="str">
        <f>"⏱ ESTIMATED MH — Cabin "&amp;TEXT(SUM('HZ-ASD Tracker'!$N$5:$N$994),"#,##0")&amp;"h   ·   Non-cabin "&amp;TEXT(SUM('FULL PKG'!$E$2:$E$3000)-SUM('HZ-ASD Tracker'!$N$5:$N$994),"#,##0")&amp;"h   ·   Cabin share "&amp;TEXT(IFERROR(SUM('HZ-ASD Tracker'!$N$5:$N$994)/SUM('FULL PKG'!$E$2:$E$3000),0),"0%")</f>
        <v>⏱ ESTIMATED MH — Cabin 2,678h   ·   Non-cabin 4,325h   ·   Cabin share 38%</v>
      </c>
      <c r="B82" s="152"/>
      <c r="C82" s="152"/>
      <c r="D82" s="152"/>
      <c r="E82" s="152"/>
      <c r="F82" s="152"/>
      <c r="G82" s="152"/>
    </row>
    <row r="83" spans="1:7" ht="18.399999999999999" customHeight="1" x14ac:dyDescent="0.25">
      <c r="A83" s="169" t="str">
        <f>"⏱ BOOKED MH — Cabin "&amp;TEXT(SUM('HZ-ASD Tracker'!$P$5:$P$994),"#,##0")&amp;"h   ·   Non-cabin "&amp;TEXT(SUM('FULL PKG'!$F$2:$F$3000)-SUM('HZ-ASD Tracker'!$P$5:$P$994),"#,##0")&amp;"h   ·   Cabin share "&amp;TEXT(IFERROR(SUM('HZ-ASD Tracker'!$P$5:$P$994)/SUM('FULL PKG'!$F$2:$F$3000),0),"0%")</f>
        <v>⏱ BOOKED MH — Cabin 5,761h   ·   Non-cabin 17,774h   ·   Cabin share 24%</v>
      </c>
      <c r="B83" s="152"/>
      <c r="C83" s="152"/>
      <c r="D83" s="152"/>
      <c r="E83" s="152"/>
      <c r="F83" s="152"/>
      <c r="G83" s="152"/>
    </row>
    <row r="84" spans="1:7" ht="19.899999999999999" customHeight="1" x14ac:dyDescent="0.25">
      <c r="A84" s="172" t="s">
        <v>1122</v>
      </c>
      <c r="B84" s="152"/>
      <c r="C84" s="152"/>
      <c r="D84" s="152"/>
      <c r="E84" s="152"/>
      <c r="F84" s="152"/>
      <c r="G84" s="152"/>
    </row>
    <row r="85" spans="1:7" ht="12" customHeight="1" x14ac:dyDescent="0.25">
      <c r="A85" s="92" t="s">
        <v>11</v>
      </c>
      <c r="B85" s="92" t="s">
        <v>1123</v>
      </c>
      <c r="C85" s="92" t="s">
        <v>1088</v>
      </c>
      <c r="D85" s="92" t="s">
        <v>1124</v>
      </c>
      <c r="E85" s="92" t="s">
        <v>1114</v>
      </c>
      <c r="F85" s="92" t="s">
        <v>1115</v>
      </c>
      <c r="G85" s="93"/>
    </row>
    <row r="86" spans="1:7" ht="15" customHeight="1" x14ac:dyDescent="0.25">
      <c r="A86" s="51" t="s">
        <v>25</v>
      </c>
      <c r="B86" s="52">
        <f>COUNTIFS('HZ-ASD Tracker'!$A$5:$A$994,"&lt;&gt;",'HZ-ASD Tracker'!$K$5:$K$994,"FWD")</f>
        <v>167</v>
      </c>
      <c r="C86" s="52">
        <f>COUNTIFS('HZ-ASD Tracker'!$A$5:$A$994,"&lt;&gt;",'HZ-ASD Tracker'!$K$5:$K$994,"FWD",'HZ-ASD Tracker'!$E$5:$E$994,"Closed")</f>
        <v>119</v>
      </c>
      <c r="D86" s="53">
        <f>IFERROR(C86/B86,0)</f>
        <v>0.71257485029940115</v>
      </c>
      <c r="E86" s="54">
        <f>SUMIFS('HZ-ASD Tracker'!$N$5:$N$994,'HZ-ASD Tracker'!$K$5:$K$994,"FWD")</f>
        <v>291.95999999999998</v>
      </c>
      <c r="F86" s="54">
        <f>SUMIFS('HZ-ASD Tracker'!$P$5:$P$994,'HZ-ASD Tracker'!$K$5:$K$994,"FWD")</f>
        <v>1467.05</v>
      </c>
      <c r="G86" s="94"/>
    </row>
    <row r="87" spans="1:7" ht="15" customHeight="1" x14ac:dyDescent="0.25">
      <c r="A87" s="51" t="s">
        <v>29</v>
      </c>
      <c r="B87" s="52">
        <f>COUNTIFS('HZ-ASD Tracker'!$A$5:$A$994,"&lt;&gt;",'HZ-ASD Tracker'!$K$5:$K$994,"AFT")</f>
        <v>111</v>
      </c>
      <c r="C87" s="52">
        <f>COUNTIFS('HZ-ASD Tracker'!$A$5:$A$994,"&lt;&gt;",'HZ-ASD Tracker'!$K$5:$K$994,"AFT",'HZ-ASD Tracker'!$E$5:$E$994,"Closed")</f>
        <v>67</v>
      </c>
      <c r="D87" s="53">
        <f>IFERROR(C87/B87,0)</f>
        <v>0.60360360360360366</v>
      </c>
      <c r="E87" s="54">
        <f>SUMIFS('HZ-ASD Tracker'!$N$5:$N$994,'HZ-ASD Tracker'!$K$5:$K$994,"AFT")</f>
        <v>352.17</v>
      </c>
      <c r="F87" s="54">
        <f>SUMIFS('HZ-ASD Tracker'!$P$5:$P$994,'HZ-ASD Tracker'!$K$5:$K$994,"AFT")</f>
        <v>1059.74</v>
      </c>
      <c r="G87" s="94"/>
    </row>
    <row r="88" spans="1:7" ht="15" customHeight="1" x14ac:dyDescent="0.25">
      <c r="A88" s="51" t="s">
        <v>24</v>
      </c>
      <c r="B88" s="52">
        <f>COUNTIFS('HZ-ASD Tracker'!$A$5:$A$994,"&lt;&gt;",'HZ-ASD Tracker'!$K$5:$K$994,"JOINT")</f>
        <v>116</v>
      </c>
      <c r="C88" s="52">
        <f>COUNTIFS('HZ-ASD Tracker'!$A$5:$A$994,"&lt;&gt;",'HZ-ASD Tracker'!$K$5:$K$994,"JOINT",'HZ-ASD Tracker'!$E$5:$E$994,"Closed")</f>
        <v>69</v>
      </c>
      <c r="D88" s="53">
        <f>IFERROR(C88/B88,0)</f>
        <v>0.59482758620689657</v>
      </c>
      <c r="E88" s="54">
        <f>SUMIFS('HZ-ASD Tracker'!$N$5:$N$994,'HZ-ASD Tracker'!$K$5:$K$994,"JOINT")</f>
        <v>1228.0200000000004</v>
      </c>
      <c r="F88" s="54">
        <f>SUMIFS('HZ-ASD Tracker'!$P$5:$P$994,'HZ-ASD Tracker'!$K$5:$K$994,"JOINT")</f>
        <v>2487.5700000000002</v>
      </c>
      <c r="G88" s="94"/>
    </row>
    <row r="89" spans="1:7" ht="19.899999999999999" customHeight="1" x14ac:dyDescent="0.25">
      <c r="A89" s="173" t="s">
        <v>1125</v>
      </c>
      <c r="B89" s="152"/>
      <c r="C89" s="152"/>
      <c r="D89" s="152"/>
      <c r="E89" s="152"/>
      <c r="F89" s="152"/>
      <c r="G89" s="152"/>
    </row>
    <row r="90" spans="1:7" ht="12" customHeight="1" x14ac:dyDescent="0.25">
      <c r="A90" s="93" t="s">
        <v>1126</v>
      </c>
      <c r="B90" s="93" t="s">
        <v>1127</v>
      </c>
      <c r="C90" s="93"/>
      <c r="D90" s="93"/>
      <c r="E90" s="95" t="s">
        <v>1128</v>
      </c>
      <c r="F90" s="95" t="s">
        <v>1129</v>
      </c>
      <c r="G90" s="95" t="s">
        <v>1130</v>
      </c>
    </row>
    <row r="91" spans="1:7" ht="14.45" customHeight="1" x14ac:dyDescent="0.25">
      <c r="A91" s="65" t="s">
        <v>658</v>
      </c>
      <c r="B91" s="163" t="s">
        <v>659</v>
      </c>
      <c r="C91" s="164"/>
      <c r="D91" s="165"/>
      <c r="E91" s="66">
        <v>6861</v>
      </c>
      <c r="F91" s="66">
        <v>16</v>
      </c>
      <c r="G91" s="68">
        <v>6845</v>
      </c>
    </row>
    <row r="92" spans="1:7" ht="14.45" customHeight="1" x14ac:dyDescent="0.25">
      <c r="A92" s="65" t="s">
        <v>663</v>
      </c>
      <c r="B92" s="163" t="s">
        <v>1131</v>
      </c>
      <c r="C92" s="164"/>
      <c r="D92" s="165"/>
      <c r="E92" s="66">
        <v>2354</v>
      </c>
      <c r="F92" s="66">
        <v>15</v>
      </c>
      <c r="G92" s="68">
        <v>2339</v>
      </c>
    </row>
    <row r="93" spans="1:7" ht="14.45" customHeight="1" x14ac:dyDescent="0.25">
      <c r="A93" s="65" t="s">
        <v>1132</v>
      </c>
      <c r="B93" s="163" t="s">
        <v>1133</v>
      </c>
      <c r="C93" s="164"/>
      <c r="D93" s="165"/>
      <c r="E93" s="66">
        <v>763</v>
      </c>
      <c r="F93" s="66">
        <v>4</v>
      </c>
      <c r="G93" s="68">
        <v>760</v>
      </c>
    </row>
    <row r="94" spans="1:7" ht="14.45" customHeight="1" x14ac:dyDescent="0.25">
      <c r="A94" s="65" t="s">
        <v>1134</v>
      </c>
      <c r="B94" s="163" t="s">
        <v>1135</v>
      </c>
      <c r="C94" s="164"/>
      <c r="D94" s="165"/>
      <c r="E94" s="65">
        <v>466</v>
      </c>
      <c r="F94" s="65">
        <v>35</v>
      </c>
      <c r="G94" s="69">
        <v>431</v>
      </c>
    </row>
    <row r="95" spans="1:7" ht="14.45" customHeight="1" x14ac:dyDescent="0.25">
      <c r="A95" s="65" t="s">
        <v>1136</v>
      </c>
      <c r="B95" s="163" t="s">
        <v>1137</v>
      </c>
      <c r="C95" s="164"/>
      <c r="D95" s="165"/>
      <c r="E95" s="65">
        <v>370</v>
      </c>
      <c r="F95" s="65">
        <v>2</v>
      </c>
      <c r="G95" s="69">
        <v>369</v>
      </c>
    </row>
    <row r="96" spans="1:7" ht="14.45" customHeight="1" x14ac:dyDescent="0.25">
      <c r="A96" s="65" t="s">
        <v>1138</v>
      </c>
      <c r="B96" s="163" t="s">
        <v>1139</v>
      </c>
      <c r="C96" s="164"/>
      <c r="D96" s="165"/>
      <c r="E96" s="65">
        <v>370</v>
      </c>
      <c r="F96" s="65">
        <v>2</v>
      </c>
      <c r="G96" s="69">
        <v>368</v>
      </c>
    </row>
    <row r="97" spans="1:7" ht="14.45" customHeight="1" x14ac:dyDescent="0.25">
      <c r="A97" s="65" t="s">
        <v>1140</v>
      </c>
      <c r="B97" s="163" t="s">
        <v>1141</v>
      </c>
      <c r="C97" s="164"/>
      <c r="D97" s="165"/>
      <c r="E97" s="67">
        <v>371</v>
      </c>
      <c r="F97" s="67">
        <v>4</v>
      </c>
      <c r="G97" s="70">
        <v>367</v>
      </c>
    </row>
    <row r="98" spans="1:7" ht="14.45" customHeight="1" x14ac:dyDescent="0.25">
      <c r="A98" s="65" t="s">
        <v>1142</v>
      </c>
      <c r="B98" s="163" t="s">
        <v>752</v>
      </c>
      <c r="C98" s="164"/>
      <c r="D98" s="165"/>
      <c r="E98" s="67">
        <v>372</v>
      </c>
      <c r="F98" s="67">
        <v>10</v>
      </c>
      <c r="G98" s="70">
        <v>363</v>
      </c>
    </row>
    <row r="99" spans="1:7" x14ac:dyDescent="0.25">
      <c r="A99" s="96"/>
      <c r="B99" s="97"/>
      <c r="C99" s="97"/>
      <c r="D99" s="98"/>
      <c r="E99" s="99"/>
      <c r="F99" s="99"/>
      <c r="G99" s="99"/>
    </row>
    <row r="100" spans="1:7" x14ac:dyDescent="0.25">
      <c r="A100" s="96"/>
      <c r="B100" s="97"/>
      <c r="C100" s="97"/>
      <c r="D100" s="98"/>
      <c r="E100" s="99"/>
      <c r="F100" s="99"/>
      <c r="G100" s="99"/>
    </row>
  </sheetData>
  <sheetProtection sheet="1"/>
  <mergeCells count="47">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3:G3"/>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s>
  <conditionalFormatting sqref="A2:G2">
    <cfRule type="expression" dxfId="297" priority="1" stopIfTrue="1">
      <formula>ISNUMBER(SEARCH("✅",$A$2))</formula>
    </cfRule>
    <cfRule type="expression" dxfId="296" priority="2" stopIfTrue="1">
      <formula>ISNUMBER(SEARCH("⚠️",$A$2))</formula>
    </cfRule>
    <cfRule type="expression" dxfId="295" priority="3" stopIfTrue="1">
      <formula>ISNUMBER(SEARCH("🔴",$A$2))</formula>
    </cfRule>
    <cfRule type="expression" dxfId="294" priority="4" stopIfTrue="1">
      <formula>ISNUMBER(SEARCH("❌",$A$2))</formula>
    </cfRule>
  </conditionalFormatting>
  <conditionalFormatting sqref="A15:G17">
    <cfRule type="expression" dxfId="293" priority="19">
      <formula>AND(ISNUMBER($E15),$E15&gt;$D15+0.1)</formula>
    </cfRule>
  </conditionalFormatting>
  <conditionalFormatting sqref="D15:D17">
    <cfRule type="expression" dxfId="292" priority="11">
      <formula>AND(D15&lt;&gt;"",D15=1)</formula>
    </cfRule>
  </conditionalFormatting>
  <conditionalFormatting sqref="D21:D30">
    <cfRule type="expression" dxfId="291" priority="12">
      <formula>AND(D21&lt;&gt;"",D21=1)</formula>
    </cfRule>
  </conditionalFormatting>
  <conditionalFormatting sqref="D34:D42">
    <cfRule type="expression" dxfId="290" priority="13">
      <formula>AND(D34&lt;&gt;"",D34=1)</formula>
    </cfRule>
  </conditionalFormatting>
  <conditionalFormatting sqref="D58:D60">
    <cfRule type="expression" dxfId="289" priority="14">
      <formula>AND(D58&lt;&gt;"",D58=1)</formula>
    </cfRule>
  </conditionalFormatting>
  <conditionalFormatting sqref="F15:F17">
    <cfRule type="expression" dxfId="288" priority="15">
      <formula>AND(F15&lt;&gt;"",F15=0)</formula>
    </cfRule>
  </conditionalFormatting>
  <conditionalFormatting sqref="F21:F30">
    <cfRule type="expression" dxfId="287" priority="16">
      <formula>AND(F21&lt;&gt;"",F21=0)</formula>
    </cfRule>
  </conditionalFormatting>
  <conditionalFormatting sqref="F34:F42">
    <cfRule type="expression" dxfId="286"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5" x14ac:dyDescent="0.25"/>
  <cols>
    <col min="1" max="1" width="4.42578125" customWidth="1"/>
    <col min="2" max="2" width="10" customWidth="1"/>
    <col min="3" max="3" width="5.42578125" customWidth="1"/>
    <col min="4" max="4" width="57.7109375"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x14ac:dyDescent="0.25">
      <c r="A1" s="192" t="s">
        <v>1143</v>
      </c>
      <c r="B1" s="152"/>
      <c r="C1" s="152"/>
      <c r="D1" s="152"/>
      <c r="E1" s="152"/>
      <c r="F1" s="152"/>
      <c r="G1" s="152"/>
      <c r="H1" s="152"/>
      <c r="I1" s="152"/>
      <c r="J1" s="152"/>
      <c r="K1" s="152"/>
      <c r="L1" s="152"/>
      <c r="M1" s="152"/>
    </row>
    <row r="2" spans="1:13" ht="19.899999999999999" customHeight="1" x14ac:dyDescent="0.25">
      <c r="A2" s="191" t="str">
        <f>"Part lines: "&amp;COUNTIF($B$4:$B$185,"&lt;&gt;")&amp;"     ·     🔴 NOT AVAILABLE: "&amp;COUNTIF($I$4:$I$185,"NOT AVAILABLE")&amp;"     ·     🟢 AVAILABLE: "&amp;COUNTIF($I$4:$I$185,"AVAILABLE")</f>
        <v>Part lines: 12     ·     🔴 NOT AVAILABLE: 10     ·     🟢 AVAILABLE: 0</v>
      </c>
      <c r="B2" s="152"/>
      <c r="C2" s="152"/>
      <c r="D2" s="152"/>
      <c r="E2" s="152"/>
      <c r="F2" s="152"/>
      <c r="G2" s="152"/>
      <c r="H2" s="152"/>
      <c r="I2" s="152"/>
      <c r="J2" s="152"/>
      <c r="K2" s="152"/>
      <c r="L2" s="152"/>
      <c r="M2" s="152"/>
    </row>
    <row r="3" spans="1:13" ht="24" customHeight="1" x14ac:dyDescent="0.25">
      <c r="A3" s="137" t="s">
        <v>1144</v>
      </c>
      <c r="B3" s="137" t="s">
        <v>1145</v>
      </c>
      <c r="C3" s="137" t="s">
        <v>1146</v>
      </c>
      <c r="D3" s="137" t="s">
        <v>1147</v>
      </c>
      <c r="E3" s="137" t="s">
        <v>1148</v>
      </c>
      <c r="F3" s="137" t="s">
        <v>1149</v>
      </c>
      <c r="G3" s="137" t="s">
        <v>1150</v>
      </c>
      <c r="H3" s="137" t="s">
        <v>1151</v>
      </c>
      <c r="I3" s="137" t="s">
        <v>1152</v>
      </c>
      <c r="J3" s="137" t="s">
        <v>1153</v>
      </c>
      <c r="K3" s="137" t="s">
        <v>1154</v>
      </c>
      <c r="L3" s="137" t="s">
        <v>1155</v>
      </c>
      <c r="M3" s="137" t="s">
        <v>1156</v>
      </c>
    </row>
    <row r="4" spans="1:13" ht="25.15" customHeight="1" x14ac:dyDescent="0.25">
      <c r="A4" s="81">
        <f>IF($B4="","",COUNTA($B$4:$B4))</f>
        <v>1</v>
      </c>
      <c r="B4" s="82" t="s">
        <v>1157</v>
      </c>
      <c r="C4" s="81" t="s">
        <v>1158</v>
      </c>
      <c r="D4" s="83" t="s">
        <v>768</v>
      </c>
      <c r="E4" s="82" t="s">
        <v>1159</v>
      </c>
      <c r="F4" s="83" t="s">
        <v>1160</v>
      </c>
      <c r="G4" s="81">
        <v>3</v>
      </c>
      <c r="H4" s="81" t="s">
        <v>1161</v>
      </c>
      <c r="I4" s="81" t="s">
        <v>1162</v>
      </c>
      <c r="J4" s="81" t="s">
        <v>1163</v>
      </c>
      <c r="K4" s="81" t="s">
        <v>1164</v>
      </c>
      <c r="L4" s="83" t="s">
        <v>1165</v>
      </c>
      <c r="M4" s="81" t="s">
        <v>1165</v>
      </c>
    </row>
    <row r="5" spans="1:13" ht="25.15" customHeight="1" x14ac:dyDescent="0.25">
      <c r="A5" s="81">
        <f>IF($B5="","",COUNTA($B$4:$B5))</f>
        <v>2</v>
      </c>
      <c r="B5" s="82" t="s">
        <v>1166</v>
      </c>
      <c r="C5" s="81" t="s">
        <v>1167</v>
      </c>
      <c r="D5" s="83" t="s">
        <v>781</v>
      </c>
      <c r="E5" s="82" t="s">
        <v>1168</v>
      </c>
      <c r="F5" s="83" t="s">
        <v>1169</v>
      </c>
      <c r="G5" s="81">
        <v>2</v>
      </c>
      <c r="H5" s="81" t="s">
        <v>1161</v>
      </c>
      <c r="I5" s="81" t="s">
        <v>1162</v>
      </c>
      <c r="J5" s="81" t="s">
        <v>1165</v>
      </c>
      <c r="K5" s="81" t="s">
        <v>1164</v>
      </c>
      <c r="L5" s="83" t="s">
        <v>1170</v>
      </c>
      <c r="M5" s="81" t="s">
        <v>1165</v>
      </c>
    </row>
    <row r="6" spans="1:13" ht="25.15" customHeight="1" x14ac:dyDescent="0.25">
      <c r="A6" s="81">
        <f>IF($B6="","",COUNTA($B$4:$B6))</f>
        <v>3</v>
      </c>
      <c r="B6" s="82" t="s">
        <v>1171</v>
      </c>
      <c r="C6" s="81" t="s">
        <v>1172</v>
      </c>
      <c r="D6" s="83" t="s">
        <v>788</v>
      </c>
      <c r="E6" s="82" t="s">
        <v>1168</v>
      </c>
      <c r="F6" s="83" t="s">
        <v>1169</v>
      </c>
      <c r="G6" s="81">
        <v>2</v>
      </c>
      <c r="H6" s="81" t="s">
        <v>1161</v>
      </c>
      <c r="I6" s="81" t="s">
        <v>1162</v>
      </c>
      <c r="J6" s="81" t="s">
        <v>1165</v>
      </c>
      <c r="K6" s="81" t="s">
        <v>1164</v>
      </c>
      <c r="L6" s="83" t="s">
        <v>1170</v>
      </c>
      <c r="M6" s="81" t="s">
        <v>1165</v>
      </c>
    </row>
    <row r="7" spans="1:13" ht="25.15" customHeight="1" x14ac:dyDescent="0.25">
      <c r="A7" s="81">
        <f>IF($B7="","",COUNTA($B$4:$B7))</f>
        <v>4</v>
      </c>
      <c r="B7" s="82" t="s">
        <v>1173</v>
      </c>
      <c r="C7" s="81" t="s">
        <v>1174</v>
      </c>
      <c r="D7" s="83" t="s">
        <v>861</v>
      </c>
      <c r="E7" s="82" t="s">
        <v>1175</v>
      </c>
      <c r="F7" s="83" t="s">
        <v>1176</v>
      </c>
      <c r="G7" s="81">
        <v>1</v>
      </c>
      <c r="H7" s="81" t="s">
        <v>1161</v>
      </c>
      <c r="I7" s="81" t="s">
        <v>1162</v>
      </c>
      <c r="J7" s="81" t="s">
        <v>1165</v>
      </c>
      <c r="K7" s="81" t="s">
        <v>1177</v>
      </c>
      <c r="L7" s="83" t="s">
        <v>1165</v>
      </c>
      <c r="M7" s="81" t="s">
        <v>1165</v>
      </c>
    </row>
    <row r="8" spans="1:13" ht="25.15" customHeight="1" x14ac:dyDescent="0.25">
      <c r="A8" s="81">
        <f>IF($B8="","",COUNTA($B$4:$B8))</f>
        <v>5</v>
      </c>
      <c r="B8" s="82" t="s">
        <v>1178</v>
      </c>
      <c r="C8" s="81" t="s">
        <v>1179</v>
      </c>
      <c r="D8" s="83" t="s">
        <v>820</v>
      </c>
      <c r="E8" s="82" t="s">
        <v>1180</v>
      </c>
      <c r="F8" s="83" t="s">
        <v>1181</v>
      </c>
      <c r="G8" s="81">
        <v>6</v>
      </c>
      <c r="H8" s="81" t="s">
        <v>1161</v>
      </c>
      <c r="I8" s="81" t="s">
        <v>1162</v>
      </c>
      <c r="J8" s="81" t="s">
        <v>1165</v>
      </c>
      <c r="K8" s="81" t="s">
        <v>1182</v>
      </c>
      <c r="L8" s="83" t="s">
        <v>1183</v>
      </c>
      <c r="M8" s="81" t="s">
        <v>1165</v>
      </c>
    </row>
    <row r="9" spans="1:13" ht="25.15" customHeight="1" x14ac:dyDescent="0.25">
      <c r="A9" s="81">
        <f>IF($B9="","",COUNTA($B$4:$B9))</f>
        <v>6</v>
      </c>
      <c r="B9" s="82" t="s">
        <v>1184</v>
      </c>
      <c r="C9" s="81" t="s">
        <v>1185</v>
      </c>
      <c r="D9" s="83" t="s">
        <v>939</v>
      </c>
      <c r="E9" s="82" t="s">
        <v>1186</v>
      </c>
      <c r="F9" s="83" t="s">
        <v>1187</v>
      </c>
      <c r="G9" s="81">
        <v>1</v>
      </c>
      <c r="H9" s="81" t="s">
        <v>1161</v>
      </c>
      <c r="I9" s="81" t="s">
        <v>1162</v>
      </c>
      <c r="J9" s="81" t="s">
        <v>1165</v>
      </c>
      <c r="K9" s="81" t="s">
        <v>1188</v>
      </c>
      <c r="L9" s="83" t="s">
        <v>1165</v>
      </c>
      <c r="M9" s="81" t="s">
        <v>1165</v>
      </c>
    </row>
    <row r="10" spans="1:13" ht="25.15" customHeight="1" x14ac:dyDescent="0.25">
      <c r="A10" s="81">
        <f>IF($B10="","",COUNTA($B$4:$B10))</f>
        <v>7</v>
      </c>
      <c r="B10" s="82" t="s">
        <v>1189</v>
      </c>
      <c r="C10" s="81" t="s">
        <v>1190</v>
      </c>
      <c r="D10" s="83" t="s">
        <v>792</v>
      </c>
      <c r="E10" s="82" t="s">
        <v>1191</v>
      </c>
      <c r="F10" s="83" t="s">
        <v>1192</v>
      </c>
      <c r="G10" s="81">
        <v>2</v>
      </c>
      <c r="H10" s="81" t="s">
        <v>1161</v>
      </c>
      <c r="I10" s="81" t="s">
        <v>1162</v>
      </c>
      <c r="J10" s="81" t="s">
        <v>1163</v>
      </c>
      <c r="K10" s="81" t="s">
        <v>1193</v>
      </c>
      <c r="L10" s="83" t="s">
        <v>1194</v>
      </c>
      <c r="M10" s="81" t="s">
        <v>1165</v>
      </c>
    </row>
    <row r="11" spans="1:13" ht="25.15" customHeight="1" x14ac:dyDescent="0.25">
      <c r="A11" s="81">
        <f>IF($B11="","",COUNTA($B$4:$B11))</f>
        <v>8</v>
      </c>
      <c r="B11" s="82" t="s">
        <v>1195</v>
      </c>
      <c r="C11" s="81" t="s">
        <v>1196</v>
      </c>
      <c r="D11" s="83" t="s">
        <v>779</v>
      </c>
      <c r="E11" s="82" t="s">
        <v>1191</v>
      </c>
      <c r="F11" s="83" t="s">
        <v>1192</v>
      </c>
      <c r="G11" s="81">
        <v>1</v>
      </c>
      <c r="H11" s="81" t="s">
        <v>1161</v>
      </c>
      <c r="I11" s="81" t="s">
        <v>1162</v>
      </c>
      <c r="J11" s="81" t="s">
        <v>1163</v>
      </c>
      <c r="K11" s="81" t="s">
        <v>1193</v>
      </c>
      <c r="L11" s="83" t="s">
        <v>1194</v>
      </c>
      <c r="M11" s="81" t="s">
        <v>1165</v>
      </c>
    </row>
    <row r="12" spans="1:13" ht="25.15" customHeight="1" x14ac:dyDescent="0.25">
      <c r="A12" s="81">
        <f>IF($B12="","",COUNTA($B$4:$B12))</f>
        <v>9</v>
      </c>
      <c r="B12" s="82" t="s">
        <v>1197</v>
      </c>
      <c r="C12" s="81" t="s">
        <v>1198</v>
      </c>
      <c r="D12" s="83" t="s">
        <v>799</v>
      </c>
      <c r="E12" s="82" t="s">
        <v>1199</v>
      </c>
      <c r="F12" s="83" t="s">
        <v>1200</v>
      </c>
      <c r="G12" s="81">
        <v>72</v>
      </c>
      <c r="H12" s="81" t="s">
        <v>1161</v>
      </c>
      <c r="I12" s="81" t="s">
        <v>1201</v>
      </c>
      <c r="J12" s="81" t="s">
        <v>1165</v>
      </c>
      <c r="K12" s="81" t="s">
        <v>1202</v>
      </c>
      <c r="L12" s="83" t="s">
        <v>1165</v>
      </c>
      <c r="M12" s="81" t="s">
        <v>1203</v>
      </c>
    </row>
    <row r="13" spans="1:13" ht="25.15" customHeight="1" x14ac:dyDescent="0.25">
      <c r="A13" s="81">
        <f>IF($B13="","",COUNTA($B$4:$B13))</f>
        <v>10</v>
      </c>
      <c r="B13" s="82" t="s">
        <v>1204</v>
      </c>
      <c r="C13" s="81" t="s">
        <v>1205</v>
      </c>
      <c r="D13" s="83" t="s">
        <v>800</v>
      </c>
      <c r="E13" s="82" t="s">
        <v>1199</v>
      </c>
      <c r="F13" s="83" t="s">
        <v>1200</v>
      </c>
      <c r="G13" s="81">
        <v>72</v>
      </c>
      <c r="H13" s="81" t="s">
        <v>1161</v>
      </c>
      <c r="I13" s="81" t="s">
        <v>1201</v>
      </c>
      <c r="J13" s="81" t="s">
        <v>1165</v>
      </c>
      <c r="K13" s="81" t="s">
        <v>1202</v>
      </c>
      <c r="L13" s="83" t="s">
        <v>1165</v>
      </c>
      <c r="M13" s="81" t="s">
        <v>1206</v>
      </c>
    </row>
    <row r="14" spans="1:13" ht="25.15" customHeight="1" x14ac:dyDescent="0.25">
      <c r="A14" s="81">
        <f>IF($B14="","",COUNTA($B$4:$B14))</f>
        <v>11</v>
      </c>
      <c r="B14" s="82" t="s">
        <v>1157</v>
      </c>
      <c r="C14" s="81" t="s">
        <v>1158</v>
      </c>
      <c r="D14" s="83" t="s">
        <v>768</v>
      </c>
      <c r="E14" s="82" t="s">
        <v>1159</v>
      </c>
      <c r="F14" s="83" t="s">
        <v>1160</v>
      </c>
      <c r="G14" s="81">
        <v>3</v>
      </c>
      <c r="H14" s="81" t="s">
        <v>1161</v>
      </c>
      <c r="I14" s="81" t="s">
        <v>1162</v>
      </c>
      <c r="J14" s="81" t="s">
        <v>1163</v>
      </c>
      <c r="K14" s="81" t="s">
        <v>1207</v>
      </c>
      <c r="L14" s="83" t="s">
        <v>1165</v>
      </c>
      <c r="M14" s="81" t="s">
        <v>1165</v>
      </c>
    </row>
    <row r="15" spans="1:13" ht="25.15" customHeight="1" x14ac:dyDescent="0.25">
      <c r="A15" s="81">
        <f>IF($B15="","",COUNTA($B$4:$B15))</f>
        <v>12</v>
      </c>
      <c r="B15" s="82" t="s">
        <v>1208</v>
      </c>
      <c r="C15" s="81" t="s">
        <v>1209</v>
      </c>
      <c r="D15" s="83" t="s">
        <v>1015</v>
      </c>
      <c r="E15" s="82" t="s">
        <v>1180</v>
      </c>
      <c r="F15" s="83" t="s">
        <v>1181</v>
      </c>
      <c r="G15" s="81">
        <v>1</v>
      </c>
      <c r="H15" s="81" t="s">
        <v>1161</v>
      </c>
      <c r="I15" s="81" t="s">
        <v>1162</v>
      </c>
      <c r="J15" s="81" t="s">
        <v>1165</v>
      </c>
      <c r="K15" s="81" t="s">
        <v>1207</v>
      </c>
      <c r="L15" s="83" t="s">
        <v>1165</v>
      </c>
      <c r="M15" s="81" t="s">
        <v>1165</v>
      </c>
    </row>
  </sheetData>
  <autoFilter ref="A3:M185"/>
  <mergeCells count="2">
    <mergeCell ref="A2:M2"/>
    <mergeCell ref="A1:M1"/>
  </mergeCells>
  <conditionalFormatting sqref="A4:M185">
    <cfRule type="expression" dxfId="285" priority="1">
      <formula>$I4="NOT AVAILABLE"</formula>
    </cfRule>
    <cfRule type="expression" dxfId="284" priority="2">
      <formula>$I4="AVAILABLE"</formula>
    </cfRule>
    <cfRule type="expression" dxfId="283" priority="3">
      <formula>$I4="ORDERED"</formula>
    </cfRule>
    <cfRule type="expression" dxfId="282" priority="4">
      <formula>$I4="TRANSFER NEEDED"</formula>
    </cfRule>
    <cfRule type="expression" dxfId="281" priority="5">
      <formula>$I4="ISSUED"</formula>
    </cfRule>
  </conditionalFormatting>
  <conditionalFormatting sqref="I4:I185">
    <cfRule type="expression" dxfId="280" priority="11">
      <formula>$I4="NOT AVAILABLE"</formula>
    </cfRule>
  </conditionalFormatting>
  <dataValidations count="1">
    <dataValidation type="list" allowBlank="1" sqref="I4:I185">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5" x14ac:dyDescent="0.2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x14ac:dyDescent="0.25">
      <c r="A1" s="198"/>
      <c r="B1" s="152"/>
      <c r="C1" s="152"/>
      <c r="D1" s="211" t="s">
        <v>1210</v>
      </c>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200" t="str">
        <f>"O.O.S  "&amp;TEXT(DASHBOARD!$M$1-1,"DD-MMM")&amp;"      B.I.S  "&amp;TEXT(DASHBOARD!$M$2,"DD-MMM")&amp;"      GROUND TIME  "&amp;(DASHBOARD!$M$2-DASHBOARD!$M$1+1)&amp;" DAYS"</f>
        <v>O.O.S  17-Jul      B.I.S  24-Aug      GROUND TIME  38 DAYS</v>
      </c>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52"/>
      <c r="DR1" s="152"/>
      <c r="DS1" s="152"/>
      <c r="DT1" s="152"/>
      <c r="DU1" s="152"/>
      <c r="DV1" s="152"/>
      <c r="DW1" s="152"/>
      <c r="DX1" s="152"/>
      <c r="DY1" s="152"/>
      <c r="DZ1" s="152"/>
      <c r="EA1" s="152"/>
      <c r="EB1" s="152"/>
      <c r="EC1" s="152"/>
      <c r="ED1" s="152"/>
      <c r="EE1" s="152"/>
      <c r="EF1" s="152"/>
      <c r="EG1" s="152"/>
      <c r="EH1" s="152"/>
      <c r="EI1" s="152"/>
      <c r="EJ1" s="152"/>
      <c r="EK1" s="152"/>
      <c r="EL1" s="152"/>
      <c r="EM1" s="152"/>
      <c r="EN1" s="152"/>
      <c r="EO1" s="152"/>
      <c r="EP1" s="152"/>
      <c r="EQ1" s="152"/>
      <c r="ER1" s="152"/>
      <c r="ES1" s="152"/>
      <c r="ET1" s="152"/>
      <c r="EU1" s="152"/>
      <c r="EV1" s="152"/>
      <c r="EW1" s="152"/>
    </row>
    <row r="2" spans="1:153" ht="19.899999999999999" customHeight="1" x14ac:dyDescent="0.25">
      <c r="A2" s="152"/>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2"/>
      <c r="DN2" s="152"/>
      <c r="DO2" s="152"/>
      <c r="DP2" s="152"/>
      <c r="DQ2" s="152"/>
      <c r="DR2" s="152"/>
      <c r="DS2" s="152"/>
      <c r="DT2" s="152"/>
      <c r="DU2" s="152"/>
      <c r="DV2" s="152"/>
      <c r="DW2" s="152"/>
      <c r="DX2" s="152"/>
      <c r="DY2" s="152"/>
      <c r="DZ2" s="152"/>
      <c r="EA2" s="152"/>
      <c r="EB2" s="152"/>
      <c r="EC2" s="152"/>
      <c r="ED2" s="152"/>
      <c r="EE2" s="152"/>
      <c r="EF2" s="152"/>
      <c r="EG2" s="152"/>
      <c r="EH2" s="152"/>
      <c r="EI2" s="152"/>
      <c r="EJ2" s="152"/>
      <c r="EK2" s="152"/>
      <c r="EL2" s="152"/>
      <c r="EM2" s="152"/>
      <c r="EN2" s="152"/>
      <c r="EO2" s="152"/>
      <c r="EP2" s="152"/>
      <c r="EQ2" s="152"/>
      <c r="ER2" s="152"/>
      <c r="ES2" s="152"/>
      <c r="ET2" s="152"/>
      <c r="EU2" s="152"/>
      <c r="EV2" s="152"/>
      <c r="EW2" s="152"/>
    </row>
    <row r="3" spans="1:153" ht="13.15" customHeight="1" x14ac:dyDescent="0.25">
      <c r="A3" s="205" t="s">
        <v>1211</v>
      </c>
      <c r="B3" s="207" t="s">
        <v>1212</v>
      </c>
      <c r="C3" s="207" t="s">
        <v>1213</v>
      </c>
      <c r="D3" s="193" t="str">
        <f>IF(DASHBOARD!$M$2-DASHBOARD!$M$1&gt;=0,"Day "&amp;1,"")</f>
        <v>Day 1</v>
      </c>
      <c r="E3" s="152"/>
      <c r="F3" s="152"/>
      <c r="G3" s="193" t="str">
        <f>IF(DASHBOARD!$M$2-DASHBOARD!$M$1&gt;=1,"Day "&amp;2,"")</f>
        <v>Day 2</v>
      </c>
      <c r="H3" s="152"/>
      <c r="I3" s="152"/>
      <c r="J3" s="193" t="str">
        <f>IF(DASHBOARD!$M$2-DASHBOARD!$M$1&gt;=2,"Day "&amp;3,"")</f>
        <v>Day 3</v>
      </c>
      <c r="K3" s="152"/>
      <c r="L3" s="152"/>
      <c r="M3" s="193" t="str">
        <f>IF(DASHBOARD!$M$2-DASHBOARD!$M$1&gt;=3,"Day "&amp;4,"")</f>
        <v>Day 4</v>
      </c>
      <c r="N3" s="152"/>
      <c r="O3" s="152"/>
      <c r="P3" s="193" t="str">
        <f>IF(DASHBOARD!$M$2-DASHBOARD!$M$1&gt;=4,"Day "&amp;5,"")</f>
        <v>Day 5</v>
      </c>
      <c r="Q3" s="152"/>
      <c r="R3" s="152"/>
      <c r="S3" s="193" t="str">
        <f>IF(DASHBOARD!$M$2-DASHBOARD!$M$1&gt;=5,"Day "&amp;6,"")</f>
        <v>Day 6</v>
      </c>
      <c r="T3" s="152"/>
      <c r="U3" s="152"/>
      <c r="V3" s="193" t="str">
        <f>IF(DASHBOARD!$M$2-DASHBOARD!$M$1&gt;=6,"Day "&amp;7,"")</f>
        <v>Day 7</v>
      </c>
      <c r="W3" s="152"/>
      <c r="X3" s="152"/>
      <c r="Y3" s="193" t="str">
        <f>IF(DASHBOARD!$M$2-DASHBOARD!$M$1&gt;=7,"Day "&amp;8,"")</f>
        <v>Day 8</v>
      </c>
      <c r="Z3" s="152"/>
      <c r="AA3" s="152"/>
      <c r="AB3" s="193" t="str">
        <f>IF(DASHBOARD!$M$2-DASHBOARD!$M$1&gt;=8,"Day "&amp;9,"")</f>
        <v>Day 9</v>
      </c>
      <c r="AC3" s="152"/>
      <c r="AD3" s="152"/>
      <c r="AE3" s="193" t="str">
        <f>IF(DASHBOARD!$M$2-DASHBOARD!$M$1&gt;=9,"Day "&amp;10,"")</f>
        <v>Day 10</v>
      </c>
      <c r="AF3" s="152"/>
      <c r="AG3" s="152"/>
      <c r="AH3" s="193" t="str">
        <f>IF(DASHBOARD!$M$2-DASHBOARD!$M$1&gt;=10,"Day "&amp;11,"")</f>
        <v>Day 11</v>
      </c>
      <c r="AI3" s="152"/>
      <c r="AJ3" s="152"/>
      <c r="AK3" s="193" t="str">
        <f>IF(DASHBOARD!$M$2-DASHBOARD!$M$1&gt;=11,"Day "&amp;12,"")</f>
        <v>Day 12</v>
      </c>
      <c r="AL3" s="152"/>
      <c r="AM3" s="152"/>
      <c r="AN3" s="193" t="str">
        <f>IF(DASHBOARD!$M$2-DASHBOARD!$M$1&gt;=12,"Day "&amp;13,"")</f>
        <v>Day 13</v>
      </c>
      <c r="AO3" s="152"/>
      <c r="AP3" s="152"/>
      <c r="AQ3" s="193" t="str">
        <f>IF(DASHBOARD!$M$2-DASHBOARD!$M$1&gt;=13,"Day "&amp;14,"")</f>
        <v>Day 14</v>
      </c>
      <c r="AR3" s="152"/>
      <c r="AS3" s="152"/>
      <c r="AT3" s="193" t="str">
        <f>IF(DASHBOARD!$M$2-DASHBOARD!$M$1&gt;=14,"Day "&amp;15,"")</f>
        <v>Day 15</v>
      </c>
      <c r="AU3" s="152"/>
      <c r="AV3" s="152"/>
      <c r="AW3" s="193" t="str">
        <f>IF(DASHBOARD!$M$2-DASHBOARD!$M$1&gt;=15,"Day "&amp;16,"")</f>
        <v>Day 16</v>
      </c>
      <c r="AX3" s="152"/>
      <c r="AY3" s="152"/>
      <c r="AZ3" s="193" t="str">
        <f>IF(DASHBOARD!$M$2-DASHBOARD!$M$1&gt;=16,"Day "&amp;17,"")</f>
        <v>Day 17</v>
      </c>
      <c r="BA3" s="152"/>
      <c r="BB3" s="152"/>
      <c r="BC3" s="193" t="str">
        <f>IF(DASHBOARD!$M$2-DASHBOARD!$M$1&gt;=17,"Day "&amp;18,"")</f>
        <v>Day 18</v>
      </c>
      <c r="BD3" s="152"/>
      <c r="BE3" s="152"/>
      <c r="BF3" s="193" t="str">
        <f>IF(DASHBOARD!$M$2-DASHBOARD!$M$1&gt;=18,"Day "&amp;19,"")</f>
        <v>Day 19</v>
      </c>
      <c r="BG3" s="152"/>
      <c r="BH3" s="152"/>
      <c r="BI3" s="193" t="str">
        <f>IF(DASHBOARD!$M$2-DASHBOARD!$M$1&gt;=19,"Day "&amp;20,"")</f>
        <v>Day 20</v>
      </c>
      <c r="BJ3" s="152"/>
      <c r="BK3" s="152"/>
      <c r="BL3" s="193" t="str">
        <f>IF(DASHBOARD!$M$2-DASHBOARD!$M$1&gt;=20,"Day "&amp;21,"")</f>
        <v>Day 21</v>
      </c>
      <c r="BM3" s="152"/>
      <c r="BN3" s="152"/>
      <c r="BO3" s="193" t="str">
        <f>IF(DASHBOARD!$M$2-DASHBOARD!$M$1&gt;=21,"Day "&amp;22,"")</f>
        <v>Day 22</v>
      </c>
      <c r="BP3" s="152"/>
      <c r="BQ3" s="152"/>
      <c r="BR3" s="193" t="str">
        <f>IF(DASHBOARD!$M$2-DASHBOARD!$M$1&gt;=22,"Day "&amp;23,"")</f>
        <v>Day 23</v>
      </c>
      <c r="BS3" s="152"/>
      <c r="BT3" s="152"/>
      <c r="BU3" s="193" t="str">
        <f>IF(DASHBOARD!$M$2-DASHBOARD!$M$1&gt;=23,"Day "&amp;24,"")</f>
        <v>Day 24</v>
      </c>
      <c r="BV3" s="152"/>
      <c r="BW3" s="152"/>
      <c r="BX3" s="193" t="str">
        <f>IF(DASHBOARD!$M$2-DASHBOARD!$M$1&gt;=24,"Day "&amp;25,"")</f>
        <v>Day 25</v>
      </c>
      <c r="BY3" s="152"/>
      <c r="BZ3" s="152"/>
      <c r="CA3" s="193" t="str">
        <f>IF(DASHBOARD!$M$2-DASHBOARD!$M$1&gt;=25,"Day "&amp;26,"")</f>
        <v>Day 26</v>
      </c>
      <c r="CB3" s="152"/>
      <c r="CC3" s="152"/>
      <c r="CD3" s="193" t="str">
        <f>IF(DASHBOARD!$M$2-DASHBOARD!$M$1&gt;=26,"Day "&amp;27,"")</f>
        <v>Day 27</v>
      </c>
      <c r="CE3" s="152"/>
      <c r="CF3" s="152"/>
      <c r="CG3" s="193" t="str">
        <f>IF(DASHBOARD!$M$2-DASHBOARD!$M$1&gt;=27,"Day "&amp;28,"")</f>
        <v>Day 28</v>
      </c>
      <c r="CH3" s="152"/>
      <c r="CI3" s="152"/>
      <c r="CJ3" s="193" t="str">
        <f>IF(DASHBOARD!$M$2-DASHBOARD!$M$1&gt;=28,"Day "&amp;29,"")</f>
        <v>Day 29</v>
      </c>
      <c r="CK3" s="152"/>
      <c r="CL3" s="152"/>
      <c r="CM3" s="193" t="str">
        <f>IF(DASHBOARD!$M$2-DASHBOARD!$M$1&gt;=29,"Day "&amp;30,"")</f>
        <v>Day 30</v>
      </c>
      <c r="CN3" s="152"/>
      <c r="CO3" s="152"/>
      <c r="CP3" s="193" t="str">
        <f>IF(DASHBOARD!$M$2-DASHBOARD!$M$1&gt;=30,"Day "&amp;31,"")</f>
        <v>Day 31</v>
      </c>
      <c r="CQ3" s="152"/>
      <c r="CR3" s="152"/>
      <c r="CS3" s="193" t="str">
        <f>IF(DASHBOARD!$M$2-DASHBOARD!$M$1&gt;=31,"Day "&amp;32,"")</f>
        <v>Day 32</v>
      </c>
      <c r="CT3" s="152"/>
      <c r="CU3" s="152"/>
      <c r="CV3" s="193" t="str">
        <f>IF(DASHBOARD!$M$2-DASHBOARD!$M$1&gt;=32,"Day "&amp;33,"")</f>
        <v>Day 33</v>
      </c>
      <c r="CW3" s="152"/>
      <c r="CX3" s="152"/>
      <c r="CY3" s="193" t="str">
        <f>IF(DASHBOARD!$M$2-DASHBOARD!$M$1&gt;=33,"Day "&amp;34,"")</f>
        <v>Day 34</v>
      </c>
      <c r="CZ3" s="152"/>
      <c r="DA3" s="152"/>
      <c r="DB3" s="193" t="str">
        <f>IF(DASHBOARD!$M$2-DASHBOARD!$M$1&gt;=34,"Day "&amp;35,"")</f>
        <v>Day 35</v>
      </c>
      <c r="DC3" s="152"/>
      <c r="DD3" s="152"/>
      <c r="DE3" s="193" t="str">
        <f>IF(DASHBOARD!$M$2-DASHBOARD!$M$1&gt;=35,"Day "&amp;36,"")</f>
        <v>Day 36</v>
      </c>
      <c r="DF3" s="152"/>
      <c r="DG3" s="152"/>
      <c r="DH3" s="193" t="str">
        <f>IF(DASHBOARD!$M$2-DASHBOARD!$M$1&gt;=36,"Day "&amp;37,"")</f>
        <v>Day 37</v>
      </c>
      <c r="DI3" s="152"/>
      <c r="DJ3" s="152"/>
      <c r="DK3" s="193" t="str">
        <f>IF(DASHBOARD!$M$2-DASHBOARD!$M$1&gt;=37,"Day "&amp;38,"")</f>
        <v>Day 38</v>
      </c>
      <c r="DL3" s="152"/>
      <c r="DM3" s="152"/>
      <c r="DN3" s="193" t="str">
        <f>IF(DASHBOARD!$M$2-DASHBOARD!$M$1&gt;=38,"Day "&amp;39,"")</f>
        <v/>
      </c>
      <c r="DO3" s="152"/>
      <c r="DP3" s="152"/>
      <c r="DQ3" s="193" t="str">
        <f>IF(DASHBOARD!$M$2-DASHBOARD!$M$1&gt;=39,"Day "&amp;40,"")</f>
        <v/>
      </c>
      <c r="DR3" s="152"/>
      <c r="DS3" s="152"/>
      <c r="DT3" s="193" t="str">
        <f>IF(DASHBOARD!$M$2-DASHBOARD!$M$1&gt;=40,"Day "&amp;41,"")</f>
        <v/>
      </c>
      <c r="DU3" s="152"/>
      <c r="DV3" s="152"/>
      <c r="DW3" s="193" t="str">
        <f>IF(DASHBOARD!$M$2-DASHBOARD!$M$1&gt;=41,"Day "&amp;42,"")</f>
        <v/>
      </c>
      <c r="DX3" s="152"/>
      <c r="DY3" s="152"/>
      <c r="DZ3" s="193" t="str">
        <f>IF(DASHBOARD!$M$2-DASHBOARD!$M$1&gt;=42,"Day "&amp;43,"")</f>
        <v/>
      </c>
      <c r="EA3" s="152"/>
      <c r="EB3" s="152"/>
      <c r="EC3" s="193" t="str">
        <f>IF(DASHBOARD!$M$2-DASHBOARD!$M$1&gt;=43,"Day "&amp;44,"")</f>
        <v/>
      </c>
      <c r="ED3" s="152"/>
      <c r="EE3" s="152"/>
      <c r="EF3" s="193" t="str">
        <f>IF(DASHBOARD!$M$2-DASHBOARD!$M$1&gt;=44,"Day "&amp;45,"")</f>
        <v/>
      </c>
      <c r="EG3" s="152"/>
      <c r="EH3" s="152"/>
      <c r="EI3" s="193" t="str">
        <f>IF(DASHBOARD!$M$2-DASHBOARD!$M$1&gt;=45,"Day "&amp;46,"")</f>
        <v/>
      </c>
      <c r="EJ3" s="152"/>
      <c r="EK3" s="152"/>
      <c r="EL3" s="193" t="str">
        <f>IF(DASHBOARD!$M$2-DASHBOARD!$M$1&gt;=46,"Day "&amp;47,"")</f>
        <v/>
      </c>
      <c r="EM3" s="152"/>
      <c r="EN3" s="152"/>
      <c r="EO3" s="193" t="str">
        <f>IF(DASHBOARD!$M$2-DASHBOARD!$M$1&gt;=47,"Day "&amp;48,"")</f>
        <v/>
      </c>
      <c r="EP3" s="152"/>
      <c r="EQ3" s="152"/>
      <c r="ER3" s="193" t="str">
        <f>IF(DASHBOARD!$M$2-DASHBOARD!$M$1&gt;=48,"Day "&amp;49,"")</f>
        <v/>
      </c>
      <c r="ES3" s="152"/>
      <c r="ET3" s="152"/>
      <c r="EU3" s="193" t="str">
        <f>IF(DASHBOARD!$M$2-DASHBOARD!$M$1&gt;=49,"Day "&amp;50,"")</f>
        <v/>
      </c>
      <c r="EV3" s="152"/>
      <c r="EW3" s="152"/>
    </row>
    <row r="4" spans="1:153" ht="15" customHeight="1" x14ac:dyDescent="0.25">
      <c r="A4" s="152"/>
      <c r="B4" s="208"/>
      <c r="C4" s="208"/>
      <c r="D4" s="199">
        <f>IF(DASHBOARD!$M$2-DASHBOARD!$M$1&gt;=0,DASHBOARD!$M$1+0,"")</f>
        <v>46221</v>
      </c>
      <c r="E4" s="152"/>
      <c r="F4" s="152"/>
      <c r="G4" s="199">
        <f>IF(DASHBOARD!$M$2-DASHBOARD!$M$1&gt;=1,DASHBOARD!$M$1+1,"")</f>
        <v>46222</v>
      </c>
      <c r="H4" s="152"/>
      <c r="I4" s="152"/>
      <c r="J4" s="199">
        <f>IF(DASHBOARD!$M$2-DASHBOARD!$M$1&gt;=2,DASHBOARD!$M$1+2,"")</f>
        <v>46223</v>
      </c>
      <c r="K4" s="152"/>
      <c r="L4" s="152"/>
      <c r="M4" s="199">
        <f>IF(DASHBOARD!$M$2-DASHBOARD!$M$1&gt;=3,DASHBOARD!$M$1+3,"")</f>
        <v>46224</v>
      </c>
      <c r="N4" s="152"/>
      <c r="O4" s="152"/>
      <c r="P4" s="199">
        <f>IF(DASHBOARD!$M$2-DASHBOARD!$M$1&gt;=4,DASHBOARD!$M$1+4,"")</f>
        <v>46225</v>
      </c>
      <c r="Q4" s="152"/>
      <c r="R4" s="152"/>
      <c r="S4" s="199">
        <f>IF(DASHBOARD!$M$2-DASHBOARD!$M$1&gt;=5,DASHBOARD!$M$1+5,"")</f>
        <v>46226</v>
      </c>
      <c r="T4" s="152"/>
      <c r="U4" s="152"/>
      <c r="V4" s="199">
        <f>IF(DASHBOARD!$M$2-DASHBOARD!$M$1&gt;=6,DASHBOARD!$M$1+6,"")</f>
        <v>46227</v>
      </c>
      <c r="W4" s="152"/>
      <c r="X4" s="152"/>
      <c r="Y4" s="199">
        <f>IF(DASHBOARD!$M$2-DASHBOARD!$M$1&gt;=7,DASHBOARD!$M$1+7,"")</f>
        <v>46228</v>
      </c>
      <c r="Z4" s="152"/>
      <c r="AA4" s="152"/>
      <c r="AB4" s="199">
        <f>IF(DASHBOARD!$M$2-DASHBOARD!$M$1&gt;=8,DASHBOARD!$M$1+8,"")</f>
        <v>46229</v>
      </c>
      <c r="AC4" s="152"/>
      <c r="AD4" s="152"/>
      <c r="AE4" s="199">
        <f>IF(DASHBOARD!$M$2-DASHBOARD!$M$1&gt;=9,DASHBOARD!$M$1+9,"")</f>
        <v>46230</v>
      </c>
      <c r="AF4" s="152"/>
      <c r="AG4" s="152"/>
      <c r="AH4" s="199">
        <f>IF(DASHBOARD!$M$2-DASHBOARD!$M$1&gt;=10,DASHBOARD!$M$1+10,"")</f>
        <v>46231</v>
      </c>
      <c r="AI4" s="152"/>
      <c r="AJ4" s="152"/>
      <c r="AK4" s="199">
        <f>IF(DASHBOARD!$M$2-DASHBOARD!$M$1&gt;=11,DASHBOARD!$M$1+11,"")</f>
        <v>46232</v>
      </c>
      <c r="AL4" s="152"/>
      <c r="AM4" s="152"/>
      <c r="AN4" s="199">
        <f>IF(DASHBOARD!$M$2-DASHBOARD!$M$1&gt;=12,DASHBOARD!$M$1+12,"")</f>
        <v>46233</v>
      </c>
      <c r="AO4" s="152"/>
      <c r="AP4" s="152"/>
      <c r="AQ4" s="199">
        <f>IF(DASHBOARD!$M$2-DASHBOARD!$M$1&gt;=13,DASHBOARD!$M$1+13,"")</f>
        <v>46234</v>
      </c>
      <c r="AR4" s="152"/>
      <c r="AS4" s="152"/>
      <c r="AT4" s="199">
        <f>IF(DASHBOARD!$M$2-DASHBOARD!$M$1&gt;=14,DASHBOARD!$M$1+14,"")</f>
        <v>46235</v>
      </c>
      <c r="AU4" s="152"/>
      <c r="AV4" s="152"/>
      <c r="AW4" s="199">
        <f>IF(DASHBOARD!$M$2-DASHBOARD!$M$1&gt;=15,DASHBOARD!$M$1+15,"")</f>
        <v>46236</v>
      </c>
      <c r="AX4" s="152"/>
      <c r="AY4" s="152"/>
      <c r="AZ4" s="199">
        <f>IF(DASHBOARD!$M$2-DASHBOARD!$M$1&gt;=16,DASHBOARD!$M$1+16,"")</f>
        <v>46237</v>
      </c>
      <c r="BA4" s="152"/>
      <c r="BB4" s="152"/>
      <c r="BC4" s="199">
        <f>IF(DASHBOARD!$M$2-DASHBOARD!$M$1&gt;=17,DASHBOARD!$M$1+17,"")</f>
        <v>46238</v>
      </c>
      <c r="BD4" s="152"/>
      <c r="BE4" s="152"/>
      <c r="BF4" s="199">
        <f>IF(DASHBOARD!$M$2-DASHBOARD!$M$1&gt;=18,DASHBOARD!$M$1+18,"")</f>
        <v>46239</v>
      </c>
      <c r="BG4" s="152"/>
      <c r="BH4" s="152"/>
      <c r="BI4" s="199">
        <f>IF(DASHBOARD!$M$2-DASHBOARD!$M$1&gt;=19,DASHBOARD!$M$1+19,"")</f>
        <v>46240</v>
      </c>
      <c r="BJ4" s="152"/>
      <c r="BK4" s="152"/>
      <c r="BL4" s="199">
        <f>IF(DASHBOARD!$M$2-DASHBOARD!$M$1&gt;=20,DASHBOARD!$M$1+20,"")</f>
        <v>46241</v>
      </c>
      <c r="BM4" s="152"/>
      <c r="BN4" s="152"/>
      <c r="BO4" s="199">
        <f>IF(DASHBOARD!$M$2-DASHBOARD!$M$1&gt;=21,DASHBOARD!$M$1+21,"")</f>
        <v>46242</v>
      </c>
      <c r="BP4" s="152"/>
      <c r="BQ4" s="152"/>
      <c r="BR4" s="199">
        <f>IF(DASHBOARD!$M$2-DASHBOARD!$M$1&gt;=22,DASHBOARD!$M$1+22,"")</f>
        <v>46243</v>
      </c>
      <c r="BS4" s="152"/>
      <c r="BT4" s="152"/>
      <c r="BU4" s="199">
        <f>IF(DASHBOARD!$M$2-DASHBOARD!$M$1&gt;=23,DASHBOARD!$M$1+23,"")</f>
        <v>46244</v>
      </c>
      <c r="BV4" s="152"/>
      <c r="BW4" s="152"/>
      <c r="BX4" s="199">
        <f>IF(DASHBOARD!$M$2-DASHBOARD!$M$1&gt;=24,DASHBOARD!$M$1+24,"")</f>
        <v>46245</v>
      </c>
      <c r="BY4" s="152"/>
      <c r="BZ4" s="152"/>
      <c r="CA4" s="199">
        <f>IF(DASHBOARD!$M$2-DASHBOARD!$M$1&gt;=25,DASHBOARD!$M$1+25,"")</f>
        <v>46246</v>
      </c>
      <c r="CB4" s="152"/>
      <c r="CC4" s="152"/>
      <c r="CD4" s="199">
        <f>IF(DASHBOARD!$M$2-DASHBOARD!$M$1&gt;=26,DASHBOARD!$M$1+26,"")</f>
        <v>46247</v>
      </c>
      <c r="CE4" s="152"/>
      <c r="CF4" s="152"/>
      <c r="CG4" s="199">
        <f>IF(DASHBOARD!$M$2-DASHBOARD!$M$1&gt;=27,DASHBOARD!$M$1+27,"")</f>
        <v>46248</v>
      </c>
      <c r="CH4" s="152"/>
      <c r="CI4" s="152"/>
      <c r="CJ4" s="199">
        <f>IF(DASHBOARD!$M$2-DASHBOARD!$M$1&gt;=28,DASHBOARD!$M$1+28,"")</f>
        <v>46249</v>
      </c>
      <c r="CK4" s="152"/>
      <c r="CL4" s="152"/>
      <c r="CM4" s="199">
        <f>IF(DASHBOARD!$M$2-DASHBOARD!$M$1&gt;=29,DASHBOARD!$M$1+29,"")</f>
        <v>46250</v>
      </c>
      <c r="CN4" s="152"/>
      <c r="CO4" s="152"/>
      <c r="CP4" s="199">
        <f>IF(DASHBOARD!$M$2-DASHBOARD!$M$1&gt;=30,DASHBOARD!$M$1+30,"")</f>
        <v>46251</v>
      </c>
      <c r="CQ4" s="152"/>
      <c r="CR4" s="152"/>
      <c r="CS4" s="199">
        <f>IF(DASHBOARD!$M$2-DASHBOARD!$M$1&gt;=31,DASHBOARD!$M$1+31,"")</f>
        <v>46252</v>
      </c>
      <c r="CT4" s="152"/>
      <c r="CU4" s="152"/>
      <c r="CV4" s="199">
        <f>IF(DASHBOARD!$M$2-DASHBOARD!$M$1&gt;=32,DASHBOARD!$M$1+32,"")</f>
        <v>46253</v>
      </c>
      <c r="CW4" s="152"/>
      <c r="CX4" s="152"/>
      <c r="CY4" s="199">
        <f>IF(DASHBOARD!$M$2-DASHBOARD!$M$1&gt;=33,DASHBOARD!$M$1+33,"")</f>
        <v>46254</v>
      </c>
      <c r="CZ4" s="152"/>
      <c r="DA4" s="152"/>
      <c r="DB4" s="199">
        <f>IF(DASHBOARD!$M$2-DASHBOARD!$M$1&gt;=34,DASHBOARD!$M$1+34,"")</f>
        <v>46255</v>
      </c>
      <c r="DC4" s="152"/>
      <c r="DD4" s="152"/>
      <c r="DE4" s="199">
        <f>IF(DASHBOARD!$M$2-DASHBOARD!$M$1&gt;=35,DASHBOARD!$M$1+35,"")</f>
        <v>46256</v>
      </c>
      <c r="DF4" s="152"/>
      <c r="DG4" s="152"/>
      <c r="DH4" s="199">
        <f>IF(DASHBOARD!$M$2-DASHBOARD!$M$1&gt;=36,DASHBOARD!$M$1+36,"")</f>
        <v>46257</v>
      </c>
      <c r="DI4" s="152"/>
      <c r="DJ4" s="152"/>
      <c r="DK4" s="199">
        <f>IF(DASHBOARD!$M$2-DASHBOARD!$M$1&gt;=37,DASHBOARD!$M$1+37,"")</f>
        <v>46258</v>
      </c>
      <c r="DL4" s="152"/>
      <c r="DM4" s="152"/>
      <c r="DN4" s="199" t="str">
        <f>IF(DASHBOARD!$M$2-DASHBOARD!$M$1&gt;=38,DASHBOARD!$M$1+38,"")</f>
        <v/>
      </c>
      <c r="DO4" s="152"/>
      <c r="DP4" s="152"/>
      <c r="DQ4" s="199" t="str">
        <f>IF(DASHBOARD!$M$2-DASHBOARD!$M$1&gt;=39,DASHBOARD!$M$1+39,"")</f>
        <v/>
      </c>
      <c r="DR4" s="152"/>
      <c r="DS4" s="152"/>
      <c r="DT4" s="199" t="str">
        <f>IF(DASHBOARD!$M$2-DASHBOARD!$M$1&gt;=40,DASHBOARD!$M$1+40,"")</f>
        <v/>
      </c>
      <c r="DU4" s="152"/>
      <c r="DV4" s="152"/>
      <c r="DW4" s="199" t="str">
        <f>IF(DASHBOARD!$M$2-DASHBOARD!$M$1&gt;=41,DASHBOARD!$M$1+41,"")</f>
        <v/>
      </c>
      <c r="DX4" s="152"/>
      <c r="DY4" s="152"/>
      <c r="DZ4" s="199" t="str">
        <f>IF(DASHBOARD!$M$2-DASHBOARD!$M$1&gt;=42,DASHBOARD!$M$1+42,"")</f>
        <v/>
      </c>
      <c r="EA4" s="152"/>
      <c r="EB4" s="152"/>
      <c r="EC4" s="199" t="str">
        <f>IF(DASHBOARD!$M$2-DASHBOARD!$M$1&gt;=43,DASHBOARD!$M$1+43,"")</f>
        <v/>
      </c>
      <c r="ED4" s="152"/>
      <c r="EE4" s="152"/>
      <c r="EF4" s="199" t="str">
        <f>IF(DASHBOARD!$M$2-DASHBOARD!$M$1&gt;=44,DASHBOARD!$M$1+44,"")</f>
        <v/>
      </c>
      <c r="EG4" s="152"/>
      <c r="EH4" s="152"/>
      <c r="EI4" s="199" t="str">
        <f>IF(DASHBOARD!$M$2-DASHBOARD!$M$1&gt;=45,DASHBOARD!$M$1+45,"")</f>
        <v/>
      </c>
      <c r="EJ4" s="152"/>
      <c r="EK4" s="152"/>
      <c r="EL4" s="199" t="str">
        <f>IF(DASHBOARD!$M$2-DASHBOARD!$M$1&gt;=46,DASHBOARD!$M$1+46,"")</f>
        <v/>
      </c>
      <c r="EM4" s="152"/>
      <c r="EN4" s="152"/>
      <c r="EO4" s="199" t="str">
        <f>IF(DASHBOARD!$M$2-DASHBOARD!$M$1&gt;=47,DASHBOARD!$M$1+47,"")</f>
        <v/>
      </c>
      <c r="EP4" s="152"/>
      <c r="EQ4" s="152"/>
      <c r="ER4" s="199" t="str">
        <f>IF(DASHBOARD!$M$2-DASHBOARD!$M$1&gt;=48,DASHBOARD!$M$1+48,"")</f>
        <v/>
      </c>
      <c r="ES4" s="152"/>
      <c r="ET4" s="152"/>
      <c r="EU4" s="199" t="str">
        <f>IF(DASHBOARD!$M$2-DASHBOARD!$M$1&gt;=49,DASHBOARD!$M$1+49,"")</f>
        <v/>
      </c>
      <c r="EV4" s="152"/>
      <c r="EW4" s="152"/>
    </row>
    <row r="5" spans="1:153" ht="10.9" customHeight="1" x14ac:dyDescent="0.25">
      <c r="A5" s="152"/>
      <c r="B5" s="208"/>
      <c r="C5" s="208"/>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 customHeight="1" x14ac:dyDescent="0.25">
      <c r="A6" s="194" t="s">
        <v>1214</v>
      </c>
      <c r="B6" s="195"/>
      <c r="C6" s="196"/>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 customHeight="1" x14ac:dyDescent="0.25">
      <c r="A7" s="10" t="s">
        <v>1215</v>
      </c>
      <c r="B7" s="197">
        <v>46221.958333333343</v>
      </c>
      <c r="C7" s="196"/>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 customHeight="1" x14ac:dyDescent="0.25">
      <c r="A8" s="10" t="s">
        <v>1216</v>
      </c>
      <c r="B8" s="197">
        <v>46222.25</v>
      </c>
      <c r="C8" s="196"/>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 hidden="1" customHeight="1" x14ac:dyDescent="0.25">
      <c r="A9" s="10" t="s">
        <v>1217</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 customHeight="1" x14ac:dyDescent="0.25">
      <c r="A10" s="10" t="s">
        <v>1218</v>
      </c>
      <c r="B10" s="80">
        <v>46222.583333333343</v>
      </c>
      <c r="C10" s="80">
        <v>46224</v>
      </c>
      <c r="D10" s="100"/>
      <c r="E10" s="100"/>
      <c r="F10" s="101"/>
      <c r="G10" s="100"/>
      <c r="H10" s="100"/>
      <c r="I10" s="101"/>
      <c r="J10" s="100"/>
      <c r="K10" s="100"/>
      <c r="L10" s="101"/>
      <c r="M10" s="100" t="s">
        <v>1219</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 customHeight="1" x14ac:dyDescent="0.25">
      <c r="A11" s="10" t="s">
        <v>1220</v>
      </c>
      <c r="B11" s="80">
        <v>46222.583333333343</v>
      </c>
      <c r="C11" s="80">
        <v>46224</v>
      </c>
      <c r="D11" s="100"/>
      <c r="E11" s="100"/>
      <c r="F11" s="101"/>
      <c r="G11" s="100"/>
      <c r="H11" s="100"/>
      <c r="I11" s="101"/>
      <c r="J11" s="100"/>
      <c r="K11" s="100"/>
      <c r="L11" s="101"/>
      <c r="M11" s="100" t="s">
        <v>1219</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 customHeight="1" x14ac:dyDescent="0.25">
      <c r="A12" s="10" t="s">
        <v>1221</v>
      </c>
      <c r="B12" s="197">
        <v>46225</v>
      </c>
      <c r="C12" s="196"/>
      <c r="D12" s="100"/>
      <c r="E12" s="100"/>
      <c r="F12" s="101"/>
      <c r="G12" s="100"/>
      <c r="H12" s="100"/>
      <c r="I12" s="101"/>
      <c r="J12" s="100"/>
      <c r="K12" s="100"/>
      <c r="L12" s="101"/>
      <c r="M12" s="100"/>
      <c r="N12" s="100"/>
      <c r="O12" s="101"/>
      <c r="P12" s="100" t="s">
        <v>1222</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 customHeight="1" x14ac:dyDescent="0.25">
      <c r="A13" s="194" t="s">
        <v>1223</v>
      </c>
      <c r="B13" s="195"/>
      <c r="C13" s="196"/>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 customHeight="1" x14ac:dyDescent="0.25">
      <c r="A14" s="10" t="s">
        <v>1224</v>
      </c>
      <c r="B14" s="197">
        <v>46239</v>
      </c>
      <c r="C14" s="196"/>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201">
        <v>46239</v>
      </c>
      <c r="BG14" s="202"/>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 customHeight="1" x14ac:dyDescent="0.25">
      <c r="A15" s="10" t="s">
        <v>1225</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1226</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 customHeight="1" x14ac:dyDescent="0.25">
      <c r="A16" s="10" t="s">
        <v>1227</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1228</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 customHeight="1" x14ac:dyDescent="0.25">
      <c r="A17" s="10" t="s">
        <v>1229</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203" t="s">
        <v>1230</v>
      </c>
      <c r="BG17" s="204"/>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 customHeight="1" x14ac:dyDescent="0.25">
      <c r="A18" s="10" t="s">
        <v>1231</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1232</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 customHeight="1" x14ac:dyDescent="0.25">
      <c r="A19" s="43" t="s">
        <v>1233</v>
      </c>
      <c r="B19" s="210">
        <v>46238</v>
      </c>
      <c r="C19" s="196"/>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 customHeight="1" x14ac:dyDescent="0.25">
      <c r="A20" s="194" t="s">
        <v>1234</v>
      </c>
      <c r="B20" s="195"/>
      <c r="C20" s="196"/>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 customHeight="1" x14ac:dyDescent="0.25">
      <c r="A21" s="10" t="s">
        <v>1235</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1236</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 customHeight="1" x14ac:dyDescent="0.25">
      <c r="A22" s="10" t="s">
        <v>1237</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1238</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 customHeight="1" x14ac:dyDescent="0.25">
      <c r="A23" s="10" t="s">
        <v>1239</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1240</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 hidden="1" customHeight="1" x14ac:dyDescent="0.25">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 customHeight="1" x14ac:dyDescent="0.25">
      <c r="A25" s="43" t="s">
        <v>1241</v>
      </c>
      <c r="B25" s="210">
        <v>46244</v>
      </c>
      <c r="C25" s="196"/>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 customHeight="1" x14ac:dyDescent="0.25">
      <c r="A26" s="194" t="s">
        <v>1242</v>
      </c>
      <c r="B26" s="195"/>
      <c r="C26" s="196"/>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 hidden="1" customHeight="1" x14ac:dyDescent="0.25">
      <c r="A27" s="10" t="s">
        <v>1243</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 customHeight="1" x14ac:dyDescent="0.25">
      <c r="A28" s="10" t="s">
        <v>1244</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1236</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 hidden="1" customHeight="1" x14ac:dyDescent="0.25">
      <c r="A29" s="10" t="s">
        <v>1245</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 hidden="1" customHeight="1" x14ac:dyDescent="0.25">
      <c r="A30" s="10" t="s">
        <v>1246</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 hidden="1" customHeight="1" x14ac:dyDescent="0.25">
      <c r="A31" s="10" t="s">
        <v>1247</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 customHeight="1" x14ac:dyDescent="0.25">
      <c r="A32" s="10" t="s">
        <v>1248</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1236</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 customHeight="1" x14ac:dyDescent="0.25">
      <c r="A33" s="10" t="s">
        <v>1249</v>
      </c>
      <c r="B33" s="197">
        <v>46254</v>
      </c>
      <c r="C33" s="196"/>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1250</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 customHeight="1" x14ac:dyDescent="0.25">
      <c r="A34" s="10" t="s">
        <v>1251</v>
      </c>
      <c r="B34" s="197">
        <v>46255</v>
      </c>
      <c r="C34" s="196"/>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1252</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 customHeight="1" x14ac:dyDescent="0.25">
      <c r="A35" s="10" t="s">
        <v>1253</v>
      </c>
      <c r="B35" s="197">
        <v>46256</v>
      </c>
      <c r="C35" s="196"/>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1254</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 customHeight="1" x14ac:dyDescent="0.25">
      <c r="A36" s="194" t="s">
        <v>1255</v>
      </c>
      <c r="B36" s="195"/>
      <c r="C36" s="196"/>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 customHeight="1" x14ac:dyDescent="0.25">
      <c r="A37" s="10" t="s">
        <v>1256</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1257</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 customHeight="1" x14ac:dyDescent="0.25">
      <c r="A38" s="103" t="s">
        <v>1258</v>
      </c>
      <c r="B38" s="212">
        <v>46258</v>
      </c>
      <c r="C38" s="213"/>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1257</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5" customHeight="1" x14ac:dyDescent="0.25">
      <c r="A40" s="162" t="s">
        <v>1259</v>
      </c>
      <c r="B40" s="152"/>
      <c r="C40" s="152"/>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5" customHeight="1" x14ac:dyDescent="0.25">
      <c r="A41" s="8" t="s">
        <v>1260</v>
      </c>
      <c r="B41" s="206">
        <f>IF($B$19="","",$B$19)</f>
        <v>46238</v>
      </c>
      <c r="C41" s="161"/>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5" customHeight="1" x14ac:dyDescent="0.25">
      <c r="A42" s="9" t="s">
        <v>1261</v>
      </c>
      <c r="B42" s="209">
        <f>IF($B$23="","",$B$23)</f>
        <v>46229</v>
      </c>
      <c r="C42" s="161"/>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5" customHeight="1" x14ac:dyDescent="0.25">
      <c r="A43" s="8" t="s">
        <v>1262</v>
      </c>
      <c r="B43" s="206">
        <f>IF($C$23="","",$C$23)</f>
        <v>46239</v>
      </c>
      <c r="C43" s="161"/>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5" customHeight="1" x14ac:dyDescent="0.25">
      <c r="A44" s="9" t="s">
        <v>1263</v>
      </c>
      <c r="B44" s="209">
        <f>IF($B$18="","",$B$18)</f>
        <v>46229</v>
      </c>
      <c r="C44" s="161"/>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5" customHeight="1" x14ac:dyDescent="0.25">
      <c r="A45" s="8" t="s">
        <v>1264</v>
      </c>
      <c r="B45" s="206">
        <f>IF($C$18="","",$C$18)</f>
        <v>46236</v>
      </c>
      <c r="C45" s="161"/>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5" customHeight="1" x14ac:dyDescent="0.25">
      <c r="A46" s="9" t="s">
        <v>1265</v>
      </c>
      <c r="B46" s="209">
        <f>IF($C$28="","",$C$28)</f>
        <v>46253</v>
      </c>
      <c r="C46" s="161"/>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5" customHeight="1" x14ac:dyDescent="0.25">
      <c r="A47" s="8" t="s">
        <v>1266</v>
      </c>
      <c r="B47" s="206">
        <f>IF($B$37="","",$B$37)</f>
        <v>46257</v>
      </c>
      <c r="C47" s="161"/>
      <c r="D47" s="138">
        <f t="shared" ca="1" si="0"/>
        <v>387420489</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5" customHeight="1" x14ac:dyDescent="0.25">
      <c r="A48" s="9" t="s">
        <v>1267</v>
      </c>
      <c r="B48" s="209">
        <f>IF($B$38="","",$B$38)</f>
        <v>46258</v>
      </c>
      <c r="C48" s="161"/>
      <c r="D48" s="138">
        <f t="shared" ca="1" si="0"/>
        <v>387420489</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x14ac:dyDescent="0.2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25">
      <c r="A1" s="215" t="s">
        <v>1268</v>
      </c>
      <c r="B1" s="152"/>
      <c r="C1" s="152"/>
      <c r="D1" s="152"/>
      <c r="E1" s="152"/>
      <c r="F1" s="152"/>
      <c r="G1" s="152"/>
      <c r="H1" s="152"/>
      <c r="I1" s="152"/>
      <c r="J1" s="152"/>
      <c r="K1" s="152"/>
    </row>
    <row r="2" spans="1:11" ht="16.149999999999999" customHeight="1" thickBot="1" x14ac:dyDescent="0.3">
      <c r="A2" s="214" t="s">
        <v>1269</v>
      </c>
      <c r="B2" s="152"/>
      <c r="C2" s="152"/>
      <c r="D2" s="152"/>
      <c r="E2" s="152"/>
      <c r="F2" s="152"/>
      <c r="G2" s="152"/>
      <c r="H2" s="152"/>
      <c r="I2" s="152"/>
      <c r="J2" s="152"/>
      <c r="K2" s="152"/>
    </row>
    <row r="3" spans="1:11" ht="27.75" customHeight="1" thickBot="1" x14ac:dyDescent="0.3">
      <c r="A3" s="2" t="s">
        <v>1144</v>
      </c>
      <c r="B3" s="2" t="s">
        <v>1270</v>
      </c>
      <c r="C3" s="2" t="s">
        <v>4</v>
      </c>
      <c r="D3" s="2" t="s">
        <v>1271</v>
      </c>
      <c r="E3" s="2" t="s">
        <v>1272</v>
      </c>
      <c r="F3" s="2" t="s">
        <v>9</v>
      </c>
      <c r="G3" s="2" t="s">
        <v>1273</v>
      </c>
      <c r="H3" s="2" t="s">
        <v>1274</v>
      </c>
      <c r="I3" s="2" t="s">
        <v>1275</v>
      </c>
      <c r="J3" s="2" t="s">
        <v>1276</v>
      </c>
      <c r="K3" s="2" t="s">
        <v>1150</v>
      </c>
    </row>
    <row r="4" spans="1:11" ht="48" customHeight="1" x14ac:dyDescent="0.25">
      <c r="A4" s="55">
        <f t="shared" ref="A4:A67" si="0">IF(COUNTA(B4:G4)&gt;0,ROW()-3,"")</f>
        <v>1</v>
      </c>
      <c r="B4" s="56">
        <v>30001575</v>
      </c>
      <c r="C4" s="57" t="s">
        <v>49</v>
      </c>
      <c r="D4" s="58" t="s">
        <v>1277</v>
      </c>
      <c r="E4" s="59" t="s">
        <v>1278</v>
      </c>
      <c r="F4" s="57" t="s">
        <v>1279</v>
      </c>
      <c r="G4" s="139" t="s">
        <v>1280</v>
      </c>
      <c r="H4" s="60" t="s">
        <v>1281</v>
      </c>
      <c r="I4" s="41"/>
      <c r="J4" s="41"/>
      <c r="K4" s="41"/>
    </row>
    <row r="5" spans="1:11" ht="60" customHeight="1" x14ac:dyDescent="0.25">
      <c r="A5" s="55">
        <f t="shared" si="0"/>
        <v>2</v>
      </c>
      <c r="B5" s="61">
        <v>30001575</v>
      </c>
      <c r="C5" s="62" t="s">
        <v>49</v>
      </c>
      <c r="D5" s="63" t="s">
        <v>1282</v>
      </c>
      <c r="E5" s="64" t="s">
        <v>1283</v>
      </c>
      <c r="F5" s="62" t="s">
        <v>1279</v>
      </c>
      <c r="G5" s="139" t="s">
        <v>1284</v>
      </c>
      <c r="H5" s="60" t="s">
        <v>1281</v>
      </c>
      <c r="I5" s="41"/>
      <c r="J5" s="41"/>
      <c r="K5" s="41"/>
    </row>
    <row r="6" spans="1:11" ht="30" customHeight="1" x14ac:dyDescent="0.25">
      <c r="A6" s="55">
        <f t="shared" si="0"/>
        <v>3</v>
      </c>
      <c r="B6" s="61">
        <v>30001575</v>
      </c>
      <c r="C6" s="62" t="s">
        <v>49</v>
      </c>
      <c r="D6" s="63" t="s">
        <v>1285</v>
      </c>
      <c r="E6" s="64" t="s">
        <v>1286</v>
      </c>
      <c r="F6" s="62" t="s">
        <v>1279</v>
      </c>
      <c r="G6" s="139" t="s">
        <v>1287</v>
      </c>
      <c r="H6" s="60" t="s">
        <v>1281</v>
      </c>
      <c r="I6" s="41"/>
      <c r="J6" s="41"/>
      <c r="K6" s="41"/>
    </row>
    <row r="7" spans="1:11" ht="30" customHeight="1" x14ac:dyDescent="0.25">
      <c r="A7" s="55">
        <f t="shared" si="0"/>
        <v>4</v>
      </c>
      <c r="B7" s="61">
        <v>30001575</v>
      </c>
      <c r="C7" s="62" t="s">
        <v>49</v>
      </c>
      <c r="D7" s="63" t="s">
        <v>1288</v>
      </c>
      <c r="E7" s="64" t="s">
        <v>1289</v>
      </c>
      <c r="F7" s="62" t="s">
        <v>1279</v>
      </c>
      <c r="G7" s="139" t="s">
        <v>1290</v>
      </c>
      <c r="H7" s="60" t="s">
        <v>1281</v>
      </c>
      <c r="I7" s="41"/>
      <c r="J7" s="41"/>
      <c r="K7" s="41"/>
    </row>
    <row r="8" spans="1:11" ht="36" customHeight="1" x14ac:dyDescent="0.25">
      <c r="A8" s="55">
        <f t="shared" si="0"/>
        <v>5</v>
      </c>
      <c r="B8" s="61">
        <v>30001575</v>
      </c>
      <c r="C8" s="62" t="s">
        <v>49</v>
      </c>
      <c r="D8" s="63" t="s">
        <v>1291</v>
      </c>
      <c r="E8" s="64" t="s">
        <v>1292</v>
      </c>
      <c r="F8" s="62" t="s">
        <v>1279</v>
      </c>
      <c r="G8" s="139" t="s">
        <v>1293</v>
      </c>
      <c r="H8" s="60" t="s">
        <v>1281</v>
      </c>
      <c r="I8" s="41"/>
      <c r="J8" s="41"/>
      <c r="K8" s="41"/>
    </row>
    <row r="9" spans="1:11" ht="36" customHeight="1" x14ac:dyDescent="0.25">
      <c r="A9" s="55">
        <f t="shared" si="0"/>
        <v>6</v>
      </c>
      <c r="B9" s="61">
        <v>30001575</v>
      </c>
      <c r="C9" s="62" t="s">
        <v>49</v>
      </c>
      <c r="D9" s="63" t="s">
        <v>1294</v>
      </c>
      <c r="E9" s="64" t="s">
        <v>1295</v>
      </c>
      <c r="F9" s="62" t="s">
        <v>1279</v>
      </c>
      <c r="G9" s="139" t="s">
        <v>1296</v>
      </c>
      <c r="H9" s="60" t="s">
        <v>1281</v>
      </c>
      <c r="I9" s="41"/>
      <c r="J9" s="41"/>
      <c r="K9" s="41"/>
    </row>
    <row r="10" spans="1:11" ht="30" customHeight="1" x14ac:dyDescent="0.25">
      <c r="A10" s="55">
        <f t="shared" si="0"/>
        <v>7</v>
      </c>
      <c r="B10" s="61">
        <v>30001575</v>
      </c>
      <c r="C10" s="62" t="s">
        <v>49</v>
      </c>
      <c r="D10" s="63" t="s">
        <v>1297</v>
      </c>
      <c r="E10" s="64" t="s">
        <v>1298</v>
      </c>
      <c r="F10" s="62" t="s">
        <v>1279</v>
      </c>
      <c r="G10" s="139" t="s">
        <v>1299</v>
      </c>
      <c r="H10" s="60" t="s">
        <v>1281</v>
      </c>
      <c r="I10" s="41"/>
      <c r="J10" s="41"/>
      <c r="K10" s="41"/>
    </row>
    <row r="11" spans="1:11" ht="60" customHeight="1" x14ac:dyDescent="0.25">
      <c r="A11" s="55">
        <f t="shared" si="0"/>
        <v>8</v>
      </c>
      <c r="B11" s="61">
        <v>30001575</v>
      </c>
      <c r="C11" s="62" t="s">
        <v>49</v>
      </c>
      <c r="D11" s="63" t="s">
        <v>1300</v>
      </c>
      <c r="E11" s="64" t="s">
        <v>1301</v>
      </c>
      <c r="F11" s="62" t="s">
        <v>1279</v>
      </c>
      <c r="G11" s="139" t="s">
        <v>1302</v>
      </c>
      <c r="H11" s="60" t="s">
        <v>1281</v>
      </c>
      <c r="I11" s="41"/>
      <c r="J11" s="41"/>
      <c r="K11" s="41"/>
    </row>
    <row r="12" spans="1:11" ht="90" customHeight="1" x14ac:dyDescent="0.25">
      <c r="A12" s="55">
        <f t="shared" si="0"/>
        <v>9</v>
      </c>
      <c r="B12" s="61">
        <v>30001575</v>
      </c>
      <c r="C12" s="62" t="s">
        <v>49</v>
      </c>
      <c r="D12" s="63" t="s">
        <v>1303</v>
      </c>
      <c r="E12" s="64" t="s">
        <v>1304</v>
      </c>
      <c r="F12" s="62" t="s">
        <v>1279</v>
      </c>
      <c r="G12" s="139" t="s">
        <v>1305</v>
      </c>
      <c r="H12" s="60" t="s">
        <v>1281</v>
      </c>
      <c r="I12" s="41"/>
      <c r="J12" s="41"/>
      <c r="K12" s="41"/>
    </row>
    <row r="13" spans="1:11" ht="90" customHeight="1" x14ac:dyDescent="0.25">
      <c r="A13" s="55">
        <f t="shared" si="0"/>
        <v>10</v>
      </c>
      <c r="B13" s="61">
        <v>30001575</v>
      </c>
      <c r="C13" s="62" t="s">
        <v>49</v>
      </c>
      <c r="D13" s="63" t="s">
        <v>1303</v>
      </c>
      <c r="E13" s="64" t="s">
        <v>1304</v>
      </c>
      <c r="F13" s="62" t="s">
        <v>1279</v>
      </c>
      <c r="G13" s="139" t="s">
        <v>1306</v>
      </c>
      <c r="H13" s="60" t="s">
        <v>1281</v>
      </c>
      <c r="I13" s="41"/>
      <c r="J13" s="41"/>
      <c r="K13" s="41"/>
    </row>
    <row r="14" spans="1:11" ht="30" customHeight="1" x14ac:dyDescent="0.25">
      <c r="A14" s="55">
        <f t="shared" si="0"/>
        <v>11</v>
      </c>
      <c r="B14" s="61">
        <v>30001575</v>
      </c>
      <c r="C14" s="62" t="s">
        <v>49</v>
      </c>
      <c r="D14" s="63" t="s">
        <v>1307</v>
      </c>
      <c r="E14" s="64" t="s">
        <v>1308</v>
      </c>
      <c r="F14" s="62" t="s">
        <v>1279</v>
      </c>
      <c r="G14" s="139" t="s">
        <v>1309</v>
      </c>
      <c r="H14" s="60" t="s">
        <v>1281</v>
      </c>
      <c r="I14" s="41"/>
      <c r="J14" s="41"/>
      <c r="K14" s="41"/>
    </row>
    <row r="15" spans="1:11" ht="48" customHeight="1" x14ac:dyDescent="0.25">
      <c r="A15" s="55">
        <f t="shared" si="0"/>
        <v>12</v>
      </c>
      <c r="B15" s="61">
        <v>30001575</v>
      </c>
      <c r="C15" s="62" t="s">
        <v>49</v>
      </c>
      <c r="D15" s="63" t="s">
        <v>1300</v>
      </c>
      <c r="E15" s="64" t="s">
        <v>1310</v>
      </c>
      <c r="F15" s="62" t="s">
        <v>1279</v>
      </c>
      <c r="G15" s="139" t="s">
        <v>1311</v>
      </c>
      <c r="H15" s="60" t="s">
        <v>1281</v>
      </c>
      <c r="I15" s="41"/>
      <c r="J15" s="41"/>
      <c r="K15" s="41"/>
    </row>
    <row r="16" spans="1:11" ht="30" customHeight="1" x14ac:dyDescent="0.25">
      <c r="A16" s="55">
        <f t="shared" si="0"/>
        <v>13</v>
      </c>
      <c r="B16" s="61">
        <v>30001575</v>
      </c>
      <c r="C16" s="62" t="s">
        <v>49</v>
      </c>
      <c r="D16" s="63" t="s">
        <v>1307</v>
      </c>
      <c r="E16" s="64" t="s">
        <v>1312</v>
      </c>
      <c r="F16" s="62" t="s">
        <v>1279</v>
      </c>
      <c r="G16" s="139" t="s">
        <v>1313</v>
      </c>
      <c r="H16" s="60" t="s">
        <v>1281</v>
      </c>
      <c r="I16" s="41"/>
      <c r="J16" s="41"/>
      <c r="K16" s="41"/>
    </row>
    <row r="17" spans="1:11" ht="30" customHeight="1" x14ac:dyDescent="0.25">
      <c r="A17" s="55">
        <f t="shared" si="0"/>
        <v>14</v>
      </c>
      <c r="B17" s="61">
        <v>30001575</v>
      </c>
      <c r="C17" s="62" t="s">
        <v>49</v>
      </c>
      <c r="D17" s="63" t="s">
        <v>1314</v>
      </c>
      <c r="E17" s="64" t="s">
        <v>1315</v>
      </c>
      <c r="F17" s="62" t="s">
        <v>1279</v>
      </c>
      <c r="G17" s="139" t="s">
        <v>1316</v>
      </c>
      <c r="H17" s="60" t="s">
        <v>1281</v>
      </c>
      <c r="I17" s="41"/>
      <c r="J17" s="41"/>
      <c r="K17" s="41"/>
    </row>
    <row r="18" spans="1:11" ht="60" customHeight="1" x14ac:dyDescent="0.25">
      <c r="A18" s="55">
        <f t="shared" si="0"/>
        <v>15</v>
      </c>
      <c r="B18" s="61">
        <v>30001575</v>
      </c>
      <c r="C18" s="62" t="s">
        <v>49</v>
      </c>
      <c r="D18" s="63" t="s">
        <v>1314</v>
      </c>
      <c r="E18" s="64" t="s">
        <v>1317</v>
      </c>
      <c r="F18" s="62" t="s">
        <v>1279</v>
      </c>
      <c r="G18" s="139" t="s">
        <v>1318</v>
      </c>
      <c r="H18" s="60" t="s">
        <v>1281</v>
      </c>
      <c r="I18" s="41"/>
      <c r="J18" s="41"/>
      <c r="K18" s="41"/>
    </row>
    <row r="19" spans="1:11" ht="15" customHeight="1" x14ac:dyDescent="0.25">
      <c r="A19" s="55">
        <f t="shared" si="0"/>
        <v>16</v>
      </c>
      <c r="B19" s="61">
        <v>30001575</v>
      </c>
      <c r="C19" s="62" t="s">
        <v>49</v>
      </c>
      <c r="D19" s="63" t="s">
        <v>1300</v>
      </c>
      <c r="E19" s="64" t="s">
        <v>1319</v>
      </c>
      <c r="F19" s="62" t="s">
        <v>1279</v>
      </c>
      <c r="G19" s="139" t="s">
        <v>1320</v>
      </c>
      <c r="H19" s="60" t="s">
        <v>1281</v>
      </c>
      <c r="I19" s="41"/>
      <c r="J19" s="41"/>
      <c r="K19" s="41"/>
    </row>
    <row r="20" spans="1:11" ht="15" customHeight="1" x14ac:dyDescent="0.25">
      <c r="A20" s="55">
        <f t="shared" si="0"/>
        <v>17</v>
      </c>
      <c r="B20" s="61">
        <v>30001575</v>
      </c>
      <c r="C20" s="62" t="s">
        <v>49</v>
      </c>
      <c r="D20" s="63" t="s">
        <v>1300</v>
      </c>
      <c r="E20" s="64" t="s">
        <v>1321</v>
      </c>
      <c r="F20" s="62" t="s">
        <v>1279</v>
      </c>
      <c r="G20" s="139" t="s">
        <v>1322</v>
      </c>
      <c r="H20" s="60" t="s">
        <v>1281</v>
      </c>
      <c r="I20" s="41"/>
      <c r="J20" s="41"/>
      <c r="K20" s="41"/>
    </row>
    <row r="21" spans="1:11" ht="15" customHeight="1" x14ac:dyDescent="0.25">
      <c r="A21" s="55">
        <f t="shared" si="0"/>
        <v>18</v>
      </c>
      <c r="B21" s="61">
        <v>30001575</v>
      </c>
      <c r="C21" s="62" t="s">
        <v>49</v>
      </c>
      <c r="D21" s="63" t="s">
        <v>1307</v>
      </c>
      <c r="E21" s="64" t="s">
        <v>1323</v>
      </c>
      <c r="F21" s="62" t="s">
        <v>1279</v>
      </c>
      <c r="G21" s="139" t="s">
        <v>1324</v>
      </c>
      <c r="H21" s="60" t="s">
        <v>1281</v>
      </c>
      <c r="I21" s="41"/>
      <c r="J21" s="41"/>
      <c r="K21" s="41"/>
    </row>
    <row r="22" spans="1:11" ht="15" customHeight="1" x14ac:dyDescent="0.25">
      <c r="A22" s="55">
        <f t="shared" si="0"/>
        <v>19</v>
      </c>
      <c r="B22" s="61">
        <v>30001575</v>
      </c>
      <c r="C22" s="62" t="s">
        <v>49</v>
      </c>
      <c r="D22" s="63" t="s">
        <v>1300</v>
      </c>
      <c r="E22" s="64" t="s">
        <v>1325</v>
      </c>
      <c r="F22" s="62" t="s">
        <v>1279</v>
      </c>
      <c r="G22" s="139" t="s">
        <v>1326</v>
      </c>
      <c r="H22" s="60" t="s">
        <v>1281</v>
      </c>
      <c r="I22" s="41"/>
      <c r="J22" s="41"/>
      <c r="K22" s="41"/>
    </row>
    <row r="23" spans="1:11" ht="30" customHeight="1" x14ac:dyDescent="0.25">
      <c r="A23" s="55">
        <f t="shared" si="0"/>
        <v>20</v>
      </c>
      <c r="B23" s="61">
        <v>30001575</v>
      </c>
      <c r="C23" s="62" t="s">
        <v>49</v>
      </c>
      <c r="D23" s="63" t="s">
        <v>1307</v>
      </c>
      <c r="E23" s="64" t="s">
        <v>1327</v>
      </c>
      <c r="F23" s="62" t="s">
        <v>1279</v>
      </c>
      <c r="G23" s="139" t="s">
        <v>1328</v>
      </c>
      <c r="H23" s="60" t="s">
        <v>1281</v>
      </c>
      <c r="I23" s="41"/>
      <c r="J23" s="41"/>
      <c r="K23" s="41"/>
    </row>
    <row r="24" spans="1:11" ht="15" customHeight="1" x14ac:dyDescent="0.25">
      <c r="A24" s="55">
        <f t="shared" si="0"/>
        <v>21</v>
      </c>
      <c r="B24" s="61">
        <v>30001575</v>
      </c>
      <c r="C24" s="62" t="s">
        <v>49</v>
      </c>
      <c r="D24" s="63" t="s">
        <v>1307</v>
      </c>
      <c r="E24" s="64" t="s">
        <v>1329</v>
      </c>
      <c r="F24" s="62" t="s">
        <v>1279</v>
      </c>
      <c r="G24" s="139" t="s">
        <v>1330</v>
      </c>
      <c r="H24" s="60" t="s">
        <v>1281</v>
      </c>
      <c r="I24" s="41"/>
      <c r="J24" s="41"/>
      <c r="K24" s="41"/>
    </row>
    <row r="25" spans="1:11" ht="30" customHeight="1" x14ac:dyDescent="0.25">
      <c r="A25" s="55">
        <f t="shared" si="0"/>
        <v>22</v>
      </c>
      <c r="B25" s="61">
        <v>30001575</v>
      </c>
      <c r="C25" s="62" t="s">
        <v>49</v>
      </c>
      <c r="D25" s="63" t="s">
        <v>1307</v>
      </c>
      <c r="E25" s="64" t="s">
        <v>1331</v>
      </c>
      <c r="F25" s="62" t="s">
        <v>1279</v>
      </c>
      <c r="G25" s="139" t="s">
        <v>1332</v>
      </c>
      <c r="H25" s="60" t="s">
        <v>1281</v>
      </c>
      <c r="I25" s="41"/>
      <c r="J25" s="41"/>
      <c r="K25" s="41"/>
    </row>
    <row r="26" spans="1:11" ht="30" customHeight="1" x14ac:dyDescent="0.25">
      <c r="A26" s="55">
        <f t="shared" si="0"/>
        <v>23</v>
      </c>
      <c r="B26" s="61">
        <v>30001575</v>
      </c>
      <c r="C26" s="62" t="s">
        <v>49</v>
      </c>
      <c r="D26" s="63" t="s">
        <v>1333</v>
      </c>
      <c r="E26" s="64" t="s">
        <v>1334</v>
      </c>
      <c r="F26" s="62" t="s">
        <v>1279</v>
      </c>
      <c r="G26" s="139" t="s">
        <v>1335</v>
      </c>
      <c r="H26" s="60" t="s">
        <v>1281</v>
      </c>
      <c r="I26" s="41"/>
      <c r="J26" s="41"/>
      <c r="K26" s="41"/>
    </row>
    <row r="27" spans="1:11" ht="30" customHeight="1" x14ac:dyDescent="0.25">
      <c r="A27" s="55">
        <f t="shared" si="0"/>
        <v>24</v>
      </c>
      <c r="B27" s="61">
        <v>30001575</v>
      </c>
      <c r="C27" s="62" t="s">
        <v>49</v>
      </c>
      <c r="D27" s="63" t="s">
        <v>1333</v>
      </c>
      <c r="E27" s="64" t="s">
        <v>1336</v>
      </c>
      <c r="F27" s="62" t="s">
        <v>1279</v>
      </c>
      <c r="G27" s="139" t="s">
        <v>1337</v>
      </c>
      <c r="H27" s="60" t="s">
        <v>1281</v>
      </c>
      <c r="I27" s="41"/>
      <c r="J27" s="41"/>
      <c r="K27" s="41"/>
    </row>
    <row r="28" spans="1:11" ht="24" customHeight="1" x14ac:dyDescent="0.25">
      <c r="A28" s="55">
        <f t="shared" si="0"/>
        <v>25</v>
      </c>
      <c r="B28" s="61">
        <v>30001575</v>
      </c>
      <c r="C28" s="62" t="s">
        <v>49</v>
      </c>
      <c r="D28" s="63" t="s">
        <v>1338</v>
      </c>
      <c r="E28" s="64" t="s">
        <v>1339</v>
      </c>
      <c r="F28" s="62" t="s">
        <v>1279</v>
      </c>
      <c r="G28" s="139" t="s">
        <v>1340</v>
      </c>
      <c r="H28" s="60" t="s">
        <v>1281</v>
      </c>
      <c r="I28" s="41"/>
      <c r="J28" s="41"/>
      <c r="K28" s="41"/>
    </row>
    <row r="29" spans="1:11" ht="48" customHeight="1" x14ac:dyDescent="0.25">
      <c r="A29" s="55">
        <f t="shared" si="0"/>
        <v>26</v>
      </c>
      <c r="B29" s="61">
        <v>30001575</v>
      </c>
      <c r="C29" s="62" t="s">
        <v>49</v>
      </c>
      <c r="D29" s="63" t="s">
        <v>1333</v>
      </c>
      <c r="E29" s="64" t="s">
        <v>1341</v>
      </c>
      <c r="F29" s="62" t="s">
        <v>1279</v>
      </c>
      <c r="G29" s="139" t="s">
        <v>1342</v>
      </c>
      <c r="H29" s="60" t="s">
        <v>1281</v>
      </c>
      <c r="I29" s="41"/>
      <c r="J29" s="41"/>
      <c r="K29" s="41"/>
    </row>
    <row r="30" spans="1:11" ht="48" customHeight="1" x14ac:dyDescent="0.25">
      <c r="A30" s="55">
        <f t="shared" si="0"/>
        <v>27</v>
      </c>
      <c r="B30" s="61">
        <v>30001575</v>
      </c>
      <c r="C30" s="62" t="s">
        <v>49</v>
      </c>
      <c r="D30" s="63" t="s">
        <v>1333</v>
      </c>
      <c r="E30" s="64" t="s">
        <v>1343</v>
      </c>
      <c r="F30" s="62" t="s">
        <v>1279</v>
      </c>
      <c r="G30" s="139" t="s">
        <v>1344</v>
      </c>
      <c r="H30" s="60" t="s">
        <v>1281</v>
      </c>
      <c r="I30" s="41"/>
      <c r="J30" s="41"/>
      <c r="K30" s="41"/>
    </row>
    <row r="31" spans="1:11" ht="36" customHeight="1" x14ac:dyDescent="0.25">
      <c r="A31" s="55">
        <f t="shared" si="0"/>
        <v>28</v>
      </c>
      <c r="B31" s="61">
        <v>30001575</v>
      </c>
      <c r="C31" s="62" t="s">
        <v>49</v>
      </c>
      <c r="D31" s="63" t="s">
        <v>1338</v>
      </c>
      <c r="E31" s="64" t="s">
        <v>1345</v>
      </c>
      <c r="F31" s="62" t="s">
        <v>1279</v>
      </c>
      <c r="G31" s="139" t="s">
        <v>1346</v>
      </c>
      <c r="H31" s="60" t="s">
        <v>1281</v>
      </c>
      <c r="I31" s="41"/>
      <c r="J31" s="41"/>
      <c r="K31" s="41"/>
    </row>
    <row r="32" spans="1:11" ht="30" customHeight="1" x14ac:dyDescent="0.25">
      <c r="A32" s="55">
        <f t="shared" si="0"/>
        <v>29</v>
      </c>
      <c r="B32" s="61">
        <v>30001575</v>
      </c>
      <c r="C32" s="62" t="s">
        <v>49</v>
      </c>
      <c r="D32" s="63" t="s">
        <v>1338</v>
      </c>
      <c r="E32" s="64" t="s">
        <v>1347</v>
      </c>
      <c r="F32" s="62" t="s">
        <v>1279</v>
      </c>
      <c r="G32" s="139" t="s">
        <v>1348</v>
      </c>
      <c r="H32" s="60" t="s">
        <v>1281</v>
      </c>
      <c r="I32" s="41"/>
      <c r="J32" s="41"/>
      <c r="K32" s="41"/>
    </row>
    <row r="33" spans="1:11" ht="30" customHeight="1" x14ac:dyDescent="0.25">
      <c r="A33" s="55">
        <f t="shared" si="0"/>
        <v>30</v>
      </c>
      <c r="B33" s="61">
        <v>30001575</v>
      </c>
      <c r="C33" s="62" t="s">
        <v>49</v>
      </c>
      <c r="D33" s="63" t="s">
        <v>1338</v>
      </c>
      <c r="E33" s="64" t="s">
        <v>1349</v>
      </c>
      <c r="F33" s="62" t="s">
        <v>1279</v>
      </c>
      <c r="G33" s="139" t="s">
        <v>1350</v>
      </c>
      <c r="H33" s="60" t="s">
        <v>1281</v>
      </c>
      <c r="I33" s="41"/>
      <c r="J33" s="41"/>
      <c r="K33" s="41"/>
    </row>
    <row r="34" spans="1:11" ht="30" customHeight="1" x14ac:dyDescent="0.25">
      <c r="A34" s="55">
        <f t="shared" si="0"/>
        <v>31</v>
      </c>
      <c r="B34" s="61">
        <v>30001575</v>
      </c>
      <c r="C34" s="62" t="s">
        <v>49</v>
      </c>
      <c r="D34" s="63" t="s">
        <v>1338</v>
      </c>
      <c r="E34" s="64" t="s">
        <v>1351</v>
      </c>
      <c r="F34" s="62" t="s">
        <v>1279</v>
      </c>
      <c r="G34" s="139" t="s">
        <v>1352</v>
      </c>
      <c r="H34" s="60" t="s">
        <v>1281</v>
      </c>
      <c r="I34" s="41"/>
      <c r="J34" s="41"/>
      <c r="K34" s="41"/>
    </row>
    <row r="35" spans="1:11" ht="30" customHeight="1" x14ac:dyDescent="0.25">
      <c r="A35" s="55">
        <f t="shared" si="0"/>
        <v>32</v>
      </c>
      <c r="B35" s="61">
        <v>30001575</v>
      </c>
      <c r="C35" s="62" t="s">
        <v>49</v>
      </c>
      <c r="D35" s="63" t="s">
        <v>1338</v>
      </c>
      <c r="E35" s="64" t="s">
        <v>1353</v>
      </c>
      <c r="F35" s="62" t="s">
        <v>1279</v>
      </c>
      <c r="G35" s="139" t="s">
        <v>1354</v>
      </c>
      <c r="H35" s="60" t="s">
        <v>1281</v>
      </c>
      <c r="I35" s="41"/>
      <c r="J35" s="41"/>
      <c r="K35" s="41"/>
    </row>
    <row r="36" spans="1:11" ht="15" customHeight="1" x14ac:dyDescent="0.25">
      <c r="A36" s="55">
        <f t="shared" si="0"/>
        <v>33</v>
      </c>
      <c r="B36" s="61">
        <v>30001575</v>
      </c>
      <c r="C36" s="62" t="s">
        <v>49</v>
      </c>
      <c r="D36" s="63" t="s">
        <v>1300</v>
      </c>
      <c r="E36" s="64" t="s">
        <v>1355</v>
      </c>
      <c r="F36" s="62" t="s">
        <v>1279</v>
      </c>
      <c r="G36" s="139" t="s">
        <v>1356</v>
      </c>
      <c r="H36" s="60" t="s">
        <v>1281</v>
      </c>
      <c r="I36" s="41"/>
      <c r="J36" s="41"/>
      <c r="K36" s="41"/>
    </row>
    <row r="37" spans="1:11" ht="15" customHeight="1" x14ac:dyDescent="0.25">
      <c r="A37" s="55">
        <f t="shared" si="0"/>
        <v>34</v>
      </c>
      <c r="B37" s="61">
        <v>30001575</v>
      </c>
      <c r="C37" s="62" t="s">
        <v>49</v>
      </c>
      <c r="D37" s="63" t="s">
        <v>1357</v>
      </c>
      <c r="E37" s="64" t="s">
        <v>1358</v>
      </c>
      <c r="F37" s="62" t="s">
        <v>1279</v>
      </c>
      <c r="G37" s="139" t="s">
        <v>1359</v>
      </c>
      <c r="H37" s="60" t="s">
        <v>1281</v>
      </c>
      <c r="I37" s="41"/>
      <c r="J37" s="41"/>
      <c r="K37" s="41"/>
    </row>
    <row r="38" spans="1:11" ht="15" customHeight="1" x14ac:dyDescent="0.25">
      <c r="A38" s="55">
        <f t="shared" si="0"/>
        <v>35</v>
      </c>
      <c r="B38" s="61">
        <v>30001575</v>
      </c>
      <c r="C38" s="62" t="s">
        <v>49</v>
      </c>
      <c r="D38" s="63" t="s">
        <v>1300</v>
      </c>
      <c r="E38" s="64" t="s">
        <v>1360</v>
      </c>
      <c r="F38" s="62" t="s">
        <v>1279</v>
      </c>
      <c r="G38" s="139" t="s">
        <v>1361</v>
      </c>
      <c r="H38" s="60" t="s">
        <v>1281</v>
      </c>
      <c r="I38" s="41"/>
      <c r="J38" s="41"/>
      <c r="K38" s="41"/>
    </row>
    <row r="39" spans="1:11" ht="15" customHeight="1" x14ac:dyDescent="0.25">
      <c r="A39" s="55">
        <f t="shared" si="0"/>
        <v>36</v>
      </c>
      <c r="B39" s="61">
        <v>30001575</v>
      </c>
      <c r="C39" s="62" t="s">
        <v>49</v>
      </c>
      <c r="D39" s="63" t="s">
        <v>1300</v>
      </c>
      <c r="E39" s="64" t="s">
        <v>1362</v>
      </c>
      <c r="F39" s="62" t="s">
        <v>1279</v>
      </c>
      <c r="G39" s="139" t="s">
        <v>1363</v>
      </c>
      <c r="H39" s="60" t="s">
        <v>1281</v>
      </c>
      <c r="I39" s="41"/>
      <c r="J39" s="41"/>
      <c r="K39" s="41"/>
    </row>
    <row r="40" spans="1:11" ht="15" customHeight="1" x14ac:dyDescent="0.25">
      <c r="A40" s="55">
        <f t="shared" si="0"/>
        <v>37</v>
      </c>
      <c r="B40" s="61">
        <v>30001575</v>
      </c>
      <c r="C40" s="62" t="s">
        <v>49</v>
      </c>
      <c r="D40" s="63" t="s">
        <v>1300</v>
      </c>
      <c r="E40" s="64" t="s">
        <v>1364</v>
      </c>
      <c r="F40" s="62" t="s">
        <v>1279</v>
      </c>
      <c r="G40" s="139" t="s">
        <v>1365</v>
      </c>
      <c r="H40" s="60" t="s">
        <v>1281</v>
      </c>
      <c r="I40" s="41"/>
      <c r="J40" s="41"/>
      <c r="K40" s="41"/>
    </row>
    <row r="41" spans="1:11" ht="15" customHeight="1" x14ac:dyDescent="0.25">
      <c r="A41" s="55">
        <f t="shared" si="0"/>
        <v>38</v>
      </c>
      <c r="B41" s="61">
        <v>30001575</v>
      </c>
      <c r="C41" s="62" t="s">
        <v>49</v>
      </c>
      <c r="D41" s="63" t="s">
        <v>1300</v>
      </c>
      <c r="E41" s="64" t="s">
        <v>1366</v>
      </c>
      <c r="F41" s="62" t="s">
        <v>1279</v>
      </c>
      <c r="G41" s="139" t="s">
        <v>1367</v>
      </c>
      <c r="H41" s="60" t="s">
        <v>1281</v>
      </c>
      <c r="I41" s="41"/>
      <c r="J41" s="41"/>
      <c r="K41" s="41"/>
    </row>
    <row r="42" spans="1:11" ht="30" customHeight="1" x14ac:dyDescent="0.25">
      <c r="A42" s="55">
        <f t="shared" si="0"/>
        <v>39</v>
      </c>
      <c r="B42" s="61">
        <v>30001575</v>
      </c>
      <c r="C42" s="62" t="s">
        <v>49</v>
      </c>
      <c r="D42" s="63" t="s">
        <v>1368</v>
      </c>
      <c r="E42" s="64" t="s">
        <v>1369</v>
      </c>
      <c r="F42" s="62" t="s">
        <v>1279</v>
      </c>
      <c r="G42" s="139" t="s">
        <v>1370</v>
      </c>
      <c r="H42" s="60" t="s">
        <v>1281</v>
      </c>
      <c r="I42" s="41"/>
      <c r="J42" s="41"/>
      <c r="K42" s="41"/>
    </row>
    <row r="43" spans="1:11" ht="15" customHeight="1" x14ac:dyDescent="0.25">
      <c r="A43" s="55">
        <f t="shared" si="0"/>
        <v>40</v>
      </c>
      <c r="B43" s="61">
        <v>30001575</v>
      </c>
      <c r="C43" s="62" t="s">
        <v>49</v>
      </c>
      <c r="D43" s="63" t="s">
        <v>1300</v>
      </c>
      <c r="E43" s="64" t="s">
        <v>1371</v>
      </c>
      <c r="F43" s="62" t="s">
        <v>1279</v>
      </c>
      <c r="G43" s="139" t="s">
        <v>1372</v>
      </c>
      <c r="H43" s="60" t="s">
        <v>1281</v>
      </c>
      <c r="I43" s="41"/>
      <c r="J43" s="41"/>
      <c r="K43" s="41"/>
    </row>
    <row r="44" spans="1:11" ht="15" customHeight="1" x14ac:dyDescent="0.25">
      <c r="A44" s="55">
        <f t="shared" si="0"/>
        <v>41</v>
      </c>
      <c r="B44" s="61">
        <v>30001575</v>
      </c>
      <c r="C44" s="62" t="s">
        <v>49</v>
      </c>
      <c r="D44" s="63" t="s">
        <v>1307</v>
      </c>
      <c r="E44" s="64" t="s">
        <v>1373</v>
      </c>
      <c r="F44" s="62" t="s">
        <v>1279</v>
      </c>
      <c r="G44" s="139" t="s">
        <v>1374</v>
      </c>
      <c r="H44" s="60" t="s">
        <v>1281</v>
      </c>
      <c r="I44" s="41"/>
      <c r="J44" s="41"/>
      <c r="K44" s="41"/>
    </row>
    <row r="45" spans="1:11" ht="15" customHeight="1" x14ac:dyDescent="0.25">
      <c r="A45" s="55">
        <f t="shared" si="0"/>
        <v>42</v>
      </c>
      <c r="B45" s="61">
        <v>30001575</v>
      </c>
      <c r="C45" s="62" t="s">
        <v>49</v>
      </c>
      <c r="D45" s="63" t="s">
        <v>1307</v>
      </c>
      <c r="E45" s="64" t="s">
        <v>1375</v>
      </c>
      <c r="F45" s="62" t="s">
        <v>1279</v>
      </c>
      <c r="G45" s="139" t="s">
        <v>1376</v>
      </c>
      <c r="H45" s="60" t="s">
        <v>1281</v>
      </c>
      <c r="I45" s="41"/>
      <c r="J45" s="41"/>
      <c r="K45" s="41"/>
    </row>
    <row r="46" spans="1:11" ht="15" customHeight="1" x14ac:dyDescent="0.25">
      <c r="A46" s="55">
        <f t="shared" si="0"/>
        <v>43</v>
      </c>
      <c r="B46" s="61">
        <v>30001575</v>
      </c>
      <c r="C46" s="62" t="s">
        <v>49</v>
      </c>
      <c r="D46" s="63" t="s">
        <v>1307</v>
      </c>
      <c r="E46" s="64" t="s">
        <v>1377</v>
      </c>
      <c r="F46" s="62" t="s">
        <v>1279</v>
      </c>
      <c r="G46" s="139" t="s">
        <v>1378</v>
      </c>
      <c r="H46" s="60" t="s">
        <v>1281</v>
      </c>
      <c r="I46" s="41"/>
      <c r="J46" s="41"/>
      <c r="K46" s="41"/>
    </row>
    <row r="47" spans="1:11" ht="15" customHeight="1" x14ac:dyDescent="0.25">
      <c r="A47" s="55">
        <f t="shared" si="0"/>
        <v>44</v>
      </c>
      <c r="B47" s="61">
        <v>30001575</v>
      </c>
      <c r="C47" s="62" t="s">
        <v>49</v>
      </c>
      <c r="D47" s="63" t="s">
        <v>1307</v>
      </c>
      <c r="E47" s="64" t="s">
        <v>1379</v>
      </c>
      <c r="F47" s="62" t="s">
        <v>1279</v>
      </c>
      <c r="G47" s="139" t="s">
        <v>1380</v>
      </c>
      <c r="H47" s="60" t="s">
        <v>1281</v>
      </c>
      <c r="I47" s="41"/>
      <c r="J47" s="41"/>
      <c r="K47" s="41"/>
    </row>
    <row r="48" spans="1:11" ht="15" customHeight="1" x14ac:dyDescent="0.25">
      <c r="A48" s="55">
        <f t="shared" si="0"/>
        <v>45</v>
      </c>
      <c r="B48" s="61">
        <v>30001575</v>
      </c>
      <c r="C48" s="62" t="s">
        <v>49</v>
      </c>
      <c r="D48" s="63" t="s">
        <v>1307</v>
      </c>
      <c r="E48" s="64" t="s">
        <v>1381</v>
      </c>
      <c r="F48" s="62" t="s">
        <v>1279</v>
      </c>
      <c r="G48" s="139" t="s">
        <v>1382</v>
      </c>
      <c r="H48" s="60" t="s">
        <v>1281</v>
      </c>
      <c r="I48" s="41"/>
      <c r="J48" s="41"/>
      <c r="K48" s="41"/>
    </row>
    <row r="49" spans="1:11" ht="24" customHeight="1" x14ac:dyDescent="0.25">
      <c r="A49" s="55">
        <f t="shared" si="0"/>
        <v>46</v>
      </c>
      <c r="B49" s="61">
        <v>30001575</v>
      </c>
      <c r="C49" s="62" t="s">
        <v>49</v>
      </c>
      <c r="D49" s="63" t="s">
        <v>1307</v>
      </c>
      <c r="E49" s="64" t="s">
        <v>1383</v>
      </c>
      <c r="F49" s="62" t="s">
        <v>1279</v>
      </c>
      <c r="G49" s="139" t="s">
        <v>1384</v>
      </c>
      <c r="H49" s="60" t="s">
        <v>1281</v>
      </c>
      <c r="I49" s="41"/>
      <c r="J49" s="41"/>
      <c r="K49" s="41"/>
    </row>
    <row r="50" spans="1:11" ht="15" customHeight="1" x14ac:dyDescent="0.25">
      <c r="A50" s="55">
        <f t="shared" si="0"/>
        <v>47</v>
      </c>
      <c r="B50" s="61">
        <v>30004221</v>
      </c>
      <c r="C50" s="62" t="s">
        <v>167</v>
      </c>
      <c r="D50" s="63" t="s">
        <v>1385</v>
      </c>
      <c r="E50" s="64" t="s">
        <v>1386</v>
      </c>
      <c r="F50" s="62" t="s">
        <v>1279</v>
      </c>
      <c r="G50" s="139" t="s">
        <v>1387</v>
      </c>
      <c r="H50" s="60" t="s">
        <v>1281</v>
      </c>
      <c r="I50" s="41"/>
      <c r="J50" s="41"/>
      <c r="K50" s="41"/>
    </row>
    <row r="51" spans="1:11" ht="15" customHeight="1" x14ac:dyDescent="0.25">
      <c r="A51" s="55">
        <f t="shared" si="0"/>
        <v>48</v>
      </c>
      <c r="B51" s="61">
        <v>3004221</v>
      </c>
      <c r="C51" s="62" t="s">
        <v>167</v>
      </c>
      <c r="D51" s="63" t="s">
        <v>1388</v>
      </c>
      <c r="E51" s="64" t="s">
        <v>1386</v>
      </c>
      <c r="F51" s="62" t="s">
        <v>1279</v>
      </c>
      <c r="G51" s="139" t="s">
        <v>1389</v>
      </c>
      <c r="H51" s="60" t="s">
        <v>1281</v>
      </c>
      <c r="I51" s="41"/>
      <c r="J51" s="41"/>
      <c r="K51" s="41"/>
    </row>
    <row r="52" spans="1:11" ht="24" customHeight="1" x14ac:dyDescent="0.25">
      <c r="A52" s="55">
        <f t="shared" si="0"/>
        <v>49</v>
      </c>
      <c r="B52" s="61">
        <v>30004221</v>
      </c>
      <c r="C52" s="62" t="s">
        <v>167</v>
      </c>
      <c r="D52" s="63" t="s">
        <v>1390</v>
      </c>
      <c r="E52" s="64" t="s">
        <v>167</v>
      </c>
      <c r="F52" s="62" t="s">
        <v>1279</v>
      </c>
      <c r="G52" s="139" t="s">
        <v>1391</v>
      </c>
      <c r="H52" s="60" t="s">
        <v>1281</v>
      </c>
      <c r="I52" s="41"/>
      <c r="J52" s="41"/>
      <c r="K52" s="41"/>
    </row>
    <row r="53" spans="1:11" ht="25.5" customHeight="1" x14ac:dyDescent="0.25">
      <c r="A53" s="55">
        <f t="shared" si="0"/>
        <v>50</v>
      </c>
      <c r="B53" s="61">
        <v>30004221</v>
      </c>
      <c r="C53" s="62" t="s">
        <v>33</v>
      </c>
      <c r="D53" s="63" t="s">
        <v>1392</v>
      </c>
      <c r="E53" s="64" t="s">
        <v>1393</v>
      </c>
      <c r="F53" s="62" t="s">
        <v>1279</v>
      </c>
      <c r="G53" s="139" t="s">
        <v>1394</v>
      </c>
      <c r="H53" s="60" t="s">
        <v>1281</v>
      </c>
      <c r="I53" s="41"/>
      <c r="J53" s="41"/>
      <c r="K53" s="41"/>
    </row>
    <row r="54" spans="1:11" ht="36" customHeight="1" x14ac:dyDescent="0.25">
      <c r="A54" s="55">
        <f t="shared" si="0"/>
        <v>51</v>
      </c>
      <c r="B54" s="61">
        <v>30004221</v>
      </c>
      <c r="C54" s="62" t="s">
        <v>167</v>
      </c>
      <c r="D54" s="63" t="s">
        <v>1395</v>
      </c>
      <c r="E54" s="64" t="s">
        <v>167</v>
      </c>
      <c r="F54" s="62" t="s">
        <v>1279</v>
      </c>
      <c r="G54" s="139" t="s">
        <v>1396</v>
      </c>
      <c r="H54" s="60" t="s">
        <v>1281</v>
      </c>
      <c r="I54" s="41"/>
      <c r="J54" s="41"/>
      <c r="K54" s="41"/>
    </row>
    <row r="55" spans="1:11" ht="24" customHeight="1" x14ac:dyDescent="0.25">
      <c r="A55" s="55">
        <f t="shared" si="0"/>
        <v>52</v>
      </c>
      <c r="B55" s="61">
        <v>30004221</v>
      </c>
      <c r="C55" s="62" t="s">
        <v>167</v>
      </c>
      <c r="D55" s="63" t="s">
        <v>1397</v>
      </c>
      <c r="E55" s="64" t="s">
        <v>1398</v>
      </c>
      <c r="F55" s="62" t="s">
        <v>1279</v>
      </c>
      <c r="G55" s="139" t="s">
        <v>1399</v>
      </c>
      <c r="H55" s="60" t="s">
        <v>1281</v>
      </c>
      <c r="I55" s="41"/>
      <c r="J55" s="41"/>
      <c r="K55" s="41"/>
    </row>
    <row r="56" spans="1:11" ht="25.5" customHeight="1" x14ac:dyDescent="0.25">
      <c r="A56" s="55">
        <f t="shared" si="0"/>
        <v>53</v>
      </c>
      <c r="B56" s="61">
        <v>30004221</v>
      </c>
      <c r="C56" s="62" t="s">
        <v>33</v>
      </c>
      <c r="D56" s="63" t="s">
        <v>1400</v>
      </c>
      <c r="E56" s="64" t="s">
        <v>1401</v>
      </c>
      <c r="F56" s="62" t="s">
        <v>1279</v>
      </c>
      <c r="G56" s="139" t="s">
        <v>1402</v>
      </c>
      <c r="H56" s="60" t="s">
        <v>1281</v>
      </c>
      <c r="I56" s="41"/>
      <c r="J56" s="41"/>
      <c r="K56" s="41"/>
    </row>
    <row r="57" spans="1:11" ht="48" customHeight="1" x14ac:dyDescent="0.25">
      <c r="A57" s="55">
        <f t="shared" si="0"/>
        <v>54</v>
      </c>
      <c r="B57" s="61">
        <v>30004221</v>
      </c>
      <c r="C57" s="62" t="s">
        <v>33</v>
      </c>
      <c r="D57" s="63" t="s">
        <v>1403</v>
      </c>
      <c r="E57" s="64" t="s">
        <v>1401</v>
      </c>
      <c r="F57" s="62" t="s">
        <v>1279</v>
      </c>
      <c r="G57" s="139" t="s">
        <v>1404</v>
      </c>
      <c r="H57" s="60" t="s">
        <v>1281</v>
      </c>
      <c r="I57" s="41"/>
      <c r="J57" s="41"/>
      <c r="K57" s="41"/>
    </row>
    <row r="58" spans="1:11" ht="25.5" customHeight="1" x14ac:dyDescent="0.25">
      <c r="A58" s="55">
        <f t="shared" si="0"/>
        <v>55</v>
      </c>
      <c r="B58" s="61">
        <v>30004221</v>
      </c>
      <c r="C58" s="62" t="s">
        <v>33</v>
      </c>
      <c r="D58" s="63" t="s">
        <v>1405</v>
      </c>
      <c r="E58" s="64" t="s">
        <v>1406</v>
      </c>
      <c r="F58" s="62" t="s">
        <v>1279</v>
      </c>
      <c r="G58" s="139" t="s">
        <v>1407</v>
      </c>
      <c r="H58" s="60" t="s">
        <v>1281</v>
      </c>
      <c r="I58" s="41"/>
      <c r="J58" s="41"/>
      <c r="K58" s="41"/>
    </row>
    <row r="59" spans="1:11" ht="25.5" customHeight="1" x14ac:dyDescent="0.25">
      <c r="A59" s="55">
        <f t="shared" si="0"/>
        <v>56</v>
      </c>
      <c r="B59" s="61">
        <v>30004221</v>
      </c>
      <c r="C59" s="62" t="s">
        <v>33</v>
      </c>
      <c r="D59" s="63" t="s">
        <v>1408</v>
      </c>
      <c r="E59" s="64" t="s">
        <v>1406</v>
      </c>
      <c r="F59" s="62" t="s">
        <v>1279</v>
      </c>
      <c r="G59" s="139" t="s">
        <v>1409</v>
      </c>
      <c r="H59" s="60" t="s">
        <v>1281</v>
      </c>
      <c r="I59" s="41"/>
      <c r="J59" s="41"/>
      <c r="K59" s="41"/>
    </row>
    <row r="60" spans="1:11" ht="48" customHeight="1" x14ac:dyDescent="0.25">
      <c r="A60" s="55">
        <f t="shared" si="0"/>
        <v>57</v>
      </c>
      <c r="B60" s="61">
        <v>30004221</v>
      </c>
      <c r="C60" s="62" t="s">
        <v>33</v>
      </c>
      <c r="D60" s="63" t="s">
        <v>1410</v>
      </c>
      <c r="E60" s="64" t="s">
        <v>1411</v>
      </c>
      <c r="F60" s="62" t="s">
        <v>1279</v>
      </c>
      <c r="G60" s="139" t="s">
        <v>1412</v>
      </c>
      <c r="H60" s="60" t="s">
        <v>1281</v>
      </c>
      <c r="I60" s="41"/>
      <c r="J60" s="41"/>
      <c r="K60" s="41"/>
    </row>
    <row r="61" spans="1:11" ht="25.5" customHeight="1" x14ac:dyDescent="0.25">
      <c r="A61" s="55">
        <f t="shared" si="0"/>
        <v>58</v>
      </c>
      <c r="B61" s="61">
        <v>30004221</v>
      </c>
      <c r="C61" s="62" t="s">
        <v>33</v>
      </c>
      <c r="D61" s="63" t="s">
        <v>1413</v>
      </c>
      <c r="E61" s="64" t="s">
        <v>1406</v>
      </c>
      <c r="F61" s="62" t="s">
        <v>1279</v>
      </c>
      <c r="G61" s="139" t="s">
        <v>1414</v>
      </c>
      <c r="H61" s="60" t="s">
        <v>1281</v>
      </c>
      <c r="I61" s="41"/>
      <c r="J61" s="41"/>
      <c r="K61" s="41"/>
    </row>
    <row r="62" spans="1:11" ht="25.5" customHeight="1" x14ac:dyDescent="0.25">
      <c r="A62" s="55">
        <f t="shared" si="0"/>
        <v>59</v>
      </c>
      <c r="B62" s="61">
        <v>30004221</v>
      </c>
      <c r="C62" s="62" t="s">
        <v>33</v>
      </c>
      <c r="D62" s="63" t="s">
        <v>1415</v>
      </c>
      <c r="E62" s="64" t="s">
        <v>1416</v>
      </c>
      <c r="F62" s="62" t="s">
        <v>1279</v>
      </c>
      <c r="G62" s="139" t="s">
        <v>1417</v>
      </c>
      <c r="H62" s="60" t="s">
        <v>1281</v>
      </c>
      <c r="I62" s="41"/>
      <c r="J62" s="41"/>
      <c r="K62" s="41"/>
    </row>
    <row r="63" spans="1:11" ht="24" customHeight="1" x14ac:dyDescent="0.25">
      <c r="A63" s="55">
        <f t="shared" si="0"/>
        <v>60</v>
      </c>
      <c r="B63" s="61">
        <v>30004221</v>
      </c>
      <c r="C63" s="62" t="s">
        <v>167</v>
      </c>
      <c r="D63" s="63" t="s">
        <v>1418</v>
      </c>
      <c r="E63" s="64" t="s">
        <v>1419</v>
      </c>
      <c r="F63" s="62" t="s">
        <v>1279</v>
      </c>
      <c r="G63" s="139" t="s">
        <v>1420</v>
      </c>
      <c r="H63" s="60" t="s">
        <v>1281</v>
      </c>
      <c r="I63" s="41"/>
      <c r="J63" s="41"/>
      <c r="K63" s="41"/>
    </row>
    <row r="64" spans="1:11" ht="36" customHeight="1" x14ac:dyDescent="0.25">
      <c r="A64" s="55">
        <f t="shared" si="0"/>
        <v>61</v>
      </c>
      <c r="B64" s="61">
        <v>30004221</v>
      </c>
      <c r="C64" s="62" t="s">
        <v>33</v>
      </c>
      <c r="D64" s="63" t="s">
        <v>1421</v>
      </c>
      <c r="E64" s="64" t="s">
        <v>1422</v>
      </c>
      <c r="F64" s="62" t="s">
        <v>1279</v>
      </c>
      <c r="G64" s="139" t="s">
        <v>1423</v>
      </c>
      <c r="H64" s="60" t="s">
        <v>1281</v>
      </c>
      <c r="I64" s="41"/>
      <c r="J64" s="41"/>
      <c r="K64" s="41"/>
    </row>
    <row r="65" spans="1:11" ht="24" customHeight="1" x14ac:dyDescent="0.25">
      <c r="A65" s="55">
        <f t="shared" si="0"/>
        <v>62</v>
      </c>
      <c r="B65" s="61">
        <v>30004221</v>
      </c>
      <c r="C65" s="62" t="s">
        <v>167</v>
      </c>
      <c r="D65" s="63" t="s">
        <v>1424</v>
      </c>
      <c r="E65" s="64" t="s">
        <v>1425</v>
      </c>
      <c r="F65" s="62" t="s">
        <v>1279</v>
      </c>
      <c r="G65" s="139" t="s">
        <v>1426</v>
      </c>
      <c r="H65" s="60" t="s">
        <v>1281</v>
      </c>
      <c r="I65" s="41"/>
      <c r="J65" s="41"/>
      <c r="K65" s="41"/>
    </row>
    <row r="66" spans="1:11" ht="25.5" customHeight="1" x14ac:dyDescent="0.25">
      <c r="A66" s="55">
        <f t="shared" si="0"/>
        <v>63</v>
      </c>
      <c r="B66" s="61">
        <v>30004221</v>
      </c>
      <c r="C66" s="62" t="s">
        <v>33</v>
      </c>
      <c r="D66" s="63" t="s">
        <v>1427</v>
      </c>
      <c r="E66" s="64" t="s">
        <v>1406</v>
      </c>
      <c r="F66" s="62" t="s">
        <v>1279</v>
      </c>
      <c r="G66" s="139" t="s">
        <v>1428</v>
      </c>
      <c r="H66" s="60" t="s">
        <v>1281</v>
      </c>
      <c r="I66" s="41"/>
      <c r="J66" s="41"/>
      <c r="K66" s="41"/>
    </row>
    <row r="67" spans="1:11" ht="25.5" customHeight="1" x14ac:dyDescent="0.25">
      <c r="A67" s="55">
        <f t="shared" si="0"/>
        <v>64</v>
      </c>
      <c r="B67" s="61">
        <v>30004221</v>
      </c>
      <c r="C67" s="62" t="s">
        <v>167</v>
      </c>
      <c r="D67" s="63" t="s">
        <v>1429</v>
      </c>
      <c r="E67" s="64" t="s">
        <v>167</v>
      </c>
      <c r="F67" s="62" t="s">
        <v>1279</v>
      </c>
      <c r="G67" s="139" t="s">
        <v>1430</v>
      </c>
      <c r="H67" s="60" t="s">
        <v>1281</v>
      </c>
      <c r="I67" s="41"/>
      <c r="J67" s="41"/>
      <c r="K67" s="41"/>
    </row>
    <row r="68" spans="1:11" ht="25.5" customHeight="1" x14ac:dyDescent="0.25">
      <c r="A68" s="55">
        <f t="shared" ref="A68:A131" si="1">IF(COUNTA(B68:G68)&gt;0,ROW()-3,"")</f>
        <v>65</v>
      </c>
      <c r="B68" s="61">
        <v>30004221</v>
      </c>
      <c r="C68" s="62" t="s">
        <v>33</v>
      </c>
      <c r="D68" s="63" t="s">
        <v>1431</v>
      </c>
      <c r="E68" s="64" t="s">
        <v>1406</v>
      </c>
      <c r="F68" s="62" t="s">
        <v>1279</v>
      </c>
      <c r="G68" s="139" t="s">
        <v>1432</v>
      </c>
      <c r="H68" s="60" t="s">
        <v>1281</v>
      </c>
      <c r="I68" s="41"/>
      <c r="J68" s="41"/>
      <c r="K68" s="41"/>
    </row>
    <row r="69" spans="1:11" ht="25.5" customHeight="1" x14ac:dyDescent="0.25">
      <c r="A69" s="55">
        <f t="shared" si="1"/>
        <v>66</v>
      </c>
      <c r="B69" s="61">
        <v>30004221</v>
      </c>
      <c r="C69" s="62" t="s">
        <v>33</v>
      </c>
      <c r="D69" s="63" t="s">
        <v>1433</v>
      </c>
      <c r="E69" s="64" t="s">
        <v>1406</v>
      </c>
      <c r="F69" s="62" t="s">
        <v>1279</v>
      </c>
      <c r="G69" s="139" t="s">
        <v>1434</v>
      </c>
      <c r="H69" s="60" t="s">
        <v>1281</v>
      </c>
      <c r="I69" s="41"/>
      <c r="J69" s="41"/>
      <c r="K69" s="41"/>
    </row>
    <row r="70" spans="1:11" ht="15" customHeight="1" x14ac:dyDescent="0.25">
      <c r="A70" s="55">
        <f t="shared" si="1"/>
        <v>67</v>
      </c>
      <c r="B70" s="61">
        <v>30004221</v>
      </c>
      <c r="C70" s="62" t="s">
        <v>167</v>
      </c>
      <c r="D70" s="63" t="s">
        <v>1433</v>
      </c>
      <c r="E70" s="64" t="s">
        <v>167</v>
      </c>
      <c r="F70" s="62" t="s">
        <v>1279</v>
      </c>
      <c r="G70" s="139" t="s">
        <v>1435</v>
      </c>
      <c r="H70" s="60" t="s">
        <v>1281</v>
      </c>
      <c r="I70" s="41"/>
      <c r="J70" s="41"/>
      <c r="K70" s="41"/>
    </row>
    <row r="71" spans="1:11" ht="25.5" customHeight="1" x14ac:dyDescent="0.25">
      <c r="A71" s="55">
        <f t="shared" si="1"/>
        <v>68</v>
      </c>
      <c r="B71" s="61">
        <v>30004221</v>
      </c>
      <c r="C71" s="62" t="s">
        <v>33</v>
      </c>
      <c r="D71" s="63" t="s">
        <v>1436</v>
      </c>
      <c r="E71" s="64" t="s">
        <v>1406</v>
      </c>
      <c r="F71" s="62" t="s">
        <v>1279</v>
      </c>
      <c r="G71" s="139" t="s">
        <v>1437</v>
      </c>
      <c r="H71" s="60" t="s">
        <v>1281</v>
      </c>
      <c r="I71" s="41"/>
      <c r="J71" s="41"/>
      <c r="K71" s="41"/>
    </row>
    <row r="72" spans="1:11" ht="24" customHeight="1" x14ac:dyDescent="0.25">
      <c r="A72" s="55">
        <f t="shared" si="1"/>
        <v>69</v>
      </c>
      <c r="B72" s="61">
        <v>30004221</v>
      </c>
      <c r="C72" s="62" t="s">
        <v>167</v>
      </c>
      <c r="D72" s="63" t="s">
        <v>1436</v>
      </c>
      <c r="E72" s="64" t="s">
        <v>1438</v>
      </c>
      <c r="F72" s="62" t="s">
        <v>1279</v>
      </c>
      <c r="G72" s="139" t="s">
        <v>1439</v>
      </c>
      <c r="H72" s="60" t="s">
        <v>1281</v>
      </c>
      <c r="I72" s="41"/>
      <c r="J72" s="41"/>
      <c r="K72" s="41"/>
    </row>
    <row r="73" spans="1:11" ht="15" customHeight="1" x14ac:dyDescent="0.25">
      <c r="A73" s="55">
        <f t="shared" si="1"/>
        <v>70</v>
      </c>
      <c r="B73" s="61">
        <v>30004221</v>
      </c>
      <c r="C73" s="62" t="s">
        <v>167</v>
      </c>
      <c r="D73" s="63" t="s">
        <v>1440</v>
      </c>
      <c r="E73" s="64" t="s">
        <v>167</v>
      </c>
      <c r="F73" s="62" t="s">
        <v>1279</v>
      </c>
      <c r="G73" s="139" t="s">
        <v>1441</v>
      </c>
      <c r="H73" s="60" t="s">
        <v>1281</v>
      </c>
      <c r="I73" s="41"/>
      <c r="J73" s="41"/>
      <c r="K73" s="41"/>
    </row>
    <row r="74" spans="1:11" ht="36" customHeight="1" x14ac:dyDescent="0.25">
      <c r="A74" s="55">
        <f t="shared" si="1"/>
        <v>71</v>
      </c>
      <c r="B74" s="61">
        <v>30004221</v>
      </c>
      <c r="C74" s="62" t="s">
        <v>33</v>
      </c>
      <c r="D74" s="63" t="s">
        <v>1442</v>
      </c>
      <c r="E74" s="64" t="s">
        <v>1411</v>
      </c>
      <c r="F74" s="62" t="s">
        <v>1279</v>
      </c>
      <c r="G74" s="139" t="s">
        <v>1443</v>
      </c>
      <c r="H74" s="60" t="s">
        <v>1281</v>
      </c>
      <c r="I74" s="41"/>
      <c r="J74" s="41"/>
      <c r="K74" s="41"/>
    </row>
    <row r="75" spans="1:11" ht="25.5" customHeight="1" x14ac:dyDescent="0.25">
      <c r="A75" s="55">
        <f t="shared" si="1"/>
        <v>72</v>
      </c>
      <c r="B75" s="61">
        <v>30004221</v>
      </c>
      <c r="C75" s="62" t="s">
        <v>33</v>
      </c>
      <c r="D75" s="63" t="s">
        <v>1444</v>
      </c>
      <c r="E75" s="64" t="s">
        <v>1406</v>
      </c>
      <c r="F75" s="62" t="s">
        <v>1279</v>
      </c>
      <c r="G75" s="139" t="s">
        <v>1445</v>
      </c>
      <c r="H75" s="60" t="s">
        <v>1281</v>
      </c>
      <c r="I75" s="41"/>
      <c r="J75" s="41"/>
      <c r="K75" s="41"/>
    </row>
    <row r="76" spans="1:11" ht="24" customHeight="1" x14ac:dyDescent="0.25">
      <c r="A76" s="55">
        <f t="shared" si="1"/>
        <v>73</v>
      </c>
      <c r="B76" s="61">
        <v>30004221</v>
      </c>
      <c r="C76" s="62" t="s">
        <v>167</v>
      </c>
      <c r="D76" s="63" t="s">
        <v>1446</v>
      </c>
      <c r="E76" s="64" t="s">
        <v>1425</v>
      </c>
      <c r="F76" s="62" t="s">
        <v>1279</v>
      </c>
      <c r="G76" s="139" t="s">
        <v>1447</v>
      </c>
      <c r="H76" s="60" t="s">
        <v>1281</v>
      </c>
      <c r="I76" s="41"/>
      <c r="J76" s="41"/>
      <c r="K76" s="41"/>
    </row>
    <row r="77" spans="1:11" ht="25.5" customHeight="1" x14ac:dyDescent="0.25">
      <c r="A77" s="55">
        <f t="shared" si="1"/>
        <v>74</v>
      </c>
      <c r="B77" s="61">
        <v>30004221</v>
      </c>
      <c r="C77" s="62" t="s">
        <v>33</v>
      </c>
      <c r="D77" s="63" t="s">
        <v>1448</v>
      </c>
      <c r="E77" s="64" t="s">
        <v>1406</v>
      </c>
      <c r="F77" s="62" t="s">
        <v>1279</v>
      </c>
      <c r="G77" s="139" t="s">
        <v>1449</v>
      </c>
      <c r="H77" s="60" t="s">
        <v>1281</v>
      </c>
      <c r="I77" s="41"/>
      <c r="J77" s="41"/>
      <c r="K77" s="41"/>
    </row>
    <row r="78" spans="1:11" ht="36" customHeight="1" x14ac:dyDescent="0.25">
      <c r="A78" s="55">
        <f t="shared" si="1"/>
        <v>75</v>
      </c>
      <c r="B78" s="61">
        <v>30004221</v>
      </c>
      <c r="C78" s="62" t="s">
        <v>33</v>
      </c>
      <c r="D78" s="63" t="s">
        <v>1450</v>
      </c>
      <c r="E78" s="64" t="s">
        <v>1451</v>
      </c>
      <c r="F78" s="62" t="s">
        <v>1279</v>
      </c>
      <c r="G78" s="139" t="s">
        <v>1452</v>
      </c>
      <c r="H78" s="60" t="s">
        <v>1281</v>
      </c>
      <c r="I78" s="41"/>
      <c r="J78" s="41"/>
      <c r="K78" s="41"/>
    </row>
    <row r="79" spans="1:11" ht="36" customHeight="1" x14ac:dyDescent="0.25">
      <c r="A79" s="55">
        <f t="shared" si="1"/>
        <v>76</v>
      </c>
      <c r="B79" s="61">
        <v>30004221</v>
      </c>
      <c r="C79" s="62" t="s">
        <v>167</v>
      </c>
      <c r="D79" s="63" t="s">
        <v>1453</v>
      </c>
      <c r="E79" s="64" t="s">
        <v>1425</v>
      </c>
      <c r="F79" s="62" t="s">
        <v>1279</v>
      </c>
      <c r="G79" s="139" t="s">
        <v>1454</v>
      </c>
      <c r="H79" s="60" t="s">
        <v>1281</v>
      </c>
      <c r="I79" s="41"/>
      <c r="J79" s="41"/>
      <c r="K79" s="41"/>
    </row>
    <row r="80" spans="1:11" ht="25.5" customHeight="1" x14ac:dyDescent="0.25">
      <c r="A80" s="55">
        <f t="shared" si="1"/>
        <v>77</v>
      </c>
      <c r="B80" s="61">
        <v>30004221</v>
      </c>
      <c r="C80" s="62" t="s">
        <v>33</v>
      </c>
      <c r="D80" s="63" t="s">
        <v>1455</v>
      </c>
      <c r="E80" s="64" t="s">
        <v>1456</v>
      </c>
      <c r="F80" s="62" t="s">
        <v>1279</v>
      </c>
      <c r="G80" s="139" t="s">
        <v>1457</v>
      </c>
      <c r="H80" s="60" t="s">
        <v>1281</v>
      </c>
      <c r="I80" s="41"/>
      <c r="J80" s="41"/>
      <c r="K80" s="41"/>
    </row>
    <row r="81" spans="1:11" ht="25.5" customHeight="1" x14ac:dyDescent="0.25">
      <c r="A81" s="55">
        <f t="shared" si="1"/>
        <v>78</v>
      </c>
      <c r="B81" s="61">
        <v>30004221</v>
      </c>
      <c r="C81" s="62" t="s">
        <v>33</v>
      </c>
      <c r="D81" s="63" t="s">
        <v>1458</v>
      </c>
      <c r="E81" s="64" t="s">
        <v>1459</v>
      </c>
      <c r="F81" s="62" t="s">
        <v>1279</v>
      </c>
      <c r="G81" s="139" t="s">
        <v>1460</v>
      </c>
      <c r="H81" s="60" t="s">
        <v>1281</v>
      </c>
      <c r="I81" s="41"/>
      <c r="J81" s="41"/>
      <c r="K81" s="41"/>
    </row>
    <row r="82" spans="1:11" ht="25.5" customHeight="1" x14ac:dyDescent="0.25">
      <c r="A82" s="55">
        <f t="shared" si="1"/>
        <v>79</v>
      </c>
      <c r="B82" s="61">
        <v>30004221</v>
      </c>
      <c r="C82" s="62" t="s">
        <v>167</v>
      </c>
      <c r="D82" s="63" t="s">
        <v>1461</v>
      </c>
      <c r="E82" s="64" t="s">
        <v>167</v>
      </c>
      <c r="F82" s="62" t="s">
        <v>1279</v>
      </c>
      <c r="G82" s="139" t="s">
        <v>1462</v>
      </c>
      <c r="H82" s="60" t="s">
        <v>1281</v>
      </c>
      <c r="I82" s="41"/>
      <c r="J82" s="41"/>
      <c r="K82" s="41"/>
    </row>
    <row r="83" spans="1:11" ht="36" customHeight="1" x14ac:dyDescent="0.25">
      <c r="A83" s="55">
        <f t="shared" si="1"/>
        <v>80</v>
      </c>
      <c r="B83" s="61">
        <v>30004221</v>
      </c>
      <c r="C83" s="62" t="s">
        <v>167</v>
      </c>
      <c r="D83" s="63" t="s">
        <v>1463</v>
      </c>
      <c r="E83" s="64" t="s">
        <v>1464</v>
      </c>
      <c r="F83" s="62" t="s">
        <v>1279</v>
      </c>
      <c r="G83" s="139" t="s">
        <v>1465</v>
      </c>
      <c r="H83" s="60" t="s">
        <v>1281</v>
      </c>
      <c r="I83" s="41"/>
      <c r="J83" s="41"/>
      <c r="K83" s="41"/>
    </row>
    <row r="84" spans="1:11" ht="25.5" customHeight="1" x14ac:dyDescent="0.25">
      <c r="A84" s="55">
        <f t="shared" si="1"/>
        <v>81</v>
      </c>
      <c r="B84" s="61">
        <v>30004221</v>
      </c>
      <c r="C84" s="62" t="s">
        <v>33</v>
      </c>
      <c r="D84" s="63" t="s">
        <v>1466</v>
      </c>
      <c r="E84" s="64" t="s">
        <v>1401</v>
      </c>
      <c r="F84" s="62" t="s">
        <v>1279</v>
      </c>
      <c r="G84" s="139" t="s">
        <v>1467</v>
      </c>
      <c r="H84" s="60" t="s">
        <v>1281</v>
      </c>
      <c r="I84" s="41"/>
      <c r="J84" s="41"/>
      <c r="K84" s="41"/>
    </row>
    <row r="85" spans="1:11" ht="25.5" customHeight="1" x14ac:dyDescent="0.25">
      <c r="A85" s="55">
        <f t="shared" si="1"/>
        <v>82</v>
      </c>
      <c r="B85" s="61">
        <v>30004221</v>
      </c>
      <c r="C85" s="62" t="s">
        <v>33</v>
      </c>
      <c r="D85" s="63" t="s">
        <v>1466</v>
      </c>
      <c r="E85" s="64" t="s">
        <v>1468</v>
      </c>
      <c r="F85" s="62" t="s">
        <v>1279</v>
      </c>
      <c r="G85" s="139" t="s">
        <v>1469</v>
      </c>
      <c r="H85" s="60" t="s">
        <v>1281</v>
      </c>
      <c r="I85" s="41"/>
      <c r="J85" s="41"/>
      <c r="K85" s="41"/>
    </row>
    <row r="86" spans="1:11" ht="25.5" customHeight="1" x14ac:dyDescent="0.25">
      <c r="A86" s="55">
        <f t="shared" si="1"/>
        <v>83</v>
      </c>
      <c r="B86" s="61">
        <v>30004221</v>
      </c>
      <c r="C86" s="62" t="s">
        <v>33</v>
      </c>
      <c r="D86" s="63" t="s">
        <v>1470</v>
      </c>
      <c r="E86" s="64" t="s">
        <v>1471</v>
      </c>
      <c r="F86" s="62" t="s">
        <v>1279</v>
      </c>
      <c r="G86" s="139" t="s">
        <v>1472</v>
      </c>
      <c r="H86" s="60" t="s">
        <v>1281</v>
      </c>
      <c r="I86" s="41"/>
      <c r="J86" s="41"/>
      <c r="K86" s="41"/>
    </row>
    <row r="87" spans="1:11" ht="15" customHeight="1" x14ac:dyDescent="0.25">
      <c r="A87" s="55">
        <f t="shared" si="1"/>
        <v>84</v>
      </c>
      <c r="B87" s="61">
        <v>30001351</v>
      </c>
      <c r="C87" s="62" t="s">
        <v>67</v>
      </c>
      <c r="D87" s="63" t="s">
        <v>1473</v>
      </c>
      <c r="E87" s="64" t="s">
        <v>1474</v>
      </c>
      <c r="F87" s="62" t="s">
        <v>1279</v>
      </c>
      <c r="G87" s="139" t="s">
        <v>1475</v>
      </c>
      <c r="H87" s="60" t="s">
        <v>1281</v>
      </c>
      <c r="I87" s="41"/>
      <c r="J87" s="41"/>
      <c r="K87" s="41"/>
    </row>
    <row r="88" spans="1:11" ht="25.5" customHeight="1" x14ac:dyDescent="0.25">
      <c r="A88" s="55">
        <f t="shared" si="1"/>
        <v>85</v>
      </c>
      <c r="B88" s="61" t="s">
        <v>1476</v>
      </c>
      <c r="C88" s="62" t="s">
        <v>33</v>
      </c>
      <c r="D88" s="63" t="s">
        <v>37</v>
      </c>
      <c r="E88" s="64" t="s">
        <v>1477</v>
      </c>
      <c r="F88" s="62" t="s">
        <v>1279</v>
      </c>
      <c r="G88" s="139" t="s">
        <v>1478</v>
      </c>
      <c r="H88" s="60" t="s">
        <v>1281</v>
      </c>
      <c r="I88" s="41"/>
      <c r="J88" s="41"/>
      <c r="K88" s="41"/>
    </row>
    <row r="89" spans="1:11" ht="25.5" customHeight="1" x14ac:dyDescent="0.25">
      <c r="A89" s="55">
        <f t="shared" si="1"/>
        <v>86</v>
      </c>
      <c r="B89" s="61" t="s">
        <v>1476</v>
      </c>
      <c r="C89" s="62" t="s">
        <v>33</v>
      </c>
      <c r="D89" s="63" t="s">
        <v>37</v>
      </c>
      <c r="E89" s="64" t="s">
        <v>1479</v>
      </c>
      <c r="F89" s="62" t="s">
        <v>1279</v>
      </c>
      <c r="G89" s="139" t="s">
        <v>1480</v>
      </c>
      <c r="H89" s="60" t="s">
        <v>1281</v>
      </c>
      <c r="I89" s="41"/>
      <c r="J89" s="41"/>
      <c r="K89" s="41"/>
    </row>
    <row r="90" spans="1:11" ht="25.5" customHeight="1" x14ac:dyDescent="0.25">
      <c r="A90" s="55">
        <f t="shared" si="1"/>
        <v>87</v>
      </c>
      <c r="B90" s="61" t="s">
        <v>1476</v>
      </c>
      <c r="C90" s="62" t="s">
        <v>33</v>
      </c>
      <c r="D90" s="63" t="s">
        <v>37</v>
      </c>
      <c r="E90" s="64" t="s">
        <v>1481</v>
      </c>
      <c r="F90" s="62" t="s">
        <v>1279</v>
      </c>
      <c r="G90" s="139" t="s">
        <v>1482</v>
      </c>
      <c r="H90" s="60" t="s">
        <v>1281</v>
      </c>
      <c r="I90" s="41"/>
      <c r="J90" s="41"/>
      <c r="K90" s="41"/>
    </row>
    <row r="91" spans="1:11" ht="25.5" customHeight="1" x14ac:dyDescent="0.25">
      <c r="A91" s="55">
        <f t="shared" si="1"/>
        <v>88</v>
      </c>
      <c r="B91" s="61" t="s">
        <v>1476</v>
      </c>
      <c r="C91" s="62" t="s">
        <v>33</v>
      </c>
      <c r="D91" s="63" t="s">
        <v>37</v>
      </c>
      <c r="E91" s="64" t="s">
        <v>1483</v>
      </c>
      <c r="F91" s="62" t="s">
        <v>1279</v>
      </c>
      <c r="G91" s="140" t="s">
        <v>1279</v>
      </c>
      <c r="H91" s="60" t="s">
        <v>1281</v>
      </c>
      <c r="I91" s="41"/>
      <c r="J91" s="41"/>
      <c r="K91" s="41"/>
    </row>
    <row r="92" spans="1:11" ht="25.5" customHeight="1" x14ac:dyDescent="0.25">
      <c r="A92" s="55">
        <f t="shared" si="1"/>
        <v>89</v>
      </c>
      <c r="B92" s="61" t="s">
        <v>1476</v>
      </c>
      <c r="C92" s="62" t="s">
        <v>33</v>
      </c>
      <c r="D92" s="63" t="s">
        <v>37</v>
      </c>
      <c r="E92" s="64" t="s">
        <v>1484</v>
      </c>
      <c r="F92" s="62" t="s">
        <v>1279</v>
      </c>
      <c r="G92" s="139" t="s">
        <v>1485</v>
      </c>
      <c r="H92" s="60" t="s">
        <v>1281</v>
      </c>
      <c r="I92" s="41"/>
      <c r="J92" s="41"/>
      <c r="K92" s="41"/>
    </row>
    <row r="93" spans="1:11" ht="25.5" customHeight="1" x14ac:dyDescent="0.25">
      <c r="A93" s="55">
        <f t="shared" si="1"/>
        <v>90</v>
      </c>
      <c r="B93" s="61" t="s">
        <v>1476</v>
      </c>
      <c r="C93" s="62" t="s">
        <v>33</v>
      </c>
      <c r="D93" s="63" t="s">
        <v>37</v>
      </c>
      <c r="E93" s="64" t="s">
        <v>1486</v>
      </c>
      <c r="F93" s="62" t="s">
        <v>1279</v>
      </c>
      <c r="G93" s="139" t="s">
        <v>1487</v>
      </c>
      <c r="H93" s="60" t="s">
        <v>1281</v>
      </c>
      <c r="I93" s="41"/>
      <c r="J93" s="41"/>
      <c r="K93" s="41"/>
    </row>
    <row r="94" spans="1:11" ht="25.5" customHeight="1" x14ac:dyDescent="0.25">
      <c r="A94" s="55">
        <f t="shared" si="1"/>
        <v>91</v>
      </c>
      <c r="B94" s="61" t="s">
        <v>1476</v>
      </c>
      <c r="C94" s="62" t="s">
        <v>33</v>
      </c>
      <c r="D94" s="63" t="s">
        <v>37</v>
      </c>
      <c r="E94" s="64" t="s">
        <v>1488</v>
      </c>
      <c r="F94" s="62" t="s">
        <v>1279</v>
      </c>
      <c r="G94" s="139" t="s">
        <v>1489</v>
      </c>
      <c r="H94" s="60" t="s">
        <v>1281</v>
      </c>
      <c r="I94" s="41"/>
      <c r="J94" s="41"/>
      <c r="K94" s="41"/>
    </row>
    <row r="95" spans="1:11" ht="25.5" customHeight="1" x14ac:dyDescent="0.25">
      <c r="A95" s="55">
        <f t="shared" si="1"/>
        <v>92</v>
      </c>
      <c r="B95" s="61" t="s">
        <v>1476</v>
      </c>
      <c r="C95" s="62" t="s">
        <v>33</v>
      </c>
      <c r="D95" s="63" t="s">
        <v>37</v>
      </c>
      <c r="E95" s="64" t="s">
        <v>1490</v>
      </c>
      <c r="F95" s="62" t="s">
        <v>1279</v>
      </c>
      <c r="G95" s="139" t="s">
        <v>1491</v>
      </c>
      <c r="H95" s="60" t="s">
        <v>1281</v>
      </c>
      <c r="I95" s="41"/>
      <c r="J95" s="41"/>
      <c r="K95" s="41"/>
    </row>
    <row r="96" spans="1:11" ht="25.5" customHeight="1" x14ac:dyDescent="0.25">
      <c r="A96" s="55">
        <f t="shared" si="1"/>
        <v>93</v>
      </c>
      <c r="B96" s="61" t="s">
        <v>1476</v>
      </c>
      <c r="C96" s="62" t="s">
        <v>33</v>
      </c>
      <c r="D96" s="63" t="s">
        <v>37</v>
      </c>
      <c r="E96" s="64" t="s">
        <v>1492</v>
      </c>
      <c r="F96" s="62" t="s">
        <v>1279</v>
      </c>
      <c r="G96" s="139" t="s">
        <v>1493</v>
      </c>
      <c r="H96" s="60" t="s">
        <v>1281</v>
      </c>
      <c r="I96" s="41"/>
      <c r="J96" s="41"/>
      <c r="K96" s="41"/>
    </row>
    <row r="97" spans="1:11" ht="25.5" customHeight="1" x14ac:dyDescent="0.25">
      <c r="A97" s="55">
        <f t="shared" si="1"/>
        <v>94</v>
      </c>
      <c r="B97" s="61" t="s">
        <v>1476</v>
      </c>
      <c r="C97" s="62" t="s">
        <v>33</v>
      </c>
      <c r="D97" s="63" t="s">
        <v>37</v>
      </c>
      <c r="E97" s="64" t="s">
        <v>1494</v>
      </c>
      <c r="F97" s="62" t="s">
        <v>1279</v>
      </c>
      <c r="G97" s="139" t="s">
        <v>1495</v>
      </c>
      <c r="H97" s="60" t="s">
        <v>1281</v>
      </c>
      <c r="I97" s="41"/>
      <c r="J97" s="41"/>
      <c r="K97" s="41"/>
    </row>
    <row r="98" spans="1:11" ht="25.5" customHeight="1" x14ac:dyDescent="0.25">
      <c r="A98" s="55">
        <f t="shared" si="1"/>
        <v>95</v>
      </c>
      <c r="B98" s="61" t="s">
        <v>1476</v>
      </c>
      <c r="C98" s="62" t="s">
        <v>33</v>
      </c>
      <c r="D98" s="63" t="s">
        <v>37</v>
      </c>
      <c r="E98" s="64" t="s">
        <v>1496</v>
      </c>
      <c r="F98" s="62" t="s">
        <v>1279</v>
      </c>
      <c r="G98" s="139" t="s">
        <v>1497</v>
      </c>
      <c r="H98" s="60" t="s">
        <v>1281</v>
      </c>
      <c r="I98" s="41"/>
      <c r="J98" s="41"/>
      <c r="K98" s="41"/>
    </row>
    <row r="99" spans="1:11" ht="25.5" customHeight="1" x14ac:dyDescent="0.25">
      <c r="A99" s="55">
        <f t="shared" si="1"/>
        <v>96</v>
      </c>
      <c r="B99" s="61" t="s">
        <v>1476</v>
      </c>
      <c r="C99" s="62" t="s">
        <v>33</v>
      </c>
      <c r="D99" s="63" t="s">
        <v>37</v>
      </c>
      <c r="E99" s="64" t="s">
        <v>1498</v>
      </c>
      <c r="F99" s="62" t="s">
        <v>1279</v>
      </c>
      <c r="G99" s="139" t="s">
        <v>1499</v>
      </c>
      <c r="H99" s="60" t="s">
        <v>1281</v>
      </c>
      <c r="I99" s="41"/>
      <c r="J99" s="41"/>
      <c r="K99" s="41"/>
    </row>
    <row r="100" spans="1:11" ht="25.5" customHeight="1" x14ac:dyDescent="0.25">
      <c r="A100" s="55">
        <f t="shared" si="1"/>
        <v>97</v>
      </c>
      <c r="B100" s="61" t="s">
        <v>1476</v>
      </c>
      <c r="C100" s="62" t="s">
        <v>67</v>
      </c>
      <c r="D100" s="63" t="s">
        <v>1500</v>
      </c>
      <c r="E100" s="64" t="s">
        <v>1501</v>
      </c>
      <c r="F100" s="62" t="s">
        <v>1502</v>
      </c>
      <c r="G100" s="139" t="s">
        <v>1503</v>
      </c>
      <c r="H100" s="60" t="s">
        <v>1281</v>
      </c>
      <c r="I100" s="41"/>
      <c r="J100" s="41"/>
      <c r="K100" s="41"/>
    </row>
    <row r="101" spans="1:11" ht="25.5" customHeight="1" x14ac:dyDescent="0.25">
      <c r="A101" s="55">
        <f t="shared" si="1"/>
        <v>98</v>
      </c>
      <c r="B101" s="61">
        <v>30001461</v>
      </c>
      <c r="C101" s="62" t="s">
        <v>33</v>
      </c>
      <c r="D101" s="63" t="s">
        <v>37</v>
      </c>
      <c r="E101" s="64" t="s">
        <v>1504</v>
      </c>
      <c r="F101" s="62" t="s">
        <v>1279</v>
      </c>
      <c r="G101" s="140" t="s">
        <v>1279</v>
      </c>
      <c r="H101" s="60" t="s">
        <v>1281</v>
      </c>
      <c r="I101" s="41"/>
      <c r="J101" s="41"/>
      <c r="K101" s="41"/>
    </row>
    <row r="102" spans="1:11" ht="36" customHeight="1" x14ac:dyDescent="0.25">
      <c r="A102" s="55">
        <f t="shared" si="1"/>
        <v>99</v>
      </c>
      <c r="B102" s="61">
        <v>30001461</v>
      </c>
      <c r="C102" s="62" t="s">
        <v>33</v>
      </c>
      <c r="D102" s="63" t="s">
        <v>37</v>
      </c>
      <c r="E102" s="64" t="s">
        <v>1505</v>
      </c>
      <c r="F102" s="62" t="s">
        <v>1279</v>
      </c>
      <c r="G102" s="139" t="s">
        <v>1506</v>
      </c>
      <c r="H102" s="60" t="s">
        <v>1281</v>
      </c>
      <c r="I102" s="41"/>
      <c r="J102" s="41"/>
      <c r="K102" s="41"/>
    </row>
    <row r="103" spans="1:11" ht="25.5" customHeight="1" x14ac:dyDescent="0.25">
      <c r="A103" s="55">
        <f t="shared" si="1"/>
        <v>100</v>
      </c>
      <c r="B103" s="61">
        <v>30001461</v>
      </c>
      <c r="C103" s="62" t="s">
        <v>33</v>
      </c>
      <c r="D103" s="63" t="s">
        <v>37</v>
      </c>
      <c r="E103" s="64" t="s">
        <v>1507</v>
      </c>
      <c r="F103" s="62" t="s">
        <v>1279</v>
      </c>
      <c r="G103" s="139" t="s">
        <v>1508</v>
      </c>
      <c r="H103" s="60" t="s">
        <v>1281</v>
      </c>
      <c r="I103" s="41"/>
      <c r="J103" s="41"/>
      <c r="K103" s="41"/>
    </row>
    <row r="104" spans="1:11" ht="25.5" customHeight="1" x14ac:dyDescent="0.25">
      <c r="A104" s="55">
        <f t="shared" si="1"/>
        <v>101</v>
      </c>
      <c r="B104" s="61">
        <v>30001461</v>
      </c>
      <c r="C104" s="62" t="s">
        <v>33</v>
      </c>
      <c r="D104" s="63" t="s">
        <v>37</v>
      </c>
      <c r="E104" s="64" t="s">
        <v>1509</v>
      </c>
      <c r="F104" s="62" t="s">
        <v>1279</v>
      </c>
      <c r="G104" s="139" t="s">
        <v>1510</v>
      </c>
      <c r="H104" s="60" t="s">
        <v>1281</v>
      </c>
      <c r="I104" s="41"/>
      <c r="J104" s="41"/>
      <c r="K104" s="41"/>
    </row>
    <row r="105" spans="1:11" ht="25.5" customHeight="1" x14ac:dyDescent="0.25">
      <c r="A105" s="55">
        <f t="shared" si="1"/>
        <v>102</v>
      </c>
      <c r="B105" s="61">
        <v>30001461</v>
      </c>
      <c r="C105" s="62" t="s">
        <v>33</v>
      </c>
      <c r="D105" s="63" t="s">
        <v>37</v>
      </c>
      <c r="E105" s="64" t="s">
        <v>1511</v>
      </c>
      <c r="F105" s="62" t="s">
        <v>1279</v>
      </c>
      <c r="G105" s="139" t="s">
        <v>1512</v>
      </c>
      <c r="H105" s="60" t="s">
        <v>1281</v>
      </c>
      <c r="I105" s="41"/>
      <c r="J105" s="41"/>
      <c r="K105" s="41"/>
    </row>
    <row r="106" spans="1:11" ht="25.5" customHeight="1" x14ac:dyDescent="0.25">
      <c r="A106" s="55">
        <f t="shared" si="1"/>
        <v>103</v>
      </c>
      <c r="B106" s="61">
        <v>30001461</v>
      </c>
      <c r="C106" s="62" t="s">
        <v>33</v>
      </c>
      <c r="D106" s="63" t="s">
        <v>37</v>
      </c>
      <c r="E106" s="64" t="s">
        <v>1513</v>
      </c>
      <c r="F106" s="62" t="s">
        <v>1279</v>
      </c>
      <c r="G106" s="139" t="s">
        <v>1514</v>
      </c>
      <c r="H106" s="60" t="s">
        <v>1281</v>
      </c>
      <c r="I106" s="41"/>
      <c r="J106" s="41"/>
      <c r="K106" s="41"/>
    </row>
    <row r="107" spans="1:11" ht="25.5" customHeight="1" x14ac:dyDescent="0.25">
      <c r="A107" s="55">
        <f t="shared" si="1"/>
        <v>104</v>
      </c>
      <c r="B107" s="61">
        <v>30001461</v>
      </c>
      <c r="C107" s="62" t="s">
        <v>33</v>
      </c>
      <c r="D107" s="63" t="s">
        <v>37</v>
      </c>
      <c r="E107" s="64" t="s">
        <v>1515</v>
      </c>
      <c r="F107" s="62" t="s">
        <v>1279</v>
      </c>
      <c r="G107" s="139" t="s">
        <v>1516</v>
      </c>
      <c r="H107" s="60" t="s">
        <v>1281</v>
      </c>
      <c r="I107" s="41"/>
      <c r="J107" s="41"/>
      <c r="K107" s="41"/>
    </row>
    <row r="108" spans="1:11" ht="30" customHeight="1" x14ac:dyDescent="0.25">
      <c r="A108" s="55">
        <f t="shared" si="1"/>
        <v>105</v>
      </c>
      <c r="B108" s="61">
        <v>30001461</v>
      </c>
      <c r="C108" s="62" t="s">
        <v>33</v>
      </c>
      <c r="D108" s="63" t="s">
        <v>37</v>
      </c>
      <c r="E108" s="64" t="s">
        <v>1517</v>
      </c>
      <c r="F108" s="62" t="s">
        <v>1279</v>
      </c>
      <c r="G108" s="139" t="s">
        <v>1518</v>
      </c>
      <c r="H108" s="60" t="s">
        <v>1281</v>
      </c>
      <c r="I108" s="41"/>
      <c r="J108" s="41"/>
      <c r="K108" s="41"/>
    </row>
    <row r="109" spans="1:11" ht="25.5" customHeight="1" x14ac:dyDescent="0.25">
      <c r="A109" s="55">
        <f t="shared" si="1"/>
        <v>106</v>
      </c>
      <c r="B109" s="61">
        <v>30001461</v>
      </c>
      <c r="C109" s="62" t="s">
        <v>33</v>
      </c>
      <c r="D109" s="63" t="s">
        <v>37</v>
      </c>
      <c r="E109" s="64" t="s">
        <v>1519</v>
      </c>
      <c r="F109" s="62" t="s">
        <v>1279</v>
      </c>
      <c r="G109" s="139" t="s">
        <v>1520</v>
      </c>
      <c r="H109" s="60" t="s">
        <v>1281</v>
      </c>
      <c r="I109" s="41"/>
      <c r="J109" s="41"/>
      <c r="K109" s="41"/>
    </row>
    <row r="110" spans="1:11" ht="25.5" customHeight="1" x14ac:dyDescent="0.25">
      <c r="A110" s="55">
        <f t="shared" si="1"/>
        <v>107</v>
      </c>
      <c r="B110" s="61">
        <v>30001461</v>
      </c>
      <c r="C110" s="62" t="s">
        <v>33</v>
      </c>
      <c r="D110" s="63" t="s">
        <v>37</v>
      </c>
      <c r="E110" s="64" t="s">
        <v>1521</v>
      </c>
      <c r="F110" s="62" t="s">
        <v>1279</v>
      </c>
      <c r="G110" s="139" t="s">
        <v>1522</v>
      </c>
      <c r="H110" s="60" t="s">
        <v>1281</v>
      </c>
      <c r="I110" s="41"/>
      <c r="J110" s="41"/>
      <c r="K110" s="41"/>
    </row>
    <row r="111" spans="1:11" ht="25.5" customHeight="1" x14ac:dyDescent="0.25">
      <c r="A111" s="55">
        <f t="shared" si="1"/>
        <v>108</v>
      </c>
      <c r="B111" s="61">
        <v>30001461</v>
      </c>
      <c r="C111" s="62" t="s">
        <v>33</v>
      </c>
      <c r="D111" s="63" t="s">
        <v>37</v>
      </c>
      <c r="E111" s="64" t="s">
        <v>1523</v>
      </c>
      <c r="F111" s="62" t="s">
        <v>1279</v>
      </c>
      <c r="G111" s="139" t="s">
        <v>1524</v>
      </c>
      <c r="H111" s="60" t="s">
        <v>1281</v>
      </c>
      <c r="I111" s="41"/>
      <c r="J111" s="41"/>
      <c r="K111" s="41"/>
    </row>
    <row r="112" spans="1:11" ht="25.5" customHeight="1" x14ac:dyDescent="0.25">
      <c r="A112" s="55">
        <f t="shared" si="1"/>
        <v>109</v>
      </c>
      <c r="B112" s="61">
        <v>30001461</v>
      </c>
      <c r="C112" s="62" t="s">
        <v>33</v>
      </c>
      <c r="D112" s="63" t="s">
        <v>37</v>
      </c>
      <c r="E112" s="64" t="s">
        <v>1525</v>
      </c>
      <c r="F112" s="62" t="s">
        <v>1279</v>
      </c>
      <c r="G112" s="139" t="s">
        <v>1526</v>
      </c>
      <c r="H112" s="60" t="s">
        <v>1281</v>
      </c>
      <c r="I112" s="41"/>
      <c r="J112" s="41"/>
      <c r="K112" s="41"/>
    </row>
    <row r="113" spans="1:11" ht="25.5" customHeight="1" x14ac:dyDescent="0.25">
      <c r="A113" s="55">
        <f t="shared" si="1"/>
        <v>110</v>
      </c>
      <c r="B113" s="61">
        <v>30001461</v>
      </c>
      <c r="C113" s="62" t="s">
        <v>33</v>
      </c>
      <c r="D113" s="63" t="s">
        <v>37</v>
      </c>
      <c r="E113" s="64" t="s">
        <v>1527</v>
      </c>
      <c r="F113" s="62" t="s">
        <v>1279</v>
      </c>
      <c r="G113" s="140" t="s">
        <v>1279</v>
      </c>
      <c r="H113" s="60" t="s">
        <v>1281</v>
      </c>
      <c r="I113" s="41"/>
      <c r="J113" s="41"/>
      <c r="K113" s="41"/>
    </row>
    <row r="114" spans="1:11" ht="25.5" customHeight="1" x14ac:dyDescent="0.25">
      <c r="A114" s="55">
        <f t="shared" si="1"/>
        <v>111</v>
      </c>
      <c r="B114" s="61">
        <v>30001461</v>
      </c>
      <c r="C114" s="62" t="s">
        <v>33</v>
      </c>
      <c r="D114" s="63" t="s">
        <v>37</v>
      </c>
      <c r="E114" s="64" t="s">
        <v>1528</v>
      </c>
      <c r="F114" s="62" t="s">
        <v>1279</v>
      </c>
      <c r="G114" s="139" t="s">
        <v>1529</v>
      </c>
      <c r="H114" s="60" t="s">
        <v>1281</v>
      </c>
      <c r="I114" s="41"/>
      <c r="J114" s="41"/>
      <c r="K114" s="41"/>
    </row>
    <row r="115" spans="1:11" ht="25.5" customHeight="1" x14ac:dyDescent="0.25">
      <c r="A115" s="55">
        <f t="shared" si="1"/>
        <v>112</v>
      </c>
      <c r="B115" s="61">
        <v>30001461</v>
      </c>
      <c r="C115" s="62" t="s">
        <v>33</v>
      </c>
      <c r="D115" s="63" t="s">
        <v>37</v>
      </c>
      <c r="E115" s="64" t="s">
        <v>1530</v>
      </c>
      <c r="F115" s="62" t="s">
        <v>1279</v>
      </c>
      <c r="G115" s="139" t="s">
        <v>1531</v>
      </c>
      <c r="H115" s="60" t="s">
        <v>1281</v>
      </c>
      <c r="I115" s="41"/>
      <c r="J115" s="41"/>
      <c r="K115" s="41"/>
    </row>
    <row r="116" spans="1:11" ht="25.5" customHeight="1" x14ac:dyDescent="0.25">
      <c r="A116" s="55">
        <f t="shared" si="1"/>
        <v>113</v>
      </c>
      <c r="B116" s="61">
        <v>30001461</v>
      </c>
      <c r="C116" s="62" t="s">
        <v>33</v>
      </c>
      <c r="D116" s="63" t="s">
        <v>37</v>
      </c>
      <c r="E116" s="64" t="s">
        <v>1532</v>
      </c>
      <c r="F116" s="62" t="s">
        <v>1279</v>
      </c>
      <c r="G116" s="139" t="s">
        <v>1533</v>
      </c>
      <c r="H116" s="60" t="s">
        <v>1281</v>
      </c>
      <c r="I116" s="41"/>
      <c r="J116" s="41"/>
      <c r="K116" s="41"/>
    </row>
    <row r="117" spans="1:11" ht="25.5" customHeight="1" x14ac:dyDescent="0.25">
      <c r="A117" s="55">
        <f t="shared" si="1"/>
        <v>114</v>
      </c>
      <c r="B117" s="61">
        <v>30001461</v>
      </c>
      <c r="C117" s="62" t="s">
        <v>33</v>
      </c>
      <c r="D117" s="63" t="s">
        <v>37</v>
      </c>
      <c r="E117" s="64" t="s">
        <v>1534</v>
      </c>
      <c r="F117" s="62" t="s">
        <v>1279</v>
      </c>
      <c r="G117" s="139" t="s">
        <v>1535</v>
      </c>
      <c r="H117" s="60" t="s">
        <v>1281</v>
      </c>
      <c r="I117" s="41"/>
      <c r="J117" s="41"/>
      <c r="K117" s="41"/>
    </row>
    <row r="118" spans="1:11" ht="25.5" customHeight="1" x14ac:dyDescent="0.25">
      <c r="A118" s="55">
        <f t="shared" si="1"/>
        <v>115</v>
      </c>
      <c r="B118" s="61">
        <v>30001461</v>
      </c>
      <c r="C118" s="62" t="s">
        <v>33</v>
      </c>
      <c r="D118" s="63" t="s">
        <v>37</v>
      </c>
      <c r="E118" s="64" t="s">
        <v>1536</v>
      </c>
      <c r="F118" s="62" t="s">
        <v>1279</v>
      </c>
      <c r="G118" s="139" t="s">
        <v>1537</v>
      </c>
      <c r="H118" s="60" t="s">
        <v>1281</v>
      </c>
      <c r="I118" s="41"/>
      <c r="J118" s="41"/>
      <c r="K118" s="41"/>
    </row>
    <row r="119" spans="1:11" ht="25.5" customHeight="1" x14ac:dyDescent="0.25">
      <c r="A119" s="55">
        <f t="shared" si="1"/>
        <v>116</v>
      </c>
      <c r="B119" s="61">
        <v>30001461</v>
      </c>
      <c r="C119" s="62" t="s">
        <v>33</v>
      </c>
      <c r="D119" s="63" t="s">
        <v>37</v>
      </c>
      <c r="E119" s="64" t="s">
        <v>1504</v>
      </c>
      <c r="F119" s="62" t="s">
        <v>1279</v>
      </c>
      <c r="G119" s="139" t="s">
        <v>1538</v>
      </c>
      <c r="H119" s="60" t="s">
        <v>1281</v>
      </c>
      <c r="I119" s="41"/>
      <c r="J119" s="41"/>
      <c r="K119" s="41"/>
    </row>
    <row r="120" spans="1:11" ht="36" customHeight="1" x14ac:dyDescent="0.25">
      <c r="A120" s="55">
        <f t="shared" si="1"/>
        <v>117</v>
      </c>
      <c r="B120" s="61">
        <v>30001461</v>
      </c>
      <c r="C120" s="62" t="s">
        <v>33</v>
      </c>
      <c r="D120" s="63" t="s">
        <v>37</v>
      </c>
      <c r="E120" s="64" t="s">
        <v>1505</v>
      </c>
      <c r="F120" s="62" t="s">
        <v>1279</v>
      </c>
      <c r="G120" s="139" t="s">
        <v>1506</v>
      </c>
      <c r="H120" s="60" t="s">
        <v>1281</v>
      </c>
      <c r="I120" s="41"/>
      <c r="J120" s="41"/>
      <c r="K120" s="41"/>
    </row>
    <row r="121" spans="1:11" ht="25.5" customHeight="1" x14ac:dyDescent="0.25">
      <c r="A121" s="55">
        <f t="shared" si="1"/>
        <v>118</v>
      </c>
      <c r="B121" s="61">
        <v>30001461</v>
      </c>
      <c r="C121" s="62" t="s">
        <v>33</v>
      </c>
      <c r="D121" s="63" t="s">
        <v>37</v>
      </c>
      <c r="E121" s="64" t="s">
        <v>1507</v>
      </c>
      <c r="F121" s="62" t="s">
        <v>1279</v>
      </c>
      <c r="G121" s="139" t="s">
        <v>1508</v>
      </c>
      <c r="H121" s="60" t="s">
        <v>1281</v>
      </c>
      <c r="I121" s="41"/>
      <c r="J121" s="41"/>
      <c r="K121" s="41"/>
    </row>
    <row r="122" spans="1:11" ht="25.5" customHeight="1" x14ac:dyDescent="0.25">
      <c r="A122" s="55">
        <f t="shared" si="1"/>
        <v>119</v>
      </c>
      <c r="B122" s="61">
        <v>30001461</v>
      </c>
      <c r="C122" s="62" t="s">
        <v>33</v>
      </c>
      <c r="D122" s="63" t="s">
        <v>37</v>
      </c>
      <c r="E122" s="64" t="s">
        <v>1509</v>
      </c>
      <c r="F122" s="62" t="s">
        <v>1279</v>
      </c>
      <c r="G122" s="139" t="s">
        <v>1510</v>
      </c>
      <c r="H122" s="60" t="s">
        <v>1281</v>
      </c>
      <c r="I122" s="41"/>
      <c r="J122" s="41"/>
      <c r="K122" s="41"/>
    </row>
    <row r="123" spans="1:11" ht="25.5" customHeight="1" x14ac:dyDescent="0.25">
      <c r="A123" s="55">
        <f t="shared" si="1"/>
        <v>120</v>
      </c>
      <c r="B123" s="61">
        <v>30001461</v>
      </c>
      <c r="C123" s="62" t="s">
        <v>33</v>
      </c>
      <c r="D123" s="63" t="s">
        <v>37</v>
      </c>
      <c r="E123" s="64" t="s">
        <v>1511</v>
      </c>
      <c r="F123" s="62" t="s">
        <v>1279</v>
      </c>
      <c r="G123" s="139" t="s">
        <v>1512</v>
      </c>
      <c r="H123" s="60" t="s">
        <v>1281</v>
      </c>
      <c r="I123" s="41"/>
      <c r="J123" s="41"/>
      <c r="K123" s="41"/>
    </row>
    <row r="124" spans="1:11" ht="25.5" customHeight="1" x14ac:dyDescent="0.25">
      <c r="A124" s="55">
        <f t="shared" si="1"/>
        <v>121</v>
      </c>
      <c r="B124" s="61">
        <v>30001461</v>
      </c>
      <c r="C124" s="62" t="s">
        <v>33</v>
      </c>
      <c r="D124" s="63" t="s">
        <v>37</v>
      </c>
      <c r="E124" s="64" t="s">
        <v>1513</v>
      </c>
      <c r="F124" s="62" t="s">
        <v>1279</v>
      </c>
      <c r="G124" s="139" t="s">
        <v>1514</v>
      </c>
      <c r="H124" s="60" t="s">
        <v>1281</v>
      </c>
      <c r="I124" s="41"/>
      <c r="J124" s="41"/>
      <c r="K124" s="41"/>
    </row>
    <row r="125" spans="1:11" ht="25.5" customHeight="1" x14ac:dyDescent="0.25">
      <c r="A125" s="55">
        <f t="shared" si="1"/>
        <v>122</v>
      </c>
      <c r="B125" s="61">
        <v>30001461</v>
      </c>
      <c r="C125" s="62" t="s">
        <v>33</v>
      </c>
      <c r="D125" s="63" t="s">
        <v>37</v>
      </c>
      <c r="E125" s="64" t="s">
        <v>1515</v>
      </c>
      <c r="F125" s="62" t="s">
        <v>1279</v>
      </c>
      <c r="G125" s="139" t="s">
        <v>1516</v>
      </c>
      <c r="H125" s="60" t="s">
        <v>1281</v>
      </c>
      <c r="I125" s="41"/>
      <c r="J125" s="41"/>
      <c r="K125" s="41"/>
    </row>
    <row r="126" spans="1:11" ht="30" customHeight="1" x14ac:dyDescent="0.25">
      <c r="A126" s="55">
        <f t="shared" si="1"/>
        <v>123</v>
      </c>
      <c r="B126" s="61">
        <v>30001461</v>
      </c>
      <c r="C126" s="62" t="s">
        <v>33</v>
      </c>
      <c r="D126" s="63" t="s">
        <v>37</v>
      </c>
      <c r="E126" s="64" t="s">
        <v>1517</v>
      </c>
      <c r="F126" s="62" t="s">
        <v>1279</v>
      </c>
      <c r="G126" s="139" t="s">
        <v>1518</v>
      </c>
      <c r="H126" s="60" t="s">
        <v>1281</v>
      </c>
      <c r="I126" s="41"/>
      <c r="J126" s="41"/>
      <c r="K126" s="41"/>
    </row>
    <row r="127" spans="1:11" ht="60" customHeight="1" x14ac:dyDescent="0.25">
      <c r="A127" s="55">
        <f t="shared" si="1"/>
        <v>124</v>
      </c>
      <c r="B127" s="61">
        <v>30001351</v>
      </c>
      <c r="C127" s="62" t="s">
        <v>67</v>
      </c>
      <c r="D127" s="63" t="s">
        <v>1539</v>
      </c>
      <c r="E127" s="64" t="s">
        <v>1540</v>
      </c>
      <c r="F127" s="62" t="s">
        <v>1279</v>
      </c>
      <c r="G127" s="139" t="s">
        <v>1541</v>
      </c>
      <c r="H127" s="60" t="s">
        <v>1281</v>
      </c>
      <c r="I127" s="41"/>
      <c r="J127" s="41"/>
      <c r="K127" s="41"/>
    </row>
    <row r="128" spans="1:11" ht="60" customHeight="1" x14ac:dyDescent="0.25">
      <c r="A128" s="55">
        <f t="shared" si="1"/>
        <v>125</v>
      </c>
      <c r="B128" s="61">
        <v>30001351</v>
      </c>
      <c r="C128" s="62" t="s">
        <v>67</v>
      </c>
      <c r="D128" s="63" t="s">
        <v>1539</v>
      </c>
      <c r="E128" s="64" t="s">
        <v>1542</v>
      </c>
      <c r="F128" s="62" t="s">
        <v>1279</v>
      </c>
      <c r="G128" s="139" t="s">
        <v>1543</v>
      </c>
      <c r="H128" s="60" t="s">
        <v>1281</v>
      </c>
      <c r="I128" s="41"/>
      <c r="J128" s="41"/>
      <c r="K128" s="41"/>
    </row>
    <row r="129" spans="1:11" ht="15.75" customHeight="1" x14ac:dyDescent="0.25">
      <c r="A129" s="55">
        <f t="shared" si="1"/>
        <v>126</v>
      </c>
      <c r="B129" s="61">
        <v>30001351</v>
      </c>
      <c r="C129" s="62" t="s">
        <v>67</v>
      </c>
      <c r="D129" s="63" t="s">
        <v>1539</v>
      </c>
      <c r="E129" s="64" t="s">
        <v>1544</v>
      </c>
      <c r="F129" s="62" t="s">
        <v>1279</v>
      </c>
      <c r="G129" s="140" t="s">
        <v>1279</v>
      </c>
      <c r="H129" s="60" t="s">
        <v>1281</v>
      </c>
      <c r="I129" s="41"/>
      <c r="J129" s="41"/>
      <c r="K129" s="41"/>
    </row>
    <row r="130" spans="1:11" ht="15" customHeight="1" x14ac:dyDescent="0.25">
      <c r="A130" s="55">
        <f t="shared" si="1"/>
        <v>127</v>
      </c>
      <c r="B130" s="61">
        <v>30001351</v>
      </c>
      <c r="C130" s="62" t="s">
        <v>67</v>
      </c>
      <c r="D130" s="63" t="s">
        <v>1473</v>
      </c>
      <c r="E130" s="64" t="s">
        <v>1545</v>
      </c>
      <c r="F130" s="62" t="s">
        <v>1279</v>
      </c>
      <c r="G130" s="139" t="s">
        <v>1546</v>
      </c>
      <c r="H130" s="60" t="s">
        <v>1281</v>
      </c>
      <c r="I130" s="41"/>
      <c r="J130" s="41"/>
      <c r="K130" s="41"/>
    </row>
    <row r="131" spans="1:11" ht="15" customHeight="1" x14ac:dyDescent="0.25">
      <c r="A131" s="55">
        <f t="shared" si="1"/>
        <v>128</v>
      </c>
      <c r="B131" s="61">
        <v>30001351</v>
      </c>
      <c r="C131" s="62" t="s">
        <v>67</v>
      </c>
      <c r="D131" s="63" t="s">
        <v>1539</v>
      </c>
      <c r="E131" s="64" t="s">
        <v>1547</v>
      </c>
      <c r="F131" s="62" t="s">
        <v>1279</v>
      </c>
      <c r="G131" s="139" t="s">
        <v>1548</v>
      </c>
      <c r="H131" s="60" t="s">
        <v>1281</v>
      </c>
      <c r="I131" s="41"/>
      <c r="J131" s="41"/>
      <c r="K131" s="41"/>
    </row>
    <row r="132" spans="1:11" ht="60" customHeight="1" x14ac:dyDescent="0.25">
      <c r="A132" s="55">
        <f t="shared" ref="A132:A195" si="2">IF(COUNTA(B132:G132)&gt;0,ROW()-3,"")</f>
        <v>129</v>
      </c>
      <c r="B132" s="61">
        <v>30001351</v>
      </c>
      <c r="C132" s="62" t="s">
        <v>67</v>
      </c>
      <c r="D132" s="63" t="s">
        <v>1549</v>
      </c>
      <c r="E132" s="64" t="s">
        <v>1550</v>
      </c>
      <c r="F132" s="62" t="s">
        <v>1279</v>
      </c>
      <c r="G132" s="139" t="s">
        <v>1551</v>
      </c>
      <c r="H132" s="60" t="s">
        <v>1281</v>
      </c>
      <c r="I132" s="41"/>
      <c r="J132" s="41"/>
      <c r="K132" s="41"/>
    </row>
    <row r="133" spans="1:11" ht="24" customHeight="1" x14ac:dyDescent="0.25">
      <c r="A133" s="55">
        <f t="shared" si="2"/>
        <v>130</v>
      </c>
      <c r="B133" s="61">
        <v>30001351</v>
      </c>
      <c r="C133" s="62" t="s">
        <v>67</v>
      </c>
      <c r="D133" s="63" t="s">
        <v>1539</v>
      </c>
      <c r="E133" s="64" t="s">
        <v>1552</v>
      </c>
      <c r="F133" s="62" t="s">
        <v>1279</v>
      </c>
      <c r="G133" s="139" t="s">
        <v>1553</v>
      </c>
      <c r="H133" s="60" t="s">
        <v>1281</v>
      </c>
      <c r="I133" s="41"/>
      <c r="J133" s="41"/>
      <c r="K133" s="41"/>
    </row>
    <row r="134" spans="1:11" ht="60" customHeight="1" x14ac:dyDescent="0.25">
      <c r="A134" s="55">
        <f t="shared" si="2"/>
        <v>131</v>
      </c>
      <c r="B134" s="61">
        <v>30001351</v>
      </c>
      <c r="C134" s="62" t="s">
        <v>67</v>
      </c>
      <c r="D134" s="63" t="s">
        <v>1539</v>
      </c>
      <c r="E134" s="64" t="s">
        <v>1554</v>
      </c>
      <c r="F134" s="62" t="s">
        <v>1279</v>
      </c>
      <c r="G134" s="139" t="s">
        <v>1555</v>
      </c>
      <c r="H134" s="60" t="s">
        <v>1281</v>
      </c>
      <c r="I134" s="41"/>
      <c r="J134" s="41"/>
      <c r="K134" s="41"/>
    </row>
    <row r="135" spans="1:11" ht="48" customHeight="1" x14ac:dyDescent="0.25">
      <c r="A135" s="55">
        <f t="shared" si="2"/>
        <v>132</v>
      </c>
      <c r="B135" s="61">
        <v>30001351</v>
      </c>
      <c r="C135" s="62" t="s">
        <v>67</v>
      </c>
      <c r="D135" s="63" t="s">
        <v>1473</v>
      </c>
      <c r="E135" s="64" t="s">
        <v>1556</v>
      </c>
      <c r="F135" s="62" t="s">
        <v>1279</v>
      </c>
      <c r="G135" s="139" t="s">
        <v>1557</v>
      </c>
      <c r="H135" s="60" t="s">
        <v>1281</v>
      </c>
      <c r="I135" s="41"/>
      <c r="J135" s="41"/>
      <c r="K135" s="41"/>
    </row>
    <row r="136" spans="1:11" ht="24" customHeight="1" x14ac:dyDescent="0.25">
      <c r="A136" s="55">
        <f t="shared" si="2"/>
        <v>133</v>
      </c>
      <c r="B136" s="61">
        <v>30001351</v>
      </c>
      <c r="C136" s="62" t="s">
        <v>67</v>
      </c>
      <c r="D136" s="63" t="s">
        <v>1473</v>
      </c>
      <c r="E136" s="64" t="s">
        <v>1558</v>
      </c>
      <c r="F136" s="62" t="s">
        <v>1279</v>
      </c>
      <c r="G136" s="139" t="s">
        <v>1559</v>
      </c>
      <c r="H136" s="60" t="s">
        <v>1281</v>
      </c>
      <c r="I136" s="41"/>
      <c r="J136" s="41"/>
      <c r="K136" s="41"/>
    </row>
    <row r="137" spans="1:11" ht="25.5" customHeight="1" x14ac:dyDescent="0.25">
      <c r="A137" s="55">
        <f t="shared" si="2"/>
        <v>134</v>
      </c>
      <c r="B137" s="61">
        <v>30001351</v>
      </c>
      <c r="C137" s="62" t="s">
        <v>661</v>
      </c>
      <c r="D137" s="63" t="s">
        <v>1560</v>
      </c>
      <c r="E137" s="64" t="s">
        <v>1561</v>
      </c>
      <c r="F137" s="62" t="s">
        <v>1279</v>
      </c>
      <c r="G137" s="139" t="s">
        <v>1562</v>
      </c>
      <c r="H137" s="60" t="s">
        <v>1281</v>
      </c>
      <c r="I137" s="41"/>
      <c r="J137" s="41"/>
      <c r="K137" s="41"/>
    </row>
    <row r="138" spans="1:11" ht="30" customHeight="1" x14ac:dyDescent="0.25">
      <c r="A138" s="55">
        <f t="shared" si="2"/>
        <v>135</v>
      </c>
      <c r="B138" s="61">
        <v>30001351</v>
      </c>
      <c r="C138" s="62" t="s">
        <v>67</v>
      </c>
      <c r="D138" s="63" t="s">
        <v>1549</v>
      </c>
      <c r="E138" s="64" t="s">
        <v>1563</v>
      </c>
      <c r="F138" s="62" t="s">
        <v>1279</v>
      </c>
      <c r="G138" s="140" t="s">
        <v>1279</v>
      </c>
      <c r="H138" s="60" t="s">
        <v>1281</v>
      </c>
      <c r="I138" s="41"/>
      <c r="J138" s="41"/>
      <c r="K138" s="41"/>
    </row>
    <row r="139" spans="1:11" ht="30" customHeight="1" x14ac:dyDescent="0.25">
      <c r="A139" s="55">
        <f t="shared" si="2"/>
        <v>136</v>
      </c>
      <c r="B139" s="61">
        <v>30001351</v>
      </c>
      <c r="C139" s="62" t="s">
        <v>67</v>
      </c>
      <c r="D139" s="63" t="s">
        <v>1539</v>
      </c>
      <c r="E139" s="64" t="s">
        <v>1564</v>
      </c>
      <c r="F139" s="62" t="s">
        <v>1279</v>
      </c>
      <c r="G139" s="139" t="s">
        <v>1565</v>
      </c>
      <c r="H139" s="60" t="s">
        <v>1281</v>
      </c>
      <c r="I139" s="41"/>
      <c r="J139" s="41"/>
      <c r="K139" s="41"/>
    </row>
    <row r="140" spans="1:11" ht="15" customHeight="1" x14ac:dyDescent="0.25">
      <c r="A140" s="55">
        <f t="shared" si="2"/>
        <v>137</v>
      </c>
      <c r="B140" s="61">
        <v>30001351</v>
      </c>
      <c r="C140" s="62" t="s">
        <v>67</v>
      </c>
      <c r="D140" s="63" t="s">
        <v>1473</v>
      </c>
      <c r="E140" s="64" t="s">
        <v>1566</v>
      </c>
      <c r="F140" s="62" t="s">
        <v>1279</v>
      </c>
      <c r="G140" s="139" t="s">
        <v>1567</v>
      </c>
      <c r="H140" s="60" t="s">
        <v>1281</v>
      </c>
      <c r="I140" s="41"/>
      <c r="J140" s="41"/>
      <c r="K140" s="41"/>
    </row>
    <row r="141" spans="1:11" ht="15" customHeight="1" x14ac:dyDescent="0.25">
      <c r="A141" s="55">
        <f t="shared" si="2"/>
        <v>138</v>
      </c>
      <c r="B141" s="61">
        <v>30001351</v>
      </c>
      <c r="C141" s="62" t="s">
        <v>67</v>
      </c>
      <c r="D141" s="63" t="s">
        <v>1539</v>
      </c>
      <c r="E141" s="64" t="s">
        <v>1568</v>
      </c>
      <c r="F141" s="62" t="s">
        <v>1279</v>
      </c>
      <c r="G141" s="139" t="s">
        <v>1569</v>
      </c>
      <c r="H141" s="60" t="s">
        <v>1281</v>
      </c>
      <c r="I141" s="41"/>
      <c r="J141" s="41"/>
      <c r="K141" s="41"/>
    </row>
    <row r="142" spans="1:11" ht="36" customHeight="1" x14ac:dyDescent="0.25">
      <c r="A142" s="55">
        <f t="shared" si="2"/>
        <v>139</v>
      </c>
      <c r="B142" s="61">
        <v>30001351</v>
      </c>
      <c r="C142" s="62" t="s">
        <v>67</v>
      </c>
      <c r="D142" s="63" t="s">
        <v>1473</v>
      </c>
      <c r="E142" s="64" t="s">
        <v>1570</v>
      </c>
      <c r="F142" s="62" t="s">
        <v>1279</v>
      </c>
      <c r="G142" s="139" t="s">
        <v>1571</v>
      </c>
      <c r="H142" s="60" t="s">
        <v>1281</v>
      </c>
      <c r="I142" s="41"/>
      <c r="J142" s="41"/>
      <c r="K142" s="41"/>
    </row>
    <row r="143" spans="1:11" ht="15" customHeight="1" x14ac:dyDescent="0.25">
      <c r="A143" s="55">
        <f t="shared" si="2"/>
        <v>140</v>
      </c>
      <c r="B143" s="61">
        <v>30001351</v>
      </c>
      <c r="C143" s="62" t="s">
        <v>67</v>
      </c>
      <c r="D143" s="63" t="s">
        <v>1539</v>
      </c>
      <c r="E143" s="64" t="s">
        <v>1572</v>
      </c>
      <c r="F143" s="62" t="s">
        <v>1279</v>
      </c>
      <c r="G143" s="139" t="s">
        <v>1573</v>
      </c>
      <c r="H143" s="60" t="s">
        <v>1281</v>
      </c>
      <c r="I143" s="41"/>
      <c r="J143" s="41"/>
      <c r="K143" s="41"/>
    </row>
    <row r="144" spans="1:11" ht="15" customHeight="1" x14ac:dyDescent="0.25">
      <c r="A144" s="55">
        <f t="shared" si="2"/>
        <v>141</v>
      </c>
      <c r="B144" s="61">
        <v>30001351</v>
      </c>
      <c r="C144" s="62" t="s">
        <v>67</v>
      </c>
      <c r="D144" s="63" t="s">
        <v>1539</v>
      </c>
      <c r="E144" s="64" t="s">
        <v>1574</v>
      </c>
      <c r="F144" s="62" t="s">
        <v>1279</v>
      </c>
      <c r="G144" s="139" t="s">
        <v>1575</v>
      </c>
      <c r="H144" s="60" t="s">
        <v>1281</v>
      </c>
      <c r="I144" s="41"/>
      <c r="J144" s="41"/>
      <c r="K144" s="41"/>
    </row>
    <row r="145" spans="1:11" ht="24" customHeight="1" x14ac:dyDescent="0.25">
      <c r="A145" s="55">
        <f t="shared" si="2"/>
        <v>142</v>
      </c>
      <c r="B145" s="61">
        <v>30001351</v>
      </c>
      <c r="C145" s="62" t="s">
        <v>67</v>
      </c>
      <c r="D145" s="63" t="s">
        <v>1539</v>
      </c>
      <c r="E145" s="64" t="s">
        <v>1576</v>
      </c>
      <c r="F145" s="62" t="s">
        <v>1279</v>
      </c>
      <c r="G145" s="139" t="s">
        <v>1577</v>
      </c>
      <c r="H145" s="60" t="s">
        <v>1281</v>
      </c>
      <c r="I145" s="41"/>
      <c r="J145" s="41"/>
      <c r="K145" s="41"/>
    </row>
    <row r="146" spans="1:11" ht="48" customHeight="1" x14ac:dyDescent="0.25">
      <c r="A146" s="55">
        <f t="shared" si="2"/>
        <v>143</v>
      </c>
      <c r="B146" s="61">
        <v>3000135</v>
      </c>
      <c r="C146" s="62" t="s">
        <v>67</v>
      </c>
      <c r="D146" s="63" t="s">
        <v>1539</v>
      </c>
      <c r="E146" s="64" t="s">
        <v>1578</v>
      </c>
      <c r="F146" s="62" t="s">
        <v>1279</v>
      </c>
      <c r="G146" s="139" t="s">
        <v>1579</v>
      </c>
      <c r="H146" s="60" t="s">
        <v>1281</v>
      </c>
      <c r="I146" s="41"/>
      <c r="J146" s="41"/>
      <c r="K146" s="41"/>
    </row>
    <row r="147" spans="1:11" ht="36" customHeight="1" x14ac:dyDescent="0.25">
      <c r="A147" s="55">
        <f t="shared" si="2"/>
        <v>144</v>
      </c>
      <c r="B147" s="61">
        <v>3000135</v>
      </c>
      <c r="C147" s="62" t="s">
        <v>67</v>
      </c>
      <c r="D147" s="63" t="s">
        <v>1473</v>
      </c>
      <c r="E147" s="64" t="s">
        <v>1578</v>
      </c>
      <c r="F147" s="62" t="s">
        <v>1279</v>
      </c>
      <c r="G147" s="139" t="s">
        <v>1580</v>
      </c>
      <c r="H147" s="60" t="s">
        <v>1281</v>
      </c>
      <c r="I147" s="41"/>
      <c r="J147" s="41"/>
      <c r="K147" s="41"/>
    </row>
    <row r="148" spans="1:11" ht="48" customHeight="1" x14ac:dyDescent="0.25">
      <c r="A148" s="55">
        <f t="shared" si="2"/>
        <v>145</v>
      </c>
      <c r="B148" s="61">
        <v>30001351</v>
      </c>
      <c r="C148" s="62" t="s">
        <v>67</v>
      </c>
      <c r="D148" s="63" t="s">
        <v>37</v>
      </c>
      <c r="E148" s="64" t="s">
        <v>1581</v>
      </c>
      <c r="F148" s="62" t="s">
        <v>1279</v>
      </c>
      <c r="G148" s="139" t="s">
        <v>1582</v>
      </c>
      <c r="H148" s="60" t="s">
        <v>1281</v>
      </c>
      <c r="I148" s="41"/>
      <c r="J148" s="41"/>
      <c r="K148" s="41"/>
    </row>
    <row r="149" spans="1:11" ht="45" customHeight="1" x14ac:dyDescent="0.25">
      <c r="A149" s="55">
        <f t="shared" si="2"/>
        <v>146</v>
      </c>
      <c r="B149" s="61">
        <v>30001351</v>
      </c>
      <c r="C149" s="62" t="s">
        <v>67</v>
      </c>
      <c r="D149" s="63" t="s">
        <v>1473</v>
      </c>
      <c r="E149" s="64" t="s">
        <v>1583</v>
      </c>
      <c r="F149" s="62" t="s">
        <v>1279</v>
      </c>
      <c r="G149" s="139" t="s">
        <v>1584</v>
      </c>
      <c r="H149" s="60" t="s">
        <v>1281</v>
      </c>
      <c r="I149" s="41"/>
      <c r="J149" s="41"/>
      <c r="K149" s="41"/>
    </row>
    <row r="150" spans="1:11" ht="48" customHeight="1" x14ac:dyDescent="0.25">
      <c r="A150" s="55">
        <f t="shared" si="2"/>
        <v>147</v>
      </c>
      <c r="B150" s="61">
        <v>30001351</v>
      </c>
      <c r="C150" s="62" t="s">
        <v>67</v>
      </c>
      <c r="D150" s="63" t="s">
        <v>1473</v>
      </c>
      <c r="E150" s="64" t="s">
        <v>1585</v>
      </c>
      <c r="F150" s="62" t="s">
        <v>1279</v>
      </c>
      <c r="G150" s="139" t="s">
        <v>1586</v>
      </c>
      <c r="H150" s="60" t="s">
        <v>1281</v>
      </c>
      <c r="I150" s="41"/>
      <c r="J150" s="41"/>
      <c r="K150" s="41"/>
    </row>
    <row r="151" spans="1:11" ht="48" customHeight="1" x14ac:dyDescent="0.25">
      <c r="A151" s="55">
        <f t="shared" si="2"/>
        <v>148</v>
      </c>
      <c r="B151" s="61">
        <v>30001351</v>
      </c>
      <c r="C151" s="62" t="s">
        <v>67</v>
      </c>
      <c r="D151" s="63" t="s">
        <v>1473</v>
      </c>
      <c r="E151" s="64" t="s">
        <v>1587</v>
      </c>
      <c r="F151" s="62" t="s">
        <v>1279</v>
      </c>
      <c r="G151" s="139" t="s">
        <v>1588</v>
      </c>
      <c r="H151" s="60" t="s">
        <v>1281</v>
      </c>
      <c r="I151" s="41"/>
      <c r="J151" s="41"/>
      <c r="K151" s="41"/>
    </row>
    <row r="152" spans="1:11" ht="15" customHeight="1" x14ac:dyDescent="0.25">
      <c r="A152" s="55">
        <f t="shared" si="2"/>
        <v>149</v>
      </c>
      <c r="B152" s="61">
        <v>30001351</v>
      </c>
      <c r="C152" s="62" t="s">
        <v>67</v>
      </c>
      <c r="D152" s="63" t="s">
        <v>1539</v>
      </c>
      <c r="E152" s="64" t="s">
        <v>1589</v>
      </c>
      <c r="F152" s="62" t="s">
        <v>1279</v>
      </c>
      <c r="G152" s="139" t="s">
        <v>1590</v>
      </c>
      <c r="H152" s="60" t="s">
        <v>1281</v>
      </c>
      <c r="I152" s="41"/>
      <c r="J152" s="41"/>
      <c r="K152" s="41"/>
    </row>
    <row r="153" spans="1:11" ht="24" customHeight="1" x14ac:dyDescent="0.25">
      <c r="A153" s="55">
        <f t="shared" si="2"/>
        <v>150</v>
      </c>
      <c r="B153" s="61">
        <v>30001351</v>
      </c>
      <c r="C153" s="62" t="s">
        <v>67</v>
      </c>
      <c r="D153" s="63" t="s">
        <v>1473</v>
      </c>
      <c r="E153" s="64" t="s">
        <v>1591</v>
      </c>
      <c r="F153" s="62" t="s">
        <v>1279</v>
      </c>
      <c r="G153" s="139" t="s">
        <v>1592</v>
      </c>
      <c r="H153" s="60" t="s">
        <v>1281</v>
      </c>
      <c r="I153" s="41"/>
      <c r="J153" s="41"/>
      <c r="K153" s="41"/>
    </row>
    <row r="154" spans="1:11" ht="15" customHeight="1" x14ac:dyDescent="0.25">
      <c r="A154" s="55">
        <f t="shared" si="2"/>
        <v>151</v>
      </c>
      <c r="B154" s="61">
        <v>30001351</v>
      </c>
      <c r="C154" s="62" t="s">
        <v>67</v>
      </c>
      <c r="D154" s="63" t="s">
        <v>1473</v>
      </c>
      <c r="E154" s="64" t="s">
        <v>1593</v>
      </c>
      <c r="F154" s="62" t="s">
        <v>1279</v>
      </c>
      <c r="G154" s="139" t="s">
        <v>1594</v>
      </c>
      <c r="H154" s="60" t="s">
        <v>1281</v>
      </c>
      <c r="I154" s="41"/>
      <c r="J154" s="41"/>
      <c r="K154" s="41"/>
    </row>
    <row r="155" spans="1:11" ht="60" customHeight="1" x14ac:dyDescent="0.25">
      <c r="A155" s="55">
        <f t="shared" si="2"/>
        <v>152</v>
      </c>
      <c r="B155" s="61">
        <v>30001351</v>
      </c>
      <c r="C155" s="62" t="s">
        <v>67</v>
      </c>
      <c r="D155" s="63" t="s">
        <v>1473</v>
      </c>
      <c r="E155" s="64" t="s">
        <v>1595</v>
      </c>
      <c r="F155" s="62" t="s">
        <v>1279</v>
      </c>
      <c r="G155" s="139" t="s">
        <v>1596</v>
      </c>
      <c r="H155" s="60" t="s">
        <v>1281</v>
      </c>
      <c r="I155" s="41"/>
      <c r="J155" s="41"/>
      <c r="K155" s="41"/>
    </row>
    <row r="156" spans="1:11" ht="48" customHeight="1" x14ac:dyDescent="0.25">
      <c r="A156" s="55">
        <f t="shared" si="2"/>
        <v>153</v>
      </c>
      <c r="B156" s="61">
        <v>30001351</v>
      </c>
      <c r="C156" s="62" t="s">
        <v>67</v>
      </c>
      <c r="D156" s="63" t="s">
        <v>1539</v>
      </c>
      <c r="E156" s="64" t="s">
        <v>1597</v>
      </c>
      <c r="F156" s="62" t="s">
        <v>1279</v>
      </c>
      <c r="G156" s="139" t="s">
        <v>1598</v>
      </c>
      <c r="H156" s="60" t="s">
        <v>1281</v>
      </c>
      <c r="I156" s="41"/>
      <c r="J156" s="41"/>
      <c r="K156" s="41"/>
    </row>
    <row r="157" spans="1:11" ht="36" customHeight="1" x14ac:dyDescent="0.25">
      <c r="A157" s="55">
        <f t="shared" si="2"/>
        <v>154</v>
      </c>
      <c r="B157" s="61">
        <v>30001351</v>
      </c>
      <c r="C157" s="62" t="s">
        <v>67</v>
      </c>
      <c r="D157" s="63" t="s">
        <v>1473</v>
      </c>
      <c r="E157" s="64" t="s">
        <v>1599</v>
      </c>
      <c r="F157" s="62" t="s">
        <v>1279</v>
      </c>
      <c r="G157" s="139" t="s">
        <v>1600</v>
      </c>
      <c r="H157" s="60" t="s">
        <v>1281</v>
      </c>
      <c r="I157" s="41"/>
      <c r="J157" s="41"/>
      <c r="K157" s="41"/>
    </row>
    <row r="158" spans="1:11" ht="48" customHeight="1" x14ac:dyDescent="0.25">
      <c r="A158" s="55">
        <f t="shared" si="2"/>
        <v>155</v>
      </c>
      <c r="B158" s="61">
        <v>30001351</v>
      </c>
      <c r="C158" s="62" t="s">
        <v>67</v>
      </c>
      <c r="D158" s="63" t="s">
        <v>1473</v>
      </c>
      <c r="E158" s="64" t="s">
        <v>1601</v>
      </c>
      <c r="F158" s="62" t="s">
        <v>1279</v>
      </c>
      <c r="G158" s="139" t="s">
        <v>1602</v>
      </c>
      <c r="H158" s="60" t="s">
        <v>1281</v>
      </c>
      <c r="I158" s="41"/>
      <c r="J158" s="41"/>
      <c r="K158" s="41"/>
    </row>
    <row r="159" spans="1:11" ht="15" customHeight="1" x14ac:dyDescent="0.25">
      <c r="A159" s="55">
        <f t="shared" si="2"/>
        <v>156</v>
      </c>
      <c r="B159" s="61" t="s">
        <v>1476</v>
      </c>
      <c r="C159" s="62" t="s">
        <v>72</v>
      </c>
      <c r="D159" s="63" t="s">
        <v>1603</v>
      </c>
      <c r="E159" s="64" t="s">
        <v>1604</v>
      </c>
      <c r="F159" s="62" t="s">
        <v>1279</v>
      </c>
      <c r="G159" s="139" t="s">
        <v>1605</v>
      </c>
      <c r="H159" s="60" t="s">
        <v>1281</v>
      </c>
      <c r="I159" s="41"/>
      <c r="J159" s="41"/>
      <c r="K159" s="41"/>
    </row>
    <row r="160" spans="1:11" ht="25.5" customHeight="1" x14ac:dyDescent="0.25">
      <c r="A160" s="55">
        <f t="shared" si="2"/>
        <v>157</v>
      </c>
      <c r="B160" s="61">
        <v>30001575</v>
      </c>
      <c r="C160" s="62" t="s">
        <v>661</v>
      </c>
      <c r="D160" s="63" t="s">
        <v>1606</v>
      </c>
      <c r="E160" s="64" t="s">
        <v>1607</v>
      </c>
      <c r="F160" s="62" t="s">
        <v>1279</v>
      </c>
      <c r="G160" s="139" t="s">
        <v>1608</v>
      </c>
      <c r="H160" s="60" t="s">
        <v>1281</v>
      </c>
      <c r="I160" s="41"/>
      <c r="J160" s="41"/>
      <c r="K160" s="41"/>
    </row>
    <row r="161" spans="1:11" ht="15" customHeight="1" x14ac:dyDescent="0.25">
      <c r="A161" s="55">
        <f t="shared" si="2"/>
        <v>158</v>
      </c>
      <c r="B161" s="61">
        <v>30001575</v>
      </c>
      <c r="C161" s="62" t="s">
        <v>72</v>
      </c>
      <c r="D161" s="63" t="s">
        <v>1606</v>
      </c>
      <c r="E161" s="64" t="s">
        <v>1609</v>
      </c>
      <c r="F161" s="62" t="s">
        <v>1279</v>
      </c>
      <c r="G161" s="139" t="s">
        <v>1610</v>
      </c>
      <c r="H161" s="60" t="s">
        <v>1281</v>
      </c>
      <c r="I161" s="41"/>
      <c r="J161" s="41"/>
      <c r="K161" s="41"/>
    </row>
    <row r="162" spans="1:11" ht="25.5" customHeight="1" x14ac:dyDescent="0.25">
      <c r="A162" s="55">
        <f t="shared" si="2"/>
        <v>159</v>
      </c>
      <c r="B162" s="61">
        <v>30001575</v>
      </c>
      <c r="C162" s="62" t="s">
        <v>661</v>
      </c>
      <c r="D162" s="63" t="s">
        <v>1606</v>
      </c>
      <c r="E162" s="64" t="s">
        <v>1607</v>
      </c>
      <c r="F162" s="62" t="s">
        <v>1279</v>
      </c>
      <c r="G162" s="139" t="s">
        <v>1611</v>
      </c>
      <c r="H162" s="60" t="s">
        <v>1281</v>
      </c>
      <c r="I162" s="41"/>
      <c r="J162" s="41"/>
      <c r="K162" s="41"/>
    </row>
    <row r="163" spans="1:11" ht="25.5" customHeight="1" x14ac:dyDescent="0.25">
      <c r="A163" s="55">
        <f t="shared" si="2"/>
        <v>160</v>
      </c>
      <c r="B163" s="61">
        <v>30001575</v>
      </c>
      <c r="C163" s="62" t="s">
        <v>661</v>
      </c>
      <c r="D163" s="63" t="s">
        <v>1606</v>
      </c>
      <c r="E163" s="64" t="s">
        <v>1607</v>
      </c>
      <c r="F163" s="62" t="s">
        <v>1279</v>
      </c>
      <c r="G163" s="139" t="s">
        <v>1612</v>
      </c>
      <c r="H163" s="60" t="s">
        <v>1281</v>
      </c>
      <c r="I163" s="41"/>
      <c r="J163" s="41"/>
      <c r="K163" s="41"/>
    </row>
    <row r="164" spans="1:11" ht="15" customHeight="1" x14ac:dyDescent="0.25">
      <c r="A164" s="55">
        <f t="shared" si="2"/>
        <v>161</v>
      </c>
      <c r="B164" s="61">
        <v>30001575</v>
      </c>
      <c r="C164" s="62" t="s">
        <v>72</v>
      </c>
      <c r="D164" s="63" t="s">
        <v>1606</v>
      </c>
      <c r="E164" s="64" t="s">
        <v>1613</v>
      </c>
      <c r="F164" s="62" t="s">
        <v>1279</v>
      </c>
      <c r="G164" s="139" t="s">
        <v>1614</v>
      </c>
      <c r="H164" s="60" t="s">
        <v>1281</v>
      </c>
      <c r="I164" s="41"/>
      <c r="J164" s="41"/>
      <c r="K164" s="41"/>
    </row>
    <row r="165" spans="1:11" ht="15" customHeight="1" x14ac:dyDescent="0.25">
      <c r="A165" s="55">
        <f t="shared" si="2"/>
        <v>162</v>
      </c>
      <c r="B165" s="61">
        <v>30001575</v>
      </c>
      <c r="C165" s="62" t="s">
        <v>72</v>
      </c>
      <c r="D165" s="63" t="s">
        <v>1606</v>
      </c>
      <c r="E165" s="64" t="s">
        <v>1615</v>
      </c>
      <c r="F165" s="62" t="s">
        <v>1279</v>
      </c>
      <c r="G165" s="139" t="s">
        <v>1616</v>
      </c>
      <c r="H165" s="60" t="s">
        <v>1281</v>
      </c>
      <c r="I165" s="41"/>
      <c r="J165" s="41"/>
      <c r="K165" s="41"/>
    </row>
    <row r="166" spans="1:11" ht="15" customHeight="1" x14ac:dyDescent="0.25">
      <c r="A166" s="55">
        <f t="shared" si="2"/>
        <v>163</v>
      </c>
      <c r="B166" s="61">
        <v>30001575</v>
      </c>
      <c r="C166" s="62" t="s">
        <v>72</v>
      </c>
      <c r="D166" s="63" t="s">
        <v>1606</v>
      </c>
      <c r="E166" s="64" t="s">
        <v>1617</v>
      </c>
      <c r="F166" s="62" t="s">
        <v>1279</v>
      </c>
      <c r="G166" s="139" t="s">
        <v>1618</v>
      </c>
      <c r="H166" s="60" t="s">
        <v>1281</v>
      </c>
      <c r="I166" s="41"/>
      <c r="J166" s="41"/>
      <c r="K166" s="41"/>
    </row>
    <row r="167" spans="1:11" ht="25.5" customHeight="1" x14ac:dyDescent="0.25">
      <c r="A167" s="55">
        <f t="shared" si="2"/>
        <v>164</v>
      </c>
      <c r="B167" s="61" t="s">
        <v>1619</v>
      </c>
      <c r="C167" s="62" t="s">
        <v>72</v>
      </c>
      <c r="D167" s="63" t="s">
        <v>1620</v>
      </c>
      <c r="E167" s="64" t="s">
        <v>1621</v>
      </c>
      <c r="F167" s="62" t="s">
        <v>1279</v>
      </c>
      <c r="G167" s="139" t="s">
        <v>1622</v>
      </c>
      <c r="H167" s="60" t="s">
        <v>1281</v>
      </c>
      <c r="I167" s="41"/>
      <c r="J167" s="41"/>
      <c r="K167" s="41"/>
    </row>
    <row r="168" spans="1:11" ht="15" customHeight="1" x14ac:dyDescent="0.25">
      <c r="A168" s="55">
        <f t="shared" si="2"/>
        <v>165</v>
      </c>
      <c r="B168" s="61">
        <v>30001575</v>
      </c>
      <c r="C168" s="62" t="s">
        <v>72</v>
      </c>
      <c r="D168" s="63" t="s">
        <v>1606</v>
      </c>
      <c r="E168" s="64" t="s">
        <v>1623</v>
      </c>
      <c r="F168" s="62" t="s">
        <v>1279</v>
      </c>
      <c r="G168" s="139" t="s">
        <v>1624</v>
      </c>
      <c r="H168" s="60" t="s">
        <v>1281</v>
      </c>
      <c r="I168" s="41"/>
      <c r="J168" s="41"/>
      <c r="K168" s="41"/>
    </row>
    <row r="169" spans="1:11" ht="25.5" customHeight="1" x14ac:dyDescent="0.25">
      <c r="A169" s="55">
        <f t="shared" si="2"/>
        <v>166</v>
      </c>
      <c r="B169" s="61" t="s">
        <v>1619</v>
      </c>
      <c r="C169" s="62" t="s">
        <v>72</v>
      </c>
      <c r="D169" s="63" t="s">
        <v>1620</v>
      </c>
      <c r="E169" s="64" t="s">
        <v>1625</v>
      </c>
      <c r="F169" s="62" t="s">
        <v>1279</v>
      </c>
      <c r="G169" s="139" t="s">
        <v>1626</v>
      </c>
      <c r="H169" s="60" t="s">
        <v>1281</v>
      </c>
      <c r="I169" s="41"/>
      <c r="J169" s="41"/>
      <c r="K169" s="41"/>
    </row>
    <row r="170" spans="1:11" ht="15" customHeight="1" x14ac:dyDescent="0.25">
      <c r="A170" s="55">
        <f t="shared" si="2"/>
        <v>167</v>
      </c>
      <c r="B170" s="61">
        <v>30001575</v>
      </c>
      <c r="C170" s="62" t="s">
        <v>72</v>
      </c>
      <c r="D170" s="63" t="s">
        <v>1606</v>
      </c>
      <c r="E170" s="64" t="s">
        <v>1627</v>
      </c>
      <c r="F170" s="62" t="s">
        <v>1279</v>
      </c>
      <c r="G170" s="139" t="s">
        <v>1628</v>
      </c>
      <c r="H170" s="60" t="s">
        <v>1281</v>
      </c>
      <c r="I170" s="41"/>
      <c r="J170" s="41"/>
      <c r="K170" s="41"/>
    </row>
    <row r="171" spans="1:11" ht="25.5" customHeight="1" x14ac:dyDescent="0.25">
      <c r="A171" s="55">
        <f t="shared" si="2"/>
        <v>168</v>
      </c>
      <c r="B171" s="61" t="s">
        <v>1619</v>
      </c>
      <c r="C171" s="62" t="s">
        <v>72</v>
      </c>
      <c r="D171" s="63" t="s">
        <v>1620</v>
      </c>
      <c r="E171" s="64" t="s">
        <v>1629</v>
      </c>
      <c r="F171" s="62" t="s">
        <v>1279</v>
      </c>
      <c r="G171" s="139" t="s">
        <v>1630</v>
      </c>
      <c r="H171" s="60" t="s">
        <v>1281</v>
      </c>
      <c r="I171" s="41"/>
      <c r="J171" s="41"/>
      <c r="K171" s="41"/>
    </row>
    <row r="172" spans="1:11" ht="15" customHeight="1" x14ac:dyDescent="0.25">
      <c r="A172" s="55">
        <f t="shared" si="2"/>
        <v>169</v>
      </c>
      <c r="B172" s="61">
        <v>30001575</v>
      </c>
      <c r="C172" s="62" t="s">
        <v>72</v>
      </c>
      <c r="D172" s="63" t="s">
        <v>1606</v>
      </c>
      <c r="E172" s="64" t="s">
        <v>1631</v>
      </c>
      <c r="F172" s="62" t="s">
        <v>1279</v>
      </c>
      <c r="G172" s="139" t="s">
        <v>1632</v>
      </c>
      <c r="H172" s="60" t="s">
        <v>1281</v>
      </c>
      <c r="I172" s="41"/>
      <c r="J172" s="41"/>
      <c r="K172" s="41"/>
    </row>
    <row r="173" spans="1:11" ht="25.5" customHeight="1" x14ac:dyDescent="0.25">
      <c r="A173" s="55">
        <f t="shared" si="2"/>
        <v>170</v>
      </c>
      <c r="B173" s="61" t="s">
        <v>1619</v>
      </c>
      <c r="C173" s="62" t="s">
        <v>72</v>
      </c>
      <c r="D173" s="63" t="s">
        <v>1620</v>
      </c>
      <c r="E173" s="64" t="s">
        <v>1633</v>
      </c>
      <c r="F173" s="62" t="s">
        <v>1279</v>
      </c>
      <c r="G173" s="139" t="s">
        <v>1634</v>
      </c>
      <c r="H173" s="60" t="s">
        <v>1281</v>
      </c>
      <c r="I173" s="41"/>
      <c r="J173" s="41"/>
      <c r="K173" s="41"/>
    </row>
    <row r="174" spans="1:11" ht="15" customHeight="1" x14ac:dyDescent="0.25">
      <c r="A174" s="55">
        <f t="shared" si="2"/>
        <v>171</v>
      </c>
      <c r="B174" s="61">
        <v>30001575</v>
      </c>
      <c r="C174" s="62" t="s">
        <v>72</v>
      </c>
      <c r="D174" s="63" t="s">
        <v>1606</v>
      </c>
      <c r="E174" s="64" t="s">
        <v>1635</v>
      </c>
      <c r="F174" s="62" t="s">
        <v>1279</v>
      </c>
      <c r="G174" s="139" t="s">
        <v>1636</v>
      </c>
      <c r="H174" s="60" t="s">
        <v>1281</v>
      </c>
      <c r="I174" s="41"/>
      <c r="J174" s="41"/>
      <c r="K174" s="41"/>
    </row>
    <row r="175" spans="1:11" ht="25.5" customHeight="1" x14ac:dyDescent="0.25">
      <c r="A175" s="55">
        <f t="shared" si="2"/>
        <v>172</v>
      </c>
      <c r="B175" s="61" t="s">
        <v>1619</v>
      </c>
      <c r="C175" s="62" t="s">
        <v>72</v>
      </c>
      <c r="D175" s="63" t="s">
        <v>1620</v>
      </c>
      <c r="E175" s="64" t="s">
        <v>1637</v>
      </c>
      <c r="F175" s="62" t="s">
        <v>1279</v>
      </c>
      <c r="G175" s="139" t="s">
        <v>1638</v>
      </c>
      <c r="H175" s="60" t="s">
        <v>1281</v>
      </c>
      <c r="I175" s="41"/>
      <c r="J175" s="41"/>
      <c r="K175" s="41"/>
    </row>
    <row r="176" spans="1:11" ht="15" customHeight="1" x14ac:dyDescent="0.25">
      <c r="A176" s="55">
        <f t="shared" si="2"/>
        <v>173</v>
      </c>
      <c r="B176" s="61">
        <v>30001575</v>
      </c>
      <c r="C176" s="62" t="s">
        <v>72</v>
      </c>
      <c r="D176" s="63" t="s">
        <v>1606</v>
      </c>
      <c r="E176" s="64" t="s">
        <v>1639</v>
      </c>
      <c r="F176" s="62" t="s">
        <v>1279</v>
      </c>
      <c r="G176" s="139" t="s">
        <v>1640</v>
      </c>
      <c r="H176" s="60" t="s">
        <v>1281</v>
      </c>
      <c r="I176" s="41"/>
      <c r="J176" s="41"/>
      <c r="K176" s="41"/>
    </row>
    <row r="177" spans="1:11" ht="25.5" customHeight="1" x14ac:dyDescent="0.25">
      <c r="A177" s="55">
        <f t="shared" si="2"/>
        <v>174</v>
      </c>
      <c r="B177" s="61" t="s">
        <v>1619</v>
      </c>
      <c r="C177" s="62" t="s">
        <v>72</v>
      </c>
      <c r="D177" s="63" t="s">
        <v>1620</v>
      </c>
      <c r="E177" s="64" t="s">
        <v>1641</v>
      </c>
      <c r="F177" s="62" t="s">
        <v>1279</v>
      </c>
      <c r="G177" s="139" t="s">
        <v>1642</v>
      </c>
      <c r="H177" s="60" t="s">
        <v>1281</v>
      </c>
      <c r="I177" s="41"/>
      <c r="J177" s="41"/>
      <c r="K177" s="41"/>
    </row>
    <row r="178" spans="1:11" ht="25.5" customHeight="1" x14ac:dyDescent="0.25">
      <c r="A178" s="55">
        <f t="shared" si="2"/>
        <v>175</v>
      </c>
      <c r="B178" s="61" t="s">
        <v>1476</v>
      </c>
      <c r="C178" s="62" t="s">
        <v>33</v>
      </c>
      <c r="D178" s="63" t="s">
        <v>37</v>
      </c>
      <c r="E178" s="64" t="s">
        <v>1643</v>
      </c>
      <c r="F178" s="62" t="s">
        <v>1279</v>
      </c>
      <c r="G178" s="139" t="s">
        <v>1644</v>
      </c>
      <c r="H178" s="60" t="s">
        <v>1281</v>
      </c>
      <c r="I178" s="41"/>
      <c r="J178" s="41"/>
      <c r="K178" s="41"/>
    </row>
    <row r="179" spans="1:11" ht="30" customHeight="1" x14ac:dyDescent="0.25">
      <c r="A179" s="55">
        <f t="shared" si="2"/>
        <v>176</v>
      </c>
      <c r="B179" s="61" t="s">
        <v>1619</v>
      </c>
      <c r="C179" s="62" t="s">
        <v>72</v>
      </c>
      <c r="D179" s="63" t="s">
        <v>1620</v>
      </c>
      <c r="E179" s="64" t="s">
        <v>1645</v>
      </c>
      <c r="F179" s="62" t="s">
        <v>1279</v>
      </c>
      <c r="G179" s="139" t="s">
        <v>1646</v>
      </c>
      <c r="H179" s="60" t="s">
        <v>1281</v>
      </c>
      <c r="I179" s="41"/>
      <c r="J179" s="41"/>
      <c r="K179" s="41"/>
    </row>
    <row r="180" spans="1:11" ht="15" customHeight="1" x14ac:dyDescent="0.25">
      <c r="A180" s="55">
        <f t="shared" si="2"/>
        <v>177</v>
      </c>
      <c r="B180" s="61">
        <v>30001575</v>
      </c>
      <c r="C180" s="62" t="s">
        <v>72</v>
      </c>
      <c r="D180" s="63" t="s">
        <v>1606</v>
      </c>
      <c r="E180" s="64" t="s">
        <v>1647</v>
      </c>
      <c r="F180" s="62" t="s">
        <v>1279</v>
      </c>
      <c r="G180" s="139" t="s">
        <v>1648</v>
      </c>
      <c r="H180" s="60" t="s">
        <v>1281</v>
      </c>
      <c r="I180" s="41"/>
      <c r="J180" s="41"/>
      <c r="K180" s="41"/>
    </row>
    <row r="181" spans="1:11" ht="15" customHeight="1" x14ac:dyDescent="0.25">
      <c r="A181" s="55">
        <f t="shared" si="2"/>
        <v>178</v>
      </c>
      <c r="B181" s="61">
        <v>30001575</v>
      </c>
      <c r="C181" s="62" t="s">
        <v>72</v>
      </c>
      <c r="D181" s="63" t="s">
        <v>1606</v>
      </c>
      <c r="E181" s="64" t="s">
        <v>1649</v>
      </c>
      <c r="F181" s="62" t="s">
        <v>1279</v>
      </c>
      <c r="G181" s="139" t="s">
        <v>1650</v>
      </c>
      <c r="H181" s="60" t="s">
        <v>1281</v>
      </c>
      <c r="I181" s="41"/>
      <c r="J181" s="41"/>
      <c r="K181" s="41"/>
    </row>
    <row r="182" spans="1:11" ht="15" customHeight="1" x14ac:dyDescent="0.25">
      <c r="A182" s="55">
        <f t="shared" si="2"/>
        <v>179</v>
      </c>
      <c r="B182" s="61">
        <v>30004221</v>
      </c>
      <c r="C182" s="62" t="s">
        <v>67</v>
      </c>
      <c r="D182" s="63" t="s">
        <v>1651</v>
      </c>
      <c r="E182" s="64" t="s">
        <v>1652</v>
      </c>
      <c r="F182" s="62" t="s">
        <v>1279</v>
      </c>
      <c r="G182" s="139" t="s">
        <v>1653</v>
      </c>
      <c r="H182" s="60" t="s">
        <v>1281</v>
      </c>
      <c r="I182" s="41"/>
      <c r="J182" s="41"/>
      <c r="K182" s="41"/>
    </row>
    <row r="183" spans="1:11" ht="25.5" customHeight="1" x14ac:dyDescent="0.25">
      <c r="A183" s="55">
        <f t="shared" si="2"/>
        <v>180</v>
      </c>
      <c r="B183" s="61" t="s">
        <v>1619</v>
      </c>
      <c r="C183" s="62" t="s">
        <v>72</v>
      </c>
      <c r="D183" s="63" t="s">
        <v>1620</v>
      </c>
      <c r="E183" s="64" t="s">
        <v>1654</v>
      </c>
      <c r="F183" s="62" t="s">
        <v>1279</v>
      </c>
      <c r="G183" s="139" t="s">
        <v>1655</v>
      </c>
      <c r="H183" s="60" t="s">
        <v>1281</v>
      </c>
      <c r="I183" s="41"/>
      <c r="J183" s="41"/>
      <c r="K183" s="41"/>
    </row>
    <row r="184" spans="1:11" ht="15" customHeight="1" x14ac:dyDescent="0.25">
      <c r="A184" s="55">
        <f t="shared" si="2"/>
        <v>181</v>
      </c>
      <c r="B184" s="61">
        <v>30004221</v>
      </c>
      <c r="C184" s="62" t="s">
        <v>67</v>
      </c>
      <c r="D184" s="63" t="s">
        <v>1651</v>
      </c>
      <c r="E184" s="64" t="s">
        <v>1656</v>
      </c>
      <c r="F184" s="62" t="s">
        <v>1279</v>
      </c>
      <c r="G184" s="139" t="s">
        <v>1657</v>
      </c>
      <c r="H184" s="60" t="s">
        <v>1281</v>
      </c>
      <c r="I184" s="41"/>
      <c r="J184" s="41"/>
      <c r="K184" s="41"/>
    </row>
    <row r="185" spans="1:11" ht="45" customHeight="1" x14ac:dyDescent="0.25">
      <c r="A185" s="55">
        <f t="shared" si="2"/>
        <v>182</v>
      </c>
      <c r="B185" s="61">
        <v>30001575</v>
      </c>
      <c r="C185" s="62" t="s">
        <v>72</v>
      </c>
      <c r="D185" s="63" t="s">
        <v>1606</v>
      </c>
      <c r="E185" s="64" t="s">
        <v>1658</v>
      </c>
      <c r="F185" s="62" t="s">
        <v>1279</v>
      </c>
      <c r="G185" s="139" t="s">
        <v>1659</v>
      </c>
      <c r="H185" s="60" t="s">
        <v>1281</v>
      </c>
      <c r="I185" s="41"/>
      <c r="J185" s="41"/>
      <c r="K185" s="41"/>
    </row>
    <row r="186" spans="1:11" ht="15" customHeight="1" x14ac:dyDescent="0.25">
      <c r="A186" s="55">
        <f t="shared" si="2"/>
        <v>183</v>
      </c>
      <c r="B186" s="61">
        <v>30004221</v>
      </c>
      <c r="C186" s="62" t="s">
        <v>67</v>
      </c>
      <c r="D186" s="63" t="s">
        <v>1651</v>
      </c>
      <c r="E186" s="64" t="s">
        <v>1660</v>
      </c>
      <c r="F186" s="62" t="s">
        <v>1279</v>
      </c>
      <c r="G186" s="139" t="s">
        <v>1661</v>
      </c>
      <c r="H186" s="60" t="s">
        <v>1281</v>
      </c>
      <c r="I186" s="41"/>
      <c r="J186" s="41"/>
      <c r="K186" s="41"/>
    </row>
    <row r="187" spans="1:11" ht="15" customHeight="1" x14ac:dyDescent="0.25">
      <c r="A187" s="55">
        <f t="shared" si="2"/>
        <v>184</v>
      </c>
      <c r="B187" s="61">
        <v>30004221</v>
      </c>
      <c r="C187" s="62" t="s">
        <v>67</v>
      </c>
      <c r="D187" s="63" t="s">
        <v>1651</v>
      </c>
      <c r="E187" s="64" t="s">
        <v>1660</v>
      </c>
      <c r="F187" s="62" t="s">
        <v>1279</v>
      </c>
      <c r="G187" s="139" t="s">
        <v>1662</v>
      </c>
      <c r="H187" s="60" t="s">
        <v>1281</v>
      </c>
      <c r="I187" s="41"/>
      <c r="J187" s="41"/>
      <c r="K187" s="41"/>
    </row>
    <row r="188" spans="1:11" ht="25.5" customHeight="1" x14ac:dyDescent="0.25">
      <c r="A188" s="55">
        <f t="shared" si="2"/>
        <v>185</v>
      </c>
      <c r="B188" s="61" t="s">
        <v>1476</v>
      </c>
      <c r="C188" s="62" t="s">
        <v>33</v>
      </c>
      <c r="D188" s="63" t="s">
        <v>37</v>
      </c>
      <c r="E188" s="64" t="s">
        <v>1663</v>
      </c>
      <c r="F188" s="62" t="s">
        <v>1279</v>
      </c>
      <c r="G188" s="139" t="s">
        <v>1664</v>
      </c>
      <c r="H188" s="60" t="s">
        <v>1281</v>
      </c>
      <c r="I188" s="41"/>
      <c r="J188" s="41"/>
      <c r="K188" s="41"/>
    </row>
    <row r="189" spans="1:11" ht="15" customHeight="1" x14ac:dyDescent="0.25">
      <c r="A189" s="55">
        <f t="shared" si="2"/>
        <v>186</v>
      </c>
      <c r="B189" s="61">
        <v>30001575</v>
      </c>
      <c r="C189" s="62" t="s">
        <v>72</v>
      </c>
      <c r="D189" s="63" t="s">
        <v>1606</v>
      </c>
      <c r="E189" s="64" t="s">
        <v>1665</v>
      </c>
      <c r="F189" s="62" t="s">
        <v>1279</v>
      </c>
      <c r="G189" s="139" t="s">
        <v>1666</v>
      </c>
      <c r="H189" s="60" t="s">
        <v>1281</v>
      </c>
      <c r="I189" s="41"/>
      <c r="J189" s="41"/>
      <c r="K189" s="41"/>
    </row>
    <row r="190" spans="1:11" ht="15" customHeight="1" x14ac:dyDescent="0.25">
      <c r="A190" s="55">
        <f t="shared" si="2"/>
        <v>187</v>
      </c>
      <c r="B190" s="61">
        <v>30004221</v>
      </c>
      <c r="C190" s="62" t="s">
        <v>67</v>
      </c>
      <c r="D190" s="63" t="s">
        <v>1651</v>
      </c>
      <c r="E190" s="64" t="s">
        <v>1667</v>
      </c>
      <c r="F190" s="62" t="s">
        <v>1279</v>
      </c>
      <c r="G190" s="139" t="s">
        <v>1668</v>
      </c>
      <c r="H190" s="60" t="s">
        <v>1281</v>
      </c>
      <c r="I190" s="41"/>
      <c r="J190" s="41"/>
      <c r="K190" s="41"/>
    </row>
    <row r="191" spans="1:11" ht="15" customHeight="1" x14ac:dyDescent="0.25">
      <c r="A191" s="55">
        <f t="shared" si="2"/>
        <v>188</v>
      </c>
      <c r="B191" s="61">
        <v>30004221</v>
      </c>
      <c r="C191" s="62" t="s">
        <v>67</v>
      </c>
      <c r="D191" s="63" t="s">
        <v>1651</v>
      </c>
      <c r="E191" s="64" t="s">
        <v>1669</v>
      </c>
      <c r="F191" s="62" t="s">
        <v>1279</v>
      </c>
      <c r="G191" s="139" t="s">
        <v>1670</v>
      </c>
      <c r="H191" s="60" t="s">
        <v>1281</v>
      </c>
      <c r="I191" s="41"/>
      <c r="J191" s="41"/>
      <c r="K191" s="41"/>
    </row>
    <row r="192" spans="1:11" ht="15" customHeight="1" x14ac:dyDescent="0.25">
      <c r="A192" s="55">
        <f t="shared" si="2"/>
        <v>189</v>
      </c>
      <c r="B192" s="61">
        <v>30001575</v>
      </c>
      <c r="C192" s="62" t="s">
        <v>72</v>
      </c>
      <c r="D192" s="63" t="s">
        <v>1606</v>
      </c>
      <c r="E192" s="64" t="s">
        <v>1671</v>
      </c>
      <c r="F192" s="62" t="s">
        <v>1279</v>
      </c>
      <c r="G192" s="139" t="s">
        <v>1672</v>
      </c>
      <c r="H192" s="60" t="s">
        <v>1281</v>
      </c>
      <c r="I192" s="41"/>
      <c r="J192" s="41"/>
      <c r="K192" s="41"/>
    </row>
    <row r="193" spans="1:11" ht="30" customHeight="1" x14ac:dyDescent="0.25">
      <c r="A193" s="55">
        <f t="shared" si="2"/>
        <v>190</v>
      </c>
      <c r="B193" s="61" t="s">
        <v>1619</v>
      </c>
      <c r="C193" s="62" t="s">
        <v>72</v>
      </c>
      <c r="D193" s="63" t="s">
        <v>1620</v>
      </c>
      <c r="E193" s="64" t="s">
        <v>1673</v>
      </c>
      <c r="F193" s="62" t="s">
        <v>1279</v>
      </c>
      <c r="G193" s="139" t="s">
        <v>1674</v>
      </c>
      <c r="H193" s="60" t="s">
        <v>1281</v>
      </c>
      <c r="I193" s="41"/>
      <c r="J193" s="41"/>
      <c r="K193" s="41"/>
    </row>
    <row r="194" spans="1:11" ht="15" customHeight="1" x14ac:dyDescent="0.25">
      <c r="A194" s="55">
        <f t="shared" si="2"/>
        <v>191</v>
      </c>
      <c r="B194" s="61">
        <v>30004221</v>
      </c>
      <c r="C194" s="62" t="s">
        <v>67</v>
      </c>
      <c r="D194" s="63" t="s">
        <v>1651</v>
      </c>
      <c r="E194" s="64" t="s">
        <v>1675</v>
      </c>
      <c r="F194" s="62" t="s">
        <v>1279</v>
      </c>
      <c r="G194" s="139" t="s">
        <v>1676</v>
      </c>
      <c r="H194" s="60" t="s">
        <v>1281</v>
      </c>
      <c r="I194" s="41"/>
      <c r="J194" s="41"/>
      <c r="K194" s="41"/>
    </row>
    <row r="195" spans="1:11" ht="25.5" customHeight="1" x14ac:dyDescent="0.25">
      <c r="A195" s="55">
        <f t="shared" si="2"/>
        <v>192</v>
      </c>
      <c r="B195" s="61" t="s">
        <v>1476</v>
      </c>
      <c r="C195" s="62" t="s">
        <v>33</v>
      </c>
      <c r="D195" s="63" t="s">
        <v>37</v>
      </c>
      <c r="E195" s="64" t="s">
        <v>1677</v>
      </c>
      <c r="F195" s="62" t="s">
        <v>1279</v>
      </c>
      <c r="G195" s="139" t="s">
        <v>1678</v>
      </c>
      <c r="H195" s="60" t="s">
        <v>1281</v>
      </c>
      <c r="I195" s="41"/>
      <c r="J195" s="41"/>
      <c r="K195" s="41"/>
    </row>
    <row r="196" spans="1:11" ht="15" customHeight="1" x14ac:dyDescent="0.25">
      <c r="A196" s="55">
        <f t="shared" ref="A196:A259" si="3">IF(COUNTA(B196:G196)&gt;0,ROW()-3,"")</f>
        <v>193</v>
      </c>
      <c r="B196" s="61">
        <v>30004221</v>
      </c>
      <c r="C196" s="62" t="s">
        <v>67</v>
      </c>
      <c r="D196" s="63" t="s">
        <v>1651</v>
      </c>
      <c r="E196" s="64" t="s">
        <v>1679</v>
      </c>
      <c r="F196" s="62" t="s">
        <v>1279</v>
      </c>
      <c r="G196" s="139" t="s">
        <v>1680</v>
      </c>
      <c r="H196" s="60" t="s">
        <v>1281</v>
      </c>
      <c r="I196" s="41"/>
      <c r="J196" s="41"/>
      <c r="K196" s="41"/>
    </row>
    <row r="197" spans="1:11" ht="15" customHeight="1" x14ac:dyDescent="0.25">
      <c r="A197" s="55">
        <f t="shared" si="3"/>
        <v>194</v>
      </c>
      <c r="B197" s="61" t="s">
        <v>1681</v>
      </c>
      <c r="C197" s="62" t="s">
        <v>72</v>
      </c>
      <c r="D197" s="63" t="s">
        <v>1606</v>
      </c>
      <c r="E197" s="64" t="s">
        <v>1671</v>
      </c>
      <c r="F197" s="62" t="s">
        <v>1279</v>
      </c>
      <c r="G197" s="139" t="s">
        <v>1682</v>
      </c>
      <c r="H197" s="60" t="s">
        <v>1281</v>
      </c>
      <c r="I197" s="41"/>
      <c r="J197" s="41"/>
      <c r="K197" s="41"/>
    </row>
    <row r="198" spans="1:11" ht="15" customHeight="1" x14ac:dyDescent="0.25">
      <c r="A198" s="55">
        <f t="shared" si="3"/>
        <v>195</v>
      </c>
      <c r="B198" s="61">
        <v>30004221</v>
      </c>
      <c r="C198" s="62" t="s">
        <v>67</v>
      </c>
      <c r="D198" s="63" t="s">
        <v>1651</v>
      </c>
      <c r="E198" s="64" t="s">
        <v>1679</v>
      </c>
      <c r="F198" s="62" t="s">
        <v>1279</v>
      </c>
      <c r="G198" s="139" t="s">
        <v>1683</v>
      </c>
      <c r="H198" s="60" t="s">
        <v>1281</v>
      </c>
      <c r="I198" s="41"/>
      <c r="J198" s="41"/>
      <c r="K198" s="41"/>
    </row>
    <row r="199" spans="1:11" ht="25.5" customHeight="1" x14ac:dyDescent="0.25">
      <c r="A199" s="55">
        <f t="shared" si="3"/>
        <v>196</v>
      </c>
      <c r="B199" s="61" t="s">
        <v>1619</v>
      </c>
      <c r="C199" s="62" t="s">
        <v>72</v>
      </c>
      <c r="D199" s="63" t="s">
        <v>1620</v>
      </c>
      <c r="E199" s="64" t="s">
        <v>1684</v>
      </c>
      <c r="F199" s="62" t="s">
        <v>1279</v>
      </c>
      <c r="G199" s="139" t="s">
        <v>1685</v>
      </c>
      <c r="H199" s="60" t="s">
        <v>1281</v>
      </c>
      <c r="I199" s="41"/>
      <c r="J199" s="41"/>
      <c r="K199" s="41"/>
    </row>
    <row r="200" spans="1:11" ht="15" customHeight="1" x14ac:dyDescent="0.25">
      <c r="A200" s="55">
        <f t="shared" si="3"/>
        <v>197</v>
      </c>
      <c r="B200" s="61">
        <v>30004221</v>
      </c>
      <c r="C200" s="62" t="s">
        <v>67</v>
      </c>
      <c r="D200" s="63" t="s">
        <v>1651</v>
      </c>
      <c r="E200" s="64" t="s">
        <v>1686</v>
      </c>
      <c r="F200" s="62" t="s">
        <v>1279</v>
      </c>
      <c r="G200" s="139" t="s">
        <v>1687</v>
      </c>
      <c r="H200" s="60" t="s">
        <v>1281</v>
      </c>
      <c r="I200" s="41"/>
      <c r="J200" s="41"/>
      <c r="K200" s="41"/>
    </row>
    <row r="201" spans="1:11" ht="15" customHeight="1" x14ac:dyDescent="0.25">
      <c r="A201" s="55">
        <f t="shared" si="3"/>
        <v>198</v>
      </c>
      <c r="B201" s="61">
        <v>30004221</v>
      </c>
      <c r="C201" s="62" t="s">
        <v>67</v>
      </c>
      <c r="D201" s="63" t="s">
        <v>1651</v>
      </c>
      <c r="E201" s="64" t="s">
        <v>1688</v>
      </c>
      <c r="F201" s="62" t="s">
        <v>1279</v>
      </c>
      <c r="G201" s="139" t="s">
        <v>1689</v>
      </c>
      <c r="H201" s="60" t="s">
        <v>1281</v>
      </c>
      <c r="I201" s="41"/>
      <c r="J201" s="41"/>
      <c r="K201" s="41"/>
    </row>
    <row r="202" spans="1:11" ht="25.5" customHeight="1" x14ac:dyDescent="0.25">
      <c r="A202" s="55">
        <f t="shared" si="3"/>
        <v>199</v>
      </c>
      <c r="B202" s="61" t="s">
        <v>1619</v>
      </c>
      <c r="C202" s="62" t="s">
        <v>72</v>
      </c>
      <c r="D202" s="63" t="s">
        <v>1620</v>
      </c>
      <c r="E202" s="64" t="s">
        <v>1690</v>
      </c>
      <c r="F202" s="62" t="s">
        <v>1279</v>
      </c>
      <c r="G202" s="139" t="s">
        <v>1691</v>
      </c>
      <c r="H202" s="60" t="s">
        <v>1281</v>
      </c>
      <c r="I202" s="41"/>
      <c r="J202" s="41"/>
      <c r="K202" s="41"/>
    </row>
    <row r="203" spans="1:11" ht="15" customHeight="1" x14ac:dyDescent="0.25">
      <c r="A203" s="55">
        <f t="shared" si="3"/>
        <v>200</v>
      </c>
      <c r="B203" s="61">
        <v>30004221</v>
      </c>
      <c r="C203" s="62" t="s">
        <v>67</v>
      </c>
      <c r="D203" s="63" t="s">
        <v>1651</v>
      </c>
      <c r="E203" s="64" t="s">
        <v>1688</v>
      </c>
      <c r="F203" s="62" t="s">
        <v>1279</v>
      </c>
      <c r="G203" s="139" t="s">
        <v>1692</v>
      </c>
      <c r="H203" s="60" t="s">
        <v>1281</v>
      </c>
      <c r="I203" s="41"/>
      <c r="J203" s="41"/>
      <c r="K203" s="41"/>
    </row>
    <row r="204" spans="1:11" ht="38.25" customHeight="1" x14ac:dyDescent="0.25">
      <c r="A204" s="55">
        <f t="shared" si="3"/>
        <v>201</v>
      </c>
      <c r="B204" s="61" t="s">
        <v>1476</v>
      </c>
      <c r="C204" s="62" t="s">
        <v>72</v>
      </c>
      <c r="D204" s="63" t="s">
        <v>1603</v>
      </c>
      <c r="E204" s="64" t="s">
        <v>1693</v>
      </c>
      <c r="F204" s="62" t="s">
        <v>1694</v>
      </c>
      <c r="G204" s="139" t="s">
        <v>1695</v>
      </c>
      <c r="H204" s="60" t="s">
        <v>1281</v>
      </c>
      <c r="I204" s="41"/>
      <c r="J204" s="41"/>
      <c r="K204" s="41"/>
    </row>
    <row r="205" spans="1:11" ht="15" customHeight="1" x14ac:dyDescent="0.25">
      <c r="A205" s="55">
        <f t="shared" si="3"/>
        <v>202</v>
      </c>
      <c r="B205" s="61" t="s">
        <v>1476</v>
      </c>
      <c r="C205" s="62" t="s">
        <v>72</v>
      </c>
      <c r="D205" s="63" t="s">
        <v>1603</v>
      </c>
      <c r="E205" s="64" t="s">
        <v>1693</v>
      </c>
      <c r="F205" s="62" t="s">
        <v>1279</v>
      </c>
      <c r="G205" s="139" t="s">
        <v>1696</v>
      </c>
      <c r="H205" s="60" t="s">
        <v>1281</v>
      </c>
      <c r="I205" s="41"/>
      <c r="J205" s="41"/>
      <c r="K205" s="41"/>
    </row>
    <row r="206" spans="1:11" ht="15" customHeight="1" x14ac:dyDescent="0.25">
      <c r="A206" s="55">
        <f t="shared" si="3"/>
        <v>203</v>
      </c>
      <c r="B206" s="61" t="s">
        <v>1476</v>
      </c>
      <c r="C206" s="62" t="s">
        <v>72</v>
      </c>
      <c r="D206" s="63" t="s">
        <v>1603</v>
      </c>
      <c r="E206" s="64" t="s">
        <v>1693</v>
      </c>
      <c r="F206" s="62" t="s">
        <v>1279</v>
      </c>
      <c r="G206" s="139" t="s">
        <v>1697</v>
      </c>
      <c r="H206" s="60" t="s">
        <v>1281</v>
      </c>
      <c r="I206" s="41"/>
      <c r="J206" s="41"/>
      <c r="K206" s="41"/>
    </row>
    <row r="207" spans="1:11" ht="15" customHeight="1" x14ac:dyDescent="0.25">
      <c r="A207" s="55">
        <f t="shared" si="3"/>
        <v>204</v>
      </c>
      <c r="B207" s="61">
        <v>30004221</v>
      </c>
      <c r="C207" s="62" t="s">
        <v>67</v>
      </c>
      <c r="D207" s="63" t="s">
        <v>1651</v>
      </c>
      <c r="E207" s="64" t="s">
        <v>1698</v>
      </c>
      <c r="F207" s="62" t="s">
        <v>1279</v>
      </c>
      <c r="G207" s="139" t="s">
        <v>1699</v>
      </c>
      <c r="H207" s="60" t="s">
        <v>1281</v>
      </c>
      <c r="I207" s="41"/>
      <c r="J207" s="41"/>
      <c r="K207" s="41"/>
    </row>
    <row r="208" spans="1:11" ht="15" customHeight="1" x14ac:dyDescent="0.25">
      <c r="A208" s="55" t="str">
        <f t="shared" si="3"/>
        <v/>
      </c>
      <c r="B208" s="44"/>
      <c r="C208" s="33"/>
      <c r="D208" s="42"/>
      <c r="E208" s="45"/>
      <c r="F208" s="33"/>
      <c r="G208" s="42"/>
      <c r="H208" s="60" t="s">
        <v>1281</v>
      </c>
      <c r="I208" s="41"/>
      <c r="J208" s="41"/>
      <c r="K208" s="41"/>
    </row>
    <row r="209" spans="1:11" ht="15" customHeight="1" x14ac:dyDescent="0.25">
      <c r="A209" s="55" t="str">
        <f t="shared" si="3"/>
        <v/>
      </c>
      <c r="B209" s="44"/>
      <c r="C209" s="33"/>
      <c r="D209" s="42"/>
      <c r="E209" s="45"/>
      <c r="F209" s="33"/>
      <c r="G209" s="42"/>
      <c r="H209" s="60" t="s">
        <v>1281</v>
      </c>
      <c r="I209" s="41"/>
      <c r="J209" s="41"/>
      <c r="K209" s="41"/>
    </row>
    <row r="210" spans="1:11" ht="15" customHeight="1" x14ac:dyDescent="0.25">
      <c r="A210" s="55" t="str">
        <f t="shared" si="3"/>
        <v/>
      </c>
      <c r="B210" s="44"/>
      <c r="C210" s="33"/>
      <c r="D210" s="42"/>
      <c r="E210" s="45"/>
      <c r="F210" s="33"/>
      <c r="G210" s="42"/>
      <c r="H210" s="60" t="s">
        <v>1281</v>
      </c>
      <c r="I210" s="41"/>
      <c r="J210" s="41"/>
      <c r="K210" s="41"/>
    </row>
    <row r="211" spans="1:11" ht="15" customHeight="1" x14ac:dyDescent="0.25">
      <c r="A211" s="55" t="str">
        <f t="shared" si="3"/>
        <v/>
      </c>
      <c r="B211" s="44"/>
      <c r="C211" s="33"/>
      <c r="D211" s="42"/>
      <c r="E211" s="45"/>
      <c r="F211" s="33"/>
      <c r="G211" s="42"/>
      <c r="H211" s="60" t="s">
        <v>1281</v>
      </c>
      <c r="I211" s="41"/>
      <c r="J211" s="41"/>
      <c r="K211" s="41"/>
    </row>
    <row r="212" spans="1:11" ht="15" customHeight="1" x14ac:dyDescent="0.25">
      <c r="A212" s="55" t="str">
        <f t="shared" si="3"/>
        <v/>
      </c>
      <c r="B212" s="44"/>
      <c r="C212" s="33"/>
      <c r="D212" s="42"/>
      <c r="E212" s="45"/>
      <c r="F212" s="33"/>
      <c r="G212" s="42"/>
      <c r="H212" s="60" t="s">
        <v>1281</v>
      </c>
      <c r="I212" s="41"/>
      <c r="J212" s="41"/>
      <c r="K212" s="41"/>
    </row>
    <row r="213" spans="1:11" ht="15" customHeight="1" x14ac:dyDescent="0.25">
      <c r="A213" s="55" t="str">
        <f t="shared" si="3"/>
        <v/>
      </c>
      <c r="B213" s="44"/>
      <c r="C213" s="33"/>
      <c r="D213" s="42"/>
      <c r="E213" s="45"/>
      <c r="F213" s="33"/>
      <c r="G213" s="42"/>
      <c r="H213" s="60" t="s">
        <v>1281</v>
      </c>
      <c r="I213" s="41"/>
      <c r="J213" s="41"/>
      <c r="K213" s="41"/>
    </row>
    <row r="214" spans="1:11" ht="15" customHeight="1" x14ac:dyDescent="0.25">
      <c r="A214" s="55" t="str">
        <f t="shared" si="3"/>
        <v/>
      </c>
      <c r="B214" s="44"/>
      <c r="C214" s="33"/>
      <c r="D214" s="42"/>
      <c r="E214" s="45"/>
      <c r="F214" s="33"/>
      <c r="G214" s="42"/>
      <c r="H214" s="60" t="s">
        <v>1281</v>
      </c>
      <c r="I214" s="41"/>
      <c r="J214" s="41"/>
      <c r="K214" s="41"/>
    </row>
    <row r="215" spans="1:11" ht="15" customHeight="1" x14ac:dyDescent="0.25">
      <c r="A215" s="55" t="str">
        <f t="shared" si="3"/>
        <v/>
      </c>
      <c r="B215" s="44"/>
      <c r="C215" s="33"/>
      <c r="D215" s="42"/>
      <c r="E215" s="45"/>
      <c r="F215" s="33"/>
      <c r="G215" s="42"/>
      <c r="H215" s="60" t="s">
        <v>1281</v>
      </c>
      <c r="I215" s="41"/>
      <c r="J215" s="41"/>
      <c r="K215" s="41"/>
    </row>
    <row r="216" spans="1:11" ht="15" customHeight="1" x14ac:dyDescent="0.25">
      <c r="A216" s="55" t="str">
        <f t="shared" si="3"/>
        <v/>
      </c>
      <c r="B216" s="44"/>
      <c r="C216" s="33"/>
      <c r="D216" s="42"/>
      <c r="E216" s="45"/>
      <c r="F216" s="33"/>
      <c r="G216" s="42"/>
      <c r="H216" s="60" t="s">
        <v>1281</v>
      </c>
      <c r="I216" s="41"/>
      <c r="J216" s="41"/>
      <c r="K216" s="41"/>
    </row>
    <row r="217" spans="1:11" ht="15" customHeight="1" x14ac:dyDescent="0.25">
      <c r="A217" s="55" t="str">
        <f t="shared" si="3"/>
        <v/>
      </c>
      <c r="B217" s="44"/>
      <c r="C217" s="33"/>
      <c r="D217" s="42"/>
      <c r="E217" s="45"/>
      <c r="F217" s="33"/>
      <c r="G217" s="42"/>
      <c r="H217" s="60" t="s">
        <v>1281</v>
      </c>
      <c r="I217" s="41"/>
      <c r="J217" s="41"/>
      <c r="K217" s="41"/>
    </row>
    <row r="218" spans="1:11" ht="15" customHeight="1" x14ac:dyDescent="0.25">
      <c r="A218" s="55" t="str">
        <f t="shared" si="3"/>
        <v/>
      </c>
      <c r="B218" s="44"/>
      <c r="C218" s="33"/>
      <c r="D218" s="42"/>
      <c r="E218" s="45"/>
      <c r="F218" s="33"/>
      <c r="G218" s="42"/>
      <c r="H218" s="60" t="s">
        <v>1281</v>
      </c>
      <c r="I218" s="41"/>
      <c r="J218" s="41"/>
      <c r="K218" s="41"/>
    </row>
    <row r="219" spans="1:11" ht="15" customHeight="1" x14ac:dyDescent="0.25">
      <c r="A219" s="55" t="str">
        <f t="shared" si="3"/>
        <v/>
      </c>
      <c r="B219" s="44"/>
      <c r="C219" s="33"/>
      <c r="D219" s="42"/>
      <c r="E219" s="45"/>
      <c r="F219" s="33"/>
      <c r="G219" s="42"/>
      <c r="H219" s="60" t="s">
        <v>1281</v>
      </c>
      <c r="I219" s="41"/>
      <c r="J219" s="41"/>
      <c r="K219" s="41"/>
    </row>
    <row r="220" spans="1:11" ht="15" customHeight="1" x14ac:dyDescent="0.25">
      <c r="A220" s="55" t="str">
        <f t="shared" si="3"/>
        <v/>
      </c>
      <c r="B220" s="44"/>
      <c r="C220" s="33"/>
      <c r="D220" s="42"/>
      <c r="E220" s="45"/>
      <c r="F220" s="33"/>
      <c r="G220" s="42"/>
      <c r="H220" s="60" t="s">
        <v>1281</v>
      </c>
      <c r="I220" s="41"/>
      <c r="J220" s="41"/>
      <c r="K220" s="41"/>
    </row>
    <row r="221" spans="1:11" ht="15" customHeight="1" x14ac:dyDescent="0.25">
      <c r="A221" s="55" t="str">
        <f t="shared" si="3"/>
        <v/>
      </c>
      <c r="B221" s="44"/>
      <c r="C221" s="33"/>
      <c r="D221" s="42"/>
      <c r="E221" s="45"/>
      <c r="F221" s="33"/>
      <c r="G221" s="42"/>
      <c r="H221" s="60" t="s">
        <v>1281</v>
      </c>
      <c r="I221" s="41"/>
      <c r="J221" s="41"/>
      <c r="K221" s="41"/>
    </row>
    <row r="222" spans="1:11" ht="15" customHeight="1" x14ac:dyDescent="0.25">
      <c r="A222" s="55" t="str">
        <f t="shared" si="3"/>
        <v/>
      </c>
      <c r="B222" s="44"/>
      <c r="C222" s="33"/>
      <c r="D222" s="42"/>
      <c r="E222" s="45"/>
      <c r="F222" s="33"/>
      <c r="G222" s="42"/>
      <c r="H222" s="60" t="s">
        <v>1281</v>
      </c>
      <c r="I222" s="41"/>
      <c r="J222" s="41"/>
      <c r="K222" s="41"/>
    </row>
    <row r="223" spans="1:11" ht="15" customHeight="1" x14ac:dyDescent="0.25">
      <c r="A223" s="55" t="str">
        <f t="shared" si="3"/>
        <v/>
      </c>
      <c r="B223" s="44"/>
      <c r="C223" s="33"/>
      <c r="D223" s="42"/>
      <c r="E223" s="45"/>
      <c r="F223" s="33"/>
      <c r="G223" s="42"/>
      <c r="H223" s="60" t="s">
        <v>1281</v>
      </c>
      <c r="I223" s="41"/>
      <c r="J223" s="41"/>
      <c r="K223" s="41"/>
    </row>
    <row r="224" spans="1:11" ht="15" customHeight="1" x14ac:dyDescent="0.25">
      <c r="A224" s="55" t="str">
        <f t="shared" si="3"/>
        <v/>
      </c>
      <c r="B224" s="44"/>
      <c r="C224" s="33"/>
      <c r="D224" s="42"/>
      <c r="E224" s="45"/>
      <c r="F224" s="33"/>
      <c r="G224" s="42"/>
      <c r="H224" s="60" t="s">
        <v>1281</v>
      </c>
      <c r="I224" s="41"/>
      <c r="J224" s="41"/>
      <c r="K224" s="41"/>
    </row>
    <row r="225" spans="1:11" ht="15" customHeight="1" x14ac:dyDescent="0.25">
      <c r="A225" s="55" t="str">
        <f t="shared" si="3"/>
        <v/>
      </c>
      <c r="B225" s="44"/>
      <c r="C225" s="33"/>
      <c r="D225" s="42"/>
      <c r="E225" s="45"/>
      <c r="F225" s="33"/>
      <c r="G225" s="42"/>
      <c r="H225" s="60" t="s">
        <v>1281</v>
      </c>
      <c r="I225" s="41"/>
      <c r="J225" s="41"/>
      <c r="K225" s="41"/>
    </row>
    <row r="226" spans="1:11" ht="15" customHeight="1" x14ac:dyDescent="0.25">
      <c r="A226" s="55" t="str">
        <f t="shared" si="3"/>
        <v/>
      </c>
      <c r="B226" s="44"/>
      <c r="C226" s="33"/>
      <c r="D226" s="42"/>
      <c r="E226" s="45"/>
      <c r="F226" s="33"/>
      <c r="G226" s="42"/>
      <c r="H226" s="60" t="s">
        <v>1281</v>
      </c>
      <c r="I226" s="41"/>
      <c r="J226" s="41"/>
      <c r="K226" s="41"/>
    </row>
    <row r="227" spans="1:11" ht="15" customHeight="1" x14ac:dyDescent="0.25">
      <c r="A227" s="55" t="str">
        <f t="shared" si="3"/>
        <v/>
      </c>
      <c r="B227" s="44"/>
      <c r="C227" s="33"/>
      <c r="D227" s="42"/>
      <c r="E227" s="45"/>
      <c r="F227" s="33"/>
      <c r="G227" s="42"/>
      <c r="H227" s="60" t="s">
        <v>1281</v>
      </c>
      <c r="I227" s="41"/>
      <c r="J227" s="41"/>
      <c r="K227" s="41"/>
    </row>
    <row r="228" spans="1:11" ht="15" customHeight="1" x14ac:dyDescent="0.25">
      <c r="A228" s="55" t="str">
        <f t="shared" si="3"/>
        <v/>
      </c>
      <c r="B228" s="44"/>
      <c r="C228" s="33"/>
      <c r="D228" s="42"/>
      <c r="E228" s="45"/>
      <c r="F228" s="33"/>
      <c r="G228" s="42"/>
      <c r="H228" s="60" t="s">
        <v>1281</v>
      </c>
      <c r="I228" s="41"/>
      <c r="J228" s="41"/>
      <c r="K228" s="41"/>
    </row>
    <row r="229" spans="1:11" ht="15" customHeight="1" x14ac:dyDescent="0.25">
      <c r="A229" s="55" t="str">
        <f t="shared" si="3"/>
        <v/>
      </c>
      <c r="B229" s="44"/>
      <c r="C229" s="33"/>
      <c r="D229" s="42"/>
      <c r="E229" s="45"/>
      <c r="F229" s="33"/>
      <c r="G229" s="42"/>
      <c r="H229" s="60" t="s">
        <v>1281</v>
      </c>
      <c r="I229" s="41"/>
      <c r="J229" s="41"/>
      <c r="K229" s="41"/>
    </row>
    <row r="230" spans="1:11" ht="15" customHeight="1" x14ac:dyDescent="0.25">
      <c r="A230" s="55" t="str">
        <f t="shared" si="3"/>
        <v/>
      </c>
      <c r="B230" s="44"/>
      <c r="C230" s="33"/>
      <c r="D230" s="42"/>
      <c r="E230" s="45"/>
      <c r="F230" s="33"/>
      <c r="G230" s="42"/>
      <c r="H230" s="60" t="s">
        <v>1281</v>
      </c>
      <c r="I230" s="41"/>
      <c r="J230" s="41"/>
      <c r="K230" s="41"/>
    </row>
    <row r="231" spans="1:11" ht="15" customHeight="1" x14ac:dyDescent="0.25">
      <c r="A231" s="55" t="str">
        <f t="shared" si="3"/>
        <v/>
      </c>
      <c r="B231" s="44"/>
      <c r="C231" s="33"/>
      <c r="D231" s="42"/>
      <c r="E231" s="45"/>
      <c r="F231" s="33"/>
      <c r="G231" s="42"/>
      <c r="H231" s="60" t="s">
        <v>1281</v>
      </c>
      <c r="I231" s="41"/>
      <c r="J231" s="41"/>
      <c r="K231" s="41"/>
    </row>
    <row r="232" spans="1:11" ht="15" customHeight="1" x14ac:dyDescent="0.25">
      <c r="A232" s="55" t="str">
        <f t="shared" si="3"/>
        <v/>
      </c>
      <c r="B232" s="44"/>
      <c r="C232" s="33"/>
      <c r="D232" s="42"/>
      <c r="E232" s="45"/>
      <c r="F232" s="33"/>
      <c r="G232" s="42"/>
      <c r="H232" s="60" t="s">
        <v>1281</v>
      </c>
      <c r="I232" s="41"/>
      <c r="J232" s="41"/>
      <c r="K232" s="41"/>
    </row>
    <row r="233" spans="1:11" ht="15" customHeight="1" x14ac:dyDescent="0.25">
      <c r="A233" s="55" t="str">
        <f t="shared" si="3"/>
        <v/>
      </c>
      <c r="B233" s="44"/>
      <c r="C233" s="33"/>
      <c r="D233" s="42"/>
      <c r="E233" s="45"/>
      <c r="F233" s="33"/>
      <c r="G233" s="42"/>
      <c r="H233" s="60" t="s">
        <v>1281</v>
      </c>
      <c r="I233" s="41"/>
      <c r="J233" s="41"/>
      <c r="K233" s="41"/>
    </row>
    <row r="234" spans="1:11" ht="15" customHeight="1" x14ac:dyDescent="0.25">
      <c r="A234" s="55" t="str">
        <f t="shared" si="3"/>
        <v/>
      </c>
      <c r="B234" s="44"/>
      <c r="C234" s="33"/>
      <c r="D234" s="42"/>
      <c r="E234" s="45"/>
      <c r="F234" s="33"/>
      <c r="G234" s="42"/>
      <c r="H234" s="60" t="s">
        <v>1281</v>
      </c>
      <c r="I234" s="41"/>
      <c r="J234" s="41"/>
      <c r="K234" s="41"/>
    </row>
    <row r="235" spans="1:11" ht="15" customHeight="1" x14ac:dyDescent="0.25">
      <c r="A235" s="55" t="str">
        <f t="shared" si="3"/>
        <v/>
      </c>
      <c r="B235" s="44"/>
      <c r="C235" s="33"/>
      <c r="D235" s="42"/>
      <c r="E235" s="45"/>
      <c r="F235" s="33"/>
      <c r="G235" s="42"/>
      <c r="H235" s="60" t="s">
        <v>1281</v>
      </c>
      <c r="I235" s="41"/>
      <c r="J235" s="41"/>
      <c r="K235" s="41"/>
    </row>
    <row r="236" spans="1:11" ht="15" customHeight="1" x14ac:dyDescent="0.25">
      <c r="A236" s="55" t="str">
        <f t="shared" si="3"/>
        <v/>
      </c>
      <c r="B236" s="44"/>
      <c r="C236" s="33"/>
      <c r="D236" s="42"/>
      <c r="E236" s="45"/>
      <c r="F236" s="33"/>
      <c r="G236" s="42"/>
      <c r="H236" s="60" t="s">
        <v>1281</v>
      </c>
      <c r="I236" s="41"/>
      <c r="J236" s="41"/>
      <c r="K236" s="41"/>
    </row>
    <row r="237" spans="1:11" ht="15" customHeight="1" x14ac:dyDescent="0.25">
      <c r="A237" s="55" t="str">
        <f t="shared" si="3"/>
        <v/>
      </c>
      <c r="B237" s="44"/>
      <c r="C237" s="33"/>
      <c r="D237" s="42"/>
      <c r="E237" s="45"/>
      <c r="F237" s="33"/>
      <c r="G237" s="42"/>
      <c r="H237" s="60" t="s">
        <v>1281</v>
      </c>
      <c r="I237" s="41"/>
      <c r="J237" s="41"/>
      <c r="K237" s="41"/>
    </row>
    <row r="238" spans="1:11" ht="15" customHeight="1" x14ac:dyDescent="0.25">
      <c r="A238" s="55" t="str">
        <f t="shared" si="3"/>
        <v/>
      </c>
      <c r="B238" s="44"/>
      <c r="C238" s="33"/>
      <c r="D238" s="42"/>
      <c r="E238" s="45"/>
      <c r="F238" s="33"/>
      <c r="G238" s="42"/>
      <c r="H238" s="60" t="s">
        <v>1281</v>
      </c>
      <c r="I238" s="41"/>
      <c r="J238" s="41"/>
      <c r="K238" s="41"/>
    </row>
    <row r="239" spans="1:11" ht="15" customHeight="1" x14ac:dyDescent="0.25">
      <c r="A239" s="55" t="str">
        <f t="shared" si="3"/>
        <v/>
      </c>
      <c r="B239" s="44"/>
      <c r="C239" s="33"/>
      <c r="D239" s="42"/>
      <c r="E239" s="45"/>
      <c r="F239" s="33"/>
      <c r="G239" s="42"/>
      <c r="H239" s="60" t="s">
        <v>1281</v>
      </c>
      <c r="I239" s="41"/>
      <c r="J239" s="41"/>
      <c r="K239" s="41"/>
    </row>
    <row r="240" spans="1:11" ht="15" customHeight="1" x14ac:dyDescent="0.25">
      <c r="A240" s="55" t="str">
        <f t="shared" si="3"/>
        <v/>
      </c>
      <c r="B240" s="44"/>
      <c r="C240" s="33"/>
      <c r="D240" s="42"/>
      <c r="E240" s="45"/>
      <c r="F240" s="33"/>
      <c r="G240" s="42"/>
      <c r="H240" s="60" t="s">
        <v>1281</v>
      </c>
      <c r="I240" s="41"/>
      <c r="J240" s="41"/>
      <c r="K240" s="41"/>
    </row>
    <row r="241" spans="1:11" ht="15" customHeight="1" x14ac:dyDescent="0.25">
      <c r="A241" s="55" t="str">
        <f t="shared" si="3"/>
        <v/>
      </c>
      <c r="B241" s="44"/>
      <c r="C241" s="33"/>
      <c r="D241" s="42"/>
      <c r="E241" s="45"/>
      <c r="F241" s="33"/>
      <c r="G241" s="42"/>
      <c r="H241" s="60" t="s">
        <v>1281</v>
      </c>
      <c r="I241" s="41"/>
      <c r="J241" s="41"/>
      <c r="K241" s="41"/>
    </row>
    <row r="242" spans="1:11" ht="15" customHeight="1" x14ac:dyDescent="0.25">
      <c r="A242" s="55" t="str">
        <f t="shared" si="3"/>
        <v/>
      </c>
      <c r="B242" s="44"/>
      <c r="C242" s="33"/>
      <c r="D242" s="42"/>
      <c r="E242" s="45"/>
      <c r="F242" s="33"/>
      <c r="G242" s="42"/>
      <c r="H242" s="60" t="s">
        <v>1281</v>
      </c>
      <c r="I242" s="41"/>
      <c r="J242" s="41"/>
      <c r="K242" s="41"/>
    </row>
    <row r="243" spans="1:11" ht="15" customHeight="1" x14ac:dyDescent="0.25">
      <c r="A243" s="55" t="str">
        <f t="shared" si="3"/>
        <v/>
      </c>
      <c r="B243" s="44"/>
      <c r="C243" s="33"/>
      <c r="D243" s="42"/>
      <c r="E243" s="45"/>
      <c r="F243" s="33"/>
      <c r="G243" s="42"/>
      <c r="H243" s="60" t="s">
        <v>1281</v>
      </c>
      <c r="I243" s="41"/>
      <c r="J243" s="41"/>
      <c r="K243" s="41"/>
    </row>
    <row r="244" spans="1:11" ht="15" customHeight="1" x14ac:dyDescent="0.25">
      <c r="A244" s="55" t="str">
        <f t="shared" si="3"/>
        <v/>
      </c>
      <c r="B244" s="44"/>
      <c r="C244" s="33"/>
      <c r="D244" s="42"/>
      <c r="E244" s="45"/>
      <c r="F244" s="33"/>
      <c r="G244" s="42"/>
      <c r="H244" s="60" t="s">
        <v>1281</v>
      </c>
      <c r="I244" s="41"/>
      <c r="J244" s="41"/>
      <c r="K244" s="41"/>
    </row>
    <row r="245" spans="1:11" ht="15" customHeight="1" x14ac:dyDescent="0.25">
      <c r="A245" s="55" t="str">
        <f t="shared" si="3"/>
        <v/>
      </c>
      <c r="B245" s="44"/>
      <c r="C245" s="33"/>
      <c r="D245" s="42"/>
      <c r="E245" s="45"/>
      <c r="F245" s="33"/>
      <c r="G245" s="42"/>
      <c r="H245" s="60" t="s">
        <v>1281</v>
      </c>
      <c r="I245" s="41"/>
      <c r="J245" s="41"/>
      <c r="K245" s="41"/>
    </row>
    <row r="246" spans="1:11" ht="15" customHeight="1" x14ac:dyDescent="0.25">
      <c r="A246" s="55" t="str">
        <f t="shared" si="3"/>
        <v/>
      </c>
      <c r="B246" s="44"/>
      <c r="C246" s="33"/>
      <c r="D246" s="42"/>
      <c r="E246" s="45"/>
      <c r="F246" s="33"/>
      <c r="G246" s="42"/>
      <c r="H246" s="60" t="s">
        <v>1281</v>
      </c>
      <c r="I246" s="41"/>
      <c r="J246" s="41"/>
      <c r="K246" s="41"/>
    </row>
    <row r="247" spans="1:11" ht="15" customHeight="1" x14ac:dyDescent="0.25">
      <c r="A247" s="55" t="str">
        <f t="shared" si="3"/>
        <v/>
      </c>
      <c r="B247" s="44"/>
      <c r="C247" s="33"/>
      <c r="D247" s="42"/>
      <c r="E247" s="45"/>
      <c r="F247" s="33"/>
      <c r="G247" s="42"/>
      <c r="H247" s="60" t="s">
        <v>1281</v>
      </c>
      <c r="I247" s="41"/>
      <c r="J247" s="41"/>
      <c r="K247" s="41"/>
    </row>
    <row r="248" spans="1:11" ht="15" customHeight="1" x14ac:dyDescent="0.25">
      <c r="A248" s="55" t="str">
        <f t="shared" si="3"/>
        <v/>
      </c>
      <c r="B248" s="44"/>
      <c r="C248" s="33"/>
      <c r="D248" s="42"/>
      <c r="E248" s="45"/>
      <c r="F248" s="33"/>
      <c r="G248" s="42"/>
      <c r="H248" s="60" t="s">
        <v>1281</v>
      </c>
      <c r="I248" s="41"/>
      <c r="J248" s="41"/>
      <c r="K248" s="41"/>
    </row>
    <row r="249" spans="1:11" ht="15" customHeight="1" x14ac:dyDescent="0.25">
      <c r="A249" s="55" t="str">
        <f t="shared" si="3"/>
        <v/>
      </c>
      <c r="B249" s="44"/>
      <c r="C249" s="33"/>
      <c r="D249" s="42"/>
      <c r="E249" s="45"/>
      <c r="F249" s="33"/>
      <c r="G249" s="42"/>
      <c r="H249" s="60" t="s">
        <v>1281</v>
      </c>
      <c r="I249" s="41"/>
      <c r="J249" s="41"/>
      <c r="K249" s="41"/>
    </row>
    <row r="250" spans="1:11" ht="15" customHeight="1" x14ac:dyDescent="0.25">
      <c r="A250" s="55" t="str">
        <f t="shared" si="3"/>
        <v/>
      </c>
      <c r="B250" s="44"/>
      <c r="C250" s="33"/>
      <c r="D250" s="42"/>
      <c r="E250" s="45"/>
      <c r="F250" s="33"/>
      <c r="G250" s="42"/>
      <c r="H250" s="60" t="s">
        <v>1281</v>
      </c>
      <c r="I250" s="41"/>
      <c r="J250" s="41"/>
      <c r="K250" s="41"/>
    </row>
    <row r="251" spans="1:11" ht="15" customHeight="1" x14ac:dyDescent="0.25">
      <c r="A251" s="55" t="str">
        <f t="shared" si="3"/>
        <v/>
      </c>
      <c r="B251" s="44"/>
      <c r="C251" s="33"/>
      <c r="D251" s="42"/>
      <c r="E251" s="45"/>
      <c r="F251" s="33"/>
      <c r="G251" s="42"/>
      <c r="H251" s="60" t="s">
        <v>1281</v>
      </c>
      <c r="I251" s="41"/>
      <c r="J251" s="41"/>
      <c r="K251" s="41"/>
    </row>
    <row r="252" spans="1:11" ht="15" customHeight="1" x14ac:dyDescent="0.25">
      <c r="A252" s="55" t="str">
        <f t="shared" si="3"/>
        <v/>
      </c>
      <c r="B252" s="44"/>
      <c r="C252" s="33"/>
      <c r="D252" s="42"/>
      <c r="E252" s="45"/>
      <c r="F252" s="33"/>
      <c r="G252" s="42"/>
      <c r="H252" s="60" t="s">
        <v>1281</v>
      </c>
      <c r="I252" s="41"/>
      <c r="J252" s="41"/>
      <c r="K252" s="41"/>
    </row>
    <row r="253" spans="1:11" ht="15" customHeight="1" x14ac:dyDescent="0.25">
      <c r="A253" s="55" t="str">
        <f t="shared" si="3"/>
        <v/>
      </c>
      <c r="B253" s="44"/>
      <c r="C253" s="33"/>
      <c r="D253" s="42"/>
      <c r="E253" s="45"/>
      <c r="F253" s="33"/>
      <c r="G253" s="42"/>
      <c r="H253" s="60" t="s">
        <v>1281</v>
      </c>
      <c r="I253" s="41"/>
      <c r="J253" s="41"/>
      <c r="K253" s="41"/>
    </row>
    <row r="254" spans="1:11" ht="15" customHeight="1" x14ac:dyDescent="0.25">
      <c r="A254" s="55" t="str">
        <f t="shared" si="3"/>
        <v/>
      </c>
      <c r="B254" s="44"/>
      <c r="C254" s="33"/>
      <c r="D254" s="42"/>
      <c r="E254" s="45"/>
      <c r="F254" s="33"/>
      <c r="G254" s="42"/>
      <c r="H254" s="60" t="s">
        <v>1281</v>
      </c>
      <c r="I254" s="41"/>
      <c r="J254" s="41"/>
      <c r="K254" s="41"/>
    </row>
    <row r="255" spans="1:11" ht="15" customHeight="1" x14ac:dyDescent="0.25">
      <c r="A255" s="55" t="str">
        <f t="shared" si="3"/>
        <v/>
      </c>
      <c r="B255" s="44"/>
      <c r="C255" s="33"/>
      <c r="D255" s="42"/>
      <c r="E255" s="45"/>
      <c r="F255" s="33"/>
      <c r="G255" s="42"/>
      <c r="H255" s="60" t="s">
        <v>1281</v>
      </c>
      <c r="I255" s="41"/>
      <c r="J255" s="41"/>
      <c r="K255" s="41"/>
    </row>
    <row r="256" spans="1:11" ht="15" customHeight="1" x14ac:dyDescent="0.25">
      <c r="A256" s="55" t="str">
        <f t="shared" si="3"/>
        <v/>
      </c>
      <c r="B256" s="44"/>
      <c r="C256" s="33"/>
      <c r="D256" s="42"/>
      <c r="E256" s="45"/>
      <c r="F256" s="33"/>
      <c r="G256" s="42"/>
      <c r="H256" s="60" t="s">
        <v>1281</v>
      </c>
      <c r="I256" s="41"/>
      <c r="J256" s="41"/>
      <c r="K256" s="41"/>
    </row>
    <row r="257" spans="1:11" ht="15" customHeight="1" x14ac:dyDescent="0.25">
      <c r="A257" s="55" t="str">
        <f t="shared" si="3"/>
        <v/>
      </c>
      <c r="B257" s="44"/>
      <c r="C257" s="33"/>
      <c r="D257" s="42"/>
      <c r="E257" s="45"/>
      <c r="F257" s="33"/>
      <c r="G257" s="42"/>
      <c r="H257" s="60" t="s">
        <v>1281</v>
      </c>
      <c r="I257" s="41"/>
      <c r="J257" s="41"/>
      <c r="K257" s="41"/>
    </row>
    <row r="258" spans="1:11" ht="15" customHeight="1" x14ac:dyDescent="0.25">
      <c r="A258" s="55" t="str">
        <f t="shared" si="3"/>
        <v/>
      </c>
      <c r="B258" s="44"/>
      <c r="C258" s="33"/>
      <c r="D258" s="42"/>
      <c r="E258" s="45"/>
      <c r="F258" s="33"/>
      <c r="G258" s="42"/>
      <c r="H258" s="60" t="s">
        <v>1281</v>
      </c>
      <c r="I258" s="41"/>
      <c r="J258" s="41"/>
      <c r="K258" s="41"/>
    </row>
    <row r="259" spans="1:11" ht="15" customHeight="1" x14ac:dyDescent="0.25">
      <c r="A259" s="55" t="str">
        <f t="shared" si="3"/>
        <v/>
      </c>
      <c r="B259" s="44"/>
      <c r="C259" s="33"/>
      <c r="D259" s="42"/>
      <c r="E259" s="45"/>
      <c r="F259" s="33"/>
      <c r="G259" s="42"/>
      <c r="H259" s="60" t="s">
        <v>1281</v>
      </c>
      <c r="I259" s="41"/>
      <c r="J259" s="41"/>
      <c r="K259" s="41"/>
    </row>
    <row r="260" spans="1:11" ht="15" customHeight="1" x14ac:dyDescent="0.25">
      <c r="A260" s="55" t="str">
        <f t="shared" ref="A260:A323" si="4">IF(COUNTA(B260:G260)&gt;0,ROW()-3,"")</f>
        <v/>
      </c>
      <c r="B260" s="44"/>
      <c r="C260" s="33"/>
      <c r="D260" s="42"/>
      <c r="E260" s="45"/>
      <c r="F260" s="33"/>
      <c r="G260" s="42"/>
      <c r="H260" s="60" t="s">
        <v>1281</v>
      </c>
      <c r="I260" s="41"/>
      <c r="J260" s="41"/>
      <c r="K260" s="41"/>
    </row>
    <row r="261" spans="1:11" ht="15" customHeight="1" x14ac:dyDescent="0.25">
      <c r="A261" s="55" t="str">
        <f t="shared" si="4"/>
        <v/>
      </c>
      <c r="B261" s="44"/>
      <c r="C261" s="33"/>
      <c r="D261" s="42"/>
      <c r="E261" s="45"/>
      <c r="F261" s="33"/>
      <c r="G261" s="42"/>
      <c r="H261" s="60" t="s">
        <v>1281</v>
      </c>
      <c r="I261" s="41"/>
      <c r="J261" s="41"/>
      <c r="K261" s="41"/>
    </row>
    <row r="262" spans="1:11" ht="15" customHeight="1" x14ac:dyDescent="0.25">
      <c r="A262" s="55" t="str">
        <f t="shared" si="4"/>
        <v/>
      </c>
      <c r="B262" s="44"/>
      <c r="C262" s="33"/>
      <c r="D262" s="42"/>
      <c r="E262" s="45"/>
      <c r="F262" s="33"/>
      <c r="G262" s="42"/>
      <c r="H262" s="60" t="s">
        <v>1281</v>
      </c>
      <c r="I262" s="41"/>
      <c r="J262" s="41"/>
      <c r="K262" s="41"/>
    </row>
    <row r="263" spans="1:11" ht="15" customHeight="1" x14ac:dyDescent="0.25">
      <c r="A263" s="55" t="str">
        <f t="shared" si="4"/>
        <v/>
      </c>
      <c r="B263" s="44"/>
      <c r="C263" s="33"/>
      <c r="D263" s="42"/>
      <c r="E263" s="45"/>
      <c r="F263" s="33"/>
      <c r="G263" s="42"/>
      <c r="H263" s="60" t="s">
        <v>1281</v>
      </c>
      <c r="I263" s="41"/>
      <c r="J263" s="41"/>
      <c r="K263" s="41"/>
    </row>
    <row r="264" spans="1:11" ht="15" customHeight="1" x14ac:dyDescent="0.25">
      <c r="A264" s="55" t="str">
        <f t="shared" si="4"/>
        <v/>
      </c>
      <c r="B264" s="44"/>
      <c r="C264" s="33"/>
      <c r="D264" s="42"/>
      <c r="E264" s="45"/>
      <c r="F264" s="33"/>
      <c r="G264" s="42"/>
      <c r="H264" s="60" t="s">
        <v>1281</v>
      </c>
      <c r="I264" s="41"/>
      <c r="J264" s="41"/>
      <c r="K264" s="41"/>
    </row>
    <row r="265" spans="1:11" ht="15" customHeight="1" x14ac:dyDescent="0.25">
      <c r="A265" s="55" t="str">
        <f t="shared" si="4"/>
        <v/>
      </c>
      <c r="B265" s="44"/>
      <c r="C265" s="33"/>
      <c r="D265" s="42"/>
      <c r="E265" s="45"/>
      <c r="F265" s="33"/>
      <c r="G265" s="42"/>
      <c r="H265" s="60" t="s">
        <v>1281</v>
      </c>
      <c r="I265" s="41"/>
      <c r="J265" s="41"/>
      <c r="K265" s="41"/>
    </row>
    <row r="266" spans="1:11" ht="15" customHeight="1" x14ac:dyDescent="0.25">
      <c r="A266" s="55" t="str">
        <f t="shared" si="4"/>
        <v/>
      </c>
      <c r="B266" s="44"/>
      <c r="C266" s="33"/>
      <c r="D266" s="42"/>
      <c r="E266" s="45"/>
      <c r="F266" s="33"/>
      <c r="G266" s="42"/>
      <c r="H266" s="60" t="s">
        <v>1281</v>
      </c>
      <c r="I266" s="41"/>
      <c r="J266" s="41"/>
      <c r="K266" s="41"/>
    </row>
    <row r="267" spans="1:11" ht="15" customHeight="1" x14ac:dyDescent="0.25">
      <c r="A267" s="55" t="str">
        <f t="shared" si="4"/>
        <v/>
      </c>
      <c r="B267" s="44"/>
      <c r="C267" s="33"/>
      <c r="D267" s="42"/>
      <c r="E267" s="45"/>
      <c r="F267" s="33"/>
      <c r="G267" s="42"/>
      <c r="H267" s="60" t="s">
        <v>1281</v>
      </c>
      <c r="I267" s="41"/>
      <c r="J267" s="41"/>
      <c r="K267" s="41"/>
    </row>
    <row r="268" spans="1:11" ht="15" customHeight="1" x14ac:dyDescent="0.25">
      <c r="A268" s="55" t="str">
        <f t="shared" si="4"/>
        <v/>
      </c>
      <c r="B268" s="44"/>
      <c r="C268" s="33"/>
      <c r="D268" s="42"/>
      <c r="E268" s="45"/>
      <c r="F268" s="33"/>
      <c r="G268" s="42"/>
      <c r="H268" s="60" t="s">
        <v>1281</v>
      </c>
      <c r="I268" s="41"/>
      <c r="J268" s="41"/>
      <c r="K268" s="41"/>
    </row>
    <row r="269" spans="1:11" ht="15" customHeight="1" x14ac:dyDescent="0.25">
      <c r="A269" s="55" t="str">
        <f t="shared" si="4"/>
        <v/>
      </c>
      <c r="B269" s="44"/>
      <c r="C269" s="33"/>
      <c r="D269" s="42"/>
      <c r="E269" s="45"/>
      <c r="F269" s="33"/>
      <c r="G269" s="42"/>
      <c r="H269" s="60" t="s">
        <v>1281</v>
      </c>
      <c r="I269" s="41"/>
      <c r="J269" s="41"/>
      <c r="K269" s="41"/>
    </row>
    <row r="270" spans="1:11" ht="15" customHeight="1" x14ac:dyDescent="0.25">
      <c r="A270" s="55" t="str">
        <f t="shared" si="4"/>
        <v/>
      </c>
      <c r="B270" s="44"/>
      <c r="C270" s="33"/>
      <c r="D270" s="42"/>
      <c r="E270" s="45"/>
      <c r="F270" s="33"/>
      <c r="G270" s="42"/>
      <c r="H270" s="60" t="s">
        <v>1281</v>
      </c>
      <c r="I270" s="41"/>
      <c r="J270" s="41"/>
      <c r="K270" s="41"/>
    </row>
    <row r="271" spans="1:11" ht="15" customHeight="1" x14ac:dyDescent="0.25">
      <c r="A271" s="55" t="str">
        <f t="shared" si="4"/>
        <v/>
      </c>
      <c r="B271" s="44"/>
      <c r="C271" s="33"/>
      <c r="D271" s="42"/>
      <c r="E271" s="45"/>
      <c r="F271" s="33"/>
      <c r="G271" s="42"/>
      <c r="H271" s="60" t="s">
        <v>1281</v>
      </c>
      <c r="I271" s="41"/>
      <c r="J271" s="41"/>
      <c r="K271" s="41"/>
    </row>
    <row r="272" spans="1:11" ht="15" customHeight="1" x14ac:dyDescent="0.25">
      <c r="A272" s="55" t="str">
        <f t="shared" si="4"/>
        <v/>
      </c>
      <c r="B272" s="44"/>
      <c r="C272" s="33"/>
      <c r="D272" s="42"/>
      <c r="E272" s="45"/>
      <c r="F272" s="33"/>
      <c r="G272" s="42"/>
      <c r="H272" s="60" t="s">
        <v>1281</v>
      </c>
      <c r="I272" s="41"/>
      <c r="J272" s="41"/>
      <c r="K272" s="41"/>
    </row>
    <row r="273" spans="1:11" ht="15" customHeight="1" x14ac:dyDescent="0.25">
      <c r="A273" s="55" t="str">
        <f t="shared" si="4"/>
        <v/>
      </c>
      <c r="B273" s="44"/>
      <c r="C273" s="33"/>
      <c r="D273" s="42"/>
      <c r="E273" s="45"/>
      <c r="F273" s="33"/>
      <c r="G273" s="42"/>
      <c r="H273" s="60" t="s">
        <v>1281</v>
      </c>
      <c r="I273" s="41"/>
      <c r="J273" s="41"/>
      <c r="K273" s="41"/>
    </row>
    <row r="274" spans="1:11" ht="15" customHeight="1" x14ac:dyDescent="0.25">
      <c r="A274" s="55" t="str">
        <f t="shared" si="4"/>
        <v/>
      </c>
      <c r="B274" s="44"/>
      <c r="C274" s="33"/>
      <c r="D274" s="42"/>
      <c r="E274" s="45"/>
      <c r="F274" s="33"/>
      <c r="G274" s="42"/>
      <c r="H274" s="60" t="s">
        <v>1281</v>
      </c>
      <c r="I274" s="41"/>
      <c r="J274" s="41"/>
      <c r="K274" s="41"/>
    </row>
    <row r="275" spans="1:11" ht="15" customHeight="1" x14ac:dyDescent="0.25">
      <c r="A275" s="55" t="str">
        <f t="shared" si="4"/>
        <v/>
      </c>
      <c r="B275" s="44"/>
      <c r="C275" s="33"/>
      <c r="D275" s="42"/>
      <c r="E275" s="45"/>
      <c r="F275" s="33"/>
      <c r="G275" s="42"/>
      <c r="H275" s="60" t="s">
        <v>1281</v>
      </c>
      <c r="I275" s="41"/>
      <c r="J275" s="41"/>
      <c r="K275" s="41"/>
    </row>
    <row r="276" spans="1:11" ht="15" customHeight="1" x14ac:dyDescent="0.25">
      <c r="A276" s="55" t="str">
        <f t="shared" si="4"/>
        <v/>
      </c>
      <c r="B276" s="44"/>
      <c r="C276" s="33"/>
      <c r="D276" s="42"/>
      <c r="E276" s="45"/>
      <c r="F276" s="33"/>
      <c r="G276" s="42"/>
      <c r="H276" s="60" t="s">
        <v>1281</v>
      </c>
      <c r="I276" s="41"/>
      <c r="J276" s="41"/>
      <c r="K276" s="41"/>
    </row>
    <row r="277" spans="1:11" ht="15" customHeight="1" x14ac:dyDescent="0.25">
      <c r="A277" s="55" t="str">
        <f t="shared" si="4"/>
        <v/>
      </c>
      <c r="B277" s="44"/>
      <c r="C277" s="33"/>
      <c r="D277" s="42"/>
      <c r="E277" s="45"/>
      <c r="F277" s="33"/>
      <c r="G277" s="42"/>
      <c r="H277" s="60" t="s">
        <v>1281</v>
      </c>
      <c r="I277" s="41"/>
      <c r="J277" s="41"/>
      <c r="K277" s="41"/>
    </row>
    <row r="278" spans="1:11" ht="15" customHeight="1" x14ac:dyDescent="0.25">
      <c r="A278" s="55" t="str">
        <f t="shared" si="4"/>
        <v/>
      </c>
      <c r="B278" s="44"/>
      <c r="C278" s="33"/>
      <c r="D278" s="42"/>
      <c r="E278" s="45"/>
      <c r="F278" s="33"/>
      <c r="G278" s="42"/>
      <c r="H278" s="60" t="s">
        <v>1281</v>
      </c>
      <c r="I278" s="41"/>
      <c r="J278" s="41"/>
      <c r="K278" s="41"/>
    </row>
    <row r="279" spans="1:11" ht="15" customHeight="1" x14ac:dyDescent="0.25">
      <c r="A279" s="55" t="str">
        <f t="shared" si="4"/>
        <v/>
      </c>
      <c r="B279" s="44"/>
      <c r="C279" s="33"/>
      <c r="D279" s="42"/>
      <c r="E279" s="45"/>
      <c r="F279" s="33"/>
      <c r="G279" s="42"/>
      <c r="H279" s="60" t="s">
        <v>1281</v>
      </c>
      <c r="I279" s="41"/>
      <c r="J279" s="41"/>
      <c r="K279" s="41"/>
    </row>
    <row r="280" spans="1:11" ht="15" customHeight="1" x14ac:dyDescent="0.25">
      <c r="A280" s="55" t="str">
        <f t="shared" si="4"/>
        <v/>
      </c>
      <c r="B280" s="44"/>
      <c r="C280" s="33"/>
      <c r="D280" s="42"/>
      <c r="E280" s="45"/>
      <c r="F280" s="33"/>
      <c r="G280" s="42"/>
      <c r="H280" s="60" t="s">
        <v>1281</v>
      </c>
      <c r="I280" s="41"/>
      <c r="J280" s="41"/>
      <c r="K280" s="41"/>
    </row>
    <row r="281" spans="1:11" ht="15" customHeight="1" x14ac:dyDescent="0.25">
      <c r="A281" s="55" t="str">
        <f t="shared" si="4"/>
        <v/>
      </c>
      <c r="B281" s="44"/>
      <c r="C281" s="33"/>
      <c r="D281" s="42"/>
      <c r="E281" s="45"/>
      <c r="F281" s="33"/>
      <c r="G281" s="42"/>
      <c r="H281" s="60" t="s">
        <v>1281</v>
      </c>
      <c r="I281" s="41"/>
      <c r="J281" s="41"/>
      <c r="K281" s="41"/>
    </row>
    <row r="282" spans="1:11" ht="15" customHeight="1" x14ac:dyDescent="0.25">
      <c r="A282" s="55" t="str">
        <f t="shared" si="4"/>
        <v/>
      </c>
      <c r="B282" s="44"/>
      <c r="C282" s="33"/>
      <c r="D282" s="42"/>
      <c r="E282" s="45"/>
      <c r="F282" s="33"/>
      <c r="G282" s="42"/>
      <c r="H282" s="60" t="s">
        <v>1281</v>
      </c>
      <c r="I282" s="41"/>
      <c r="J282" s="41"/>
      <c r="K282" s="41"/>
    </row>
    <row r="283" spans="1:11" ht="15" customHeight="1" x14ac:dyDescent="0.25">
      <c r="A283" s="55" t="str">
        <f t="shared" si="4"/>
        <v/>
      </c>
      <c r="B283" s="44"/>
      <c r="C283" s="33"/>
      <c r="D283" s="42"/>
      <c r="E283" s="45"/>
      <c r="F283" s="33"/>
      <c r="G283" s="42"/>
      <c r="H283" s="60" t="s">
        <v>1281</v>
      </c>
      <c r="I283" s="41"/>
      <c r="J283" s="41"/>
      <c r="K283" s="41"/>
    </row>
    <row r="284" spans="1:11" ht="15" customHeight="1" x14ac:dyDescent="0.25">
      <c r="A284" s="55" t="str">
        <f t="shared" si="4"/>
        <v/>
      </c>
      <c r="B284" s="44"/>
      <c r="C284" s="33"/>
      <c r="D284" s="42"/>
      <c r="E284" s="45"/>
      <c r="F284" s="33"/>
      <c r="G284" s="42"/>
      <c r="H284" s="60" t="s">
        <v>1281</v>
      </c>
      <c r="I284" s="41"/>
      <c r="J284" s="41"/>
      <c r="K284" s="41"/>
    </row>
    <row r="285" spans="1:11" ht="15" customHeight="1" x14ac:dyDescent="0.25">
      <c r="A285" s="55" t="str">
        <f t="shared" si="4"/>
        <v/>
      </c>
      <c r="B285" s="44"/>
      <c r="C285" s="33"/>
      <c r="D285" s="42"/>
      <c r="E285" s="45"/>
      <c r="F285" s="33"/>
      <c r="G285" s="42"/>
      <c r="H285" s="60" t="s">
        <v>1281</v>
      </c>
      <c r="I285" s="41"/>
      <c r="J285" s="41"/>
      <c r="K285" s="41"/>
    </row>
    <row r="286" spans="1:11" ht="15" customHeight="1" x14ac:dyDescent="0.25">
      <c r="A286" s="55" t="str">
        <f t="shared" si="4"/>
        <v/>
      </c>
      <c r="B286" s="44"/>
      <c r="C286" s="33"/>
      <c r="D286" s="42"/>
      <c r="E286" s="45"/>
      <c r="F286" s="33"/>
      <c r="G286" s="42"/>
      <c r="H286" s="60" t="s">
        <v>1281</v>
      </c>
      <c r="I286" s="41"/>
      <c r="J286" s="41"/>
      <c r="K286" s="41"/>
    </row>
    <row r="287" spans="1:11" ht="15" customHeight="1" x14ac:dyDescent="0.25">
      <c r="A287" s="55" t="str">
        <f t="shared" si="4"/>
        <v/>
      </c>
      <c r="B287" s="44"/>
      <c r="C287" s="33"/>
      <c r="D287" s="42"/>
      <c r="E287" s="45"/>
      <c r="F287" s="33"/>
      <c r="G287" s="42"/>
      <c r="H287" s="60" t="s">
        <v>1281</v>
      </c>
      <c r="I287" s="41"/>
      <c r="J287" s="41"/>
      <c r="K287" s="41"/>
    </row>
    <row r="288" spans="1:11" ht="15" customHeight="1" x14ac:dyDescent="0.25">
      <c r="A288" s="55" t="str">
        <f t="shared" si="4"/>
        <v/>
      </c>
      <c r="B288" s="44"/>
      <c r="C288" s="33"/>
      <c r="D288" s="42"/>
      <c r="E288" s="45"/>
      <c r="F288" s="33"/>
      <c r="G288" s="42"/>
      <c r="H288" s="60" t="s">
        <v>1281</v>
      </c>
      <c r="I288" s="41"/>
      <c r="J288" s="41"/>
      <c r="K288" s="41"/>
    </row>
    <row r="289" spans="1:11" ht="15" customHeight="1" x14ac:dyDescent="0.25">
      <c r="A289" s="55" t="str">
        <f t="shared" si="4"/>
        <v/>
      </c>
      <c r="B289" s="44"/>
      <c r="C289" s="33"/>
      <c r="D289" s="42"/>
      <c r="E289" s="45"/>
      <c r="F289" s="33"/>
      <c r="G289" s="42"/>
      <c r="H289" s="60" t="s">
        <v>1281</v>
      </c>
      <c r="I289" s="41"/>
      <c r="J289" s="41"/>
      <c r="K289" s="41"/>
    </row>
    <row r="290" spans="1:11" ht="15" customHeight="1" x14ac:dyDescent="0.25">
      <c r="A290" s="55" t="str">
        <f t="shared" si="4"/>
        <v/>
      </c>
      <c r="B290" s="44"/>
      <c r="C290" s="33"/>
      <c r="D290" s="42"/>
      <c r="E290" s="45"/>
      <c r="F290" s="33"/>
      <c r="G290" s="42"/>
      <c r="H290" s="60" t="s">
        <v>1281</v>
      </c>
      <c r="I290" s="41"/>
      <c r="J290" s="41"/>
      <c r="K290" s="41"/>
    </row>
    <row r="291" spans="1:11" ht="15" customHeight="1" x14ac:dyDescent="0.25">
      <c r="A291" s="55" t="str">
        <f t="shared" si="4"/>
        <v/>
      </c>
      <c r="B291" s="44"/>
      <c r="C291" s="33"/>
      <c r="D291" s="42"/>
      <c r="E291" s="45"/>
      <c r="F291" s="33"/>
      <c r="G291" s="42"/>
      <c r="H291" s="60" t="s">
        <v>1281</v>
      </c>
      <c r="I291" s="41"/>
      <c r="J291" s="41"/>
      <c r="K291" s="41"/>
    </row>
    <row r="292" spans="1:11" ht="15" customHeight="1" x14ac:dyDescent="0.25">
      <c r="A292" s="55" t="str">
        <f t="shared" si="4"/>
        <v/>
      </c>
      <c r="B292" s="44"/>
      <c r="C292" s="33"/>
      <c r="D292" s="42"/>
      <c r="E292" s="45"/>
      <c r="F292" s="33"/>
      <c r="G292" s="42"/>
      <c r="H292" s="60" t="s">
        <v>1281</v>
      </c>
      <c r="I292" s="41"/>
      <c r="J292" s="41"/>
      <c r="K292" s="41"/>
    </row>
    <row r="293" spans="1:11" ht="15" customHeight="1" x14ac:dyDescent="0.25">
      <c r="A293" s="55" t="str">
        <f t="shared" si="4"/>
        <v/>
      </c>
      <c r="B293" s="44"/>
      <c r="C293" s="33"/>
      <c r="D293" s="42"/>
      <c r="E293" s="45"/>
      <c r="F293" s="33"/>
      <c r="G293" s="42"/>
      <c r="H293" s="60" t="s">
        <v>1281</v>
      </c>
      <c r="I293" s="41"/>
      <c r="J293" s="41"/>
      <c r="K293" s="41"/>
    </row>
    <row r="294" spans="1:11" ht="15" customHeight="1" x14ac:dyDescent="0.25">
      <c r="A294" s="55" t="str">
        <f t="shared" si="4"/>
        <v/>
      </c>
      <c r="B294" s="44"/>
      <c r="C294" s="33"/>
      <c r="D294" s="42"/>
      <c r="E294" s="45"/>
      <c r="F294" s="33"/>
      <c r="G294" s="42"/>
      <c r="H294" s="60" t="s">
        <v>1281</v>
      </c>
      <c r="I294" s="41"/>
      <c r="J294" s="41"/>
      <c r="K294" s="41"/>
    </row>
    <row r="295" spans="1:11" ht="15" customHeight="1" x14ac:dyDescent="0.25">
      <c r="A295" s="55" t="str">
        <f t="shared" si="4"/>
        <v/>
      </c>
      <c r="B295" s="44"/>
      <c r="C295" s="33"/>
      <c r="D295" s="42"/>
      <c r="E295" s="45"/>
      <c r="F295" s="33"/>
      <c r="G295" s="42"/>
      <c r="H295" s="60" t="s">
        <v>1281</v>
      </c>
      <c r="I295" s="41"/>
      <c r="J295" s="41"/>
      <c r="K295" s="41"/>
    </row>
    <row r="296" spans="1:11" ht="15" customHeight="1" x14ac:dyDescent="0.25">
      <c r="A296" s="55" t="str">
        <f t="shared" si="4"/>
        <v/>
      </c>
      <c r="B296" s="44"/>
      <c r="C296" s="33"/>
      <c r="D296" s="42"/>
      <c r="E296" s="45"/>
      <c r="F296" s="33"/>
      <c r="G296" s="42"/>
      <c r="H296" s="60" t="s">
        <v>1281</v>
      </c>
      <c r="I296" s="41"/>
      <c r="J296" s="41"/>
      <c r="K296" s="41"/>
    </row>
    <row r="297" spans="1:11" ht="15" customHeight="1" x14ac:dyDescent="0.25">
      <c r="A297" s="55" t="str">
        <f t="shared" si="4"/>
        <v/>
      </c>
      <c r="B297" s="44"/>
      <c r="C297" s="33"/>
      <c r="D297" s="42"/>
      <c r="E297" s="45"/>
      <c r="F297" s="33"/>
      <c r="G297" s="42"/>
      <c r="H297" s="60" t="s">
        <v>1281</v>
      </c>
      <c r="I297" s="41"/>
      <c r="J297" s="41"/>
      <c r="K297" s="41"/>
    </row>
    <row r="298" spans="1:11" ht="15" customHeight="1" x14ac:dyDescent="0.25">
      <c r="A298" s="55" t="str">
        <f t="shared" si="4"/>
        <v/>
      </c>
      <c r="B298" s="44"/>
      <c r="C298" s="33"/>
      <c r="D298" s="42"/>
      <c r="E298" s="45"/>
      <c r="F298" s="33"/>
      <c r="G298" s="42"/>
      <c r="H298" s="60" t="s">
        <v>1281</v>
      </c>
      <c r="I298" s="41"/>
      <c r="J298" s="41"/>
      <c r="K298" s="41"/>
    </row>
    <row r="299" spans="1:11" ht="15" customHeight="1" x14ac:dyDescent="0.25">
      <c r="A299" s="55" t="str">
        <f t="shared" si="4"/>
        <v/>
      </c>
      <c r="B299" s="44"/>
      <c r="C299" s="33"/>
      <c r="D299" s="42"/>
      <c r="E299" s="45"/>
      <c r="F299" s="33"/>
      <c r="G299" s="42"/>
      <c r="H299" s="60" t="s">
        <v>1281</v>
      </c>
      <c r="I299" s="41"/>
      <c r="J299" s="41"/>
      <c r="K299" s="41"/>
    </row>
    <row r="300" spans="1:11" ht="15" customHeight="1" x14ac:dyDescent="0.25">
      <c r="A300" s="55" t="str">
        <f t="shared" si="4"/>
        <v/>
      </c>
      <c r="B300" s="44"/>
      <c r="C300" s="33"/>
      <c r="D300" s="42"/>
      <c r="E300" s="45"/>
      <c r="F300" s="33"/>
      <c r="G300" s="42"/>
      <c r="H300" s="60" t="s">
        <v>1281</v>
      </c>
      <c r="I300" s="41"/>
      <c r="J300" s="41"/>
      <c r="K300" s="41"/>
    </row>
    <row r="301" spans="1:11" ht="15" customHeight="1" x14ac:dyDescent="0.25">
      <c r="A301" s="55" t="str">
        <f t="shared" si="4"/>
        <v/>
      </c>
      <c r="B301" s="44"/>
      <c r="C301" s="33"/>
      <c r="D301" s="42"/>
      <c r="E301" s="45"/>
      <c r="F301" s="33"/>
      <c r="G301" s="42"/>
      <c r="H301" s="60" t="s">
        <v>1281</v>
      </c>
      <c r="I301" s="41"/>
      <c r="J301" s="41"/>
      <c r="K301" s="41"/>
    </row>
    <row r="302" spans="1:11" ht="15" customHeight="1" x14ac:dyDescent="0.25">
      <c r="A302" s="55" t="str">
        <f t="shared" si="4"/>
        <v/>
      </c>
      <c r="B302" s="44"/>
      <c r="C302" s="33"/>
      <c r="D302" s="42"/>
      <c r="E302" s="45"/>
      <c r="F302" s="33"/>
      <c r="G302" s="42"/>
      <c r="H302" s="60" t="s">
        <v>1281</v>
      </c>
      <c r="I302" s="41"/>
      <c r="J302" s="41"/>
      <c r="K302" s="41"/>
    </row>
    <row r="303" spans="1:11" ht="15" customHeight="1" x14ac:dyDescent="0.25">
      <c r="A303" s="55" t="str">
        <f t="shared" si="4"/>
        <v/>
      </c>
      <c r="B303" s="44"/>
      <c r="C303" s="33"/>
      <c r="D303" s="42"/>
      <c r="E303" s="45"/>
      <c r="F303" s="33"/>
      <c r="G303" s="42"/>
      <c r="H303" s="60" t="s">
        <v>1281</v>
      </c>
      <c r="I303" s="41"/>
      <c r="J303" s="41"/>
      <c r="K303" s="41"/>
    </row>
    <row r="304" spans="1:11" ht="15" customHeight="1" x14ac:dyDescent="0.25">
      <c r="A304" s="55" t="str">
        <f t="shared" si="4"/>
        <v/>
      </c>
      <c r="B304" s="44"/>
      <c r="C304" s="33"/>
      <c r="D304" s="42"/>
      <c r="E304" s="45"/>
      <c r="F304" s="33"/>
      <c r="G304" s="42"/>
      <c r="H304" s="60" t="s">
        <v>1281</v>
      </c>
      <c r="I304" s="41"/>
      <c r="J304" s="41"/>
      <c r="K304" s="41"/>
    </row>
    <row r="305" spans="1:11" ht="15" customHeight="1" x14ac:dyDescent="0.25">
      <c r="A305" s="55" t="str">
        <f t="shared" si="4"/>
        <v/>
      </c>
      <c r="B305" s="44"/>
      <c r="C305" s="33"/>
      <c r="D305" s="42"/>
      <c r="E305" s="45"/>
      <c r="F305" s="33"/>
      <c r="G305" s="42"/>
      <c r="H305" s="60" t="s">
        <v>1281</v>
      </c>
      <c r="I305" s="41"/>
      <c r="J305" s="41"/>
      <c r="K305" s="41"/>
    </row>
    <row r="306" spans="1:11" ht="15" customHeight="1" x14ac:dyDescent="0.25">
      <c r="A306" s="55" t="str">
        <f t="shared" si="4"/>
        <v/>
      </c>
      <c r="B306" s="44"/>
      <c r="C306" s="33"/>
      <c r="D306" s="42"/>
      <c r="E306" s="45"/>
      <c r="F306" s="33"/>
      <c r="G306" s="42"/>
      <c r="H306" s="60" t="s">
        <v>1281</v>
      </c>
      <c r="I306" s="41"/>
      <c r="J306" s="41"/>
      <c r="K306" s="41"/>
    </row>
    <row r="307" spans="1:11" ht="15" customHeight="1" x14ac:dyDescent="0.25">
      <c r="A307" s="55" t="str">
        <f t="shared" si="4"/>
        <v/>
      </c>
      <c r="B307" s="44"/>
      <c r="C307" s="33"/>
      <c r="D307" s="42"/>
      <c r="E307" s="45"/>
      <c r="F307" s="33"/>
      <c r="G307" s="42"/>
      <c r="H307" s="60" t="s">
        <v>1281</v>
      </c>
      <c r="I307" s="41"/>
      <c r="J307" s="41"/>
      <c r="K307" s="41"/>
    </row>
    <row r="308" spans="1:11" ht="15" customHeight="1" x14ac:dyDescent="0.25">
      <c r="A308" s="55" t="str">
        <f t="shared" si="4"/>
        <v/>
      </c>
      <c r="B308" s="44"/>
      <c r="C308" s="33"/>
      <c r="D308" s="42"/>
      <c r="E308" s="45"/>
      <c r="F308" s="33"/>
      <c r="G308" s="42"/>
      <c r="H308" s="60" t="s">
        <v>1281</v>
      </c>
      <c r="I308" s="41"/>
      <c r="J308" s="41"/>
      <c r="K308" s="41"/>
    </row>
    <row r="309" spans="1:11" ht="15" customHeight="1" x14ac:dyDescent="0.25">
      <c r="A309" s="55" t="str">
        <f t="shared" si="4"/>
        <v/>
      </c>
      <c r="B309" s="44"/>
      <c r="C309" s="33"/>
      <c r="D309" s="42"/>
      <c r="E309" s="45"/>
      <c r="F309" s="33"/>
      <c r="G309" s="42"/>
      <c r="H309" s="60" t="s">
        <v>1281</v>
      </c>
      <c r="I309" s="41"/>
      <c r="J309" s="41"/>
      <c r="K309" s="41"/>
    </row>
    <row r="310" spans="1:11" ht="15" customHeight="1" x14ac:dyDescent="0.25">
      <c r="A310" s="55" t="str">
        <f t="shared" si="4"/>
        <v/>
      </c>
      <c r="B310" s="44"/>
      <c r="C310" s="33"/>
      <c r="D310" s="42"/>
      <c r="E310" s="45"/>
      <c r="F310" s="33"/>
      <c r="G310" s="42"/>
      <c r="H310" s="60" t="s">
        <v>1281</v>
      </c>
      <c r="I310" s="41"/>
      <c r="J310" s="41"/>
      <c r="K310" s="41"/>
    </row>
    <row r="311" spans="1:11" ht="15" customHeight="1" x14ac:dyDescent="0.25">
      <c r="A311" s="55" t="str">
        <f t="shared" si="4"/>
        <v/>
      </c>
      <c r="B311" s="44"/>
      <c r="C311" s="33"/>
      <c r="D311" s="42"/>
      <c r="E311" s="45"/>
      <c r="F311" s="33"/>
      <c r="G311" s="42"/>
      <c r="H311" s="60" t="s">
        <v>1281</v>
      </c>
      <c r="I311" s="41"/>
      <c r="J311" s="41"/>
      <c r="K311" s="41"/>
    </row>
    <row r="312" spans="1:11" ht="15" customHeight="1" x14ac:dyDescent="0.25">
      <c r="A312" s="55" t="str">
        <f t="shared" si="4"/>
        <v/>
      </c>
      <c r="B312" s="44"/>
      <c r="C312" s="33"/>
      <c r="D312" s="42"/>
      <c r="E312" s="45"/>
      <c r="F312" s="33"/>
      <c r="G312" s="42"/>
      <c r="H312" s="60" t="s">
        <v>1281</v>
      </c>
      <c r="I312" s="41"/>
      <c r="J312" s="41"/>
      <c r="K312" s="41"/>
    </row>
    <row r="313" spans="1:11" ht="15" customHeight="1" x14ac:dyDescent="0.25">
      <c r="A313" s="55" t="str">
        <f t="shared" si="4"/>
        <v/>
      </c>
      <c r="B313" s="44"/>
      <c r="C313" s="33"/>
      <c r="D313" s="42"/>
      <c r="E313" s="45"/>
      <c r="F313" s="33"/>
      <c r="G313" s="42"/>
      <c r="H313" s="60" t="s">
        <v>1281</v>
      </c>
      <c r="I313" s="41"/>
      <c r="J313" s="41"/>
      <c r="K313" s="41"/>
    </row>
    <row r="314" spans="1:11" ht="15" customHeight="1" x14ac:dyDescent="0.25">
      <c r="A314" s="55" t="str">
        <f t="shared" si="4"/>
        <v/>
      </c>
      <c r="B314" s="44"/>
      <c r="C314" s="33"/>
      <c r="D314" s="42"/>
      <c r="E314" s="45"/>
      <c r="F314" s="33"/>
      <c r="G314" s="42"/>
      <c r="H314" s="60" t="s">
        <v>1281</v>
      </c>
      <c r="I314" s="41"/>
      <c r="J314" s="41"/>
      <c r="K314" s="41"/>
    </row>
    <row r="315" spans="1:11" ht="15" customHeight="1" x14ac:dyDescent="0.25">
      <c r="A315" s="55" t="str">
        <f t="shared" si="4"/>
        <v/>
      </c>
      <c r="B315" s="44"/>
      <c r="C315" s="33"/>
      <c r="D315" s="42"/>
      <c r="E315" s="45"/>
      <c r="F315" s="33"/>
      <c r="G315" s="42"/>
      <c r="H315" s="60" t="s">
        <v>1281</v>
      </c>
      <c r="I315" s="41"/>
      <c r="J315" s="41"/>
      <c r="K315" s="41"/>
    </row>
    <row r="316" spans="1:11" ht="15" customHeight="1" x14ac:dyDescent="0.25">
      <c r="A316" s="55" t="str">
        <f t="shared" si="4"/>
        <v/>
      </c>
      <c r="B316" s="44"/>
      <c r="C316" s="33"/>
      <c r="D316" s="42"/>
      <c r="E316" s="45"/>
      <c r="F316" s="33"/>
      <c r="G316" s="42"/>
      <c r="H316" s="60" t="s">
        <v>1281</v>
      </c>
      <c r="I316" s="41"/>
      <c r="J316" s="41"/>
      <c r="K316" s="41"/>
    </row>
    <row r="317" spans="1:11" ht="15" customHeight="1" x14ac:dyDescent="0.25">
      <c r="A317" s="55" t="str">
        <f t="shared" si="4"/>
        <v/>
      </c>
      <c r="B317" s="44"/>
      <c r="C317" s="33"/>
      <c r="D317" s="42"/>
      <c r="E317" s="45"/>
      <c r="F317" s="33"/>
      <c r="G317" s="42"/>
      <c r="H317" s="60" t="s">
        <v>1281</v>
      </c>
      <c r="I317" s="41"/>
      <c r="J317" s="41"/>
      <c r="K317" s="41"/>
    </row>
    <row r="318" spans="1:11" ht="15" customHeight="1" x14ac:dyDescent="0.25">
      <c r="A318" s="55" t="str">
        <f t="shared" si="4"/>
        <v/>
      </c>
      <c r="B318" s="44"/>
      <c r="C318" s="33"/>
      <c r="D318" s="42"/>
      <c r="E318" s="45"/>
      <c r="F318" s="33"/>
      <c r="G318" s="42"/>
      <c r="H318" s="60" t="s">
        <v>1281</v>
      </c>
      <c r="I318" s="41"/>
      <c r="J318" s="41"/>
      <c r="K318" s="41"/>
    </row>
    <row r="319" spans="1:11" ht="15" customHeight="1" x14ac:dyDescent="0.25">
      <c r="A319" s="55" t="str">
        <f t="shared" si="4"/>
        <v/>
      </c>
      <c r="B319" s="44"/>
      <c r="C319" s="33"/>
      <c r="D319" s="42"/>
      <c r="E319" s="45"/>
      <c r="F319" s="33"/>
      <c r="G319" s="42"/>
      <c r="H319" s="60" t="s">
        <v>1281</v>
      </c>
      <c r="I319" s="41"/>
      <c r="J319" s="41"/>
      <c r="K319" s="41"/>
    </row>
    <row r="320" spans="1:11" ht="15" customHeight="1" x14ac:dyDescent="0.25">
      <c r="A320" s="55" t="str">
        <f t="shared" si="4"/>
        <v/>
      </c>
      <c r="B320" s="44"/>
      <c r="C320" s="33"/>
      <c r="D320" s="42"/>
      <c r="E320" s="45"/>
      <c r="F320" s="33"/>
      <c r="G320" s="42"/>
      <c r="H320" s="60" t="s">
        <v>1281</v>
      </c>
      <c r="I320" s="41"/>
      <c r="J320" s="41"/>
      <c r="K320" s="41"/>
    </row>
    <row r="321" spans="1:11" ht="15" customHeight="1" x14ac:dyDescent="0.25">
      <c r="A321" s="55" t="str">
        <f t="shared" si="4"/>
        <v/>
      </c>
      <c r="B321" s="44"/>
      <c r="C321" s="33"/>
      <c r="D321" s="42"/>
      <c r="E321" s="45"/>
      <c r="F321" s="33"/>
      <c r="G321" s="42"/>
      <c r="H321" s="60" t="s">
        <v>1281</v>
      </c>
      <c r="I321" s="41"/>
      <c r="J321" s="41"/>
      <c r="K321" s="41"/>
    </row>
    <row r="322" spans="1:11" ht="15" customHeight="1" x14ac:dyDescent="0.25">
      <c r="A322" s="55" t="str">
        <f t="shared" si="4"/>
        <v/>
      </c>
      <c r="B322" s="44"/>
      <c r="C322" s="33"/>
      <c r="D322" s="42"/>
      <c r="E322" s="45"/>
      <c r="F322" s="33"/>
      <c r="G322" s="42"/>
      <c r="H322" s="60" t="s">
        <v>1281</v>
      </c>
      <c r="I322" s="41"/>
      <c r="J322" s="41"/>
      <c r="K322" s="41"/>
    </row>
    <row r="323" spans="1:11" ht="15" customHeight="1" x14ac:dyDescent="0.25">
      <c r="A323" s="55" t="str">
        <f t="shared" si="4"/>
        <v/>
      </c>
      <c r="B323" s="44"/>
      <c r="C323" s="33"/>
      <c r="D323" s="42"/>
      <c r="E323" s="45"/>
      <c r="F323" s="33"/>
      <c r="G323" s="42"/>
      <c r="H323" s="60" t="s">
        <v>1281</v>
      </c>
      <c r="I323" s="41"/>
      <c r="J323" s="41"/>
      <c r="K323" s="41"/>
    </row>
    <row r="324" spans="1:11" ht="15" customHeight="1" x14ac:dyDescent="0.25">
      <c r="A324" s="55" t="str">
        <f t="shared" ref="A324:A387" si="5">IF(COUNTA(B324:G324)&gt;0,ROW()-3,"")</f>
        <v/>
      </c>
      <c r="B324" s="44"/>
      <c r="C324" s="33"/>
      <c r="D324" s="42"/>
      <c r="E324" s="45"/>
      <c r="F324" s="33"/>
      <c r="G324" s="42"/>
      <c r="H324" s="60" t="s">
        <v>1281</v>
      </c>
      <c r="I324" s="41"/>
      <c r="J324" s="41"/>
      <c r="K324" s="41"/>
    </row>
    <row r="325" spans="1:11" ht="15" customHeight="1" x14ac:dyDescent="0.25">
      <c r="A325" s="55" t="str">
        <f t="shared" si="5"/>
        <v/>
      </c>
      <c r="B325" s="44"/>
      <c r="C325" s="33"/>
      <c r="D325" s="42"/>
      <c r="E325" s="45"/>
      <c r="F325" s="33"/>
      <c r="G325" s="42"/>
      <c r="H325" s="60" t="s">
        <v>1281</v>
      </c>
      <c r="I325" s="41"/>
      <c r="J325" s="41"/>
      <c r="K325" s="41"/>
    </row>
    <row r="326" spans="1:11" ht="15" customHeight="1" x14ac:dyDescent="0.25">
      <c r="A326" s="55" t="str">
        <f t="shared" si="5"/>
        <v/>
      </c>
      <c r="B326" s="44"/>
      <c r="C326" s="33"/>
      <c r="D326" s="42"/>
      <c r="E326" s="45"/>
      <c r="F326" s="33"/>
      <c r="G326" s="42"/>
      <c r="H326" s="60" t="s">
        <v>1281</v>
      </c>
      <c r="I326" s="41"/>
      <c r="J326" s="41"/>
      <c r="K326" s="41"/>
    </row>
    <row r="327" spans="1:11" ht="15" customHeight="1" x14ac:dyDescent="0.25">
      <c r="A327" s="55" t="str">
        <f t="shared" si="5"/>
        <v/>
      </c>
      <c r="B327" s="44"/>
      <c r="C327" s="33"/>
      <c r="D327" s="42"/>
      <c r="E327" s="45"/>
      <c r="F327" s="33"/>
      <c r="G327" s="42"/>
      <c r="H327" s="60" t="s">
        <v>1281</v>
      </c>
      <c r="I327" s="41"/>
      <c r="J327" s="41"/>
      <c r="K327" s="41"/>
    </row>
    <row r="328" spans="1:11" ht="15" customHeight="1" x14ac:dyDescent="0.25">
      <c r="A328" s="55" t="str">
        <f t="shared" si="5"/>
        <v/>
      </c>
      <c r="B328" s="44"/>
      <c r="C328" s="33"/>
      <c r="D328" s="42"/>
      <c r="E328" s="45"/>
      <c r="F328" s="33"/>
      <c r="G328" s="42"/>
      <c r="H328" s="60" t="s">
        <v>1281</v>
      </c>
      <c r="I328" s="41"/>
      <c r="J328" s="41"/>
      <c r="K328" s="41"/>
    </row>
    <row r="329" spans="1:11" ht="15" customHeight="1" x14ac:dyDescent="0.25">
      <c r="A329" s="55" t="str">
        <f t="shared" si="5"/>
        <v/>
      </c>
      <c r="B329" s="44"/>
      <c r="C329" s="33"/>
      <c r="D329" s="42"/>
      <c r="E329" s="45"/>
      <c r="F329" s="33"/>
      <c r="G329" s="42"/>
      <c r="H329" s="60" t="s">
        <v>1281</v>
      </c>
      <c r="I329" s="41"/>
      <c r="J329" s="41"/>
      <c r="K329" s="41"/>
    </row>
    <row r="330" spans="1:11" ht="15" customHeight="1" x14ac:dyDescent="0.25">
      <c r="A330" s="55" t="str">
        <f t="shared" si="5"/>
        <v/>
      </c>
      <c r="B330" s="44"/>
      <c r="C330" s="33"/>
      <c r="D330" s="42"/>
      <c r="E330" s="45"/>
      <c r="F330" s="33"/>
      <c r="G330" s="42"/>
      <c r="H330" s="60" t="s">
        <v>1281</v>
      </c>
      <c r="I330" s="41"/>
      <c r="J330" s="41"/>
      <c r="K330" s="41"/>
    </row>
    <row r="331" spans="1:11" ht="15" customHeight="1" x14ac:dyDescent="0.25">
      <c r="A331" s="55" t="str">
        <f t="shared" si="5"/>
        <v/>
      </c>
      <c r="B331" s="44"/>
      <c r="C331" s="33"/>
      <c r="D331" s="42"/>
      <c r="E331" s="45"/>
      <c r="F331" s="33"/>
      <c r="G331" s="42"/>
      <c r="H331" s="60" t="s">
        <v>1281</v>
      </c>
      <c r="I331" s="41"/>
      <c r="J331" s="41"/>
      <c r="K331" s="41"/>
    </row>
    <row r="332" spans="1:11" ht="15" customHeight="1" x14ac:dyDescent="0.25">
      <c r="A332" s="55" t="str">
        <f t="shared" si="5"/>
        <v/>
      </c>
      <c r="B332" s="44"/>
      <c r="C332" s="33"/>
      <c r="D332" s="42"/>
      <c r="E332" s="45"/>
      <c r="F332" s="33"/>
      <c r="G332" s="42"/>
      <c r="H332" s="60" t="s">
        <v>1281</v>
      </c>
      <c r="I332" s="41"/>
      <c r="J332" s="41"/>
      <c r="K332" s="41"/>
    </row>
    <row r="333" spans="1:11" ht="15" customHeight="1" x14ac:dyDescent="0.25">
      <c r="A333" s="55" t="str">
        <f t="shared" si="5"/>
        <v/>
      </c>
      <c r="B333" s="44"/>
      <c r="C333" s="33"/>
      <c r="D333" s="42"/>
      <c r="E333" s="45"/>
      <c r="F333" s="33"/>
      <c r="G333" s="42"/>
      <c r="H333" s="60" t="s">
        <v>1281</v>
      </c>
      <c r="I333" s="41"/>
      <c r="J333" s="41"/>
      <c r="K333" s="41"/>
    </row>
    <row r="334" spans="1:11" ht="15" customHeight="1" x14ac:dyDescent="0.25">
      <c r="A334" s="55" t="str">
        <f t="shared" si="5"/>
        <v/>
      </c>
      <c r="B334" s="44"/>
      <c r="C334" s="33"/>
      <c r="D334" s="42"/>
      <c r="E334" s="45"/>
      <c r="F334" s="33"/>
      <c r="G334" s="42"/>
      <c r="H334" s="60" t="s">
        <v>1281</v>
      </c>
      <c r="I334" s="41"/>
      <c r="J334" s="41"/>
      <c r="K334" s="41"/>
    </row>
    <row r="335" spans="1:11" ht="15" customHeight="1" x14ac:dyDescent="0.25">
      <c r="A335" s="55" t="str">
        <f t="shared" si="5"/>
        <v/>
      </c>
      <c r="B335" s="44"/>
      <c r="C335" s="33"/>
      <c r="D335" s="42"/>
      <c r="E335" s="45"/>
      <c r="F335" s="33"/>
      <c r="G335" s="42"/>
      <c r="H335" s="60" t="s">
        <v>1281</v>
      </c>
      <c r="I335" s="41"/>
      <c r="J335" s="41"/>
      <c r="K335" s="41"/>
    </row>
    <row r="336" spans="1:11" ht="15" customHeight="1" x14ac:dyDescent="0.25">
      <c r="A336" s="55" t="str">
        <f t="shared" si="5"/>
        <v/>
      </c>
      <c r="B336" s="44"/>
      <c r="C336" s="33"/>
      <c r="D336" s="42"/>
      <c r="E336" s="45"/>
      <c r="F336" s="33"/>
      <c r="G336" s="42"/>
      <c r="H336" s="60" t="s">
        <v>1281</v>
      </c>
      <c r="I336" s="41"/>
      <c r="J336" s="41"/>
      <c r="K336" s="41"/>
    </row>
    <row r="337" spans="1:11" ht="15" customHeight="1" x14ac:dyDescent="0.25">
      <c r="A337" s="55" t="str">
        <f t="shared" si="5"/>
        <v/>
      </c>
      <c r="B337" s="44"/>
      <c r="C337" s="33"/>
      <c r="D337" s="42"/>
      <c r="E337" s="45"/>
      <c r="F337" s="33"/>
      <c r="G337" s="42"/>
      <c r="H337" s="60" t="s">
        <v>1281</v>
      </c>
      <c r="I337" s="41"/>
      <c r="J337" s="41"/>
      <c r="K337" s="41"/>
    </row>
    <row r="338" spans="1:11" ht="15" customHeight="1" x14ac:dyDescent="0.25">
      <c r="A338" s="55" t="str">
        <f t="shared" si="5"/>
        <v/>
      </c>
      <c r="B338" s="44"/>
      <c r="C338" s="33"/>
      <c r="D338" s="42"/>
      <c r="E338" s="45"/>
      <c r="F338" s="33"/>
      <c r="G338" s="42"/>
      <c r="H338" s="60" t="s">
        <v>1281</v>
      </c>
      <c r="I338" s="41"/>
      <c r="J338" s="41"/>
      <c r="K338" s="41"/>
    </row>
    <row r="339" spans="1:11" ht="15" customHeight="1" x14ac:dyDescent="0.25">
      <c r="A339" s="55" t="str">
        <f t="shared" si="5"/>
        <v/>
      </c>
      <c r="B339" s="44"/>
      <c r="C339" s="33"/>
      <c r="D339" s="42"/>
      <c r="E339" s="45"/>
      <c r="F339" s="33"/>
      <c r="G339" s="42"/>
      <c r="H339" s="60" t="s">
        <v>1281</v>
      </c>
      <c r="I339" s="41"/>
      <c r="J339" s="41"/>
      <c r="K339" s="41"/>
    </row>
    <row r="340" spans="1:11" ht="15" customHeight="1" x14ac:dyDescent="0.25">
      <c r="A340" s="55" t="str">
        <f t="shared" si="5"/>
        <v/>
      </c>
      <c r="B340" s="44"/>
      <c r="C340" s="33"/>
      <c r="D340" s="42"/>
      <c r="E340" s="45"/>
      <c r="F340" s="33"/>
      <c r="G340" s="42"/>
      <c r="H340" s="60" t="s">
        <v>1281</v>
      </c>
      <c r="I340" s="41"/>
      <c r="J340" s="41"/>
      <c r="K340" s="41"/>
    </row>
    <row r="341" spans="1:11" ht="15" customHeight="1" x14ac:dyDescent="0.25">
      <c r="A341" s="55" t="str">
        <f t="shared" si="5"/>
        <v/>
      </c>
      <c r="B341" s="44"/>
      <c r="C341" s="33"/>
      <c r="D341" s="42"/>
      <c r="E341" s="45"/>
      <c r="F341" s="33"/>
      <c r="G341" s="42"/>
      <c r="H341" s="60" t="s">
        <v>1281</v>
      </c>
      <c r="I341" s="41"/>
      <c r="J341" s="41"/>
      <c r="K341" s="41"/>
    </row>
    <row r="342" spans="1:11" ht="15" customHeight="1" x14ac:dyDescent="0.25">
      <c r="A342" s="55" t="str">
        <f t="shared" si="5"/>
        <v/>
      </c>
      <c r="B342" s="44"/>
      <c r="C342" s="33"/>
      <c r="D342" s="42"/>
      <c r="E342" s="45"/>
      <c r="F342" s="33"/>
      <c r="G342" s="42"/>
      <c r="H342" s="60" t="s">
        <v>1281</v>
      </c>
      <c r="I342" s="41"/>
      <c r="J342" s="41"/>
      <c r="K342" s="41"/>
    </row>
    <row r="343" spans="1:11" ht="15" customHeight="1" x14ac:dyDescent="0.25">
      <c r="A343" s="55" t="str">
        <f t="shared" si="5"/>
        <v/>
      </c>
      <c r="B343" s="44"/>
      <c r="C343" s="33"/>
      <c r="D343" s="42"/>
      <c r="E343" s="45"/>
      <c r="F343" s="33"/>
      <c r="G343" s="42"/>
      <c r="H343" s="60" t="s">
        <v>1281</v>
      </c>
      <c r="I343" s="41"/>
      <c r="J343" s="41"/>
      <c r="K343" s="41"/>
    </row>
    <row r="344" spans="1:11" ht="15" customHeight="1" x14ac:dyDescent="0.25">
      <c r="A344" s="55" t="str">
        <f t="shared" si="5"/>
        <v/>
      </c>
      <c r="B344" s="44"/>
      <c r="C344" s="33"/>
      <c r="D344" s="42"/>
      <c r="E344" s="45"/>
      <c r="F344" s="33"/>
      <c r="G344" s="42"/>
      <c r="H344" s="60" t="s">
        <v>1281</v>
      </c>
      <c r="I344" s="41"/>
      <c r="J344" s="41"/>
      <c r="K344" s="41"/>
    </row>
    <row r="345" spans="1:11" ht="15" customHeight="1" x14ac:dyDescent="0.25">
      <c r="A345" s="55" t="str">
        <f t="shared" si="5"/>
        <v/>
      </c>
      <c r="B345" s="44"/>
      <c r="C345" s="33"/>
      <c r="D345" s="42"/>
      <c r="E345" s="45"/>
      <c r="F345" s="33"/>
      <c r="G345" s="42"/>
      <c r="H345" s="60" t="s">
        <v>1281</v>
      </c>
      <c r="I345" s="41"/>
      <c r="J345" s="41"/>
      <c r="K345" s="41"/>
    </row>
    <row r="346" spans="1:11" ht="15" customHeight="1" x14ac:dyDescent="0.25">
      <c r="A346" s="55" t="str">
        <f t="shared" si="5"/>
        <v/>
      </c>
      <c r="B346" s="44"/>
      <c r="C346" s="33"/>
      <c r="D346" s="42"/>
      <c r="E346" s="45"/>
      <c r="F346" s="33"/>
      <c r="G346" s="42"/>
      <c r="H346" s="60" t="s">
        <v>1281</v>
      </c>
      <c r="I346" s="41"/>
      <c r="J346" s="41"/>
      <c r="K346" s="41"/>
    </row>
    <row r="347" spans="1:11" ht="15" customHeight="1" x14ac:dyDescent="0.25">
      <c r="A347" s="55" t="str">
        <f t="shared" si="5"/>
        <v/>
      </c>
      <c r="B347" s="44"/>
      <c r="C347" s="33"/>
      <c r="D347" s="42"/>
      <c r="E347" s="45"/>
      <c r="F347" s="33"/>
      <c r="G347" s="42"/>
      <c r="H347" s="60" t="s">
        <v>1281</v>
      </c>
      <c r="I347" s="41"/>
      <c r="J347" s="41"/>
      <c r="K347" s="41"/>
    </row>
    <row r="348" spans="1:11" ht="15" customHeight="1" x14ac:dyDescent="0.25">
      <c r="A348" s="55" t="str">
        <f t="shared" si="5"/>
        <v/>
      </c>
      <c r="B348" s="44"/>
      <c r="C348" s="33"/>
      <c r="D348" s="42"/>
      <c r="E348" s="45"/>
      <c r="F348" s="33"/>
      <c r="G348" s="42"/>
      <c r="H348" s="60" t="s">
        <v>1281</v>
      </c>
      <c r="I348" s="41"/>
      <c r="J348" s="41"/>
      <c r="K348" s="41"/>
    </row>
    <row r="349" spans="1:11" ht="15" customHeight="1" x14ac:dyDescent="0.25">
      <c r="A349" s="55" t="str">
        <f t="shared" si="5"/>
        <v/>
      </c>
      <c r="B349" s="44"/>
      <c r="C349" s="33"/>
      <c r="D349" s="42"/>
      <c r="E349" s="45"/>
      <c r="F349" s="33"/>
      <c r="G349" s="42"/>
      <c r="H349" s="60" t="s">
        <v>1281</v>
      </c>
      <c r="I349" s="41"/>
      <c r="J349" s="41"/>
      <c r="K349" s="41"/>
    </row>
    <row r="350" spans="1:11" ht="15" customHeight="1" x14ac:dyDescent="0.25">
      <c r="A350" s="55" t="str">
        <f t="shared" si="5"/>
        <v/>
      </c>
      <c r="B350" s="44"/>
      <c r="C350" s="33"/>
      <c r="D350" s="42"/>
      <c r="E350" s="45"/>
      <c r="F350" s="33"/>
      <c r="G350" s="42"/>
      <c r="H350" s="60" t="s">
        <v>1281</v>
      </c>
      <c r="I350" s="41"/>
      <c r="J350" s="41"/>
      <c r="K350" s="41"/>
    </row>
    <row r="351" spans="1:11" ht="15" customHeight="1" x14ac:dyDescent="0.25">
      <c r="A351" s="55" t="str">
        <f t="shared" si="5"/>
        <v/>
      </c>
      <c r="B351" s="44"/>
      <c r="C351" s="33"/>
      <c r="D351" s="42"/>
      <c r="E351" s="45"/>
      <c r="F351" s="33"/>
      <c r="G351" s="42"/>
      <c r="H351" s="60" t="s">
        <v>1281</v>
      </c>
      <c r="I351" s="41"/>
      <c r="J351" s="41"/>
      <c r="K351" s="41"/>
    </row>
    <row r="352" spans="1:11" ht="15" customHeight="1" x14ac:dyDescent="0.25">
      <c r="A352" s="55" t="str">
        <f t="shared" si="5"/>
        <v/>
      </c>
      <c r="B352" s="44"/>
      <c r="C352" s="33"/>
      <c r="D352" s="42"/>
      <c r="E352" s="45"/>
      <c r="F352" s="33"/>
      <c r="G352" s="42"/>
      <c r="H352" s="60" t="s">
        <v>1281</v>
      </c>
      <c r="I352" s="41"/>
      <c r="J352" s="41"/>
      <c r="K352" s="41"/>
    </row>
    <row r="353" spans="1:11" ht="15" customHeight="1" x14ac:dyDescent="0.25">
      <c r="A353" s="55" t="str">
        <f t="shared" si="5"/>
        <v/>
      </c>
      <c r="B353" s="44"/>
      <c r="C353" s="33"/>
      <c r="D353" s="42"/>
      <c r="E353" s="45"/>
      <c r="F353" s="33"/>
      <c r="G353" s="42"/>
      <c r="H353" s="60" t="s">
        <v>1281</v>
      </c>
      <c r="I353" s="41"/>
      <c r="J353" s="41"/>
      <c r="K353" s="41"/>
    </row>
    <row r="354" spans="1:11" ht="15" customHeight="1" x14ac:dyDescent="0.25">
      <c r="A354" s="55" t="str">
        <f t="shared" si="5"/>
        <v/>
      </c>
      <c r="B354" s="44"/>
      <c r="C354" s="33"/>
      <c r="D354" s="42"/>
      <c r="E354" s="45"/>
      <c r="F354" s="33"/>
      <c r="G354" s="42"/>
      <c r="H354" s="60" t="s">
        <v>1281</v>
      </c>
      <c r="I354" s="41"/>
      <c r="J354" s="41"/>
      <c r="K354" s="41"/>
    </row>
    <row r="355" spans="1:11" ht="15" customHeight="1" x14ac:dyDescent="0.25">
      <c r="A355" s="55" t="str">
        <f t="shared" si="5"/>
        <v/>
      </c>
      <c r="B355" s="44"/>
      <c r="C355" s="33"/>
      <c r="D355" s="42"/>
      <c r="E355" s="45"/>
      <c r="F355" s="33"/>
      <c r="G355" s="42"/>
      <c r="H355" s="60" t="s">
        <v>1281</v>
      </c>
      <c r="I355" s="41"/>
      <c r="J355" s="41"/>
      <c r="K355" s="41"/>
    </row>
    <row r="356" spans="1:11" ht="15" customHeight="1" x14ac:dyDescent="0.25">
      <c r="A356" s="55" t="str">
        <f t="shared" si="5"/>
        <v/>
      </c>
      <c r="B356" s="44"/>
      <c r="C356" s="33"/>
      <c r="D356" s="42"/>
      <c r="E356" s="45"/>
      <c r="F356" s="33"/>
      <c r="G356" s="42"/>
      <c r="H356" s="60" t="s">
        <v>1281</v>
      </c>
      <c r="I356" s="41"/>
      <c r="J356" s="41"/>
      <c r="K356" s="41"/>
    </row>
    <row r="357" spans="1:11" ht="15" customHeight="1" x14ac:dyDescent="0.25">
      <c r="A357" s="55" t="str">
        <f t="shared" si="5"/>
        <v/>
      </c>
      <c r="B357" s="44"/>
      <c r="C357" s="33"/>
      <c r="D357" s="42"/>
      <c r="E357" s="45"/>
      <c r="F357" s="33"/>
      <c r="G357" s="42"/>
      <c r="H357" s="60" t="s">
        <v>1281</v>
      </c>
      <c r="I357" s="41"/>
      <c r="J357" s="41"/>
      <c r="K357" s="41"/>
    </row>
    <row r="358" spans="1:11" ht="15" customHeight="1" x14ac:dyDescent="0.25">
      <c r="A358" s="55" t="str">
        <f t="shared" si="5"/>
        <v/>
      </c>
      <c r="B358" s="44"/>
      <c r="C358" s="33"/>
      <c r="D358" s="42"/>
      <c r="E358" s="45"/>
      <c r="F358" s="33"/>
      <c r="G358" s="42"/>
      <c r="H358" s="60" t="s">
        <v>1281</v>
      </c>
      <c r="I358" s="41"/>
      <c r="J358" s="41"/>
      <c r="K358" s="41"/>
    </row>
    <row r="359" spans="1:11" ht="15" customHeight="1" x14ac:dyDescent="0.25">
      <c r="A359" s="55" t="str">
        <f t="shared" si="5"/>
        <v/>
      </c>
      <c r="B359" s="44"/>
      <c r="C359" s="33"/>
      <c r="D359" s="42"/>
      <c r="E359" s="45"/>
      <c r="F359" s="33"/>
      <c r="G359" s="42"/>
      <c r="H359" s="60" t="s">
        <v>1281</v>
      </c>
      <c r="I359" s="41"/>
      <c r="J359" s="41"/>
      <c r="K359" s="41"/>
    </row>
    <row r="360" spans="1:11" ht="15" customHeight="1" x14ac:dyDescent="0.25">
      <c r="A360" s="55" t="str">
        <f t="shared" si="5"/>
        <v/>
      </c>
      <c r="B360" s="44"/>
      <c r="C360" s="33"/>
      <c r="D360" s="42"/>
      <c r="E360" s="45"/>
      <c r="F360" s="33"/>
      <c r="G360" s="42"/>
      <c r="H360" s="60" t="s">
        <v>1281</v>
      </c>
      <c r="I360" s="41"/>
      <c r="J360" s="41"/>
      <c r="K360" s="41"/>
    </row>
    <row r="361" spans="1:11" ht="15" customHeight="1" x14ac:dyDescent="0.25">
      <c r="A361" s="55" t="str">
        <f t="shared" si="5"/>
        <v/>
      </c>
      <c r="B361" s="44"/>
      <c r="C361" s="33"/>
      <c r="D361" s="42"/>
      <c r="E361" s="45"/>
      <c r="F361" s="33"/>
      <c r="G361" s="42"/>
      <c r="H361" s="60" t="s">
        <v>1281</v>
      </c>
      <c r="I361" s="41"/>
      <c r="J361" s="41"/>
      <c r="K361" s="41"/>
    </row>
    <row r="362" spans="1:11" ht="15" customHeight="1" x14ac:dyDescent="0.25">
      <c r="A362" s="55" t="str">
        <f t="shared" si="5"/>
        <v/>
      </c>
      <c r="B362" s="44"/>
      <c r="C362" s="33"/>
      <c r="D362" s="42"/>
      <c r="E362" s="45"/>
      <c r="F362" s="33"/>
      <c r="G362" s="42"/>
      <c r="H362" s="60" t="s">
        <v>1281</v>
      </c>
      <c r="I362" s="41"/>
      <c r="J362" s="41"/>
      <c r="K362" s="41"/>
    </row>
    <row r="363" spans="1:11" ht="15" customHeight="1" x14ac:dyDescent="0.25">
      <c r="A363" s="55" t="str">
        <f t="shared" si="5"/>
        <v/>
      </c>
      <c r="B363" s="44"/>
      <c r="C363" s="33"/>
      <c r="D363" s="42"/>
      <c r="E363" s="45"/>
      <c r="F363" s="33"/>
      <c r="G363" s="42"/>
      <c r="H363" s="60" t="s">
        <v>1281</v>
      </c>
      <c r="I363" s="41"/>
      <c r="J363" s="41"/>
      <c r="K363" s="41"/>
    </row>
    <row r="364" spans="1:11" ht="15" customHeight="1" x14ac:dyDescent="0.25">
      <c r="A364" s="55" t="str">
        <f t="shared" si="5"/>
        <v/>
      </c>
      <c r="B364" s="44"/>
      <c r="C364" s="33"/>
      <c r="D364" s="42"/>
      <c r="E364" s="45"/>
      <c r="F364" s="33"/>
      <c r="G364" s="42"/>
      <c r="H364" s="60" t="s">
        <v>1281</v>
      </c>
      <c r="I364" s="41"/>
      <c r="J364" s="41"/>
      <c r="K364" s="41"/>
    </row>
    <row r="365" spans="1:11" ht="15" customHeight="1" x14ac:dyDescent="0.25">
      <c r="A365" s="55" t="str">
        <f t="shared" si="5"/>
        <v/>
      </c>
      <c r="B365" s="44"/>
      <c r="C365" s="33"/>
      <c r="D365" s="42"/>
      <c r="E365" s="45"/>
      <c r="F365" s="33"/>
      <c r="G365" s="42"/>
      <c r="H365" s="60" t="s">
        <v>1281</v>
      </c>
      <c r="I365" s="41"/>
      <c r="J365" s="41"/>
      <c r="K365" s="41"/>
    </row>
    <row r="366" spans="1:11" ht="15" customHeight="1" x14ac:dyDescent="0.25">
      <c r="A366" s="55" t="str">
        <f t="shared" si="5"/>
        <v/>
      </c>
      <c r="B366" s="44"/>
      <c r="C366" s="33"/>
      <c r="D366" s="42"/>
      <c r="E366" s="45"/>
      <c r="F366" s="33"/>
      <c r="G366" s="42"/>
      <c r="H366" s="60" t="s">
        <v>1281</v>
      </c>
      <c r="I366" s="41"/>
      <c r="J366" s="41"/>
      <c r="K366" s="41"/>
    </row>
    <row r="367" spans="1:11" ht="15" customHeight="1" x14ac:dyDescent="0.25">
      <c r="A367" s="55" t="str">
        <f t="shared" si="5"/>
        <v/>
      </c>
      <c r="B367" s="44"/>
      <c r="C367" s="33"/>
      <c r="D367" s="42"/>
      <c r="E367" s="45"/>
      <c r="F367" s="33"/>
      <c r="G367" s="42"/>
      <c r="H367" s="60" t="s">
        <v>1281</v>
      </c>
      <c r="I367" s="41"/>
      <c r="J367" s="41"/>
      <c r="K367" s="41"/>
    </row>
    <row r="368" spans="1:11" ht="15" customHeight="1" x14ac:dyDescent="0.25">
      <c r="A368" s="55" t="str">
        <f t="shared" si="5"/>
        <v/>
      </c>
      <c r="B368" s="44"/>
      <c r="C368" s="33"/>
      <c r="D368" s="42"/>
      <c r="E368" s="45"/>
      <c r="F368" s="33"/>
      <c r="G368" s="42"/>
      <c r="H368" s="60" t="s">
        <v>1281</v>
      </c>
      <c r="I368" s="41"/>
      <c r="J368" s="41"/>
      <c r="K368" s="41"/>
    </row>
    <row r="369" spans="1:11" ht="15" customHeight="1" x14ac:dyDescent="0.25">
      <c r="A369" s="55" t="str">
        <f t="shared" si="5"/>
        <v/>
      </c>
      <c r="B369" s="44"/>
      <c r="C369" s="33"/>
      <c r="D369" s="42"/>
      <c r="E369" s="45"/>
      <c r="F369" s="33"/>
      <c r="G369" s="42"/>
      <c r="H369" s="60" t="s">
        <v>1281</v>
      </c>
      <c r="I369" s="41"/>
      <c r="J369" s="41"/>
      <c r="K369" s="41"/>
    </row>
    <row r="370" spans="1:11" ht="15" customHeight="1" x14ac:dyDescent="0.25">
      <c r="A370" s="55" t="str">
        <f t="shared" si="5"/>
        <v/>
      </c>
      <c r="B370" s="44"/>
      <c r="C370" s="33"/>
      <c r="D370" s="42"/>
      <c r="E370" s="45"/>
      <c r="F370" s="33"/>
      <c r="G370" s="42"/>
      <c r="H370" s="60" t="s">
        <v>1281</v>
      </c>
      <c r="I370" s="41"/>
      <c r="J370" s="41"/>
      <c r="K370" s="41"/>
    </row>
    <row r="371" spans="1:11" ht="15" customHeight="1" x14ac:dyDescent="0.25">
      <c r="A371" s="55" t="str">
        <f t="shared" si="5"/>
        <v/>
      </c>
      <c r="B371" s="44"/>
      <c r="C371" s="33"/>
      <c r="D371" s="42"/>
      <c r="E371" s="45"/>
      <c r="F371" s="33"/>
      <c r="G371" s="42"/>
      <c r="H371" s="60" t="s">
        <v>1281</v>
      </c>
      <c r="I371" s="41"/>
      <c r="J371" s="41"/>
      <c r="K371" s="41"/>
    </row>
    <row r="372" spans="1:11" ht="15" customHeight="1" x14ac:dyDescent="0.25">
      <c r="A372" s="55" t="str">
        <f t="shared" si="5"/>
        <v/>
      </c>
      <c r="B372" s="44"/>
      <c r="C372" s="33"/>
      <c r="D372" s="42"/>
      <c r="E372" s="45"/>
      <c r="F372" s="33"/>
      <c r="G372" s="42"/>
      <c r="H372" s="60" t="s">
        <v>1281</v>
      </c>
      <c r="I372" s="41"/>
      <c r="J372" s="41"/>
      <c r="K372" s="41"/>
    </row>
    <row r="373" spans="1:11" ht="15" customHeight="1" x14ac:dyDescent="0.25">
      <c r="A373" s="55" t="str">
        <f t="shared" si="5"/>
        <v/>
      </c>
      <c r="B373" s="44"/>
      <c r="C373" s="33"/>
      <c r="D373" s="42"/>
      <c r="E373" s="45"/>
      <c r="F373" s="33"/>
      <c r="G373" s="42"/>
      <c r="H373" s="60" t="s">
        <v>1281</v>
      </c>
      <c r="I373" s="41"/>
      <c r="J373" s="41"/>
      <c r="K373" s="41"/>
    </row>
    <row r="374" spans="1:11" ht="15" customHeight="1" x14ac:dyDescent="0.25">
      <c r="A374" s="55" t="str">
        <f t="shared" si="5"/>
        <v/>
      </c>
      <c r="B374" s="44"/>
      <c r="C374" s="33"/>
      <c r="D374" s="42"/>
      <c r="E374" s="45"/>
      <c r="F374" s="33"/>
      <c r="G374" s="42"/>
      <c r="H374" s="60" t="s">
        <v>1281</v>
      </c>
      <c r="I374" s="41"/>
      <c r="J374" s="41"/>
      <c r="K374" s="41"/>
    </row>
    <row r="375" spans="1:11" ht="15" customHeight="1" x14ac:dyDescent="0.25">
      <c r="A375" s="55" t="str">
        <f t="shared" si="5"/>
        <v/>
      </c>
      <c r="B375" s="44"/>
      <c r="C375" s="33"/>
      <c r="D375" s="42"/>
      <c r="E375" s="45"/>
      <c r="F375" s="33"/>
      <c r="G375" s="42"/>
      <c r="H375" s="60" t="s">
        <v>1281</v>
      </c>
      <c r="I375" s="41"/>
      <c r="J375" s="41"/>
      <c r="K375" s="41"/>
    </row>
    <row r="376" spans="1:11" ht="15" customHeight="1" x14ac:dyDescent="0.25">
      <c r="A376" s="55" t="str">
        <f t="shared" si="5"/>
        <v/>
      </c>
      <c r="B376" s="44"/>
      <c r="C376" s="33"/>
      <c r="D376" s="42"/>
      <c r="E376" s="45"/>
      <c r="F376" s="33"/>
      <c r="G376" s="42"/>
      <c r="H376" s="60" t="s">
        <v>1281</v>
      </c>
      <c r="I376" s="41"/>
      <c r="J376" s="41"/>
      <c r="K376" s="41"/>
    </row>
    <row r="377" spans="1:11" ht="15" customHeight="1" x14ac:dyDescent="0.25">
      <c r="A377" s="55" t="str">
        <f t="shared" si="5"/>
        <v/>
      </c>
      <c r="B377" s="44"/>
      <c r="C377" s="33"/>
      <c r="D377" s="42"/>
      <c r="E377" s="45"/>
      <c r="F377" s="33"/>
      <c r="G377" s="42"/>
      <c r="H377" s="60" t="s">
        <v>1281</v>
      </c>
      <c r="I377" s="41"/>
      <c r="J377" s="41"/>
      <c r="K377" s="41"/>
    </row>
    <row r="378" spans="1:11" ht="15" customHeight="1" x14ac:dyDescent="0.25">
      <c r="A378" s="55" t="str">
        <f t="shared" si="5"/>
        <v/>
      </c>
      <c r="B378" s="44"/>
      <c r="C378" s="33"/>
      <c r="D378" s="42"/>
      <c r="E378" s="45"/>
      <c r="F378" s="33"/>
      <c r="G378" s="42"/>
      <c r="H378" s="60" t="s">
        <v>1281</v>
      </c>
      <c r="I378" s="41"/>
      <c r="J378" s="41"/>
      <c r="K378" s="41"/>
    </row>
    <row r="379" spans="1:11" ht="15" customHeight="1" x14ac:dyDescent="0.25">
      <c r="A379" s="55" t="str">
        <f t="shared" si="5"/>
        <v/>
      </c>
      <c r="B379" s="44"/>
      <c r="C379" s="33"/>
      <c r="D379" s="42"/>
      <c r="E379" s="45"/>
      <c r="F379" s="33"/>
      <c r="G379" s="42"/>
      <c r="H379" s="60" t="s">
        <v>1281</v>
      </c>
      <c r="I379" s="41"/>
      <c r="J379" s="41"/>
      <c r="K379" s="41"/>
    </row>
    <row r="380" spans="1:11" ht="15" customHeight="1" x14ac:dyDescent="0.25">
      <c r="A380" s="55" t="str">
        <f t="shared" si="5"/>
        <v/>
      </c>
      <c r="B380" s="44"/>
      <c r="C380" s="33"/>
      <c r="D380" s="42"/>
      <c r="E380" s="45"/>
      <c r="F380" s="33"/>
      <c r="G380" s="42"/>
      <c r="H380" s="60" t="s">
        <v>1281</v>
      </c>
      <c r="I380" s="41"/>
      <c r="J380" s="41"/>
      <c r="K380" s="41"/>
    </row>
    <row r="381" spans="1:11" ht="15" customHeight="1" x14ac:dyDescent="0.25">
      <c r="A381" s="55" t="str">
        <f t="shared" si="5"/>
        <v/>
      </c>
      <c r="B381" s="44"/>
      <c r="C381" s="33"/>
      <c r="D381" s="42"/>
      <c r="E381" s="45"/>
      <c r="F381" s="33"/>
      <c r="G381" s="42"/>
      <c r="H381" s="60" t="s">
        <v>1281</v>
      </c>
      <c r="I381" s="41"/>
      <c r="J381" s="41"/>
      <c r="K381" s="41"/>
    </row>
    <row r="382" spans="1:11" ht="15" customHeight="1" x14ac:dyDescent="0.25">
      <c r="A382" s="55" t="str">
        <f t="shared" si="5"/>
        <v/>
      </c>
      <c r="B382" s="44"/>
      <c r="C382" s="33"/>
      <c r="D382" s="42"/>
      <c r="E382" s="45"/>
      <c r="F382" s="33"/>
      <c r="G382" s="42"/>
      <c r="H382" s="60" t="s">
        <v>1281</v>
      </c>
      <c r="I382" s="41"/>
      <c r="J382" s="41"/>
      <c r="K382" s="41"/>
    </row>
    <row r="383" spans="1:11" ht="15" customHeight="1" x14ac:dyDescent="0.25">
      <c r="A383" s="55" t="str">
        <f t="shared" si="5"/>
        <v/>
      </c>
      <c r="B383" s="44"/>
      <c r="C383" s="33"/>
      <c r="D383" s="42"/>
      <c r="E383" s="45"/>
      <c r="F383" s="33"/>
      <c r="G383" s="42"/>
      <c r="H383" s="60" t="s">
        <v>1281</v>
      </c>
      <c r="I383" s="41"/>
      <c r="J383" s="41"/>
      <c r="K383" s="41"/>
    </row>
    <row r="384" spans="1:11" ht="15" customHeight="1" x14ac:dyDescent="0.25">
      <c r="A384" s="55" t="str">
        <f t="shared" si="5"/>
        <v/>
      </c>
      <c r="B384" s="44"/>
      <c r="C384" s="33"/>
      <c r="D384" s="42"/>
      <c r="E384" s="45"/>
      <c r="F384" s="33"/>
      <c r="G384" s="42"/>
      <c r="H384" s="60" t="s">
        <v>1281</v>
      </c>
      <c r="I384" s="41"/>
      <c r="J384" s="41"/>
      <c r="K384" s="41"/>
    </row>
    <row r="385" spans="1:11" ht="15" customHeight="1" x14ac:dyDescent="0.25">
      <c r="A385" s="55" t="str">
        <f t="shared" si="5"/>
        <v/>
      </c>
      <c r="B385" s="44"/>
      <c r="C385" s="33"/>
      <c r="D385" s="42"/>
      <c r="E385" s="45"/>
      <c r="F385" s="33"/>
      <c r="G385" s="42"/>
      <c r="H385" s="60" t="s">
        <v>1281</v>
      </c>
      <c r="I385" s="41"/>
      <c r="J385" s="41"/>
      <c r="K385" s="41"/>
    </row>
    <row r="386" spans="1:11" ht="15" customHeight="1" x14ac:dyDescent="0.25">
      <c r="A386" s="55" t="str">
        <f t="shared" si="5"/>
        <v/>
      </c>
      <c r="B386" s="44"/>
      <c r="C386" s="33"/>
      <c r="D386" s="42"/>
      <c r="E386" s="45"/>
      <c r="F386" s="33"/>
      <c r="G386" s="42"/>
      <c r="H386" s="60" t="s">
        <v>1281</v>
      </c>
      <c r="I386" s="41"/>
      <c r="J386" s="41"/>
      <c r="K386" s="41"/>
    </row>
    <row r="387" spans="1:11" ht="15" customHeight="1" x14ac:dyDescent="0.25">
      <c r="A387" s="55" t="str">
        <f t="shared" si="5"/>
        <v/>
      </c>
      <c r="B387" s="44"/>
      <c r="C387" s="33"/>
      <c r="D387" s="42"/>
      <c r="E387" s="45"/>
      <c r="F387" s="33"/>
      <c r="G387" s="42"/>
      <c r="H387" s="60" t="s">
        <v>1281</v>
      </c>
      <c r="I387" s="41"/>
      <c r="J387" s="41"/>
      <c r="K387" s="41"/>
    </row>
    <row r="388" spans="1:11" ht="15" customHeight="1" x14ac:dyDescent="0.25">
      <c r="A388" s="55" t="str">
        <f t="shared" ref="A388:A451" si="6">IF(COUNTA(B388:G388)&gt;0,ROW()-3,"")</f>
        <v/>
      </c>
      <c r="B388" s="44"/>
      <c r="C388" s="33"/>
      <c r="D388" s="42"/>
      <c r="E388" s="45"/>
      <c r="F388" s="33"/>
      <c r="G388" s="42"/>
      <c r="H388" s="60" t="s">
        <v>1281</v>
      </c>
      <c r="I388" s="41"/>
      <c r="J388" s="41"/>
      <c r="K388" s="41"/>
    </row>
    <row r="389" spans="1:11" ht="15" customHeight="1" x14ac:dyDescent="0.25">
      <c r="A389" s="55" t="str">
        <f t="shared" si="6"/>
        <v/>
      </c>
      <c r="B389" s="44"/>
      <c r="C389" s="33"/>
      <c r="D389" s="42"/>
      <c r="E389" s="45"/>
      <c r="F389" s="33"/>
      <c r="G389" s="42"/>
      <c r="H389" s="60" t="s">
        <v>1281</v>
      </c>
      <c r="I389" s="41"/>
      <c r="J389" s="41"/>
      <c r="K389" s="41"/>
    </row>
    <row r="390" spans="1:11" ht="15" customHeight="1" x14ac:dyDescent="0.25">
      <c r="A390" s="55" t="str">
        <f t="shared" si="6"/>
        <v/>
      </c>
      <c r="B390" s="44"/>
      <c r="C390" s="33"/>
      <c r="D390" s="42"/>
      <c r="E390" s="45"/>
      <c r="F390" s="33"/>
      <c r="G390" s="42"/>
      <c r="H390" s="60" t="s">
        <v>1281</v>
      </c>
      <c r="I390" s="41"/>
      <c r="J390" s="41"/>
      <c r="K390" s="41"/>
    </row>
    <row r="391" spans="1:11" ht="15" customHeight="1" x14ac:dyDescent="0.25">
      <c r="A391" s="55" t="str">
        <f t="shared" si="6"/>
        <v/>
      </c>
      <c r="B391" s="44"/>
      <c r="C391" s="33"/>
      <c r="D391" s="42"/>
      <c r="E391" s="45"/>
      <c r="F391" s="33"/>
      <c r="G391" s="42"/>
      <c r="H391" s="60" t="s">
        <v>1281</v>
      </c>
      <c r="I391" s="41"/>
      <c r="J391" s="41"/>
      <c r="K391" s="41"/>
    </row>
    <row r="392" spans="1:11" ht="15" customHeight="1" x14ac:dyDescent="0.25">
      <c r="A392" s="55" t="str">
        <f t="shared" si="6"/>
        <v/>
      </c>
      <c r="B392" s="44"/>
      <c r="C392" s="33"/>
      <c r="D392" s="42"/>
      <c r="E392" s="45"/>
      <c r="F392" s="33"/>
      <c r="G392" s="42"/>
      <c r="H392" s="60" t="s">
        <v>1281</v>
      </c>
      <c r="I392" s="41"/>
      <c r="J392" s="41"/>
      <c r="K392" s="41"/>
    </row>
    <row r="393" spans="1:11" ht="15" customHeight="1" x14ac:dyDescent="0.25">
      <c r="A393" s="55" t="str">
        <f t="shared" si="6"/>
        <v/>
      </c>
      <c r="B393" s="44"/>
      <c r="C393" s="33"/>
      <c r="D393" s="42"/>
      <c r="E393" s="45"/>
      <c r="F393" s="33"/>
      <c r="G393" s="42"/>
      <c r="H393" s="60" t="s">
        <v>1281</v>
      </c>
      <c r="I393" s="41"/>
      <c r="J393" s="41"/>
      <c r="K393" s="41"/>
    </row>
    <row r="394" spans="1:11" ht="15" customHeight="1" x14ac:dyDescent="0.25">
      <c r="A394" s="55" t="str">
        <f t="shared" si="6"/>
        <v/>
      </c>
      <c r="B394" s="44"/>
      <c r="C394" s="33"/>
      <c r="D394" s="42"/>
      <c r="E394" s="45"/>
      <c r="F394" s="33"/>
      <c r="G394" s="42"/>
      <c r="H394" s="60" t="s">
        <v>1281</v>
      </c>
      <c r="I394" s="41"/>
      <c r="J394" s="41"/>
      <c r="K394" s="41"/>
    </row>
    <row r="395" spans="1:11" ht="15" customHeight="1" x14ac:dyDescent="0.25">
      <c r="A395" s="55" t="str">
        <f t="shared" si="6"/>
        <v/>
      </c>
      <c r="B395" s="44"/>
      <c r="C395" s="33"/>
      <c r="D395" s="42"/>
      <c r="E395" s="45"/>
      <c r="F395" s="33"/>
      <c r="G395" s="42"/>
      <c r="H395" s="60" t="s">
        <v>1281</v>
      </c>
      <c r="I395" s="41"/>
      <c r="J395" s="41"/>
      <c r="K395" s="41"/>
    </row>
    <row r="396" spans="1:11" ht="15" customHeight="1" x14ac:dyDescent="0.25">
      <c r="A396" s="55" t="str">
        <f t="shared" si="6"/>
        <v/>
      </c>
      <c r="B396" s="44"/>
      <c r="C396" s="33"/>
      <c r="D396" s="42"/>
      <c r="E396" s="45"/>
      <c r="F396" s="33"/>
      <c r="G396" s="42"/>
      <c r="H396" s="60" t="s">
        <v>1281</v>
      </c>
      <c r="I396" s="41"/>
      <c r="J396" s="41"/>
      <c r="K396" s="41"/>
    </row>
    <row r="397" spans="1:11" ht="15" customHeight="1" x14ac:dyDescent="0.25">
      <c r="A397" s="55" t="str">
        <f t="shared" si="6"/>
        <v/>
      </c>
      <c r="B397" s="44"/>
      <c r="C397" s="33"/>
      <c r="D397" s="42"/>
      <c r="E397" s="45"/>
      <c r="F397" s="33"/>
      <c r="G397" s="42"/>
      <c r="H397" s="60" t="s">
        <v>1281</v>
      </c>
      <c r="I397" s="41"/>
      <c r="J397" s="41"/>
      <c r="K397" s="41"/>
    </row>
    <row r="398" spans="1:11" ht="15" customHeight="1" x14ac:dyDescent="0.25">
      <c r="A398" s="55" t="str">
        <f t="shared" si="6"/>
        <v/>
      </c>
      <c r="B398" s="44"/>
      <c r="C398" s="33"/>
      <c r="D398" s="42"/>
      <c r="E398" s="45"/>
      <c r="F398" s="33"/>
      <c r="G398" s="42"/>
      <c r="H398" s="60" t="s">
        <v>1281</v>
      </c>
      <c r="I398" s="41"/>
      <c r="J398" s="41"/>
      <c r="K398" s="41"/>
    </row>
    <row r="399" spans="1:11" ht="15" customHeight="1" x14ac:dyDescent="0.25">
      <c r="A399" s="55" t="str">
        <f t="shared" si="6"/>
        <v/>
      </c>
      <c r="B399" s="44"/>
      <c r="C399" s="33"/>
      <c r="D399" s="42"/>
      <c r="E399" s="45"/>
      <c r="F399" s="33"/>
      <c r="G399" s="42"/>
      <c r="H399" s="60" t="s">
        <v>1281</v>
      </c>
      <c r="I399" s="41"/>
      <c r="J399" s="41"/>
      <c r="K399" s="41"/>
    </row>
    <row r="400" spans="1:11" ht="15" customHeight="1" x14ac:dyDescent="0.25">
      <c r="A400" s="55" t="str">
        <f t="shared" si="6"/>
        <v/>
      </c>
      <c r="B400" s="44"/>
      <c r="C400" s="33"/>
      <c r="D400" s="42"/>
      <c r="E400" s="45"/>
      <c r="F400" s="33"/>
      <c r="G400" s="42"/>
      <c r="H400" s="60" t="s">
        <v>1281</v>
      </c>
      <c r="I400" s="41"/>
      <c r="J400" s="41"/>
      <c r="K400" s="41"/>
    </row>
    <row r="401" spans="1:11" ht="15" customHeight="1" x14ac:dyDescent="0.25">
      <c r="A401" s="55" t="str">
        <f t="shared" si="6"/>
        <v/>
      </c>
      <c r="B401" s="44"/>
      <c r="C401" s="33"/>
      <c r="D401" s="42"/>
      <c r="E401" s="45"/>
      <c r="F401" s="33"/>
      <c r="G401" s="42"/>
      <c r="H401" s="60" t="s">
        <v>1281</v>
      </c>
      <c r="I401" s="41"/>
      <c r="J401" s="41"/>
      <c r="K401" s="41"/>
    </row>
    <row r="402" spans="1:11" ht="15" customHeight="1" x14ac:dyDescent="0.25">
      <c r="A402" s="55" t="str">
        <f t="shared" si="6"/>
        <v/>
      </c>
      <c r="B402" s="44"/>
      <c r="C402" s="33"/>
      <c r="D402" s="42"/>
      <c r="E402" s="45"/>
      <c r="F402" s="33"/>
      <c r="G402" s="42"/>
      <c r="H402" s="60" t="s">
        <v>1281</v>
      </c>
      <c r="I402" s="41"/>
      <c r="J402" s="41"/>
      <c r="K402" s="41"/>
    </row>
    <row r="403" spans="1:11" ht="15" customHeight="1" x14ac:dyDescent="0.25">
      <c r="A403" s="55" t="str">
        <f t="shared" si="6"/>
        <v/>
      </c>
      <c r="B403" s="44"/>
      <c r="C403" s="33"/>
      <c r="D403" s="42"/>
      <c r="E403" s="45"/>
      <c r="F403" s="33"/>
      <c r="G403" s="42"/>
      <c r="H403" s="60" t="s">
        <v>1281</v>
      </c>
      <c r="I403" s="41"/>
      <c r="J403" s="41"/>
      <c r="K403" s="41"/>
    </row>
    <row r="404" spans="1:11" ht="15" customHeight="1" x14ac:dyDescent="0.25">
      <c r="A404" s="55" t="str">
        <f t="shared" si="6"/>
        <v/>
      </c>
      <c r="B404" s="44"/>
      <c r="C404" s="33"/>
      <c r="D404" s="42"/>
      <c r="E404" s="45"/>
      <c r="F404" s="33"/>
      <c r="G404" s="42"/>
      <c r="H404" s="60" t="s">
        <v>1281</v>
      </c>
      <c r="I404" s="41"/>
      <c r="J404" s="41"/>
      <c r="K404" s="41"/>
    </row>
    <row r="405" spans="1:11" ht="15" customHeight="1" x14ac:dyDescent="0.25">
      <c r="A405" s="55" t="str">
        <f t="shared" si="6"/>
        <v/>
      </c>
      <c r="B405" s="44"/>
      <c r="C405" s="33"/>
      <c r="D405" s="42"/>
      <c r="E405" s="45"/>
      <c r="F405" s="33"/>
      <c r="G405" s="42"/>
      <c r="H405" s="60" t="s">
        <v>1281</v>
      </c>
      <c r="I405" s="41"/>
      <c r="J405" s="41"/>
      <c r="K405" s="41"/>
    </row>
    <row r="406" spans="1:11" ht="15" customHeight="1" x14ac:dyDescent="0.25">
      <c r="A406" s="55" t="str">
        <f t="shared" si="6"/>
        <v/>
      </c>
      <c r="B406" s="44"/>
      <c r="C406" s="33"/>
      <c r="D406" s="42"/>
      <c r="E406" s="45"/>
      <c r="F406" s="33"/>
      <c r="G406" s="42"/>
      <c r="H406" s="60" t="s">
        <v>1281</v>
      </c>
      <c r="I406" s="41"/>
      <c r="J406" s="41"/>
      <c r="K406" s="41"/>
    </row>
    <row r="407" spans="1:11" ht="15" customHeight="1" x14ac:dyDescent="0.25">
      <c r="A407" s="55" t="str">
        <f t="shared" si="6"/>
        <v/>
      </c>
      <c r="B407" s="44"/>
      <c r="C407" s="33"/>
      <c r="D407" s="42"/>
      <c r="E407" s="45"/>
      <c r="F407" s="33"/>
      <c r="G407" s="42"/>
      <c r="H407" s="60" t="s">
        <v>1281</v>
      </c>
      <c r="I407" s="41"/>
      <c r="J407" s="41"/>
      <c r="K407" s="41"/>
    </row>
    <row r="408" spans="1:11" ht="15" customHeight="1" x14ac:dyDescent="0.25">
      <c r="A408" s="55" t="str">
        <f t="shared" si="6"/>
        <v/>
      </c>
      <c r="B408" s="44"/>
      <c r="C408" s="33"/>
      <c r="D408" s="42"/>
      <c r="E408" s="45"/>
      <c r="F408" s="33"/>
      <c r="G408" s="42"/>
      <c r="H408" s="60" t="s">
        <v>1281</v>
      </c>
      <c r="I408" s="41"/>
      <c r="J408" s="41"/>
      <c r="K408" s="41"/>
    </row>
    <row r="409" spans="1:11" ht="15" customHeight="1" x14ac:dyDescent="0.25">
      <c r="A409" s="55" t="str">
        <f t="shared" si="6"/>
        <v/>
      </c>
      <c r="B409" s="44"/>
      <c r="C409" s="33"/>
      <c r="D409" s="42"/>
      <c r="E409" s="45"/>
      <c r="F409" s="33"/>
      <c r="G409" s="42"/>
      <c r="H409" s="60" t="s">
        <v>1281</v>
      </c>
      <c r="I409" s="41"/>
      <c r="J409" s="41"/>
      <c r="K409" s="41"/>
    </row>
    <row r="410" spans="1:11" ht="15" customHeight="1" x14ac:dyDescent="0.25">
      <c r="A410" s="55" t="str">
        <f t="shared" si="6"/>
        <v/>
      </c>
      <c r="B410" s="44"/>
      <c r="C410" s="33"/>
      <c r="D410" s="42"/>
      <c r="E410" s="45"/>
      <c r="F410" s="33"/>
      <c r="G410" s="42"/>
      <c r="H410" s="60" t="s">
        <v>1281</v>
      </c>
      <c r="I410" s="41"/>
      <c r="J410" s="41"/>
      <c r="K410" s="41"/>
    </row>
    <row r="411" spans="1:11" ht="15" customHeight="1" x14ac:dyDescent="0.25">
      <c r="A411" s="55" t="str">
        <f t="shared" si="6"/>
        <v/>
      </c>
      <c r="B411" s="44"/>
      <c r="C411" s="33"/>
      <c r="D411" s="42"/>
      <c r="E411" s="45"/>
      <c r="F411" s="33"/>
      <c r="G411" s="42"/>
      <c r="H411" s="60" t="s">
        <v>1281</v>
      </c>
      <c r="I411" s="41"/>
      <c r="J411" s="41"/>
      <c r="K411" s="41"/>
    </row>
    <row r="412" spans="1:11" ht="15" customHeight="1" x14ac:dyDescent="0.25">
      <c r="A412" s="55" t="str">
        <f t="shared" si="6"/>
        <v/>
      </c>
      <c r="B412" s="44"/>
      <c r="C412" s="33"/>
      <c r="D412" s="42"/>
      <c r="E412" s="45"/>
      <c r="F412" s="33"/>
      <c r="G412" s="42"/>
      <c r="H412" s="60" t="s">
        <v>1281</v>
      </c>
      <c r="I412" s="41"/>
      <c r="J412" s="41"/>
      <c r="K412" s="41"/>
    </row>
    <row r="413" spans="1:11" ht="15" customHeight="1" x14ac:dyDescent="0.25">
      <c r="A413" s="55" t="str">
        <f t="shared" si="6"/>
        <v/>
      </c>
      <c r="B413" s="44"/>
      <c r="C413" s="33"/>
      <c r="D413" s="42"/>
      <c r="E413" s="45"/>
      <c r="F413" s="33"/>
      <c r="G413" s="42"/>
      <c r="H413" s="60" t="s">
        <v>1281</v>
      </c>
      <c r="I413" s="41"/>
      <c r="J413" s="41"/>
      <c r="K413" s="41"/>
    </row>
    <row r="414" spans="1:11" ht="15" customHeight="1" x14ac:dyDescent="0.25">
      <c r="A414" s="55" t="str">
        <f t="shared" si="6"/>
        <v/>
      </c>
      <c r="B414" s="44"/>
      <c r="C414" s="33"/>
      <c r="D414" s="42"/>
      <c r="E414" s="45"/>
      <c r="F414" s="33"/>
      <c r="G414" s="42"/>
      <c r="H414" s="60" t="s">
        <v>1281</v>
      </c>
      <c r="I414" s="41"/>
      <c r="J414" s="41"/>
      <c r="K414" s="41"/>
    </row>
    <row r="415" spans="1:11" ht="15" customHeight="1" x14ac:dyDescent="0.25">
      <c r="A415" s="55" t="str">
        <f t="shared" si="6"/>
        <v/>
      </c>
      <c r="B415" s="44"/>
      <c r="C415" s="33"/>
      <c r="D415" s="42"/>
      <c r="E415" s="45"/>
      <c r="F415" s="33"/>
      <c r="G415" s="42"/>
      <c r="H415" s="60" t="s">
        <v>1281</v>
      </c>
      <c r="I415" s="41"/>
      <c r="J415" s="41"/>
      <c r="K415" s="41"/>
    </row>
    <row r="416" spans="1:11" ht="15" customHeight="1" x14ac:dyDescent="0.25">
      <c r="A416" s="55" t="str">
        <f t="shared" si="6"/>
        <v/>
      </c>
      <c r="B416" s="44"/>
      <c r="C416" s="33"/>
      <c r="D416" s="42"/>
      <c r="E416" s="45"/>
      <c r="F416" s="33"/>
      <c r="G416" s="42"/>
      <c r="H416" s="60" t="s">
        <v>1281</v>
      </c>
      <c r="I416" s="41"/>
      <c r="J416" s="41"/>
      <c r="K416" s="41"/>
    </row>
    <row r="417" spans="1:11" ht="15" customHeight="1" x14ac:dyDescent="0.25">
      <c r="A417" s="55" t="str">
        <f t="shared" si="6"/>
        <v/>
      </c>
      <c r="B417" s="44"/>
      <c r="C417" s="33"/>
      <c r="D417" s="42"/>
      <c r="E417" s="45"/>
      <c r="F417" s="33"/>
      <c r="G417" s="42"/>
      <c r="H417" s="60" t="s">
        <v>1281</v>
      </c>
      <c r="I417" s="41"/>
      <c r="J417" s="41"/>
      <c r="K417" s="41"/>
    </row>
    <row r="418" spans="1:11" ht="15" customHeight="1" x14ac:dyDescent="0.25">
      <c r="A418" s="55" t="str">
        <f t="shared" si="6"/>
        <v/>
      </c>
      <c r="B418" s="44"/>
      <c r="C418" s="33"/>
      <c r="D418" s="42"/>
      <c r="E418" s="45"/>
      <c r="F418" s="33"/>
      <c r="G418" s="42"/>
      <c r="H418" s="60" t="s">
        <v>1281</v>
      </c>
      <c r="I418" s="41"/>
      <c r="J418" s="41"/>
      <c r="K418" s="41"/>
    </row>
    <row r="419" spans="1:11" ht="15" customHeight="1" x14ac:dyDescent="0.25">
      <c r="A419" s="55" t="str">
        <f t="shared" si="6"/>
        <v/>
      </c>
      <c r="B419" s="44"/>
      <c r="C419" s="33"/>
      <c r="D419" s="42"/>
      <c r="E419" s="45"/>
      <c r="F419" s="33"/>
      <c r="G419" s="42"/>
      <c r="H419" s="60" t="s">
        <v>1281</v>
      </c>
      <c r="I419" s="41"/>
      <c r="J419" s="41"/>
      <c r="K419" s="41"/>
    </row>
    <row r="420" spans="1:11" ht="15" customHeight="1" x14ac:dyDescent="0.25">
      <c r="A420" s="55" t="str">
        <f t="shared" si="6"/>
        <v/>
      </c>
      <c r="B420" s="44"/>
      <c r="C420" s="33"/>
      <c r="D420" s="42"/>
      <c r="E420" s="45"/>
      <c r="F420" s="33"/>
      <c r="G420" s="42"/>
      <c r="H420" s="60" t="s">
        <v>1281</v>
      </c>
      <c r="I420" s="41"/>
      <c r="J420" s="41"/>
      <c r="K420" s="41"/>
    </row>
    <row r="421" spans="1:11" ht="15" customHeight="1" x14ac:dyDescent="0.25">
      <c r="A421" s="55" t="str">
        <f t="shared" si="6"/>
        <v/>
      </c>
      <c r="B421" s="44"/>
      <c r="C421" s="33"/>
      <c r="D421" s="42"/>
      <c r="E421" s="45"/>
      <c r="F421" s="33"/>
      <c r="G421" s="42"/>
      <c r="H421" s="60" t="s">
        <v>1281</v>
      </c>
      <c r="I421" s="41"/>
      <c r="J421" s="41"/>
      <c r="K421" s="41"/>
    </row>
    <row r="422" spans="1:11" ht="15" customHeight="1" x14ac:dyDescent="0.25">
      <c r="A422" s="55" t="str">
        <f t="shared" si="6"/>
        <v/>
      </c>
      <c r="B422" s="44"/>
      <c r="C422" s="33"/>
      <c r="D422" s="42"/>
      <c r="E422" s="45"/>
      <c r="F422" s="33"/>
      <c r="G422" s="42"/>
      <c r="H422" s="60" t="s">
        <v>1281</v>
      </c>
      <c r="I422" s="41"/>
      <c r="J422" s="41"/>
      <c r="K422" s="41"/>
    </row>
    <row r="423" spans="1:11" ht="15" customHeight="1" x14ac:dyDescent="0.25">
      <c r="A423" s="55" t="str">
        <f t="shared" si="6"/>
        <v/>
      </c>
      <c r="B423" s="44"/>
      <c r="C423" s="33"/>
      <c r="D423" s="42"/>
      <c r="E423" s="45"/>
      <c r="F423" s="33"/>
      <c r="G423" s="42"/>
      <c r="H423" s="60" t="s">
        <v>1281</v>
      </c>
      <c r="I423" s="41"/>
      <c r="J423" s="41"/>
      <c r="K423" s="41"/>
    </row>
    <row r="424" spans="1:11" ht="15" customHeight="1" x14ac:dyDescent="0.25">
      <c r="A424" s="55" t="str">
        <f t="shared" si="6"/>
        <v/>
      </c>
      <c r="B424" s="44"/>
      <c r="C424" s="33"/>
      <c r="D424" s="42"/>
      <c r="E424" s="45"/>
      <c r="F424" s="33"/>
      <c r="G424" s="42"/>
      <c r="H424" s="60" t="s">
        <v>1281</v>
      </c>
      <c r="I424" s="41"/>
      <c r="J424" s="41"/>
      <c r="K424" s="41"/>
    </row>
    <row r="425" spans="1:11" ht="15" customHeight="1" x14ac:dyDescent="0.25">
      <c r="A425" s="55" t="str">
        <f t="shared" si="6"/>
        <v/>
      </c>
      <c r="B425" s="44"/>
      <c r="C425" s="33"/>
      <c r="D425" s="42"/>
      <c r="E425" s="45"/>
      <c r="F425" s="33"/>
      <c r="G425" s="42"/>
      <c r="H425" s="60" t="s">
        <v>1281</v>
      </c>
      <c r="I425" s="41"/>
      <c r="J425" s="41"/>
      <c r="K425" s="41"/>
    </row>
    <row r="426" spans="1:11" ht="15" customHeight="1" x14ac:dyDescent="0.25">
      <c r="A426" s="55" t="str">
        <f t="shared" si="6"/>
        <v/>
      </c>
      <c r="B426" s="44"/>
      <c r="C426" s="33"/>
      <c r="D426" s="42"/>
      <c r="E426" s="45"/>
      <c r="F426" s="33"/>
      <c r="G426" s="42"/>
      <c r="H426" s="60" t="s">
        <v>1281</v>
      </c>
      <c r="I426" s="41"/>
      <c r="J426" s="41"/>
      <c r="K426" s="41"/>
    </row>
    <row r="427" spans="1:11" ht="15" customHeight="1" x14ac:dyDescent="0.25">
      <c r="A427" s="55" t="str">
        <f t="shared" si="6"/>
        <v/>
      </c>
      <c r="B427" s="44"/>
      <c r="C427" s="33"/>
      <c r="D427" s="42"/>
      <c r="E427" s="45"/>
      <c r="F427" s="33"/>
      <c r="G427" s="42"/>
      <c r="H427" s="60" t="s">
        <v>1281</v>
      </c>
      <c r="I427" s="41"/>
      <c r="J427" s="41"/>
      <c r="K427" s="41"/>
    </row>
    <row r="428" spans="1:11" ht="15" customHeight="1" x14ac:dyDescent="0.25">
      <c r="A428" s="55" t="str">
        <f t="shared" si="6"/>
        <v/>
      </c>
      <c r="B428" s="44"/>
      <c r="C428" s="33"/>
      <c r="D428" s="42"/>
      <c r="E428" s="45"/>
      <c r="F428" s="33"/>
      <c r="G428" s="42"/>
      <c r="H428" s="60" t="s">
        <v>1281</v>
      </c>
      <c r="I428" s="41"/>
      <c r="J428" s="41"/>
      <c r="K428" s="41"/>
    </row>
    <row r="429" spans="1:11" ht="15" customHeight="1" x14ac:dyDescent="0.25">
      <c r="A429" s="55" t="str">
        <f t="shared" si="6"/>
        <v/>
      </c>
      <c r="B429" s="44"/>
      <c r="C429" s="33"/>
      <c r="D429" s="42"/>
      <c r="E429" s="45"/>
      <c r="F429" s="33"/>
      <c r="G429" s="42"/>
      <c r="H429" s="60" t="s">
        <v>1281</v>
      </c>
      <c r="I429" s="41"/>
      <c r="J429" s="41"/>
      <c r="K429" s="41"/>
    </row>
    <row r="430" spans="1:11" ht="15" customHeight="1" x14ac:dyDescent="0.25">
      <c r="A430" s="55" t="str">
        <f t="shared" si="6"/>
        <v/>
      </c>
      <c r="B430" s="44"/>
      <c r="C430" s="33"/>
      <c r="D430" s="42"/>
      <c r="E430" s="45"/>
      <c r="F430" s="33"/>
      <c r="G430" s="42"/>
      <c r="H430" s="60" t="s">
        <v>1281</v>
      </c>
      <c r="I430" s="41"/>
      <c r="J430" s="41"/>
      <c r="K430" s="41"/>
    </row>
    <row r="431" spans="1:11" ht="15" customHeight="1" x14ac:dyDescent="0.25">
      <c r="A431" s="55" t="str">
        <f t="shared" si="6"/>
        <v/>
      </c>
      <c r="B431" s="44"/>
      <c r="C431" s="33"/>
      <c r="D431" s="42"/>
      <c r="E431" s="45"/>
      <c r="F431" s="33"/>
      <c r="G431" s="42"/>
      <c r="H431" s="60" t="s">
        <v>1281</v>
      </c>
      <c r="I431" s="41"/>
      <c r="J431" s="41"/>
      <c r="K431" s="41"/>
    </row>
    <row r="432" spans="1:11" ht="15" customHeight="1" x14ac:dyDescent="0.25">
      <c r="A432" s="55" t="str">
        <f t="shared" si="6"/>
        <v/>
      </c>
      <c r="B432" s="44"/>
      <c r="C432" s="33"/>
      <c r="D432" s="42"/>
      <c r="E432" s="45"/>
      <c r="F432" s="33"/>
      <c r="G432" s="42"/>
      <c r="H432" s="60" t="s">
        <v>1281</v>
      </c>
      <c r="I432" s="41"/>
      <c r="J432" s="41"/>
      <c r="K432" s="41"/>
    </row>
    <row r="433" spans="1:11" ht="15" customHeight="1" x14ac:dyDescent="0.25">
      <c r="A433" s="55" t="str">
        <f t="shared" si="6"/>
        <v/>
      </c>
      <c r="B433" s="44"/>
      <c r="C433" s="33"/>
      <c r="D433" s="42"/>
      <c r="E433" s="45"/>
      <c r="F433" s="33"/>
      <c r="G433" s="42"/>
      <c r="H433" s="60" t="s">
        <v>1281</v>
      </c>
      <c r="I433" s="41"/>
      <c r="J433" s="41"/>
      <c r="K433" s="41"/>
    </row>
    <row r="434" spans="1:11" ht="15" customHeight="1" x14ac:dyDescent="0.25">
      <c r="A434" s="55" t="str">
        <f t="shared" si="6"/>
        <v/>
      </c>
      <c r="B434" s="44"/>
      <c r="C434" s="33"/>
      <c r="D434" s="42"/>
      <c r="E434" s="45"/>
      <c r="F434" s="33"/>
      <c r="G434" s="42"/>
      <c r="H434" s="60" t="s">
        <v>1281</v>
      </c>
      <c r="I434" s="41"/>
      <c r="J434" s="41"/>
      <c r="K434" s="41"/>
    </row>
    <row r="435" spans="1:11" ht="15" customHeight="1" x14ac:dyDescent="0.25">
      <c r="A435" s="55" t="str">
        <f t="shared" si="6"/>
        <v/>
      </c>
      <c r="B435" s="44"/>
      <c r="C435" s="33"/>
      <c r="D435" s="42"/>
      <c r="E435" s="45"/>
      <c r="F435" s="33"/>
      <c r="G435" s="42"/>
      <c r="H435" s="60" t="s">
        <v>1281</v>
      </c>
      <c r="I435" s="41"/>
      <c r="J435" s="41"/>
      <c r="K435" s="41"/>
    </row>
    <row r="436" spans="1:11" ht="15" customHeight="1" x14ac:dyDescent="0.25">
      <c r="A436" s="55" t="str">
        <f t="shared" si="6"/>
        <v/>
      </c>
      <c r="B436" s="44"/>
      <c r="C436" s="33"/>
      <c r="D436" s="42"/>
      <c r="E436" s="45"/>
      <c r="F436" s="33"/>
      <c r="G436" s="42"/>
      <c r="H436" s="60" t="s">
        <v>1281</v>
      </c>
      <c r="I436" s="41"/>
      <c r="J436" s="41"/>
      <c r="K436" s="41"/>
    </row>
    <row r="437" spans="1:11" ht="15" customHeight="1" x14ac:dyDescent="0.25">
      <c r="A437" s="55" t="str">
        <f t="shared" si="6"/>
        <v/>
      </c>
      <c r="B437" s="44"/>
      <c r="C437" s="33"/>
      <c r="D437" s="42"/>
      <c r="E437" s="45"/>
      <c r="F437" s="33"/>
      <c r="G437" s="42"/>
      <c r="H437" s="60" t="s">
        <v>1281</v>
      </c>
      <c r="I437" s="41"/>
      <c r="J437" s="41"/>
      <c r="K437" s="41"/>
    </row>
    <row r="438" spans="1:11" ht="15" customHeight="1" x14ac:dyDescent="0.25">
      <c r="A438" s="55" t="str">
        <f t="shared" si="6"/>
        <v/>
      </c>
      <c r="B438" s="44"/>
      <c r="C438" s="33"/>
      <c r="D438" s="42"/>
      <c r="E438" s="45"/>
      <c r="F438" s="33"/>
      <c r="G438" s="42"/>
      <c r="H438" s="60" t="s">
        <v>1281</v>
      </c>
      <c r="I438" s="41"/>
      <c r="J438" s="41"/>
      <c r="K438" s="41"/>
    </row>
    <row r="439" spans="1:11" ht="15" customHeight="1" x14ac:dyDescent="0.25">
      <c r="A439" s="55" t="str">
        <f t="shared" si="6"/>
        <v/>
      </c>
      <c r="B439" s="44"/>
      <c r="C439" s="33"/>
      <c r="D439" s="42"/>
      <c r="E439" s="45"/>
      <c r="F439" s="33"/>
      <c r="G439" s="42"/>
      <c r="H439" s="60" t="s">
        <v>1281</v>
      </c>
      <c r="I439" s="41"/>
      <c r="J439" s="41"/>
      <c r="K439" s="41"/>
    </row>
    <row r="440" spans="1:11" ht="15" customHeight="1" x14ac:dyDescent="0.25">
      <c r="A440" s="55" t="str">
        <f t="shared" si="6"/>
        <v/>
      </c>
      <c r="B440" s="44"/>
      <c r="C440" s="33"/>
      <c r="D440" s="42"/>
      <c r="E440" s="45"/>
      <c r="F440" s="33"/>
      <c r="G440" s="42"/>
      <c r="H440" s="60" t="s">
        <v>1281</v>
      </c>
      <c r="I440" s="41"/>
      <c r="J440" s="41"/>
      <c r="K440" s="41"/>
    </row>
    <row r="441" spans="1:11" ht="15" customHeight="1" x14ac:dyDescent="0.25">
      <c r="A441" s="55" t="str">
        <f t="shared" si="6"/>
        <v/>
      </c>
      <c r="B441" s="44"/>
      <c r="C441" s="33"/>
      <c r="D441" s="42"/>
      <c r="E441" s="45"/>
      <c r="F441" s="33"/>
      <c r="G441" s="42"/>
      <c r="H441" s="60" t="s">
        <v>1281</v>
      </c>
      <c r="I441" s="41"/>
      <c r="J441" s="41"/>
      <c r="K441" s="41"/>
    </row>
    <row r="442" spans="1:11" ht="15" customHeight="1" x14ac:dyDescent="0.25">
      <c r="A442" s="55" t="str">
        <f t="shared" si="6"/>
        <v/>
      </c>
      <c r="B442" s="44"/>
      <c r="C442" s="33"/>
      <c r="D442" s="42"/>
      <c r="E442" s="45"/>
      <c r="F442" s="33"/>
      <c r="G442" s="42"/>
      <c r="H442" s="60" t="s">
        <v>1281</v>
      </c>
      <c r="I442" s="41"/>
      <c r="J442" s="41"/>
      <c r="K442" s="41"/>
    </row>
    <row r="443" spans="1:11" ht="15" customHeight="1" x14ac:dyDescent="0.25">
      <c r="A443" s="55" t="str">
        <f t="shared" si="6"/>
        <v/>
      </c>
      <c r="B443" s="44"/>
      <c r="C443" s="33"/>
      <c r="D443" s="42"/>
      <c r="E443" s="45"/>
      <c r="F443" s="33"/>
      <c r="G443" s="42"/>
      <c r="H443" s="60" t="s">
        <v>1281</v>
      </c>
      <c r="I443" s="41"/>
      <c r="J443" s="41"/>
      <c r="K443" s="41"/>
    </row>
    <row r="444" spans="1:11" ht="15" customHeight="1" x14ac:dyDescent="0.25">
      <c r="A444" s="55" t="str">
        <f t="shared" si="6"/>
        <v/>
      </c>
      <c r="B444" s="44"/>
      <c r="C444" s="33"/>
      <c r="D444" s="42"/>
      <c r="E444" s="45"/>
      <c r="F444" s="33"/>
      <c r="G444" s="42"/>
      <c r="H444" s="60" t="s">
        <v>1281</v>
      </c>
      <c r="I444" s="41"/>
      <c r="J444" s="41"/>
      <c r="K444" s="41"/>
    </row>
    <row r="445" spans="1:11" ht="15" customHeight="1" x14ac:dyDescent="0.25">
      <c r="A445" s="55" t="str">
        <f t="shared" si="6"/>
        <v/>
      </c>
      <c r="B445" s="44"/>
      <c r="C445" s="33"/>
      <c r="D445" s="42"/>
      <c r="E445" s="45"/>
      <c r="F445" s="33"/>
      <c r="G445" s="42"/>
      <c r="H445" s="60" t="s">
        <v>1281</v>
      </c>
      <c r="I445" s="41"/>
      <c r="J445" s="41"/>
      <c r="K445" s="41"/>
    </row>
    <row r="446" spans="1:11" ht="15" customHeight="1" x14ac:dyDescent="0.25">
      <c r="A446" s="55" t="str">
        <f t="shared" si="6"/>
        <v/>
      </c>
      <c r="B446" s="44"/>
      <c r="C446" s="33"/>
      <c r="D446" s="42"/>
      <c r="E446" s="45"/>
      <c r="F446" s="33"/>
      <c r="G446" s="42"/>
      <c r="H446" s="60" t="s">
        <v>1281</v>
      </c>
      <c r="I446" s="41"/>
      <c r="J446" s="41"/>
      <c r="K446" s="41"/>
    </row>
    <row r="447" spans="1:11" ht="15" customHeight="1" x14ac:dyDescent="0.25">
      <c r="A447" s="55" t="str">
        <f t="shared" si="6"/>
        <v/>
      </c>
      <c r="B447" s="44"/>
      <c r="C447" s="33"/>
      <c r="D447" s="42"/>
      <c r="E447" s="45"/>
      <c r="F447" s="33"/>
      <c r="G447" s="42"/>
      <c r="H447" s="60" t="s">
        <v>1281</v>
      </c>
      <c r="I447" s="41"/>
      <c r="J447" s="41"/>
      <c r="K447" s="41"/>
    </row>
    <row r="448" spans="1:11" ht="15" customHeight="1" x14ac:dyDescent="0.25">
      <c r="A448" s="55" t="str">
        <f t="shared" si="6"/>
        <v/>
      </c>
      <c r="B448" s="44"/>
      <c r="C448" s="33"/>
      <c r="D448" s="42"/>
      <c r="E448" s="45"/>
      <c r="F448" s="33"/>
      <c r="G448" s="42"/>
      <c r="H448" s="60" t="s">
        <v>1281</v>
      </c>
      <c r="I448" s="41"/>
      <c r="J448" s="41"/>
      <c r="K448" s="41"/>
    </row>
    <row r="449" spans="1:11" ht="15" customHeight="1" x14ac:dyDescent="0.25">
      <c r="A449" s="55" t="str">
        <f t="shared" si="6"/>
        <v/>
      </c>
      <c r="B449" s="44"/>
      <c r="C449" s="33"/>
      <c r="D449" s="42"/>
      <c r="E449" s="45"/>
      <c r="F449" s="33"/>
      <c r="G449" s="42"/>
      <c r="H449" s="60" t="s">
        <v>1281</v>
      </c>
      <c r="I449" s="41"/>
      <c r="J449" s="41"/>
      <c r="K449" s="41"/>
    </row>
    <row r="450" spans="1:11" ht="15" customHeight="1" x14ac:dyDescent="0.25">
      <c r="A450" s="55" t="str">
        <f t="shared" si="6"/>
        <v/>
      </c>
      <c r="B450" s="44"/>
      <c r="C450" s="33"/>
      <c r="D450" s="42"/>
      <c r="E450" s="45"/>
      <c r="F450" s="33"/>
      <c r="G450" s="42"/>
      <c r="H450" s="60" t="s">
        <v>1281</v>
      </c>
      <c r="I450" s="41"/>
      <c r="J450" s="41"/>
      <c r="K450" s="41"/>
    </row>
    <row r="451" spans="1:11" ht="15" customHeight="1" x14ac:dyDescent="0.25">
      <c r="A451" s="55" t="str">
        <f t="shared" si="6"/>
        <v/>
      </c>
      <c r="B451" s="44"/>
      <c r="C451" s="33"/>
      <c r="D451" s="42"/>
      <c r="E451" s="45"/>
      <c r="F451" s="33"/>
      <c r="G451" s="42"/>
      <c r="H451" s="60" t="s">
        <v>1281</v>
      </c>
      <c r="I451" s="41"/>
      <c r="J451" s="41"/>
      <c r="K451" s="41"/>
    </row>
    <row r="452" spans="1:11" ht="15" customHeight="1" x14ac:dyDescent="0.25">
      <c r="A452" s="55" t="str">
        <f t="shared" ref="A452:A503" si="7">IF(COUNTA(B452:G452)&gt;0,ROW()-3,"")</f>
        <v/>
      </c>
      <c r="B452" s="44"/>
      <c r="C452" s="33"/>
      <c r="D452" s="42"/>
      <c r="E452" s="45"/>
      <c r="F452" s="33"/>
      <c r="G452" s="42"/>
      <c r="H452" s="60" t="s">
        <v>1281</v>
      </c>
      <c r="I452" s="41"/>
      <c r="J452" s="41"/>
      <c r="K452" s="41"/>
    </row>
    <row r="453" spans="1:11" ht="15" customHeight="1" x14ac:dyDescent="0.25">
      <c r="A453" s="55" t="str">
        <f t="shared" si="7"/>
        <v/>
      </c>
      <c r="B453" s="44"/>
      <c r="C453" s="33"/>
      <c r="D453" s="42"/>
      <c r="E453" s="45"/>
      <c r="F453" s="33"/>
      <c r="G453" s="42"/>
      <c r="H453" s="60" t="s">
        <v>1281</v>
      </c>
      <c r="I453" s="41"/>
      <c r="J453" s="41"/>
      <c r="K453" s="41"/>
    </row>
    <row r="454" spans="1:11" ht="15" customHeight="1" x14ac:dyDescent="0.25">
      <c r="A454" s="55" t="str">
        <f t="shared" si="7"/>
        <v/>
      </c>
      <c r="B454" s="44"/>
      <c r="C454" s="33"/>
      <c r="D454" s="42"/>
      <c r="E454" s="45"/>
      <c r="F454" s="33"/>
      <c r="G454" s="42"/>
      <c r="H454" s="60" t="s">
        <v>1281</v>
      </c>
      <c r="I454" s="41"/>
      <c r="J454" s="41"/>
      <c r="K454" s="41"/>
    </row>
    <row r="455" spans="1:11" ht="15" customHeight="1" x14ac:dyDescent="0.25">
      <c r="A455" s="55" t="str">
        <f t="shared" si="7"/>
        <v/>
      </c>
      <c r="B455" s="44"/>
      <c r="C455" s="33"/>
      <c r="D455" s="42"/>
      <c r="E455" s="45"/>
      <c r="F455" s="33"/>
      <c r="G455" s="42"/>
      <c r="H455" s="60" t="s">
        <v>1281</v>
      </c>
      <c r="I455" s="41"/>
      <c r="J455" s="41"/>
      <c r="K455" s="41"/>
    </row>
    <row r="456" spans="1:11" ht="15" customHeight="1" x14ac:dyDescent="0.25">
      <c r="A456" s="55" t="str">
        <f t="shared" si="7"/>
        <v/>
      </c>
      <c r="B456" s="44"/>
      <c r="C456" s="33"/>
      <c r="D456" s="42"/>
      <c r="E456" s="45"/>
      <c r="F456" s="33"/>
      <c r="G456" s="42"/>
      <c r="H456" s="60" t="s">
        <v>1281</v>
      </c>
      <c r="I456" s="41"/>
      <c r="J456" s="41"/>
      <c r="K456" s="41"/>
    </row>
    <row r="457" spans="1:11" ht="15" customHeight="1" x14ac:dyDescent="0.25">
      <c r="A457" s="55" t="str">
        <f t="shared" si="7"/>
        <v/>
      </c>
      <c r="B457" s="44"/>
      <c r="C457" s="33"/>
      <c r="D457" s="42"/>
      <c r="E457" s="45"/>
      <c r="F457" s="33"/>
      <c r="G457" s="42"/>
      <c r="H457" s="60" t="s">
        <v>1281</v>
      </c>
      <c r="I457" s="41"/>
      <c r="J457" s="41"/>
      <c r="K457" s="41"/>
    </row>
    <row r="458" spans="1:11" ht="15" customHeight="1" x14ac:dyDescent="0.25">
      <c r="A458" s="55" t="str">
        <f t="shared" si="7"/>
        <v/>
      </c>
      <c r="B458" s="44"/>
      <c r="C458" s="33"/>
      <c r="D458" s="42"/>
      <c r="E458" s="45"/>
      <c r="F458" s="33"/>
      <c r="G458" s="42"/>
      <c r="H458" s="60" t="s">
        <v>1281</v>
      </c>
      <c r="I458" s="41"/>
      <c r="J458" s="41"/>
      <c r="K458" s="41"/>
    </row>
    <row r="459" spans="1:11" ht="15" customHeight="1" x14ac:dyDescent="0.25">
      <c r="A459" s="55" t="str">
        <f t="shared" si="7"/>
        <v/>
      </c>
      <c r="B459" s="44"/>
      <c r="C459" s="33"/>
      <c r="D459" s="42"/>
      <c r="E459" s="45"/>
      <c r="F459" s="33"/>
      <c r="G459" s="42"/>
      <c r="H459" s="60" t="s">
        <v>1281</v>
      </c>
      <c r="I459" s="41"/>
      <c r="J459" s="41"/>
      <c r="K459" s="41"/>
    </row>
    <row r="460" spans="1:11" ht="15" customHeight="1" x14ac:dyDescent="0.25">
      <c r="A460" s="55" t="str">
        <f t="shared" si="7"/>
        <v/>
      </c>
      <c r="B460" s="44"/>
      <c r="C460" s="33"/>
      <c r="D460" s="42"/>
      <c r="E460" s="45"/>
      <c r="F460" s="33"/>
      <c r="G460" s="42"/>
      <c r="H460" s="60" t="s">
        <v>1281</v>
      </c>
      <c r="I460" s="41"/>
      <c r="J460" s="41"/>
      <c r="K460" s="41"/>
    </row>
    <row r="461" spans="1:11" ht="15" customHeight="1" x14ac:dyDescent="0.25">
      <c r="A461" s="55" t="str">
        <f t="shared" si="7"/>
        <v/>
      </c>
      <c r="B461" s="44"/>
      <c r="C461" s="33"/>
      <c r="D461" s="42"/>
      <c r="E461" s="45"/>
      <c r="F461" s="33"/>
      <c r="G461" s="42"/>
      <c r="H461" s="60" t="s">
        <v>1281</v>
      </c>
      <c r="I461" s="41"/>
      <c r="J461" s="41"/>
      <c r="K461" s="41"/>
    </row>
    <row r="462" spans="1:11" ht="15" customHeight="1" x14ac:dyDescent="0.25">
      <c r="A462" s="55" t="str">
        <f t="shared" si="7"/>
        <v/>
      </c>
      <c r="B462" s="44"/>
      <c r="C462" s="33"/>
      <c r="D462" s="42"/>
      <c r="E462" s="45"/>
      <c r="F462" s="33"/>
      <c r="G462" s="42"/>
      <c r="H462" s="60" t="s">
        <v>1281</v>
      </c>
      <c r="I462" s="41"/>
      <c r="J462" s="41"/>
      <c r="K462" s="41"/>
    </row>
    <row r="463" spans="1:11" ht="15" customHeight="1" x14ac:dyDescent="0.25">
      <c r="A463" s="55" t="str">
        <f t="shared" si="7"/>
        <v/>
      </c>
      <c r="B463" s="44"/>
      <c r="C463" s="33"/>
      <c r="D463" s="42"/>
      <c r="E463" s="45"/>
      <c r="F463" s="33"/>
      <c r="G463" s="42"/>
      <c r="H463" s="60" t="s">
        <v>1281</v>
      </c>
      <c r="I463" s="41"/>
      <c r="J463" s="41"/>
      <c r="K463" s="41"/>
    </row>
    <row r="464" spans="1:11" ht="15" customHeight="1" x14ac:dyDescent="0.25">
      <c r="A464" s="55" t="str">
        <f t="shared" si="7"/>
        <v/>
      </c>
      <c r="B464" s="44"/>
      <c r="C464" s="33"/>
      <c r="D464" s="42"/>
      <c r="E464" s="45"/>
      <c r="F464" s="33"/>
      <c r="G464" s="42"/>
      <c r="H464" s="60" t="s">
        <v>1281</v>
      </c>
      <c r="I464" s="41"/>
      <c r="J464" s="41"/>
      <c r="K464" s="41"/>
    </row>
    <row r="465" spans="1:11" ht="15" customHeight="1" x14ac:dyDescent="0.25">
      <c r="A465" s="55" t="str">
        <f t="shared" si="7"/>
        <v/>
      </c>
      <c r="B465" s="44"/>
      <c r="C465" s="33"/>
      <c r="D465" s="42"/>
      <c r="E465" s="45"/>
      <c r="F465" s="33"/>
      <c r="G465" s="42"/>
      <c r="H465" s="60" t="s">
        <v>1281</v>
      </c>
      <c r="I465" s="41"/>
      <c r="J465" s="41"/>
      <c r="K465" s="41"/>
    </row>
    <row r="466" spans="1:11" ht="15" customHeight="1" x14ac:dyDescent="0.25">
      <c r="A466" s="55" t="str">
        <f t="shared" si="7"/>
        <v/>
      </c>
      <c r="B466" s="44"/>
      <c r="C466" s="33"/>
      <c r="D466" s="42"/>
      <c r="E466" s="45"/>
      <c r="F466" s="33"/>
      <c r="G466" s="42"/>
      <c r="H466" s="60" t="s">
        <v>1281</v>
      </c>
      <c r="I466" s="41"/>
      <c r="J466" s="41"/>
      <c r="K466" s="41"/>
    </row>
    <row r="467" spans="1:11" ht="15" customHeight="1" x14ac:dyDescent="0.25">
      <c r="A467" s="55" t="str">
        <f t="shared" si="7"/>
        <v/>
      </c>
      <c r="B467" s="44"/>
      <c r="C467" s="33"/>
      <c r="D467" s="42"/>
      <c r="E467" s="45"/>
      <c r="F467" s="33"/>
      <c r="G467" s="42"/>
      <c r="H467" s="60" t="s">
        <v>1281</v>
      </c>
      <c r="I467" s="41"/>
      <c r="J467" s="41"/>
      <c r="K467" s="41"/>
    </row>
    <row r="468" spans="1:11" ht="15" customHeight="1" x14ac:dyDescent="0.25">
      <c r="A468" s="55" t="str">
        <f t="shared" si="7"/>
        <v/>
      </c>
      <c r="B468" s="44"/>
      <c r="C468" s="33"/>
      <c r="D468" s="42"/>
      <c r="E468" s="45"/>
      <c r="F468" s="33"/>
      <c r="G468" s="42"/>
      <c r="H468" s="60" t="s">
        <v>1281</v>
      </c>
      <c r="I468" s="41"/>
      <c r="J468" s="41"/>
      <c r="K468" s="41"/>
    </row>
    <row r="469" spans="1:11" ht="15" customHeight="1" x14ac:dyDescent="0.25">
      <c r="A469" s="55" t="str">
        <f t="shared" si="7"/>
        <v/>
      </c>
      <c r="B469" s="44"/>
      <c r="C469" s="33"/>
      <c r="D469" s="42"/>
      <c r="E469" s="45"/>
      <c r="F469" s="33"/>
      <c r="G469" s="42"/>
      <c r="H469" s="60" t="s">
        <v>1281</v>
      </c>
      <c r="I469" s="41"/>
      <c r="J469" s="41"/>
      <c r="K469" s="41"/>
    </row>
    <row r="470" spans="1:11" ht="15" customHeight="1" x14ac:dyDescent="0.25">
      <c r="A470" s="55" t="str">
        <f t="shared" si="7"/>
        <v/>
      </c>
      <c r="B470" s="44"/>
      <c r="C470" s="33"/>
      <c r="D470" s="42"/>
      <c r="E470" s="45"/>
      <c r="F470" s="33"/>
      <c r="G470" s="42"/>
      <c r="H470" s="60" t="s">
        <v>1281</v>
      </c>
      <c r="I470" s="41"/>
      <c r="J470" s="41"/>
      <c r="K470" s="41"/>
    </row>
    <row r="471" spans="1:11" ht="15" customHeight="1" x14ac:dyDescent="0.25">
      <c r="A471" s="55" t="str">
        <f t="shared" si="7"/>
        <v/>
      </c>
      <c r="B471" s="44"/>
      <c r="C471" s="33"/>
      <c r="D471" s="42"/>
      <c r="E471" s="45"/>
      <c r="F471" s="33"/>
      <c r="G471" s="42"/>
      <c r="H471" s="60" t="s">
        <v>1281</v>
      </c>
      <c r="I471" s="41"/>
      <c r="J471" s="41"/>
      <c r="K471" s="41"/>
    </row>
    <row r="472" spans="1:11" ht="15" customHeight="1" x14ac:dyDescent="0.25">
      <c r="A472" s="55" t="str">
        <f t="shared" si="7"/>
        <v/>
      </c>
      <c r="B472" s="44"/>
      <c r="C472" s="33"/>
      <c r="D472" s="42"/>
      <c r="E472" s="45"/>
      <c r="F472" s="33"/>
      <c r="G472" s="42"/>
      <c r="H472" s="60" t="s">
        <v>1281</v>
      </c>
      <c r="I472" s="41"/>
      <c r="J472" s="41"/>
      <c r="K472" s="41"/>
    </row>
    <row r="473" spans="1:11" ht="15" customHeight="1" x14ac:dyDescent="0.25">
      <c r="A473" s="55" t="str">
        <f t="shared" si="7"/>
        <v/>
      </c>
      <c r="B473" s="44"/>
      <c r="C473" s="33"/>
      <c r="D473" s="42"/>
      <c r="E473" s="45"/>
      <c r="F473" s="33"/>
      <c r="G473" s="42"/>
      <c r="H473" s="60" t="s">
        <v>1281</v>
      </c>
      <c r="I473" s="41"/>
      <c r="J473" s="41"/>
      <c r="K473" s="41"/>
    </row>
    <row r="474" spans="1:11" ht="15" customHeight="1" x14ac:dyDescent="0.25">
      <c r="A474" s="55" t="str">
        <f t="shared" si="7"/>
        <v/>
      </c>
      <c r="B474" s="44"/>
      <c r="C474" s="33"/>
      <c r="D474" s="42"/>
      <c r="E474" s="45"/>
      <c r="F474" s="33"/>
      <c r="G474" s="42"/>
      <c r="H474" s="60" t="s">
        <v>1281</v>
      </c>
      <c r="I474" s="41"/>
      <c r="J474" s="41"/>
      <c r="K474" s="41"/>
    </row>
    <row r="475" spans="1:11" ht="15" customHeight="1" x14ac:dyDescent="0.25">
      <c r="A475" s="55" t="str">
        <f t="shared" si="7"/>
        <v/>
      </c>
      <c r="B475" s="44"/>
      <c r="C475" s="33"/>
      <c r="D475" s="42"/>
      <c r="E475" s="45"/>
      <c r="F475" s="33"/>
      <c r="G475" s="42"/>
      <c r="H475" s="60" t="s">
        <v>1281</v>
      </c>
      <c r="I475" s="41"/>
      <c r="J475" s="41"/>
      <c r="K475" s="41"/>
    </row>
    <row r="476" spans="1:11" ht="15" customHeight="1" x14ac:dyDescent="0.25">
      <c r="A476" s="55" t="str">
        <f t="shared" si="7"/>
        <v/>
      </c>
      <c r="B476" s="44"/>
      <c r="C476" s="33"/>
      <c r="D476" s="42"/>
      <c r="E476" s="45"/>
      <c r="F476" s="33"/>
      <c r="G476" s="42"/>
      <c r="H476" s="60" t="s">
        <v>1281</v>
      </c>
      <c r="I476" s="41"/>
      <c r="J476" s="41"/>
      <c r="K476" s="41"/>
    </row>
    <row r="477" spans="1:11" ht="15" customHeight="1" x14ac:dyDescent="0.25">
      <c r="A477" s="55" t="str">
        <f t="shared" si="7"/>
        <v/>
      </c>
      <c r="B477" s="44"/>
      <c r="C477" s="33"/>
      <c r="D477" s="42"/>
      <c r="E477" s="45"/>
      <c r="F477" s="33"/>
      <c r="G477" s="42"/>
      <c r="H477" s="60" t="s">
        <v>1281</v>
      </c>
      <c r="I477" s="41"/>
      <c r="J477" s="41"/>
      <c r="K477" s="41"/>
    </row>
    <row r="478" spans="1:11" ht="15" customHeight="1" x14ac:dyDescent="0.25">
      <c r="A478" s="55" t="str">
        <f t="shared" si="7"/>
        <v/>
      </c>
      <c r="B478" s="44"/>
      <c r="C478" s="33"/>
      <c r="D478" s="42"/>
      <c r="E478" s="45"/>
      <c r="F478" s="33"/>
      <c r="G478" s="42"/>
      <c r="H478" s="60" t="s">
        <v>1281</v>
      </c>
      <c r="I478" s="41"/>
      <c r="J478" s="41"/>
      <c r="K478" s="41"/>
    </row>
    <row r="479" spans="1:11" ht="15" customHeight="1" x14ac:dyDescent="0.25">
      <c r="A479" s="55" t="str">
        <f t="shared" si="7"/>
        <v/>
      </c>
      <c r="B479" s="44"/>
      <c r="C479" s="33"/>
      <c r="D479" s="42"/>
      <c r="E479" s="45"/>
      <c r="F479" s="33"/>
      <c r="G479" s="42"/>
      <c r="H479" s="60" t="s">
        <v>1281</v>
      </c>
      <c r="I479" s="41"/>
      <c r="J479" s="41"/>
      <c r="K479" s="41"/>
    </row>
    <row r="480" spans="1:11" ht="15" customHeight="1" x14ac:dyDescent="0.25">
      <c r="A480" s="55" t="str">
        <f t="shared" si="7"/>
        <v/>
      </c>
      <c r="B480" s="44"/>
      <c r="C480" s="33"/>
      <c r="D480" s="42"/>
      <c r="E480" s="45"/>
      <c r="F480" s="33"/>
      <c r="G480" s="42"/>
      <c r="H480" s="60" t="s">
        <v>1281</v>
      </c>
      <c r="I480" s="41"/>
      <c r="J480" s="41"/>
      <c r="K480" s="41"/>
    </row>
    <row r="481" spans="1:11" ht="15" customHeight="1" x14ac:dyDescent="0.25">
      <c r="A481" s="55" t="str">
        <f t="shared" si="7"/>
        <v/>
      </c>
      <c r="B481" s="44"/>
      <c r="C481" s="33"/>
      <c r="D481" s="42"/>
      <c r="E481" s="45"/>
      <c r="F481" s="33"/>
      <c r="G481" s="42"/>
      <c r="H481" s="60" t="s">
        <v>1281</v>
      </c>
      <c r="I481" s="41"/>
      <c r="J481" s="41"/>
      <c r="K481" s="41"/>
    </row>
    <row r="482" spans="1:11" ht="15" customHeight="1" x14ac:dyDescent="0.25">
      <c r="A482" s="55" t="str">
        <f t="shared" si="7"/>
        <v/>
      </c>
      <c r="B482" s="44"/>
      <c r="C482" s="33"/>
      <c r="D482" s="42"/>
      <c r="E482" s="45"/>
      <c r="F482" s="33"/>
      <c r="G482" s="42"/>
      <c r="H482" s="60" t="s">
        <v>1281</v>
      </c>
      <c r="I482" s="41"/>
      <c r="J482" s="41"/>
      <c r="K482" s="41"/>
    </row>
    <row r="483" spans="1:11" ht="15" customHeight="1" x14ac:dyDescent="0.25">
      <c r="A483" s="55" t="str">
        <f t="shared" si="7"/>
        <v/>
      </c>
      <c r="B483" s="44"/>
      <c r="C483" s="33"/>
      <c r="D483" s="42"/>
      <c r="E483" s="45"/>
      <c r="F483" s="33"/>
      <c r="G483" s="42"/>
      <c r="H483" s="60" t="s">
        <v>1281</v>
      </c>
      <c r="I483" s="41"/>
      <c r="J483" s="41"/>
      <c r="K483" s="41"/>
    </row>
    <row r="484" spans="1:11" ht="15" customHeight="1" x14ac:dyDescent="0.25">
      <c r="A484" s="55" t="str">
        <f t="shared" si="7"/>
        <v/>
      </c>
      <c r="B484" s="44"/>
      <c r="C484" s="33"/>
      <c r="D484" s="42"/>
      <c r="E484" s="45"/>
      <c r="F484" s="33"/>
      <c r="G484" s="42"/>
      <c r="H484" s="60" t="s">
        <v>1281</v>
      </c>
      <c r="I484" s="41"/>
      <c r="J484" s="41"/>
      <c r="K484" s="41"/>
    </row>
    <row r="485" spans="1:11" ht="15" customHeight="1" x14ac:dyDescent="0.25">
      <c r="A485" s="55" t="str">
        <f t="shared" si="7"/>
        <v/>
      </c>
      <c r="B485" s="44"/>
      <c r="C485" s="33"/>
      <c r="D485" s="42"/>
      <c r="E485" s="45"/>
      <c r="F485" s="33"/>
      <c r="G485" s="42"/>
      <c r="H485" s="60" t="s">
        <v>1281</v>
      </c>
      <c r="I485" s="41"/>
      <c r="J485" s="41"/>
      <c r="K485" s="41"/>
    </row>
    <row r="486" spans="1:11" ht="15" customHeight="1" x14ac:dyDescent="0.25">
      <c r="A486" s="55" t="str">
        <f t="shared" si="7"/>
        <v/>
      </c>
      <c r="B486" s="44"/>
      <c r="C486" s="33"/>
      <c r="D486" s="42"/>
      <c r="E486" s="45"/>
      <c r="F486" s="33"/>
      <c r="G486" s="42"/>
      <c r="H486" s="60" t="s">
        <v>1281</v>
      </c>
      <c r="I486" s="41"/>
      <c r="J486" s="41"/>
      <c r="K486" s="41"/>
    </row>
    <row r="487" spans="1:11" ht="15" customHeight="1" x14ac:dyDescent="0.25">
      <c r="A487" s="55" t="str">
        <f t="shared" si="7"/>
        <v/>
      </c>
      <c r="B487" s="44"/>
      <c r="C487" s="33"/>
      <c r="D487" s="42"/>
      <c r="E487" s="45"/>
      <c r="F487" s="33"/>
      <c r="G487" s="42"/>
      <c r="H487" s="60" t="s">
        <v>1281</v>
      </c>
      <c r="I487" s="41"/>
      <c r="J487" s="41"/>
      <c r="K487" s="41"/>
    </row>
    <row r="488" spans="1:11" ht="15" customHeight="1" x14ac:dyDescent="0.25">
      <c r="A488" s="55" t="str">
        <f t="shared" si="7"/>
        <v/>
      </c>
      <c r="B488" s="44"/>
      <c r="C488" s="33"/>
      <c r="D488" s="42"/>
      <c r="E488" s="45"/>
      <c r="F488" s="33"/>
      <c r="G488" s="42"/>
      <c r="H488" s="60" t="s">
        <v>1281</v>
      </c>
      <c r="I488" s="41"/>
      <c r="J488" s="41"/>
      <c r="K488" s="41"/>
    </row>
    <row r="489" spans="1:11" ht="15" customHeight="1" x14ac:dyDescent="0.25">
      <c r="A489" s="55" t="str">
        <f t="shared" si="7"/>
        <v/>
      </c>
      <c r="B489" s="44"/>
      <c r="C489" s="33"/>
      <c r="D489" s="42"/>
      <c r="E489" s="45"/>
      <c r="F489" s="33"/>
      <c r="G489" s="42"/>
      <c r="H489" s="60" t="s">
        <v>1281</v>
      </c>
      <c r="I489" s="41"/>
      <c r="J489" s="41"/>
      <c r="K489" s="41"/>
    </row>
    <row r="490" spans="1:11" ht="15" customHeight="1" x14ac:dyDescent="0.25">
      <c r="A490" s="55" t="str">
        <f t="shared" si="7"/>
        <v/>
      </c>
      <c r="B490" s="44"/>
      <c r="C490" s="33"/>
      <c r="D490" s="42"/>
      <c r="E490" s="45"/>
      <c r="F490" s="33"/>
      <c r="G490" s="42"/>
      <c r="H490" s="60" t="s">
        <v>1281</v>
      </c>
      <c r="I490" s="41"/>
      <c r="J490" s="41"/>
      <c r="K490" s="41"/>
    </row>
    <row r="491" spans="1:11" ht="15" customHeight="1" x14ac:dyDescent="0.25">
      <c r="A491" s="55" t="str">
        <f t="shared" si="7"/>
        <v/>
      </c>
      <c r="B491" s="44"/>
      <c r="C491" s="33"/>
      <c r="D491" s="42"/>
      <c r="E491" s="45"/>
      <c r="F491" s="33"/>
      <c r="G491" s="42"/>
      <c r="H491" s="60" t="s">
        <v>1281</v>
      </c>
      <c r="I491" s="41"/>
      <c r="J491" s="41"/>
      <c r="K491" s="41"/>
    </row>
    <row r="492" spans="1:11" ht="15" customHeight="1" x14ac:dyDescent="0.25">
      <c r="A492" s="55" t="str">
        <f t="shared" si="7"/>
        <v/>
      </c>
      <c r="B492" s="44"/>
      <c r="C492" s="33"/>
      <c r="D492" s="42"/>
      <c r="E492" s="45"/>
      <c r="F492" s="33"/>
      <c r="G492" s="42"/>
      <c r="H492" s="60" t="s">
        <v>1281</v>
      </c>
      <c r="I492" s="41"/>
      <c r="J492" s="41"/>
      <c r="K492" s="41"/>
    </row>
    <row r="493" spans="1:11" ht="15" customHeight="1" x14ac:dyDescent="0.25">
      <c r="A493" s="55" t="str">
        <f t="shared" si="7"/>
        <v/>
      </c>
      <c r="B493" s="44"/>
      <c r="C493" s="33"/>
      <c r="D493" s="42"/>
      <c r="E493" s="45"/>
      <c r="F493" s="33"/>
      <c r="G493" s="42"/>
      <c r="H493" s="60" t="s">
        <v>1281</v>
      </c>
      <c r="I493" s="41"/>
      <c r="J493" s="41"/>
      <c r="K493" s="41"/>
    </row>
    <row r="494" spans="1:11" ht="15" customHeight="1" x14ac:dyDescent="0.25">
      <c r="A494" s="55" t="str">
        <f t="shared" si="7"/>
        <v/>
      </c>
      <c r="B494" s="44"/>
      <c r="C494" s="33"/>
      <c r="D494" s="42"/>
      <c r="E494" s="45"/>
      <c r="F494" s="33"/>
      <c r="G494" s="42"/>
      <c r="H494" s="60" t="s">
        <v>1281</v>
      </c>
      <c r="I494" s="41"/>
      <c r="J494" s="41"/>
      <c r="K494" s="41"/>
    </row>
    <row r="495" spans="1:11" ht="15" customHeight="1" x14ac:dyDescent="0.25">
      <c r="A495" s="55" t="str">
        <f t="shared" si="7"/>
        <v/>
      </c>
      <c r="B495" s="44"/>
      <c r="C495" s="33"/>
      <c r="D495" s="42"/>
      <c r="E495" s="45"/>
      <c r="F495" s="33"/>
      <c r="G495" s="42"/>
      <c r="H495" s="60" t="s">
        <v>1281</v>
      </c>
      <c r="I495" s="41"/>
      <c r="J495" s="41"/>
      <c r="K495" s="41"/>
    </row>
    <row r="496" spans="1:11" ht="15" customHeight="1" x14ac:dyDescent="0.25">
      <c r="A496" s="55" t="str">
        <f t="shared" si="7"/>
        <v/>
      </c>
      <c r="B496" s="44"/>
      <c r="C496" s="33"/>
      <c r="D496" s="42"/>
      <c r="E496" s="45"/>
      <c r="F496" s="33"/>
      <c r="G496" s="42"/>
      <c r="H496" s="60" t="s">
        <v>1281</v>
      </c>
      <c r="I496" s="41"/>
      <c r="J496" s="41"/>
      <c r="K496" s="41"/>
    </row>
    <row r="497" spans="1:11" ht="15" customHeight="1" x14ac:dyDescent="0.25">
      <c r="A497" s="55" t="str">
        <f t="shared" si="7"/>
        <v/>
      </c>
      <c r="B497" s="44"/>
      <c r="C497" s="33"/>
      <c r="D497" s="42"/>
      <c r="E497" s="45"/>
      <c r="F497" s="33"/>
      <c r="G497" s="42"/>
      <c r="H497" s="60" t="s">
        <v>1281</v>
      </c>
      <c r="I497" s="41"/>
      <c r="J497" s="41"/>
      <c r="K497" s="41"/>
    </row>
    <row r="498" spans="1:11" ht="15" customHeight="1" x14ac:dyDescent="0.25">
      <c r="A498" s="55" t="str">
        <f t="shared" si="7"/>
        <v/>
      </c>
      <c r="B498" s="44"/>
      <c r="C498" s="33"/>
      <c r="D498" s="42"/>
      <c r="E498" s="45"/>
      <c r="F498" s="33"/>
      <c r="G498" s="42"/>
      <c r="H498" s="60" t="s">
        <v>1281</v>
      </c>
      <c r="I498" s="41"/>
      <c r="J498" s="41"/>
      <c r="K498" s="41"/>
    </row>
    <row r="499" spans="1:11" ht="15" customHeight="1" x14ac:dyDescent="0.25">
      <c r="A499" s="55" t="str">
        <f t="shared" si="7"/>
        <v/>
      </c>
      <c r="B499" s="44"/>
      <c r="C499" s="33"/>
      <c r="D499" s="42"/>
      <c r="E499" s="45"/>
      <c r="F499" s="33"/>
      <c r="G499" s="42"/>
      <c r="H499" s="60" t="s">
        <v>1281</v>
      </c>
      <c r="I499" s="41"/>
      <c r="J499" s="41"/>
      <c r="K499" s="41"/>
    </row>
    <row r="500" spans="1:11" ht="15" customHeight="1" x14ac:dyDescent="0.25">
      <c r="A500" s="55" t="str">
        <f t="shared" si="7"/>
        <v/>
      </c>
      <c r="B500" s="44"/>
      <c r="C500" s="33"/>
      <c r="D500" s="42"/>
      <c r="E500" s="45"/>
      <c r="F500" s="33"/>
      <c r="G500" s="42"/>
      <c r="H500" s="60" t="s">
        <v>1281</v>
      </c>
      <c r="I500" s="41"/>
      <c r="J500" s="41"/>
      <c r="K500" s="41"/>
    </row>
    <row r="501" spans="1:11" ht="15" customHeight="1" x14ac:dyDescent="0.25">
      <c r="A501" s="55" t="str">
        <f t="shared" si="7"/>
        <v/>
      </c>
      <c r="B501" s="44"/>
      <c r="C501" s="33"/>
      <c r="D501" s="42"/>
      <c r="E501" s="45"/>
      <c r="F501" s="33"/>
      <c r="G501" s="42"/>
      <c r="H501" s="60" t="s">
        <v>1281</v>
      </c>
      <c r="I501" s="41"/>
      <c r="J501" s="41"/>
      <c r="K501" s="41"/>
    </row>
    <row r="502" spans="1:11" ht="15" customHeight="1" x14ac:dyDescent="0.25">
      <c r="A502" s="55" t="str">
        <f t="shared" si="7"/>
        <v/>
      </c>
      <c r="B502" s="44"/>
      <c r="C502" s="33"/>
      <c r="D502" s="42"/>
      <c r="E502" s="45"/>
      <c r="F502" s="33"/>
      <c r="G502" s="42"/>
      <c r="H502" s="60" t="s">
        <v>1281</v>
      </c>
      <c r="I502" s="41"/>
      <c r="J502" s="41"/>
      <c r="K502" s="41"/>
    </row>
    <row r="503" spans="1:11" ht="15" customHeight="1" x14ac:dyDescent="0.25">
      <c r="A503" s="55" t="str">
        <f t="shared" si="7"/>
        <v/>
      </c>
      <c r="B503" s="44"/>
      <c r="C503" s="33"/>
      <c r="D503" s="42"/>
      <c r="E503" s="45"/>
      <c r="F503" s="33"/>
      <c r="G503" s="42"/>
      <c r="H503" s="60" t="s">
        <v>1281</v>
      </c>
      <c r="I503" s="41"/>
      <c r="J503" s="41"/>
      <c r="K503" s="41"/>
    </row>
  </sheetData>
  <mergeCells count="2">
    <mergeCell ref="A2:K2"/>
    <mergeCell ref="A1:K1"/>
  </mergeCells>
  <conditionalFormatting sqref="H4:H503">
    <cfRule type="cellIs" dxfId="269" priority="1" operator="equal">
      <formula>"Raised"</formula>
    </cfRule>
    <cfRule type="cellIs" dxfId="268" priority="2" operator="equal">
      <formula>"Not Raised"</formula>
    </cfRule>
  </conditionalFormatting>
  <dataValidations count="2">
    <dataValidation type="list" allowBlank="1" sqref="C208:C503">
      <formula1>"ACCESS,GENERAL CABIN,GALLEY,LAVATORY,PAX DOORS,F/A SEAT,PAX SEAT,FLIGHT DECK,TEDLAR/SIDEWALL,ACFT GENERAL T/C"</formula1>
    </dataValidation>
    <dataValidation type="list" allowBlank="1" sqref="H4:H503">
      <formula1>"Not Raised,Raised"</formula1>
    </dataValidation>
  </dataValidation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2" r:id="rId19"/>
    <hyperlink ref="G23" r:id="rId20"/>
    <hyperlink ref="G24" r:id="rId21"/>
    <hyperlink ref="G25" r:id="rId22"/>
    <hyperlink ref="G26" r:id="rId23"/>
    <hyperlink ref="G27" r:id="rId24"/>
    <hyperlink ref="G28" r:id="rId25"/>
    <hyperlink ref="G29" r:id="rId26"/>
    <hyperlink ref="G30" r:id="rId27"/>
    <hyperlink ref="G31" r:id="rId28"/>
    <hyperlink ref="G32" r:id="rId29"/>
    <hyperlink ref="G33" r:id="rId30"/>
    <hyperlink ref="G34" r:id="rId31"/>
    <hyperlink ref="G35" r:id="rId32"/>
    <hyperlink ref="G36" r:id="rId33"/>
    <hyperlink ref="G37" r:id="rId34"/>
    <hyperlink ref="G38" r:id="rId35"/>
    <hyperlink ref="G39" r:id="rId36"/>
    <hyperlink ref="G40" r:id="rId37"/>
    <hyperlink ref="G41" r:id="rId38"/>
    <hyperlink ref="G42" r:id="rId39"/>
    <hyperlink ref="G43" r:id="rId40"/>
    <hyperlink ref="G44" r:id="rId41"/>
    <hyperlink ref="G45" r:id="rId42"/>
    <hyperlink ref="G46" r:id="rId43"/>
    <hyperlink ref="G47" r:id="rId44"/>
    <hyperlink ref="G48" r:id="rId45"/>
    <hyperlink ref="G49" r:id="rId46"/>
    <hyperlink ref="G50" r:id="rId47"/>
    <hyperlink ref="G51" r:id="rId48"/>
    <hyperlink ref="G52" r:id="rId49"/>
    <hyperlink ref="G53" r:id="rId50"/>
    <hyperlink ref="G54" r:id="rId51"/>
    <hyperlink ref="G55" r:id="rId52"/>
    <hyperlink ref="G56" r:id="rId53"/>
    <hyperlink ref="G57" r:id="rId54"/>
    <hyperlink ref="G58" r:id="rId55"/>
    <hyperlink ref="G59" r:id="rId56"/>
    <hyperlink ref="G60" r:id="rId57"/>
    <hyperlink ref="G61" r:id="rId58"/>
    <hyperlink ref="G62" r:id="rId59"/>
    <hyperlink ref="G63" r:id="rId60"/>
    <hyperlink ref="G64" r:id="rId61"/>
    <hyperlink ref="G65"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2" r:id="rId88"/>
    <hyperlink ref="G93" r:id="rId89"/>
    <hyperlink ref="G94" r:id="rId90"/>
    <hyperlink ref="G95" r:id="rId91"/>
    <hyperlink ref="G96" r:id="rId92"/>
    <hyperlink ref="G97" r:id="rId93"/>
    <hyperlink ref="G98" r:id="rId94"/>
    <hyperlink ref="G99" r:id="rId95"/>
    <hyperlink ref="G100" r:id="rId96"/>
    <hyperlink ref="G102" r:id="rId97"/>
    <hyperlink ref="G103" r:id="rId98"/>
    <hyperlink ref="G104" r:id="rId99"/>
    <hyperlink ref="G105" r:id="rId100"/>
    <hyperlink ref="G106" r:id="rId101"/>
    <hyperlink ref="G107" r:id="rId102"/>
    <hyperlink ref="G108" r:id="rId103"/>
    <hyperlink ref="G109" r:id="rId104"/>
    <hyperlink ref="G110" r:id="rId105"/>
    <hyperlink ref="G111" r:id="rId106"/>
    <hyperlink ref="G112" r:id="rId107"/>
    <hyperlink ref="G114" r:id="rId108"/>
    <hyperlink ref="G115" r:id="rId109"/>
    <hyperlink ref="G116" r:id="rId110"/>
    <hyperlink ref="G117" r:id="rId111"/>
    <hyperlink ref="G118" r:id="rId112"/>
    <hyperlink ref="G119" r:id="rId113"/>
    <hyperlink ref="G120" r:id="rId114"/>
    <hyperlink ref="G121" r:id="rId115"/>
    <hyperlink ref="G122" r:id="rId116"/>
    <hyperlink ref="G123" r:id="rId117"/>
    <hyperlink ref="G124" r:id="rId118"/>
    <hyperlink ref="G125" r:id="rId119"/>
    <hyperlink ref="G126" r:id="rId120"/>
    <hyperlink ref="G127" r:id="rId121"/>
    <hyperlink ref="G128" r:id="rId122"/>
    <hyperlink ref="G130" r:id="rId123"/>
    <hyperlink ref="G131" r:id="rId124"/>
    <hyperlink ref="G132" r:id="rId125"/>
    <hyperlink ref="G133" r:id="rId126"/>
    <hyperlink ref="G134" r:id="rId127"/>
    <hyperlink ref="G135" r:id="rId128"/>
    <hyperlink ref="G136" r:id="rId129"/>
    <hyperlink ref="G137" r:id="rId130"/>
    <hyperlink ref="G139" r:id="rId131"/>
    <hyperlink ref="G140" r:id="rId132"/>
    <hyperlink ref="G141" r:id="rId133"/>
    <hyperlink ref="G142" r:id="rId134"/>
    <hyperlink ref="G143" r:id="rId135"/>
    <hyperlink ref="G144" r:id="rId136"/>
    <hyperlink ref="G145" r:id="rId137"/>
    <hyperlink ref="G146" r:id="rId138"/>
    <hyperlink ref="G147" r:id="rId139"/>
    <hyperlink ref="G148" r:id="rId140"/>
    <hyperlink ref="G149" r:id="rId141"/>
    <hyperlink ref="G150" r:id="rId142"/>
    <hyperlink ref="G151" r:id="rId143"/>
    <hyperlink ref="G152" r:id="rId144"/>
    <hyperlink ref="G153" r:id="rId145"/>
    <hyperlink ref="G154" r:id="rId146"/>
    <hyperlink ref="G155" r:id="rId147"/>
    <hyperlink ref="G156" r:id="rId148"/>
    <hyperlink ref="G157" r:id="rId149"/>
    <hyperlink ref="G158" r:id="rId150"/>
    <hyperlink ref="G159" r:id="rId151"/>
    <hyperlink ref="G160" r:id="rId152"/>
    <hyperlink ref="G161" r:id="rId153"/>
    <hyperlink ref="G162" r:id="rId154"/>
    <hyperlink ref="G163" r:id="rId155"/>
    <hyperlink ref="G164" r:id="rId156"/>
    <hyperlink ref="G165" r:id="rId157"/>
    <hyperlink ref="G166" r:id="rId158"/>
    <hyperlink ref="G167" r:id="rId159"/>
    <hyperlink ref="G168" r:id="rId160"/>
    <hyperlink ref="G169" r:id="rId161"/>
    <hyperlink ref="G170" r:id="rId162"/>
    <hyperlink ref="G171" r:id="rId163"/>
    <hyperlink ref="G172" r:id="rId164"/>
    <hyperlink ref="G173" r:id="rId165"/>
    <hyperlink ref="G174" r:id="rId166"/>
    <hyperlink ref="G175" r:id="rId167"/>
    <hyperlink ref="G176" r:id="rId168"/>
    <hyperlink ref="G177" r:id="rId169"/>
    <hyperlink ref="G178" r:id="rId170"/>
    <hyperlink ref="G179" r:id="rId171"/>
    <hyperlink ref="G180" r:id="rId172"/>
    <hyperlink ref="G181" r:id="rId173"/>
    <hyperlink ref="G182" r:id="rId174"/>
    <hyperlink ref="G183" r:id="rId175"/>
    <hyperlink ref="G184" r:id="rId176"/>
    <hyperlink ref="G185" r:id="rId177"/>
    <hyperlink ref="G186" r:id="rId178"/>
    <hyperlink ref="G187" r:id="rId179"/>
    <hyperlink ref="G188" r:id="rId180"/>
    <hyperlink ref="G189" r:id="rId181"/>
    <hyperlink ref="G190" r:id="rId182"/>
    <hyperlink ref="G191" r:id="rId183"/>
    <hyperlink ref="G192" r:id="rId184"/>
    <hyperlink ref="G193" r:id="rId185"/>
    <hyperlink ref="G194" r:id="rId186"/>
    <hyperlink ref="G195" r:id="rId187"/>
    <hyperlink ref="G196" r:id="rId188"/>
    <hyperlink ref="G197" r:id="rId189"/>
    <hyperlink ref="G198" r:id="rId190"/>
    <hyperlink ref="G199" r:id="rId191"/>
    <hyperlink ref="G200" r:id="rId192"/>
    <hyperlink ref="G201" r:id="rId193"/>
    <hyperlink ref="G202" r:id="rId194"/>
    <hyperlink ref="G203" r:id="rId195"/>
    <hyperlink ref="G204" r:id="rId196"/>
    <hyperlink ref="G205" r:id="rId197"/>
    <hyperlink ref="G206" r:id="rId198"/>
    <hyperlink ref="G207" r:id="rId199"/>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5" x14ac:dyDescent="0.2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x14ac:dyDescent="0.25">
      <c r="A1" s="217" t="s">
        <v>1700</v>
      </c>
      <c r="B1" s="152"/>
      <c r="C1" s="152"/>
      <c r="D1" s="152"/>
      <c r="E1" s="152"/>
      <c r="F1" s="216" t="str">
        <f>"🔧 "&amp;COUNTIFS(B4:B504,"&lt;&gt;",F4:F504,"Re-Installed")&amp;" / "&amp;COUNTIF(B4:B504,"&lt;&gt;")&amp;" Re-Installed ("&amp;TEXT(IFERROR(COUNTIFS(B4:B504,"&lt;&gt;",F4:F504,"Re-Installed")/COUNTIF(B4:B504,"&lt;&gt;"),0),"0%")&amp;")"</f>
        <v>🔧 0 / 0 Re-Installed (0%)</v>
      </c>
      <c r="G1" s="152"/>
      <c r="H1" s="152"/>
      <c r="I1" s="152"/>
      <c r="J1" s="152"/>
    </row>
    <row r="2" spans="1:10" ht="19.899999999999999" customHeight="1" x14ac:dyDescent="0.25">
      <c r="A2" s="218" t="s">
        <v>1701</v>
      </c>
      <c r="B2" s="152"/>
      <c r="C2" s="152"/>
      <c r="D2" s="152"/>
      <c r="E2" s="152"/>
      <c r="F2" s="219" t="str">
        <f>"⚠️ Still Open: "&amp;COUNTIFS(B4:B504,"&lt;&gt;",F4:F504,"Open")</f>
        <v>⚠️ Still Open: 0</v>
      </c>
      <c r="G2" s="152"/>
      <c r="H2" s="152"/>
      <c r="I2" s="152"/>
      <c r="J2" s="152"/>
    </row>
    <row r="3" spans="1:10" ht="31.5" customHeight="1" x14ac:dyDescent="0.25">
      <c r="A3" s="49" t="s">
        <v>3</v>
      </c>
      <c r="B3" s="49" t="s">
        <v>1702</v>
      </c>
      <c r="C3" s="49" t="s">
        <v>11</v>
      </c>
      <c r="D3" s="49" t="s">
        <v>1703</v>
      </c>
      <c r="E3" s="49" t="s">
        <v>1704</v>
      </c>
      <c r="F3" s="49" t="s">
        <v>5</v>
      </c>
      <c r="G3" s="49" t="s">
        <v>1705</v>
      </c>
      <c r="H3" s="49" t="s">
        <v>1706</v>
      </c>
      <c r="I3" s="49" t="s">
        <v>1707</v>
      </c>
      <c r="J3" s="49" t="s">
        <v>9</v>
      </c>
    </row>
    <row r="4" spans="1:10" ht="15.6" customHeight="1" x14ac:dyDescent="0.25">
      <c r="A4" s="4"/>
      <c r="B4" s="5"/>
      <c r="C4" s="6"/>
      <c r="D4" s="6"/>
      <c r="E4" s="5"/>
      <c r="F4" s="6"/>
      <c r="G4" s="7"/>
      <c r="H4" s="5"/>
      <c r="I4" s="7"/>
      <c r="J4" s="5"/>
    </row>
    <row r="5" spans="1:10" ht="15.6" customHeight="1" x14ac:dyDescent="0.25">
      <c r="A5" s="4"/>
      <c r="B5" s="5"/>
      <c r="C5" s="6"/>
      <c r="D5" s="6"/>
      <c r="E5" s="5"/>
      <c r="F5" s="6"/>
      <c r="G5" s="7"/>
      <c r="H5" s="5"/>
      <c r="I5" s="7"/>
      <c r="J5" s="5"/>
    </row>
    <row r="6" spans="1:10" ht="15.6" customHeight="1" x14ac:dyDescent="0.25">
      <c r="A6" s="4"/>
      <c r="B6" s="5"/>
      <c r="C6" s="6"/>
      <c r="D6" s="6"/>
      <c r="E6" s="5"/>
      <c r="F6" s="6"/>
      <c r="G6" s="7"/>
      <c r="H6" s="5"/>
      <c r="I6" s="7"/>
      <c r="J6" s="5"/>
    </row>
    <row r="7" spans="1:10" ht="15.6" customHeight="1" x14ac:dyDescent="0.25">
      <c r="A7" s="4"/>
      <c r="B7" s="5"/>
      <c r="C7" s="6"/>
      <c r="D7" s="6"/>
      <c r="E7" s="5"/>
      <c r="F7" s="6"/>
      <c r="G7" s="7"/>
      <c r="H7" s="5"/>
      <c r="I7" s="7"/>
      <c r="J7" s="5"/>
    </row>
    <row r="8" spans="1:10" ht="15.6" customHeight="1" x14ac:dyDescent="0.25">
      <c r="A8" s="4" t="str">
        <f t="shared" ref="A8:A37" si="0">IF(B8&lt;&gt;"",ROW()-3,"")</f>
        <v/>
      </c>
      <c r="B8" s="5"/>
      <c r="C8" s="6"/>
      <c r="D8" s="6"/>
      <c r="E8" s="5"/>
      <c r="F8" s="6"/>
      <c r="G8" s="7"/>
      <c r="H8" s="5"/>
      <c r="I8" s="7"/>
      <c r="J8" s="5"/>
    </row>
    <row r="9" spans="1:10" ht="15.6" customHeight="1" x14ac:dyDescent="0.25">
      <c r="A9" s="4" t="str">
        <f t="shared" si="0"/>
        <v/>
      </c>
      <c r="B9" s="5"/>
      <c r="C9" s="6"/>
      <c r="D9" s="6"/>
      <c r="E9" s="5"/>
      <c r="F9" s="6"/>
      <c r="G9" s="7"/>
      <c r="H9" s="5"/>
      <c r="I9" s="7"/>
      <c r="J9" s="5"/>
    </row>
    <row r="10" spans="1:10" ht="15.6" customHeight="1" x14ac:dyDescent="0.25">
      <c r="A10" s="4" t="str">
        <f t="shared" si="0"/>
        <v/>
      </c>
      <c r="B10" s="5"/>
      <c r="C10" s="6"/>
      <c r="D10" s="6"/>
      <c r="E10" s="5"/>
      <c r="F10" s="6"/>
      <c r="G10" s="7"/>
      <c r="H10" s="5"/>
      <c r="I10" s="7"/>
      <c r="J10" s="5"/>
    </row>
    <row r="11" spans="1:10" ht="15.6" customHeight="1" x14ac:dyDescent="0.25">
      <c r="A11" s="4" t="str">
        <f t="shared" si="0"/>
        <v/>
      </c>
      <c r="B11" s="5"/>
      <c r="C11" s="6"/>
      <c r="D11" s="6"/>
      <c r="E11" s="5"/>
      <c r="F11" s="6"/>
      <c r="G11" s="7"/>
      <c r="H11" s="5"/>
      <c r="I11" s="7"/>
      <c r="J11" s="5"/>
    </row>
    <row r="12" spans="1:10" ht="15.6" customHeight="1" x14ac:dyDescent="0.25">
      <c r="A12" s="4" t="str">
        <f t="shared" si="0"/>
        <v/>
      </c>
      <c r="B12" s="5"/>
      <c r="C12" s="6"/>
      <c r="D12" s="6"/>
      <c r="E12" s="5"/>
      <c r="F12" s="6"/>
      <c r="G12" s="7"/>
      <c r="H12" s="5"/>
      <c r="I12" s="7"/>
      <c r="J12" s="5"/>
    </row>
    <row r="13" spans="1:10" ht="15.6" customHeight="1" x14ac:dyDescent="0.25">
      <c r="A13" s="4" t="str">
        <f t="shared" si="0"/>
        <v/>
      </c>
      <c r="B13" s="5"/>
      <c r="C13" s="6"/>
      <c r="D13" s="6"/>
      <c r="E13" s="5"/>
      <c r="F13" s="6"/>
      <c r="G13" s="7"/>
      <c r="H13" s="5"/>
      <c r="I13" s="7"/>
      <c r="J13" s="5"/>
    </row>
    <row r="14" spans="1:10" ht="15.6" customHeight="1" x14ac:dyDescent="0.25">
      <c r="A14" s="4" t="str">
        <f t="shared" si="0"/>
        <v/>
      </c>
      <c r="B14" s="5"/>
      <c r="C14" s="6"/>
      <c r="D14" s="6"/>
      <c r="E14" s="5"/>
      <c r="F14" s="6"/>
      <c r="G14" s="7"/>
      <c r="H14" s="5"/>
      <c r="I14" s="7"/>
      <c r="J14" s="5"/>
    </row>
    <row r="15" spans="1:10" ht="15.6" customHeight="1" x14ac:dyDescent="0.25">
      <c r="A15" s="4" t="str">
        <f t="shared" si="0"/>
        <v/>
      </c>
      <c r="B15" s="5"/>
      <c r="C15" s="6"/>
      <c r="D15" s="6"/>
      <c r="E15" s="5"/>
      <c r="F15" s="6"/>
      <c r="G15" s="7"/>
      <c r="H15" s="5"/>
      <c r="I15" s="7"/>
      <c r="J15" s="5"/>
    </row>
    <row r="16" spans="1:10" ht="15.6" customHeight="1" x14ac:dyDescent="0.25">
      <c r="A16" s="4" t="str">
        <f t="shared" si="0"/>
        <v/>
      </c>
      <c r="B16" s="5"/>
      <c r="C16" s="6"/>
      <c r="D16" s="6"/>
      <c r="E16" s="5"/>
      <c r="F16" s="6"/>
      <c r="G16" s="7"/>
      <c r="H16" s="5"/>
      <c r="I16" s="7"/>
      <c r="J16" s="5"/>
    </row>
    <row r="17" spans="1:10" ht="15.6" customHeight="1" x14ac:dyDescent="0.25">
      <c r="A17" s="4" t="str">
        <f t="shared" si="0"/>
        <v/>
      </c>
      <c r="B17" s="5"/>
      <c r="C17" s="6"/>
      <c r="D17" s="6"/>
      <c r="E17" s="5"/>
      <c r="F17" s="6"/>
      <c r="G17" s="7"/>
      <c r="H17" s="5"/>
      <c r="I17" s="7"/>
      <c r="J17" s="5"/>
    </row>
    <row r="18" spans="1:10" ht="15.6" customHeight="1" x14ac:dyDescent="0.25">
      <c r="A18" s="4" t="str">
        <f t="shared" si="0"/>
        <v/>
      </c>
      <c r="B18" s="5"/>
      <c r="C18" s="6"/>
      <c r="D18" s="6"/>
      <c r="E18" s="5"/>
      <c r="F18" s="6"/>
      <c r="G18" s="7"/>
      <c r="H18" s="5"/>
      <c r="I18" s="7"/>
      <c r="J18" s="5"/>
    </row>
    <row r="19" spans="1:10" ht="15.6" customHeight="1" x14ac:dyDescent="0.25">
      <c r="A19" s="4" t="str">
        <f t="shared" si="0"/>
        <v/>
      </c>
      <c r="B19" s="5"/>
      <c r="C19" s="6"/>
      <c r="D19" s="6"/>
      <c r="E19" s="5"/>
      <c r="F19" s="6"/>
      <c r="G19" s="7"/>
      <c r="H19" s="5"/>
      <c r="I19" s="7"/>
      <c r="J19" s="5"/>
    </row>
    <row r="20" spans="1:10" ht="15.6" customHeight="1" x14ac:dyDescent="0.25">
      <c r="A20" s="4" t="str">
        <f t="shared" si="0"/>
        <v/>
      </c>
      <c r="B20" s="5"/>
      <c r="C20" s="6"/>
      <c r="D20" s="6"/>
      <c r="E20" s="5"/>
      <c r="F20" s="6"/>
      <c r="G20" s="7"/>
      <c r="H20" s="5"/>
      <c r="I20" s="7"/>
      <c r="J20" s="5"/>
    </row>
    <row r="21" spans="1:10" ht="15.6" customHeight="1" x14ac:dyDescent="0.25">
      <c r="A21" s="4" t="str">
        <f t="shared" si="0"/>
        <v/>
      </c>
      <c r="B21" s="5"/>
      <c r="C21" s="6"/>
      <c r="D21" s="6"/>
      <c r="E21" s="5"/>
      <c r="F21" s="6"/>
      <c r="G21" s="7"/>
      <c r="H21" s="5"/>
      <c r="I21" s="7"/>
      <c r="J21" s="5"/>
    </row>
    <row r="22" spans="1:10" ht="15.6" customHeight="1" x14ac:dyDescent="0.25">
      <c r="A22" s="4" t="str">
        <f t="shared" si="0"/>
        <v/>
      </c>
      <c r="B22" s="5"/>
      <c r="C22" s="6"/>
      <c r="D22" s="6"/>
      <c r="E22" s="5"/>
      <c r="F22" s="6"/>
      <c r="G22" s="7"/>
      <c r="H22" s="5"/>
      <c r="I22" s="7"/>
      <c r="J22" s="5"/>
    </row>
    <row r="23" spans="1:10" ht="15.6" customHeight="1" x14ac:dyDescent="0.25">
      <c r="A23" s="4" t="str">
        <f t="shared" si="0"/>
        <v/>
      </c>
      <c r="B23" s="5"/>
      <c r="C23" s="6"/>
      <c r="D23" s="6"/>
      <c r="E23" s="5"/>
      <c r="F23" s="6"/>
      <c r="G23" s="7"/>
      <c r="H23" s="5"/>
      <c r="I23" s="7"/>
      <c r="J23" s="5"/>
    </row>
    <row r="24" spans="1:10" ht="15.6" customHeight="1" x14ac:dyDescent="0.25">
      <c r="A24" s="4" t="str">
        <f t="shared" si="0"/>
        <v/>
      </c>
      <c r="B24" s="5"/>
      <c r="C24" s="6"/>
      <c r="D24" s="6"/>
      <c r="E24" s="5"/>
      <c r="F24" s="6"/>
      <c r="G24" s="7"/>
      <c r="H24" s="5"/>
      <c r="I24" s="7"/>
      <c r="J24" s="5"/>
    </row>
    <row r="25" spans="1:10" ht="15.6" customHeight="1" x14ac:dyDescent="0.25">
      <c r="A25" s="4" t="str">
        <f t="shared" si="0"/>
        <v/>
      </c>
      <c r="B25" s="5"/>
      <c r="C25" s="6"/>
      <c r="D25" s="6"/>
      <c r="E25" s="5"/>
      <c r="F25" s="6"/>
      <c r="G25" s="7"/>
      <c r="H25" s="5"/>
      <c r="I25" s="7"/>
      <c r="J25" s="5"/>
    </row>
    <row r="26" spans="1:10" ht="15.6" customHeight="1" x14ac:dyDescent="0.25">
      <c r="A26" s="4" t="str">
        <f t="shared" si="0"/>
        <v/>
      </c>
      <c r="B26" s="5"/>
      <c r="C26" s="6"/>
      <c r="D26" s="6"/>
      <c r="E26" s="5"/>
      <c r="F26" s="6"/>
      <c r="G26" s="7"/>
      <c r="H26" s="5"/>
      <c r="I26" s="7"/>
      <c r="J26" s="5"/>
    </row>
    <row r="27" spans="1:10" ht="15.6" customHeight="1" x14ac:dyDescent="0.25">
      <c r="A27" s="4" t="str">
        <f t="shared" si="0"/>
        <v/>
      </c>
      <c r="B27" s="5"/>
      <c r="C27" s="6"/>
      <c r="D27" s="6"/>
      <c r="E27" s="5"/>
      <c r="F27" s="6"/>
      <c r="G27" s="7"/>
      <c r="H27" s="5"/>
      <c r="I27" s="7"/>
      <c r="J27" s="5"/>
    </row>
    <row r="28" spans="1:10" ht="15.6" customHeight="1" x14ac:dyDescent="0.25">
      <c r="A28" s="4" t="str">
        <f t="shared" si="0"/>
        <v/>
      </c>
      <c r="B28" s="5"/>
      <c r="C28" s="6"/>
      <c r="D28" s="6"/>
      <c r="E28" s="5"/>
      <c r="F28" s="6"/>
      <c r="G28" s="7"/>
      <c r="H28" s="5"/>
      <c r="I28" s="7"/>
      <c r="J28" s="5"/>
    </row>
    <row r="29" spans="1:10" ht="15.6" customHeight="1" x14ac:dyDescent="0.25">
      <c r="A29" s="4" t="str">
        <f t="shared" si="0"/>
        <v/>
      </c>
      <c r="B29" s="5"/>
      <c r="C29" s="6"/>
      <c r="D29" s="6"/>
      <c r="E29" s="5"/>
      <c r="F29" s="6"/>
      <c r="G29" s="7"/>
      <c r="H29" s="5"/>
      <c r="I29" s="7"/>
      <c r="J29" s="5"/>
    </row>
    <row r="30" spans="1:10" ht="15.6" customHeight="1" x14ac:dyDescent="0.25">
      <c r="A30" s="4" t="str">
        <f t="shared" si="0"/>
        <v/>
      </c>
      <c r="B30" s="5"/>
      <c r="C30" s="6"/>
      <c r="D30" s="6"/>
      <c r="E30" s="5"/>
      <c r="F30" s="6"/>
      <c r="G30" s="7"/>
      <c r="H30" s="5"/>
      <c r="I30" s="7"/>
      <c r="J30" s="5"/>
    </row>
    <row r="31" spans="1:10" ht="15.6" customHeight="1" x14ac:dyDescent="0.25">
      <c r="A31" s="4" t="str">
        <f t="shared" si="0"/>
        <v/>
      </c>
      <c r="B31" s="5"/>
      <c r="C31" s="6"/>
      <c r="D31" s="6"/>
      <c r="E31" s="5"/>
      <c r="F31" s="6"/>
      <c r="G31" s="7"/>
      <c r="H31" s="5"/>
      <c r="I31" s="7"/>
      <c r="J31" s="5"/>
    </row>
    <row r="32" spans="1:10" ht="15.6" customHeight="1" x14ac:dyDescent="0.25">
      <c r="A32" s="4" t="str">
        <f t="shared" si="0"/>
        <v/>
      </c>
      <c r="B32" s="5"/>
      <c r="C32" s="6"/>
      <c r="D32" s="6"/>
      <c r="E32" s="5"/>
      <c r="F32" s="6"/>
      <c r="G32" s="7"/>
      <c r="H32" s="5"/>
      <c r="I32" s="7"/>
      <c r="J32" s="5"/>
    </row>
    <row r="33" spans="1:10" ht="15.6" customHeight="1" x14ac:dyDescent="0.25">
      <c r="A33" s="4" t="str">
        <f t="shared" si="0"/>
        <v/>
      </c>
      <c r="B33" s="5"/>
      <c r="C33" s="6"/>
      <c r="D33" s="6"/>
      <c r="E33" s="5"/>
      <c r="F33" s="6"/>
      <c r="G33" s="7"/>
      <c r="H33" s="5"/>
      <c r="I33" s="7"/>
      <c r="J33" s="5"/>
    </row>
    <row r="34" spans="1:10" ht="15.6" customHeight="1" x14ac:dyDescent="0.25">
      <c r="A34" s="4" t="str">
        <f t="shared" si="0"/>
        <v/>
      </c>
      <c r="B34" s="5"/>
      <c r="C34" s="6"/>
      <c r="D34" s="6"/>
      <c r="E34" s="5"/>
      <c r="F34" s="6"/>
      <c r="G34" s="7"/>
      <c r="H34" s="5"/>
      <c r="I34" s="7"/>
      <c r="J34" s="5"/>
    </row>
    <row r="35" spans="1:10" ht="15.6" customHeight="1" x14ac:dyDescent="0.25">
      <c r="A35" s="4" t="str">
        <f t="shared" si="0"/>
        <v/>
      </c>
      <c r="B35" s="5"/>
      <c r="C35" s="6"/>
      <c r="D35" s="6"/>
      <c r="E35" s="5"/>
      <c r="F35" s="6"/>
      <c r="G35" s="7"/>
      <c r="H35" s="5"/>
      <c r="I35" s="7"/>
      <c r="J35" s="5"/>
    </row>
    <row r="36" spans="1:10" ht="15.6" customHeight="1" x14ac:dyDescent="0.25">
      <c r="A36" s="4" t="str">
        <f t="shared" si="0"/>
        <v/>
      </c>
      <c r="B36" s="5"/>
      <c r="C36" s="6"/>
      <c r="D36" s="6"/>
      <c r="E36" s="5"/>
      <c r="F36" s="6"/>
      <c r="G36" s="7"/>
      <c r="H36" s="5"/>
      <c r="I36" s="7"/>
      <c r="J36" s="5"/>
    </row>
    <row r="37" spans="1:10" ht="15.6" customHeight="1" x14ac:dyDescent="0.25">
      <c r="A37" s="4" t="str">
        <f t="shared" si="0"/>
        <v/>
      </c>
      <c r="B37" s="5"/>
      <c r="C37" s="6"/>
      <c r="D37" s="6"/>
      <c r="E37" s="5"/>
      <c r="F37" s="6"/>
      <c r="G37" s="7"/>
      <c r="H37" s="5"/>
      <c r="I37" s="7"/>
      <c r="J37" s="5"/>
    </row>
    <row r="38" spans="1:10" ht="15.6" customHeight="1" x14ac:dyDescent="0.25">
      <c r="A38" s="4"/>
      <c r="B38" s="5"/>
      <c r="C38" s="6"/>
      <c r="D38" s="6"/>
      <c r="E38" s="5"/>
      <c r="F38" s="6"/>
      <c r="G38" s="7"/>
      <c r="H38" s="5"/>
      <c r="I38" s="7"/>
      <c r="J38" s="5"/>
    </row>
    <row r="39" spans="1:10" ht="15.6" customHeight="1" x14ac:dyDescent="0.25">
      <c r="A39" s="4" t="str">
        <f t="shared" ref="A39:A102" si="1">IF(B39&lt;&gt;"",ROW()-3,"")</f>
        <v/>
      </c>
      <c r="B39" s="5"/>
      <c r="C39" s="6"/>
      <c r="D39" s="6"/>
      <c r="E39" s="5"/>
      <c r="F39" s="6"/>
      <c r="G39" s="7"/>
      <c r="H39" s="5"/>
      <c r="I39" s="7"/>
      <c r="J39" s="5"/>
    </row>
    <row r="40" spans="1:10" ht="15.6" customHeight="1" x14ac:dyDescent="0.25">
      <c r="A40" s="4" t="str">
        <f t="shared" si="1"/>
        <v/>
      </c>
      <c r="B40" s="5"/>
      <c r="C40" s="6"/>
      <c r="D40" s="6"/>
      <c r="E40" s="5"/>
      <c r="F40" s="6"/>
      <c r="G40" s="7"/>
      <c r="H40" s="5"/>
      <c r="I40" s="7"/>
      <c r="J40" s="5"/>
    </row>
    <row r="41" spans="1:10" ht="15.6" customHeight="1" x14ac:dyDescent="0.25">
      <c r="A41" s="4" t="str">
        <f t="shared" si="1"/>
        <v/>
      </c>
      <c r="B41" s="5"/>
      <c r="C41" s="6"/>
      <c r="D41" s="6"/>
      <c r="E41" s="5"/>
      <c r="F41" s="6"/>
      <c r="G41" s="7"/>
      <c r="H41" s="5"/>
      <c r="I41" s="7"/>
      <c r="J41" s="5"/>
    </row>
    <row r="42" spans="1:10" ht="15.6" customHeight="1" x14ac:dyDescent="0.25">
      <c r="A42" s="4" t="str">
        <f t="shared" si="1"/>
        <v/>
      </c>
      <c r="B42" s="5"/>
      <c r="C42" s="6"/>
      <c r="D42" s="6"/>
      <c r="E42" s="5"/>
      <c r="F42" s="6"/>
      <c r="G42" s="7"/>
      <c r="H42" s="5"/>
      <c r="I42" s="7"/>
      <c r="J42" s="5"/>
    </row>
    <row r="43" spans="1:10" ht="15.6" customHeight="1" x14ac:dyDescent="0.25">
      <c r="A43" s="4" t="str">
        <f t="shared" si="1"/>
        <v/>
      </c>
      <c r="B43" s="5"/>
      <c r="C43" s="6"/>
      <c r="D43" s="6"/>
      <c r="E43" s="5"/>
      <c r="F43" s="6"/>
      <c r="G43" s="7"/>
      <c r="H43" s="5"/>
      <c r="I43" s="7"/>
      <c r="J43" s="5"/>
    </row>
    <row r="44" spans="1:10" ht="15.6" customHeight="1" x14ac:dyDescent="0.25">
      <c r="A44" s="4" t="str">
        <f t="shared" si="1"/>
        <v/>
      </c>
      <c r="B44" s="5"/>
      <c r="C44" s="6"/>
      <c r="D44" s="6"/>
      <c r="E44" s="5"/>
      <c r="F44" s="6"/>
      <c r="G44" s="7"/>
      <c r="H44" s="5"/>
      <c r="I44" s="7"/>
      <c r="J44" s="5"/>
    </row>
    <row r="45" spans="1:10" ht="15.6" customHeight="1" x14ac:dyDescent="0.25">
      <c r="A45" s="4" t="str">
        <f t="shared" si="1"/>
        <v/>
      </c>
      <c r="B45" s="5"/>
      <c r="C45" s="6"/>
      <c r="D45" s="6"/>
      <c r="E45" s="5"/>
      <c r="F45" s="6"/>
      <c r="G45" s="7"/>
      <c r="H45" s="5"/>
      <c r="I45" s="7"/>
      <c r="J45" s="5"/>
    </row>
    <row r="46" spans="1:10" ht="15.6" customHeight="1" x14ac:dyDescent="0.25">
      <c r="A46" s="4" t="str">
        <f t="shared" si="1"/>
        <v/>
      </c>
      <c r="B46" s="5"/>
      <c r="C46" s="6"/>
      <c r="D46" s="6"/>
      <c r="E46" s="5"/>
      <c r="F46" s="6"/>
      <c r="G46" s="7"/>
      <c r="H46" s="5"/>
      <c r="I46" s="7"/>
      <c r="J46" s="5"/>
    </row>
    <row r="47" spans="1:10" ht="15.6" customHeight="1" x14ac:dyDescent="0.25">
      <c r="A47" s="4" t="str">
        <f t="shared" si="1"/>
        <v/>
      </c>
      <c r="B47" s="5"/>
      <c r="C47" s="6"/>
      <c r="D47" s="6"/>
      <c r="E47" s="5"/>
      <c r="F47" s="6"/>
      <c r="G47" s="7"/>
      <c r="H47" s="5"/>
      <c r="I47" s="7"/>
      <c r="J47" s="5"/>
    </row>
    <row r="48" spans="1:10" ht="15.6" customHeight="1" x14ac:dyDescent="0.25">
      <c r="A48" s="4" t="str">
        <f t="shared" si="1"/>
        <v/>
      </c>
      <c r="B48" s="5"/>
      <c r="C48" s="6"/>
      <c r="D48" s="6"/>
      <c r="E48" s="5"/>
      <c r="F48" s="6"/>
      <c r="G48" s="7"/>
      <c r="H48" s="5"/>
      <c r="I48" s="7"/>
      <c r="J48" s="5"/>
    </row>
    <row r="49" spans="1:10" ht="15.6" customHeight="1" x14ac:dyDescent="0.25">
      <c r="A49" s="4" t="str">
        <f t="shared" si="1"/>
        <v/>
      </c>
      <c r="B49" s="5"/>
      <c r="C49" s="6"/>
      <c r="D49" s="6"/>
      <c r="E49" s="5"/>
      <c r="F49" s="6"/>
      <c r="G49" s="7"/>
      <c r="H49" s="5"/>
      <c r="I49" s="7"/>
      <c r="J49" s="5"/>
    </row>
    <row r="50" spans="1:10" ht="15.6" customHeight="1" x14ac:dyDescent="0.25">
      <c r="A50" s="4" t="str">
        <f t="shared" si="1"/>
        <v/>
      </c>
      <c r="B50" s="5"/>
      <c r="C50" s="6"/>
      <c r="D50" s="6"/>
      <c r="E50" s="5"/>
      <c r="F50" s="6"/>
      <c r="G50" s="7"/>
      <c r="H50" s="5"/>
      <c r="I50" s="7"/>
      <c r="J50" s="5"/>
    </row>
    <row r="51" spans="1:10" ht="15.6" customHeight="1" x14ac:dyDescent="0.25">
      <c r="A51" s="4" t="str">
        <f t="shared" si="1"/>
        <v/>
      </c>
      <c r="B51" s="5"/>
      <c r="C51" s="6"/>
      <c r="D51" s="6"/>
      <c r="E51" s="5"/>
      <c r="F51" s="6"/>
      <c r="G51" s="7"/>
      <c r="H51" s="5"/>
      <c r="I51" s="7"/>
      <c r="J51" s="5"/>
    </row>
    <row r="52" spans="1:10" ht="15.6" customHeight="1" x14ac:dyDescent="0.25">
      <c r="A52" s="4" t="str">
        <f t="shared" si="1"/>
        <v/>
      </c>
      <c r="B52" s="5"/>
      <c r="C52" s="6"/>
      <c r="D52" s="6"/>
      <c r="E52" s="5"/>
      <c r="F52" s="6"/>
      <c r="G52" s="7"/>
      <c r="H52" s="5"/>
      <c r="I52" s="7"/>
      <c r="J52" s="5"/>
    </row>
    <row r="53" spans="1:10" ht="15.6" customHeight="1" x14ac:dyDescent="0.25">
      <c r="A53" s="4" t="str">
        <f t="shared" si="1"/>
        <v/>
      </c>
      <c r="B53" s="5"/>
      <c r="C53" s="6"/>
      <c r="D53" s="6"/>
      <c r="E53" s="5"/>
      <c r="F53" s="6"/>
      <c r="G53" s="7"/>
      <c r="H53" s="5"/>
      <c r="I53" s="7"/>
      <c r="J53" s="5"/>
    </row>
    <row r="54" spans="1:10" ht="15.6" customHeight="1" x14ac:dyDescent="0.25">
      <c r="A54" s="4" t="str">
        <f t="shared" si="1"/>
        <v/>
      </c>
      <c r="B54" s="5"/>
      <c r="C54" s="6"/>
      <c r="D54" s="6"/>
      <c r="E54" s="5"/>
      <c r="F54" s="6"/>
      <c r="G54" s="7"/>
      <c r="H54" s="5"/>
      <c r="I54" s="7"/>
      <c r="J54" s="5"/>
    </row>
    <row r="55" spans="1:10" ht="15.6" customHeight="1" x14ac:dyDescent="0.25">
      <c r="A55" s="4" t="str">
        <f t="shared" si="1"/>
        <v/>
      </c>
      <c r="B55" s="5"/>
      <c r="C55" s="6"/>
      <c r="D55" s="6"/>
      <c r="E55" s="5"/>
      <c r="F55" s="6"/>
      <c r="G55" s="7"/>
      <c r="H55" s="5"/>
      <c r="I55" s="7"/>
      <c r="J55" s="5"/>
    </row>
    <row r="56" spans="1:10" ht="15.6" customHeight="1" x14ac:dyDescent="0.25">
      <c r="A56" s="4" t="str">
        <f t="shared" si="1"/>
        <v/>
      </c>
      <c r="B56" s="5"/>
      <c r="C56" s="6"/>
      <c r="D56" s="6"/>
      <c r="E56" s="5"/>
      <c r="F56" s="6"/>
      <c r="G56" s="7"/>
      <c r="H56" s="5"/>
      <c r="I56" s="7"/>
      <c r="J56" s="5"/>
    </row>
    <row r="57" spans="1:10" ht="15.6" customHeight="1" x14ac:dyDescent="0.25">
      <c r="A57" s="4" t="str">
        <f t="shared" si="1"/>
        <v/>
      </c>
      <c r="B57" s="5"/>
      <c r="C57" s="6"/>
      <c r="D57" s="6"/>
      <c r="E57" s="5"/>
      <c r="F57" s="6"/>
      <c r="G57" s="7"/>
      <c r="H57" s="5"/>
      <c r="I57" s="7"/>
      <c r="J57" s="5"/>
    </row>
    <row r="58" spans="1:10" ht="15.6" customHeight="1" x14ac:dyDescent="0.25">
      <c r="A58" s="4" t="str">
        <f t="shared" si="1"/>
        <v/>
      </c>
      <c r="B58" s="5"/>
      <c r="C58" s="6"/>
      <c r="D58" s="6"/>
      <c r="E58" s="5"/>
      <c r="F58" s="6"/>
      <c r="G58" s="7"/>
      <c r="H58" s="5"/>
      <c r="I58" s="7"/>
      <c r="J58" s="5"/>
    </row>
    <row r="59" spans="1:10" ht="15.6" customHeight="1" x14ac:dyDescent="0.25">
      <c r="A59" s="4" t="str">
        <f t="shared" si="1"/>
        <v/>
      </c>
      <c r="B59" s="5"/>
      <c r="C59" s="6"/>
      <c r="D59" s="6"/>
      <c r="E59" s="5"/>
      <c r="F59" s="6"/>
      <c r="G59" s="7"/>
      <c r="H59" s="5"/>
      <c r="I59" s="7"/>
      <c r="J59" s="5"/>
    </row>
    <row r="60" spans="1:10" ht="15.6" customHeight="1" x14ac:dyDescent="0.25">
      <c r="A60" s="4" t="str">
        <f t="shared" si="1"/>
        <v/>
      </c>
      <c r="B60" s="5"/>
      <c r="C60" s="6"/>
      <c r="D60" s="6"/>
      <c r="E60" s="5"/>
      <c r="F60" s="6"/>
      <c r="G60" s="7"/>
      <c r="H60" s="5"/>
      <c r="I60" s="7"/>
      <c r="J60" s="5"/>
    </row>
    <row r="61" spans="1:10" ht="15.6" customHeight="1" x14ac:dyDescent="0.25">
      <c r="A61" s="4" t="str">
        <f t="shared" si="1"/>
        <v/>
      </c>
      <c r="B61" s="5"/>
      <c r="C61" s="6"/>
      <c r="D61" s="6"/>
      <c r="E61" s="5"/>
      <c r="F61" s="6"/>
      <c r="G61" s="7"/>
      <c r="H61" s="5"/>
      <c r="I61" s="7"/>
      <c r="J61" s="5"/>
    </row>
    <row r="62" spans="1:10" ht="15.6" customHeight="1" x14ac:dyDescent="0.25">
      <c r="A62" s="4" t="str">
        <f t="shared" si="1"/>
        <v/>
      </c>
      <c r="B62" s="5"/>
      <c r="C62" s="6"/>
      <c r="D62" s="6"/>
      <c r="E62" s="5"/>
      <c r="F62" s="6"/>
      <c r="G62" s="7"/>
      <c r="H62" s="5"/>
      <c r="I62" s="7"/>
      <c r="J62" s="5"/>
    </row>
    <row r="63" spans="1:10" ht="15.6" customHeight="1" x14ac:dyDescent="0.25">
      <c r="A63" s="4" t="str">
        <f t="shared" si="1"/>
        <v/>
      </c>
      <c r="B63" s="5"/>
      <c r="C63" s="6"/>
      <c r="D63" s="6"/>
      <c r="E63" s="5"/>
      <c r="F63" s="6"/>
      <c r="G63" s="7"/>
      <c r="H63" s="5"/>
      <c r="I63" s="7"/>
      <c r="J63" s="5"/>
    </row>
    <row r="64" spans="1:10" ht="15.6" customHeight="1" x14ac:dyDescent="0.25">
      <c r="A64" s="4" t="str">
        <f t="shared" si="1"/>
        <v/>
      </c>
      <c r="B64" s="5"/>
      <c r="C64" s="6"/>
      <c r="D64" s="6"/>
      <c r="E64" s="5"/>
      <c r="F64" s="6"/>
      <c r="G64" s="7"/>
      <c r="H64" s="5"/>
      <c r="I64" s="7"/>
      <c r="J64" s="5"/>
    </row>
    <row r="65" spans="1:10" ht="15.6" customHeight="1" x14ac:dyDescent="0.25">
      <c r="A65" s="4" t="str">
        <f t="shared" si="1"/>
        <v/>
      </c>
      <c r="B65" s="5"/>
      <c r="C65" s="6"/>
      <c r="D65" s="6"/>
      <c r="E65" s="5"/>
      <c r="F65" s="6"/>
      <c r="G65" s="7"/>
      <c r="H65" s="5"/>
      <c r="I65" s="7"/>
      <c r="J65" s="5"/>
    </row>
    <row r="66" spans="1:10" ht="15.6" customHeight="1" x14ac:dyDescent="0.25">
      <c r="A66" s="4" t="str">
        <f t="shared" si="1"/>
        <v/>
      </c>
      <c r="B66" s="5"/>
      <c r="C66" s="6"/>
      <c r="D66" s="6"/>
      <c r="E66" s="5"/>
      <c r="F66" s="6"/>
      <c r="G66" s="7"/>
      <c r="H66" s="5"/>
      <c r="I66" s="7"/>
      <c r="J66" s="5"/>
    </row>
    <row r="67" spans="1:10" ht="15.6" customHeight="1" x14ac:dyDescent="0.25">
      <c r="A67" s="4" t="str">
        <f t="shared" si="1"/>
        <v/>
      </c>
      <c r="B67" s="5"/>
      <c r="C67" s="6"/>
      <c r="D67" s="6"/>
      <c r="E67" s="5"/>
      <c r="F67" s="6"/>
      <c r="G67" s="7"/>
      <c r="H67" s="5"/>
      <c r="I67" s="7"/>
      <c r="J67" s="5"/>
    </row>
    <row r="68" spans="1:10" ht="15.6" customHeight="1" x14ac:dyDescent="0.25">
      <c r="A68" s="4" t="str">
        <f t="shared" si="1"/>
        <v/>
      </c>
      <c r="B68" s="5"/>
      <c r="C68" s="6"/>
      <c r="D68" s="6"/>
      <c r="E68" s="5"/>
      <c r="F68" s="6"/>
      <c r="G68" s="7"/>
      <c r="H68" s="5"/>
      <c r="I68" s="7"/>
      <c r="J68" s="5"/>
    </row>
    <row r="69" spans="1:10" ht="15.6" customHeight="1" x14ac:dyDescent="0.25">
      <c r="A69" s="4" t="str">
        <f t="shared" si="1"/>
        <v/>
      </c>
      <c r="B69" s="5"/>
      <c r="C69" s="6"/>
      <c r="D69" s="6"/>
      <c r="E69" s="5"/>
      <c r="F69" s="6"/>
      <c r="G69" s="7"/>
      <c r="H69" s="5"/>
      <c r="I69" s="7"/>
      <c r="J69" s="5"/>
    </row>
    <row r="70" spans="1:10" ht="15.6" customHeight="1" x14ac:dyDescent="0.25">
      <c r="A70" s="4" t="str">
        <f t="shared" si="1"/>
        <v/>
      </c>
      <c r="B70" s="5"/>
      <c r="C70" s="6"/>
      <c r="D70" s="6"/>
      <c r="E70" s="5"/>
      <c r="F70" s="6"/>
      <c r="G70" s="7"/>
      <c r="H70" s="5"/>
      <c r="I70" s="7"/>
      <c r="J70" s="5"/>
    </row>
    <row r="71" spans="1:10" ht="15.6" customHeight="1" x14ac:dyDescent="0.25">
      <c r="A71" s="4" t="str">
        <f t="shared" si="1"/>
        <v/>
      </c>
      <c r="B71" s="5"/>
      <c r="C71" s="6"/>
      <c r="D71" s="6"/>
      <c r="E71" s="5"/>
      <c r="F71" s="6"/>
      <c r="G71" s="7"/>
      <c r="H71" s="5"/>
      <c r="I71" s="7"/>
      <c r="J71" s="5"/>
    </row>
    <row r="72" spans="1:10" ht="15.6" customHeight="1" x14ac:dyDescent="0.25">
      <c r="A72" s="4" t="str">
        <f t="shared" si="1"/>
        <v/>
      </c>
      <c r="B72" s="5"/>
      <c r="C72" s="6"/>
      <c r="D72" s="6"/>
      <c r="E72" s="5"/>
      <c r="F72" s="6"/>
      <c r="G72" s="7"/>
      <c r="H72" s="5"/>
      <c r="I72" s="7"/>
      <c r="J72" s="5"/>
    </row>
    <row r="73" spans="1:10" ht="15.6" customHeight="1" x14ac:dyDescent="0.25">
      <c r="A73" s="4" t="str">
        <f t="shared" si="1"/>
        <v/>
      </c>
      <c r="B73" s="5"/>
      <c r="C73" s="6"/>
      <c r="D73" s="6"/>
      <c r="E73" s="5"/>
      <c r="F73" s="6"/>
      <c r="G73" s="7"/>
      <c r="H73" s="5"/>
      <c r="I73" s="7"/>
      <c r="J73" s="5"/>
    </row>
    <row r="74" spans="1:10" ht="15.6" customHeight="1" x14ac:dyDescent="0.25">
      <c r="A74" s="4" t="str">
        <f t="shared" si="1"/>
        <v/>
      </c>
      <c r="B74" s="5"/>
      <c r="C74" s="6"/>
      <c r="D74" s="6"/>
      <c r="E74" s="5"/>
      <c r="F74" s="6"/>
      <c r="G74" s="7"/>
      <c r="H74" s="5"/>
      <c r="I74" s="7"/>
      <c r="J74" s="5"/>
    </row>
    <row r="75" spans="1:10" ht="15.6" customHeight="1" x14ac:dyDescent="0.25">
      <c r="A75" s="4" t="str">
        <f t="shared" si="1"/>
        <v/>
      </c>
      <c r="B75" s="5"/>
      <c r="C75" s="6"/>
      <c r="D75" s="6"/>
      <c r="E75" s="5"/>
      <c r="F75" s="6"/>
      <c r="G75" s="7"/>
      <c r="H75" s="5"/>
      <c r="I75" s="7"/>
      <c r="J75" s="5"/>
    </row>
    <row r="76" spans="1:10" ht="15.6" customHeight="1" x14ac:dyDescent="0.25">
      <c r="A76" s="4" t="str">
        <f t="shared" si="1"/>
        <v/>
      </c>
      <c r="B76" s="5"/>
      <c r="C76" s="6"/>
      <c r="D76" s="6"/>
      <c r="E76" s="5"/>
      <c r="F76" s="6"/>
      <c r="G76" s="7"/>
      <c r="H76" s="5"/>
      <c r="I76" s="7"/>
      <c r="J76" s="5"/>
    </row>
    <row r="77" spans="1:10" ht="15.6" customHeight="1" x14ac:dyDescent="0.25">
      <c r="A77" s="4" t="str">
        <f t="shared" si="1"/>
        <v/>
      </c>
      <c r="B77" s="5"/>
      <c r="C77" s="6"/>
      <c r="D77" s="6"/>
      <c r="E77" s="5"/>
      <c r="F77" s="6"/>
      <c r="G77" s="7"/>
      <c r="H77" s="5"/>
      <c r="I77" s="7"/>
      <c r="J77" s="5"/>
    </row>
    <row r="78" spans="1:10" ht="15.6" customHeight="1" x14ac:dyDescent="0.25">
      <c r="A78" s="4" t="str">
        <f t="shared" si="1"/>
        <v/>
      </c>
      <c r="B78" s="5"/>
      <c r="C78" s="6"/>
      <c r="D78" s="6"/>
      <c r="E78" s="5"/>
      <c r="F78" s="6"/>
      <c r="G78" s="7"/>
      <c r="H78" s="5"/>
      <c r="I78" s="7"/>
      <c r="J78" s="5"/>
    </row>
    <row r="79" spans="1:10" ht="15.6" customHeight="1" x14ac:dyDescent="0.25">
      <c r="A79" s="4" t="str">
        <f t="shared" si="1"/>
        <v/>
      </c>
      <c r="B79" s="5"/>
      <c r="C79" s="6"/>
      <c r="D79" s="6"/>
      <c r="E79" s="5"/>
      <c r="F79" s="6"/>
      <c r="G79" s="7"/>
      <c r="H79" s="5"/>
      <c r="I79" s="7"/>
      <c r="J79" s="5"/>
    </row>
    <row r="80" spans="1:10" ht="15.6" customHeight="1" x14ac:dyDescent="0.25">
      <c r="A80" s="4" t="str">
        <f t="shared" si="1"/>
        <v/>
      </c>
      <c r="B80" s="5"/>
      <c r="C80" s="6"/>
      <c r="D80" s="6"/>
      <c r="E80" s="5"/>
      <c r="F80" s="6"/>
      <c r="G80" s="7"/>
      <c r="H80" s="5"/>
      <c r="I80" s="7"/>
      <c r="J80" s="5"/>
    </row>
    <row r="81" spans="1:10" ht="15.6" customHeight="1" x14ac:dyDescent="0.25">
      <c r="A81" s="4" t="str">
        <f t="shared" si="1"/>
        <v/>
      </c>
      <c r="B81" s="5"/>
      <c r="C81" s="6"/>
      <c r="D81" s="6"/>
      <c r="E81" s="5"/>
      <c r="F81" s="6"/>
      <c r="G81" s="7"/>
      <c r="H81" s="5"/>
      <c r="I81" s="7"/>
      <c r="J81" s="5"/>
    </row>
    <row r="82" spans="1:10" ht="15.6" customHeight="1" x14ac:dyDescent="0.25">
      <c r="A82" s="4" t="str">
        <f t="shared" si="1"/>
        <v/>
      </c>
      <c r="B82" s="5"/>
      <c r="C82" s="6"/>
      <c r="D82" s="6"/>
      <c r="E82" s="5"/>
      <c r="F82" s="6"/>
      <c r="G82" s="7"/>
      <c r="H82" s="5"/>
      <c r="I82" s="7"/>
      <c r="J82" s="5"/>
    </row>
    <row r="83" spans="1:10" ht="15.6" customHeight="1" x14ac:dyDescent="0.25">
      <c r="A83" s="4" t="str">
        <f t="shared" si="1"/>
        <v/>
      </c>
      <c r="B83" s="5"/>
      <c r="C83" s="6"/>
      <c r="D83" s="6"/>
      <c r="E83" s="5"/>
      <c r="F83" s="6"/>
      <c r="G83" s="7"/>
      <c r="H83" s="5"/>
      <c r="I83" s="7"/>
      <c r="J83" s="5"/>
    </row>
    <row r="84" spans="1:10" ht="15.6" customHeight="1" x14ac:dyDescent="0.25">
      <c r="A84" s="4" t="str">
        <f t="shared" si="1"/>
        <v/>
      </c>
      <c r="B84" s="5"/>
      <c r="C84" s="6"/>
      <c r="D84" s="6"/>
      <c r="E84" s="5"/>
      <c r="F84" s="6"/>
      <c r="G84" s="7"/>
      <c r="H84" s="5"/>
      <c r="I84" s="7"/>
      <c r="J84" s="5"/>
    </row>
    <row r="85" spans="1:10" ht="15.6" customHeight="1" x14ac:dyDescent="0.25">
      <c r="A85" s="4" t="str">
        <f t="shared" si="1"/>
        <v/>
      </c>
      <c r="B85" s="5"/>
      <c r="C85" s="6"/>
      <c r="D85" s="6"/>
      <c r="E85" s="5"/>
      <c r="F85" s="6"/>
      <c r="G85" s="7"/>
      <c r="H85" s="5"/>
      <c r="I85" s="7"/>
      <c r="J85" s="5"/>
    </row>
    <row r="86" spans="1:10" ht="15.6" customHeight="1" x14ac:dyDescent="0.25">
      <c r="A86" s="4" t="str">
        <f t="shared" si="1"/>
        <v/>
      </c>
      <c r="B86" s="5"/>
      <c r="C86" s="6"/>
      <c r="D86" s="6"/>
      <c r="E86" s="5"/>
      <c r="F86" s="6"/>
      <c r="G86" s="7"/>
      <c r="H86" s="5"/>
      <c r="I86" s="7"/>
      <c r="J86" s="5"/>
    </row>
    <row r="87" spans="1:10" ht="15.6" customHeight="1" x14ac:dyDescent="0.25">
      <c r="A87" s="4" t="str">
        <f t="shared" si="1"/>
        <v/>
      </c>
      <c r="B87" s="5"/>
      <c r="C87" s="6"/>
      <c r="D87" s="6"/>
      <c r="E87" s="5"/>
      <c r="F87" s="6"/>
      <c r="G87" s="7"/>
      <c r="H87" s="5"/>
      <c r="I87" s="7"/>
      <c r="J87" s="5"/>
    </row>
    <row r="88" spans="1:10" ht="15.6" customHeight="1" x14ac:dyDescent="0.25">
      <c r="A88" s="4" t="str">
        <f t="shared" si="1"/>
        <v/>
      </c>
      <c r="B88" s="5"/>
      <c r="C88" s="6"/>
      <c r="D88" s="6"/>
      <c r="E88" s="5"/>
      <c r="F88" s="6"/>
      <c r="G88" s="7"/>
      <c r="H88" s="5"/>
      <c r="I88" s="7"/>
      <c r="J88" s="5"/>
    </row>
    <row r="89" spans="1:10" ht="15.6" customHeight="1" x14ac:dyDescent="0.25">
      <c r="A89" s="4" t="str">
        <f t="shared" si="1"/>
        <v/>
      </c>
      <c r="B89" s="5"/>
      <c r="C89" s="6"/>
      <c r="D89" s="6"/>
      <c r="E89" s="5"/>
      <c r="F89" s="6"/>
      <c r="G89" s="7"/>
      <c r="H89" s="5"/>
      <c r="I89" s="7"/>
      <c r="J89" s="5"/>
    </row>
    <row r="90" spans="1:10" ht="15.6" customHeight="1" x14ac:dyDescent="0.25">
      <c r="A90" s="4" t="str">
        <f t="shared" si="1"/>
        <v/>
      </c>
      <c r="B90" s="5"/>
      <c r="C90" s="6"/>
      <c r="D90" s="6"/>
      <c r="E90" s="5"/>
      <c r="F90" s="6"/>
      <c r="G90" s="7"/>
      <c r="H90" s="5"/>
      <c r="I90" s="7"/>
      <c r="J90" s="5"/>
    </row>
    <row r="91" spans="1:10" ht="15.6" customHeight="1" x14ac:dyDescent="0.25">
      <c r="A91" s="4" t="str">
        <f t="shared" si="1"/>
        <v/>
      </c>
      <c r="B91" s="5"/>
      <c r="C91" s="6"/>
      <c r="D91" s="6"/>
      <c r="E91" s="5"/>
      <c r="F91" s="6"/>
      <c r="G91" s="7"/>
      <c r="H91" s="5"/>
      <c r="I91" s="7"/>
      <c r="J91" s="5"/>
    </row>
    <row r="92" spans="1:10" ht="15.6" customHeight="1" x14ac:dyDescent="0.25">
      <c r="A92" s="4" t="str">
        <f t="shared" si="1"/>
        <v/>
      </c>
      <c r="B92" s="5"/>
      <c r="C92" s="6"/>
      <c r="D92" s="6"/>
      <c r="E92" s="5"/>
      <c r="F92" s="6"/>
      <c r="G92" s="7"/>
      <c r="H92" s="5"/>
      <c r="I92" s="7"/>
      <c r="J92" s="5"/>
    </row>
    <row r="93" spans="1:10" ht="15.6" customHeight="1" x14ac:dyDescent="0.25">
      <c r="A93" s="4" t="str">
        <f t="shared" si="1"/>
        <v/>
      </c>
      <c r="B93" s="5"/>
      <c r="C93" s="6"/>
      <c r="D93" s="6"/>
      <c r="E93" s="5"/>
      <c r="F93" s="6"/>
      <c r="G93" s="7"/>
      <c r="H93" s="5"/>
      <c r="I93" s="7"/>
      <c r="J93" s="5"/>
    </row>
    <row r="94" spans="1:10" ht="15.6" customHeight="1" x14ac:dyDescent="0.25">
      <c r="A94" s="4" t="str">
        <f t="shared" si="1"/>
        <v/>
      </c>
      <c r="B94" s="5"/>
      <c r="C94" s="6"/>
      <c r="D94" s="6"/>
      <c r="E94" s="5"/>
      <c r="F94" s="6"/>
      <c r="G94" s="7"/>
      <c r="H94" s="5"/>
      <c r="I94" s="7"/>
      <c r="J94" s="5"/>
    </row>
    <row r="95" spans="1:10" ht="15.6" customHeight="1" x14ac:dyDescent="0.25">
      <c r="A95" s="4" t="str">
        <f t="shared" si="1"/>
        <v/>
      </c>
      <c r="B95" s="5"/>
      <c r="C95" s="6"/>
      <c r="D95" s="6"/>
      <c r="E95" s="5"/>
      <c r="F95" s="6"/>
      <c r="G95" s="7"/>
      <c r="H95" s="5"/>
      <c r="I95" s="7"/>
      <c r="J95" s="5"/>
    </row>
    <row r="96" spans="1:10" ht="15.6" customHeight="1" x14ac:dyDescent="0.25">
      <c r="A96" s="4" t="str">
        <f t="shared" si="1"/>
        <v/>
      </c>
      <c r="B96" s="5"/>
      <c r="C96" s="6"/>
      <c r="D96" s="6"/>
      <c r="E96" s="5"/>
      <c r="F96" s="6"/>
      <c r="G96" s="7"/>
      <c r="H96" s="5"/>
      <c r="I96" s="7"/>
      <c r="J96" s="5"/>
    </row>
    <row r="97" spans="1:10" ht="15.6" customHeight="1" x14ac:dyDescent="0.25">
      <c r="A97" s="4" t="str">
        <f t="shared" si="1"/>
        <v/>
      </c>
      <c r="B97" s="5"/>
      <c r="C97" s="6"/>
      <c r="D97" s="6"/>
      <c r="E97" s="5"/>
      <c r="F97" s="6"/>
      <c r="G97" s="7"/>
      <c r="H97" s="5"/>
      <c r="I97" s="7"/>
      <c r="J97" s="5"/>
    </row>
    <row r="98" spans="1:10" ht="15.6" customHeight="1" x14ac:dyDescent="0.25">
      <c r="A98" s="4" t="str">
        <f t="shared" si="1"/>
        <v/>
      </c>
      <c r="B98" s="5"/>
      <c r="C98" s="6"/>
      <c r="D98" s="6"/>
      <c r="E98" s="5"/>
      <c r="F98" s="6"/>
      <c r="G98" s="7"/>
      <c r="H98" s="5"/>
      <c r="I98" s="7"/>
      <c r="J98" s="5"/>
    </row>
    <row r="99" spans="1:10" ht="15.6" customHeight="1" x14ac:dyDescent="0.25">
      <c r="A99" s="4" t="str">
        <f t="shared" si="1"/>
        <v/>
      </c>
      <c r="B99" s="5"/>
      <c r="C99" s="6"/>
      <c r="D99" s="6"/>
      <c r="E99" s="5"/>
      <c r="F99" s="6"/>
      <c r="G99" s="7"/>
      <c r="H99" s="5"/>
      <c r="I99" s="7"/>
      <c r="J99" s="5"/>
    </row>
    <row r="100" spans="1:10" ht="15.6" customHeight="1" x14ac:dyDescent="0.25">
      <c r="A100" s="4" t="str">
        <f t="shared" si="1"/>
        <v/>
      </c>
      <c r="B100" s="5"/>
      <c r="C100" s="6"/>
      <c r="D100" s="6"/>
      <c r="E100" s="5"/>
      <c r="F100" s="6"/>
      <c r="G100" s="7"/>
      <c r="H100" s="5"/>
      <c r="I100" s="7"/>
      <c r="J100" s="5"/>
    </row>
    <row r="101" spans="1:10" ht="15.6" customHeight="1" x14ac:dyDescent="0.25">
      <c r="A101" s="4" t="str">
        <f t="shared" si="1"/>
        <v/>
      </c>
      <c r="B101" s="5"/>
      <c r="C101" s="6"/>
      <c r="D101" s="6"/>
      <c r="E101" s="5"/>
      <c r="F101" s="6"/>
      <c r="G101" s="7"/>
      <c r="H101" s="5"/>
      <c r="I101" s="7"/>
      <c r="J101" s="5"/>
    </row>
    <row r="102" spans="1:10" ht="15.6" customHeight="1" x14ac:dyDescent="0.25">
      <c r="A102" s="4" t="str">
        <f t="shared" si="1"/>
        <v/>
      </c>
      <c r="B102" s="5"/>
      <c r="C102" s="6"/>
      <c r="D102" s="6"/>
      <c r="E102" s="5"/>
      <c r="F102" s="6"/>
      <c r="G102" s="7"/>
      <c r="H102" s="5"/>
      <c r="I102" s="7"/>
      <c r="J102" s="5"/>
    </row>
    <row r="103" spans="1:10" ht="15.6" customHeight="1" x14ac:dyDescent="0.25">
      <c r="A103" s="4" t="str">
        <f t="shared" ref="A103:A166" si="2">IF(B103&lt;&gt;"",ROW()-3,"")</f>
        <v/>
      </c>
      <c r="B103" s="5"/>
      <c r="C103" s="6"/>
      <c r="D103" s="6"/>
      <c r="E103" s="5"/>
      <c r="F103" s="6"/>
      <c r="G103" s="7"/>
      <c r="H103" s="5"/>
      <c r="I103" s="7"/>
      <c r="J103" s="5"/>
    </row>
    <row r="104" spans="1:10" ht="15.6" customHeight="1" x14ac:dyDescent="0.25">
      <c r="A104" s="4" t="str">
        <f t="shared" si="2"/>
        <v/>
      </c>
      <c r="B104" s="5"/>
      <c r="C104" s="6"/>
      <c r="D104" s="6"/>
      <c r="E104" s="5"/>
      <c r="F104" s="6"/>
      <c r="G104" s="7"/>
      <c r="H104" s="5"/>
      <c r="I104" s="7"/>
      <c r="J104" s="5"/>
    </row>
    <row r="105" spans="1:10" ht="15.6" customHeight="1" x14ac:dyDescent="0.25">
      <c r="A105" s="4" t="str">
        <f t="shared" si="2"/>
        <v/>
      </c>
      <c r="B105" s="5"/>
      <c r="C105" s="6"/>
      <c r="D105" s="6"/>
      <c r="E105" s="5"/>
      <c r="F105" s="6"/>
      <c r="G105" s="7"/>
      <c r="H105" s="5"/>
      <c r="I105" s="7"/>
      <c r="J105" s="5"/>
    </row>
    <row r="106" spans="1:10" ht="15.6" customHeight="1" x14ac:dyDescent="0.25">
      <c r="A106" s="4" t="str">
        <f t="shared" si="2"/>
        <v/>
      </c>
      <c r="B106" s="5"/>
      <c r="C106" s="6"/>
      <c r="D106" s="6"/>
      <c r="E106" s="5"/>
      <c r="F106" s="6"/>
      <c r="G106" s="7"/>
      <c r="H106" s="5"/>
      <c r="I106" s="7"/>
      <c r="J106" s="5"/>
    </row>
    <row r="107" spans="1:10" ht="15.6" customHeight="1" x14ac:dyDescent="0.25">
      <c r="A107" s="4" t="str">
        <f t="shared" si="2"/>
        <v/>
      </c>
      <c r="B107" s="5"/>
      <c r="C107" s="6"/>
      <c r="D107" s="6"/>
      <c r="E107" s="5"/>
      <c r="F107" s="6"/>
      <c r="G107" s="7"/>
      <c r="H107" s="5"/>
      <c r="I107" s="7"/>
      <c r="J107" s="5"/>
    </row>
    <row r="108" spans="1:10" ht="15.6" customHeight="1" x14ac:dyDescent="0.25">
      <c r="A108" s="4" t="str">
        <f t="shared" si="2"/>
        <v/>
      </c>
      <c r="B108" s="5"/>
      <c r="C108" s="6"/>
      <c r="D108" s="6"/>
      <c r="E108" s="5"/>
      <c r="F108" s="6"/>
      <c r="G108" s="7"/>
      <c r="H108" s="5"/>
      <c r="I108" s="7"/>
      <c r="J108" s="5"/>
    </row>
    <row r="109" spans="1:10" ht="15.6" customHeight="1" x14ac:dyDescent="0.25">
      <c r="A109" s="4" t="str">
        <f t="shared" si="2"/>
        <v/>
      </c>
      <c r="B109" s="5"/>
      <c r="C109" s="6"/>
      <c r="D109" s="6"/>
      <c r="E109" s="5"/>
      <c r="F109" s="6"/>
      <c r="G109" s="7"/>
      <c r="H109" s="5"/>
      <c r="I109" s="7"/>
      <c r="J109" s="5"/>
    </row>
    <row r="110" spans="1:10" ht="15.6" customHeight="1" x14ac:dyDescent="0.25">
      <c r="A110" s="4" t="str">
        <f t="shared" si="2"/>
        <v/>
      </c>
      <c r="B110" s="5"/>
      <c r="C110" s="6"/>
      <c r="D110" s="6"/>
      <c r="E110" s="5"/>
      <c r="F110" s="6"/>
      <c r="G110" s="7"/>
      <c r="H110" s="5"/>
      <c r="I110" s="7"/>
      <c r="J110" s="5"/>
    </row>
    <row r="111" spans="1:10" ht="15.6" customHeight="1" x14ac:dyDescent="0.25">
      <c r="A111" s="4" t="str">
        <f t="shared" si="2"/>
        <v/>
      </c>
      <c r="B111" s="5"/>
      <c r="C111" s="6"/>
      <c r="D111" s="6"/>
      <c r="E111" s="5"/>
      <c r="F111" s="6"/>
      <c r="G111" s="7"/>
      <c r="H111" s="5"/>
      <c r="I111" s="7"/>
      <c r="J111" s="5"/>
    </row>
    <row r="112" spans="1:10" ht="15.6" customHeight="1" x14ac:dyDescent="0.25">
      <c r="A112" s="4" t="str">
        <f t="shared" si="2"/>
        <v/>
      </c>
      <c r="B112" s="5"/>
      <c r="C112" s="6"/>
      <c r="D112" s="6"/>
      <c r="E112" s="5"/>
      <c r="F112" s="6"/>
      <c r="G112" s="7"/>
      <c r="H112" s="5"/>
      <c r="I112" s="7"/>
      <c r="J112" s="5"/>
    </row>
    <row r="113" spans="1:10" ht="15.6" customHeight="1" x14ac:dyDescent="0.25">
      <c r="A113" s="4" t="str">
        <f t="shared" si="2"/>
        <v/>
      </c>
      <c r="B113" s="5"/>
      <c r="C113" s="6"/>
      <c r="D113" s="6"/>
      <c r="E113" s="5"/>
      <c r="F113" s="6"/>
      <c r="G113" s="7"/>
      <c r="H113" s="5"/>
      <c r="I113" s="7"/>
      <c r="J113" s="5"/>
    </row>
    <row r="114" spans="1:10" ht="15.6" customHeight="1" x14ac:dyDescent="0.25">
      <c r="A114" s="4" t="str">
        <f t="shared" si="2"/>
        <v/>
      </c>
      <c r="B114" s="5"/>
      <c r="C114" s="6"/>
      <c r="D114" s="6"/>
      <c r="E114" s="5"/>
      <c r="F114" s="6"/>
      <c r="G114" s="7"/>
      <c r="H114" s="5"/>
      <c r="I114" s="7"/>
      <c r="J114" s="5"/>
    </row>
    <row r="115" spans="1:10" ht="15.6" customHeight="1" x14ac:dyDescent="0.25">
      <c r="A115" s="4" t="str">
        <f t="shared" si="2"/>
        <v/>
      </c>
      <c r="B115" s="5"/>
      <c r="C115" s="6"/>
      <c r="D115" s="6"/>
      <c r="E115" s="5"/>
      <c r="F115" s="6"/>
      <c r="G115" s="7"/>
      <c r="H115" s="5"/>
      <c r="I115" s="7"/>
      <c r="J115" s="5"/>
    </row>
    <row r="116" spans="1:10" ht="15.6" customHeight="1" x14ac:dyDescent="0.25">
      <c r="A116" s="4" t="str">
        <f t="shared" si="2"/>
        <v/>
      </c>
      <c r="B116" s="5"/>
      <c r="C116" s="6"/>
      <c r="D116" s="6"/>
      <c r="E116" s="5"/>
      <c r="F116" s="6"/>
      <c r="G116" s="7"/>
      <c r="H116" s="5"/>
      <c r="I116" s="7"/>
      <c r="J116" s="5"/>
    </row>
    <row r="117" spans="1:10" ht="15.6" customHeight="1" x14ac:dyDescent="0.25">
      <c r="A117" s="4" t="str">
        <f t="shared" si="2"/>
        <v/>
      </c>
      <c r="B117" s="5"/>
      <c r="C117" s="6"/>
      <c r="D117" s="6"/>
      <c r="E117" s="5"/>
      <c r="F117" s="6"/>
      <c r="G117" s="7"/>
      <c r="H117" s="5"/>
      <c r="I117" s="7"/>
      <c r="J117" s="5"/>
    </row>
    <row r="118" spans="1:10" ht="15.6" customHeight="1" x14ac:dyDescent="0.25">
      <c r="A118" s="4" t="str">
        <f t="shared" si="2"/>
        <v/>
      </c>
      <c r="B118" s="5"/>
      <c r="C118" s="6"/>
      <c r="D118" s="6"/>
      <c r="E118" s="5"/>
      <c r="F118" s="6"/>
      <c r="G118" s="7"/>
      <c r="H118" s="5"/>
      <c r="I118" s="7"/>
      <c r="J118" s="5"/>
    </row>
    <row r="119" spans="1:10" ht="15.6" customHeight="1" x14ac:dyDescent="0.25">
      <c r="A119" s="4" t="str">
        <f t="shared" si="2"/>
        <v/>
      </c>
      <c r="B119" s="5"/>
      <c r="C119" s="6"/>
      <c r="D119" s="6"/>
      <c r="E119" s="5"/>
      <c r="F119" s="6"/>
      <c r="G119" s="7"/>
      <c r="H119" s="5"/>
      <c r="I119" s="7"/>
      <c r="J119" s="5"/>
    </row>
    <row r="120" spans="1:10" ht="15.6" customHeight="1" x14ac:dyDescent="0.25">
      <c r="A120" s="4" t="str">
        <f t="shared" si="2"/>
        <v/>
      </c>
      <c r="B120" s="5"/>
      <c r="C120" s="6"/>
      <c r="D120" s="6"/>
      <c r="E120" s="5"/>
      <c r="F120" s="6"/>
      <c r="G120" s="7"/>
      <c r="H120" s="5"/>
      <c r="I120" s="7"/>
      <c r="J120" s="5"/>
    </row>
    <row r="121" spans="1:10" ht="15.6" customHeight="1" x14ac:dyDescent="0.25">
      <c r="A121" s="4" t="str">
        <f t="shared" si="2"/>
        <v/>
      </c>
      <c r="B121" s="5"/>
      <c r="C121" s="6"/>
      <c r="D121" s="6"/>
      <c r="E121" s="5"/>
      <c r="F121" s="6"/>
      <c r="G121" s="7"/>
      <c r="H121" s="5"/>
      <c r="I121" s="7"/>
      <c r="J121" s="5"/>
    </row>
    <row r="122" spans="1:10" ht="15.6" customHeight="1" x14ac:dyDescent="0.25">
      <c r="A122" s="4" t="str">
        <f t="shared" si="2"/>
        <v/>
      </c>
      <c r="B122" s="5"/>
      <c r="C122" s="6"/>
      <c r="D122" s="6"/>
      <c r="E122" s="5"/>
      <c r="F122" s="6"/>
      <c r="G122" s="7"/>
      <c r="H122" s="5"/>
      <c r="I122" s="7"/>
      <c r="J122" s="5"/>
    </row>
    <row r="123" spans="1:10" ht="15.6" customHeight="1" x14ac:dyDescent="0.25">
      <c r="A123" s="4" t="str">
        <f t="shared" si="2"/>
        <v/>
      </c>
      <c r="B123" s="5"/>
      <c r="C123" s="6"/>
      <c r="D123" s="6"/>
      <c r="E123" s="5"/>
      <c r="F123" s="6"/>
      <c r="G123" s="7"/>
      <c r="H123" s="5"/>
      <c r="I123" s="7"/>
      <c r="J123" s="5"/>
    </row>
    <row r="124" spans="1:10" ht="15.6" customHeight="1" x14ac:dyDescent="0.25">
      <c r="A124" s="4" t="str">
        <f t="shared" si="2"/>
        <v/>
      </c>
      <c r="B124" s="5"/>
      <c r="C124" s="6"/>
      <c r="D124" s="6"/>
      <c r="E124" s="5"/>
      <c r="F124" s="6"/>
      <c r="G124" s="7"/>
      <c r="H124" s="5"/>
      <c r="I124" s="7"/>
      <c r="J124" s="5"/>
    </row>
    <row r="125" spans="1:10" ht="15.6" customHeight="1" x14ac:dyDescent="0.25">
      <c r="A125" s="4" t="str">
        <f t="shared" si="2"/>
        <v/>
      </c>
      <c r="B125" s="5"/>
      <c r="C125" s="6"/>
      <c r="D125" s="6"/>
      <c r="E125" s="5"/>
      <c r="F125" s="6"/>
      <c r="G125" s="7"/>
      <c r="H125" s="5"/>
      <c r="I125" s="7"/>
      <c r="J125" s="5"/>
    </row>
    <row r="126" spans="1:10" ht="15.6" customHeight="1" x14ac:dyDescent="0.25">
      <c r="A126" s="4" t="str">
        <f t="shared" si="2"/>
        <v/>
      </c>
      <c r="B126" s="5"/>
      <c r="C126" s="6"/>
      <c r="D126" s="6"/>
      <c r="E126" s="5"/>
      <c r="F126" s="6"/>
      <c r="G126" s="7"/>
      <c r="H126" s="5"/>
      <c r="I126" s="7"/>
      <c r="J126" s="5"/>
    </row>
    <row r="127" spans="1:10" ht="15.6" customHeight="1" x14ac:dyDescent="0.25">
      <c r="A127" s="4" t="str">
        <f t="shared" si="2"/>
        <v/>
      </c>
      <c r="B127" s="5"/>
      <c r="C127" s="6"/>
      <c r="D127" s="6"/>
      <c r="E127" s="5"/>
      <c r="F127" s="6"/>
      <c r="G127" s="7"/>
      <c r="H127" s="5"/>
      <c r="I127" s="7"/>
      <c r="J127" s="5"/>
    </row>
    <row r="128" spans="1:10" ht="15.6" customHeight="1" x14ac:dyDescent="0.25">
      <c r="A128" s="4" t="str">
        <f t="shared" si="2"/>
        <v/>
      </c>
      <c r="B128" s="5"/>
      <c r="C128" s="6"/>
      <c r="D128" s="6"/>
      <c r="E128" s="5"/>
      <c r="F128" s="6"/>
      <c r="G128" s="7"/>
      <c r="H128" s="5"/>
      <c r="I128" s="7"/>
      <c r="J128" s="5"/>
    </row>
    <row r="129" spans="1:10" ht="15.6" customHeight="1" x14ac:dyDescent="0.25">
      <c r="A129" s="4" t="str">
        <f t="shared" si="2"/>
        <v/>
      </c>
      <c r="B129" s="5"/>
      <c r="C129" s="6"/>
      <c r="D129" s="6"/>
      <c r="E129" s="5"/>
      <c r="F129" s="6"/>
      <c r="G129" s="7"/>
      <c r="H129" s="5"/>
      <c r="I129" s="7"/>
      <c r="J129" s="5"/>
    </row>
    <row r="130" spans="1:10" ht="15.6" customHeight="1" x14ac:dyDescent="0.25">
      <c r="A130" s="4" t="str">
        <f t="shared" si="2"/>
        <v/>
      </c>
      <c r="B130" s="5"/>
      <c r="C130" s="6"/>
      <c r="D130" s="6"/>
      <c r="E130" s="5"/>
      <c r="F130" s="6"/>
      <c r="G130" s="7"/>
      <c r="H130" s="5"/>
      <c r="I130" s="7"/>
      <c r="J130" s="5"/>
    </row>
    <row r="131" spans="1:10" ht="15.6" customHeight="1" x14ac:dyDescent="0.25">
      <c r="A131" s="4" t="str">
        <f t="shared" si="2"/>
        <v/>
      </c>
      <c r="B131" s="5"/>
      <c r="C131" s="6"/>
      <c r="D131" s="6"/>
      <c r="E131" s="5"/>
      <c r="F131" s="6"/>
      <c r="G131" s="7"/>
      <c r="H131" s="5"/>
      <c r="I131" s="7"/>
      <c r="J131" s="5"/>
    </row>
    <row r="132" spans="1:10" ht="15.6" customHeight="1" x14ac:dyDescent="0.25">
      <c r="A132" s="4" t="str">
        <f t="shared" si="2"/>
        <v/>
      </c>
      <c r="B132" s="5"/>
      <c r="C132" s="6"/>
      <c r="D132" s="6"/>
      <c r="E132" s="5"/>
      <c r="F132" s="6"/>
      <c r="G132" s="7"/>
      <c r="H132" s="5"/>
      <c r="I132" s="7"/>
      <c r="J132" s="5"/>
    </row>
    <row r="133" spans="1:10" ht="15.6" customHeight="1" x14ac:dyDescent="0.25">
      <c r="A133" s="4" t="str">
        <f t="shared" si="2"/>
        <v/>
      </c>
      <c r="B133" s="5"/>
      <c r="C133" s="6"/>
      <c r="D133" s="6"/>
      <c r="E133" s="5"/>
      <c r="F133" s="6"/>
      <c r="G133" s="7"/>
      <c r="H133" s="5"/>
      <c r="I133" s="7"/>
      <c r="J133" s="5"/>
    </row>
    <row r="134" spans="1:10" ht="15.6" customHeight="1" x14ac:dyDescent="0.25">
      <c r="A134" s="4" t="str">
        <f t="shared" si="2"/>
        <v/>
      </c>
      <c r="B134" s="5"/>
      <c r="C134" s="6"/>
      <c r="D134" s="6"/>
      <c r="E134" s="5"/>
      <c r="F134" s="6"/>
      <c r="G134" s="7"/>
      <c r="H134" s="5"/>
      <c r="I134" s="7"/>
      <c r="J134" s="5"/>
    </row>
    <row r="135" spans="1:10" ht="15.6" customHeight="1" x14ac:dyDescent="0.25">
      <c r="A135" s="4" t="str">
        <f t="shared" si="2"/>
        <v/>
      </c>
      <c r="B135" s="5"/>
      <c r="C135" s="6"/>
      <c r="D135" s="6"/>
      <c r="E135" s="5"/>
      <c r="F135" s="6"/>
      <c r="G135" s="7"/>
      <c r="H135" s="5"/>
      <c r="I135" s="7"/>
      <c r="J135" s="5"/>
    </row>
    <row r="136" spans="1:10" ht="15.6" customHeight="1" x14ac:dyDescent="0.25">
      <c r="A136" s="4" t="str">
        <f t="shared" si="2"/>
        <v/>
      </c>
      <c r="B136" s="5"/>
      <c r="C136" s="6"/>
      <c r="D136" s="6"/>
      <c r="E136" s="5"/>
      <c r="F136" s="6"/>
      <c r="G136" s="7"/>
      <c r="H136" s="5"/>
      <c r="I136" s="7"/>
      <c r="J136" s="5"/>
    </row>
    <row r="137" spans="1:10" ht="15.6" customHeight="1" x14ac:dyDescent="0.25">
      <c r="A137" s="4" t="str">
        <f t="shared" si="2"/>
        <v/>
      </c>
      <c r="B137" s="5"/>
      <c r="C137" s="6"/>
      <c r="D137" s="6"/>
      <c r="E137" s="5"/>
      <c r="F137" s="6"/>
      <c r="G137" s="7"/>
      <c r="H137" s="5"/>
      <c r="I137" s="7"/>
      <c r="J137" s="5"/>
    </row>
    <row r="138" spans="1:10" ht="15.6" customHeight="1" x14ac:dyDescent="0.25">
      <c r="A138" s="4" t="str">
        <f t="shared" si="2"/>
        <v/>
      </c>
      <c r="B138" s="5"/>
      <c r="C138" s="6"/>
      <c r="D138" s="6"/>
      <c r="E138" s="5"/>
      <c r="F138" s="6"/>
      <c r="G138" s="7"/>
      <c r="H138" s="5"/>
      <c r="I138" s="7"/>
      <c r="J138" s="5"/>
    </row>
    <row r="139" spans="1:10" ht="15.6" customHeight="1" x14ac:dyDescent="0.25">
      <c r="A139" s="4" t="str">
        <f t="shared" si="2"/>
        <v/>
      </c>
      <c r="B139" s="5"/>
      <c r="C139" s="6"/>
      <c r="D139" s="6"/>
      <c r="E139" s="5"/>
      <c r="F139" s="6"/>
      <c r="G139" s="7"/>
      <c r="H139" s="5"/>
      <c r="I139" s="7"/>
      <c r="J139" s="5"/>
    </row>
    <row r="140" spans="1:10" ht="15.6" customHeight="1" x14ac:dyDescent="0.25">
      <c r="A140" s="4" t="str">
        <f t="shared" si="2"/>
        <v/>
      </c>
      <c r="B140" s="5"/>
      <c r="C140" s="6"/>
      <c r="D140" s="6"/>
      <c r="E140" s="5"/>
      <c r="F140" s="6"/>
      <c r="G140" s="7"/>
      <c r="H140" s="5"/>
      <c r="I140" s="7"/>
      <c r="J140" s="5"/>
    </row>
    <row r="141" spans="1:10" ht="15.6" customHeight="1" x14ac:dyDescent="0.25">
      <c r="A141" s="4" t="str">
        <f t="shared" si="2"/>
        <v/>
      </c>
      <c r="B141" s="5"/>
      <c r="C141" s="6"/>
      <c r="D141" s="6"/>
      <c r="E141" s="5"/>
      <c r="F141" s="6"/>
      <c r="G141" s="7"/>
      <c r="H141" s="5"/>
      <c r="I141" s="7"/>
      <c r="J141" s="5"/>
    </row>
    <row r="142" spans="1:10" ht="15.6" customHeight="1" x14ac:dyDescent="0.25">
      <c r="A142" s="4" t="str">
        <f t="shared" si="2"/>
        <v/>
      </c>
      <c r="B142" s="5"/>
      <c r="C142" s="6"/>
      <c r="D142" s="6"/>
      <c r="E142" s="5"/>
      <c r="F142" s="6"/>
      <c r="G142" s="7"/>
      <c r="H142" s="5"/>
      <c r="I142" s="7"/>
      <c r="J142" s="5"/>
    </row>
    <row r="143" spans="1:10" ht="15.6" customHeight="1" x14ac:dyDescent="0.25">
      <c r="A143" s="4" t="str">
        <f t="shared" si="2"/>
        <v/>
      </c>
      <c r="B143" s="5"/>
      <c r="C143" s="6"/>
      <c r="D143" s="6"/>
      <c r="E143" s="5"/>
      <c r="F143" s="6"/>
      <c r="G143" s="7"/>
      <c r="H143" s="5"/>
      <c r="I143" s="7"/>
      <c r="J143" s="5"/>
    </row>
    <row r="144" spans="1:10" ht="15.6" customHeight="1" x14ac:dyDescent="0.25">
      <c r="A144" s="4" t="str">
        <f t="shared" si="2"/>
        <v/>
      </c>
      <c r="B144" s="5"/>
      <c r="C144" s="6"/>
      <c r="D144" s="6"/>
      <c r="E144" s="5"/>
      <c r="F144" s="6"/>
      <c r="G144" s="7"/>
      <c r="H144" s="5"/>
      <c r="I144" s="7"/>
      <c r="J144" s="5"/>
    </row>
    <row r="145" spans="1:10" ht="15.6" customHeight="1" x14ac:dyDescent="0.25">
      <c r="A145" s="4" t="str">
        <f t="shared" si="2"/>
        <v/>
      </c>
      <c r="B145" s="5"/>
      <c r="C145" s="6"/>
      <c r="D145" s="6"/>
      <c r="E145" s="5"/>
      <c r="F145" s="6"/>
      <c r="G145" s="7"/>
      <c r="H145" s="5"/>
      <c r="I145" s="7"/>
      <c r="J145" s="5"/>
    </row>
    <row r="146" spans="1:10" ht="15.6" customHeight="1" x14ac:dyDescent="0.25">
      <c r="A146" s="4" t="str">
        <f t="shared" si="2"/>
        <v/>
      </c>
      <c r="B146" s="5"/>
      <c r="C146" s="6"/>
      <c r="D146" s="6"/>
      <c r="E146" s="5"/>
      <c r="F146" s="6"/>
      <c r="G146" s="7"/>
      <c r="H146" s="5"/>
      <c r="I146" s="7"/>
      <c r="J146" s="5"/>
    </row>
    <row r="147" spans="1:10" ht="15.6" customHeight="1" x14ac:dyDescent="0.25">
      <c r="A147" s="4" t="str">
        <f t="shared" si="2"/>
        <v/>
      </c>
      <c r="B147" s="5"/>
      <c r="C147" s="6"/>
      <c r="D147" s="6"/>
      <c r="E147" s="5"/>
      <c r="F147" s="6"/>
      <c r="G147" s="7"/>
      <c r="H147" s="5"/>
      <c r="I147" s="7"/>
      <c r="J147" s="5"/>
    </row>
    <row r="148" spans="1:10" ht="15.6" customHeight="1" x14ac:dyDescent="0.25">
      <c r="A148" s="4" t="str">
        <f t="shared" si="2"/>
        <v/>
      </c>
      <c r="B148" s="5"/>
      <c r="C148" s="6"/>
      <c r="D148" s="6"/>
      <c r="E148" s="5"/>
      <c r="F148" s="6"/>
      <c r="G148" s="7"/>
      <c r="H148" s="5"/>
      <c r="I148" s="7"/>
      <c r="J148" s="5"/>
    </row>
    <row r="149" spans="1:10" ht="15.6" customHeight="1" x14ac:dyDescent="0.25">
      <c r="A149" s="4" t="str">
        <f t="shared" si="2"/>
        <v/>
      </c>
      <c r="B149" s="5"/>
      <c r="C149" s="6"/>
      <c r="D149" s="6"/>
      <c r="E149" s="5"/>
      <c r="F149" s="6"/>
      <c r="G149" s="7"/>
      <c r="H149" s="5"/>
      <c r="I149" s="7"/>
      <c r="J149" s="5"/>
    </row>
    <row r="150" spans="1:10" ht="15.6" customHeight="1" x14ac:dyDescent="0.25">
      <c r="A150" s="4" t="str">
        <f t="shared" si="2"/>
        <v/>
      </c>
      <c r="B150" s="5"/>
      <c r="C150" s="6"/>
      <c r="D150" s="6"/>
      <c r="E150" s="5"/>
      <c r="F150" s="6"/>
      <c r="G150" s="7"/>
      <c r="H150" s="5"/>
      <c r="I150" s="7"/>
      <c r="J150" s="5"/>
    </row>
    <row r="151" spans="1:10" ht="15.6" customHeight="1" x14ac:dyDescent="0.25">
      <c r="A151" s="4" t="str">
        <f t="shared" si="2"/>
        <v/>
      </c>
      <c r="B151" s="5"/>
      <c r="C151" s="6"/>
      <c r="D151" s="6"/>
      <c r="E151" s="5"/>
      <c r="F151" s="6"/>
      <c r="G151" s="7"/>
      <c r="H151" s="5"/>
      <c r="I151" s="7"/>
      <c r="J151" s="5"/>
    </row>
    <row r="152" spans="1:10" ht="15.6" customHeight="1" x14ac:dyDescent="0.25">
      <c r="A152" s="4" t="str">
        <f t="shared" si="2"/>
        <v/>
      </c>
      <c r="B152" s="5"/>
      <c r="C152" s="6"/>
      <c r="D152" s="6"/>
      <c r="E152" s="5"/>
      <c r="F152" s="6"/>
      <c r="G152" s="7"/>
      <c r="H152" s="5"/>
      <c r="I152" s="7"/>
      <c r="J152" s="5"/>
    </row>
    <row r="153" spans="1:10" ht="15.6" customHeight="1" x14ac:dyDescent="0.25">
      <c r="A153" s="4" t="str">
        <f t="shared" si="2"/>
        <v/>
      </c>
      <c r="B153" s="5"/>
      <c r="C153" s="6"/>
      <c r="D153" s="6"/>
      <c r="E153" s="5"/>
      <c r="F153" s="6"/>
      <c r="G153" s="7"/>
      <c r="H153" s="5"/>
      <c r="I153" s="7"/>
      <c r="J153" s="5"/>
    </row>
    <row r="154" spans="1:10" ht="15.6" customHeight="1" x14ac:dyDescent="0.25">
      <c r="A154" s="4" t="str">
        <f t="shared" si="2"/>
        <v/>
      </c>
      <c r="B154" s="5"/>
      <c r="C154" s="6"/>
      <c r="D154" s="6"/>
      <c r="E154" s="5"/>
      <c r="F154" s="6"/>
      <c r="G154" s="7"/>
      <c r="H154" s="5"/>
      <c r="I154" s="7"/>
      <c r="J154" s="5"/>
    </row>
    <row r="155" spans="1:10" ht="15.6" customHeight="1" x14ac:dyDescent="0.25">
      <c r="A155" s="4" t="str">
        <f t="shared" si="2"/>
        <v/>
      </c>
      <c r="B155" s="5"/>
      <c r="C155" s="6"/>
      <c r="D155" s="6"/>
      <c r="E155" s="5"/>
      <c r="F155" s="6"/>
      <c r="G155" s="7"/>
      <c r="H155" s="5"/>
      <c r="I155" s="7"/>
      <c r="J155" s="5"/>
    </row>
    <row r="156" spans="1:10" ht="15.6" customHeight="1" x14ac:dyDescent="0.25">
      <c r="A156" s="4" t="str">
        <f t="shared" si="2"/>
        <v/>
      </c>
      <c r="B156" s="5"/>
      <c r="C156" s="6"/>
      <c r="D156" s="6"/>
      <c r="E156" s="5"/>
      <c r="F156" s="6"/>
      <c r="G156" s="7"/>
      <c r="H156" s="5"/>
      <c r="I156" s="7"/>
      <c r="J156" s="5"/>
    </row>
    <row r="157" spans="1:10" ht="15.6" customHeight="1" x14ac:dyDescent="0.25">
      <c r="A157" s="4" t="str">
        <f t="shared" si="2"/>
        <v/>
      </c>
      <c r="B157" s="5"/>
      <c r="C157" s="6"/>
      <c r="D157" s="6"/>
      <c r="E157" s="5"/>
      <c r="F157" s="6"/>
      <c r="G157" s="7"/>
      <c r="H157" s="5"/>
      <c r="I157" s="7"/>
      <c r="J157" s="5"/>
    </row>
    <row r="158" spans="1:10" ht="15.6" customHeight="1" x14ac:dyDescent="0.25">
      <c r="A158" s="4" t="str">
        <f t="shared" si="2"/>
        <v/>
      </c>
      <c r="B158" s="5"/>
      <c r="C158" s="6"/>
      <c r="D158" s="6"/>
      <c r="E158" s="5"/>
      <c r="F158" s="6"/>
      <c r="G158" s="7"/>
      <c r="H158" s="5"/>
      <c r="I158" s="7"/>
      <c r="J158" s="5"/>
    </row>
    <row r="159" spans="1:10" ht="15.6" customHeight="1" x14ac:dyDescent="0.25">
      <c r="A159" s="4" t="str">
        <f t="shared" si="2"/>
        <v/>
      </c>
      <c r="B159" s="5"/>
      <c r="C159" s="6"/>
      <c r="D159" s="6"/>
      <c r="E159" s="5"/>
      <c r="F159" s="6"/>
      <c r="G159" s="7"/>
      <c r="H159" s="5"/>
      <c r="I159" s="7"/>
      <c r="J159" s="5"/>
    </row>
    <row r="160" spans="1:10" ht="15.6" customHeight="1" x14ac:dyDescent="0.25">
      <c r="A160" s="4" t="str">
        <f t="shared" si="2"/>
        <v/>
      </c>
      <c r="B160" s="5"/>
      <c r="C160" s="6"/>
      <c r="D160" s="6"/>
      <c r="E160" s="5"/>
      <c r="F160" s="6"/>
      <c r="G160" s="7"/>
      <c r="H160" s="5"/>
      <c r="I160" s="7"/>
      <c r="J160" s="5"/>
    </row>
    <row r="161" spans="1:10" ht="15.6" customHeight="1" x14ac:dyDescent="0.25">
      <c r="A161" s="4" t="str">
        <f t="shared" si="2"/>
        <v/>
      </c>
      <c r="B161" s="5"/>
      <c r="C161" s="6"/>
      <c r="D161" s="6"/>
      <c r="E161" s="5"/>
      <c r="F161" s="6"/>
      <c r="G161" s="7"/>
      <c r="H161" s="5"/>
      <c r="I161" s="7"/>
      <c r="J161" s="5"/>
    </row>
    <row r="162" spans="1:10" ht="15.6" customHeight="1" x14ac:dyDescent="0.25">
      <c r="A162" s="4" t="str">
        <f t="shared" si="2"/>
        <v/>
      </c>
      <c r="B162" s="5"/>
      <c r="C162" s="6"/>
      <c r="D162" s="6"/>
      <c r="E162" s="5"/>
      <c r="F162" s="6"/>
      <c r="G162" s="7"/>
      <c r="H162" s="5"/>
      <c r="I162" s="7"/>
      <c r="J162" s="5"/>
    </row>
    <row r="163" spans="1:10" ht="15.6" customHeight="1" x14ac:dyDescent="0.25">
      <c r="A163" s="4" t="str">
        <f t="shared" si="2"/>
        <v/>
      </c>
      <c r="B163" s="5"/>
      <c r="C163" s="6"/>
      <c r="D163" s="6"/>
      <c r="E163" s="5"/>
      <c r="F163" s="6"/>
      <c r="G163" s="7"/>
      <c r="H163" s="5"/>
      <c r="I163" s="7"/>
      <c r="J163" s="5"/>
    </row>
    <row r="164" spans="1:10" ht="15.6" customHeight="1" x14ac:dyDescent="0.25">
      <c r="A164" s="4" t="str">
        <f t="shared" si="2"/>
        <v/>
      </c>
      <c r="B164" s="5"/>
      <c r="C164" s="6"/>
      <c r="D164" s="6"/>
      <c r="E164" s="5"/>
      <c r="F164" s="6"/>
      <c r="G164" s="7"/>
      <c r="H164" s="5"/>
      <c r="I164" s="7"/>
      <c r="J164" s="5"/>
    </row>
    <row r="165" spans="1:10" ht="15.6" customHeight="1" x14ac:dyDescent="0.25">
      <c r="A165" s="4" t="str">
        <f t="shared" si="2"/>
        <v/>
      </c>
      <c r="B165" s="5"/>
      <c r="C165" s="6"/>
      <c r="D165" s="6"/>
      <c r="E165" s="5"/>
      <c r="F165" s="6"/>
      <c r="G165" s="7"/>
      <c r="H165" s="5"/>
      <c r="I165" s="7"/>
      <c r="J165" s="5"/>
    </row>
    <row r="166" spans="1:10" ht="15.6" customHeight="1" x14ac:dyDescent="0.25">
      <c r="A166" s="4" t="str">
        <f t="shared" si="2"/>
        <v/>
      </c>
      <c r="B166" s="5"/>
      <c r="C166" s="6"/>
      <c r="D166" s="6"/>
      <c r="E166" s="5"/>
      <c r="F166" s="6"/>
      <c r="G166" s="7"/>
      <c r="H166" s="5"/>
      <c r="I166" s="7"/>
      <c r="J166" s="5"/>
    </row>
    <row r="167" spans="1:10" ht="15.6" customHeight="1" x14ac:dyDescent="0.25">
      <c r="A167" s="4" t="str">
        <f t="shared" ref="A167:A230" si="3">IF(B167&lt;&gt;"",ROW()-3,"")</f>
        <v/>
      </c>
      <c r="B167" s="5"/>
      <c r="C167" s="6"/>
      <c r="D167" s="6"/>
      <c r="E167" s="5"/>
      <c r="F167" s="6"/>
      <c r="G167" s="7"/>
      <c r="H167" s="5"/>
      <c r="I167" s="7"/>
      <c r="J167" s="5"/>
    </row>
    <row r="168" spans="1:10" ht="15.6" customHeight="1" x14ac:dyDescent="0.25">
      <c r="A168" s="4" t="str">
        <f t="shared" si="3"/>
        <v/>
      </c>
      <c r="B168" s="5"/>
      <c r="C168" s="6"/>
      <c r="D168" s="6"/>
      <c r="E168" s="5"/>
      <c r="F168" s="6"/>
      <c r="G168" s="7"/>
      <c r="H168" s="5"/>
      <c r="I168" s="7"/>
      <c r="J168" s="5"/>
    </row>
    <row r="169" spans="1:10" ht="15.6" customHeight="1" x14ac:dyDescent="0.25">
      <c r="A169" s="4" t="str">
        <f t="shared" si="3"/>
        <v/>
      </c>
      <c r="B169" s="5"/>
      <c r="C169" s="6"/>
      <c r="D169" s="6"/>
      <c r="E169" s="5"/>
      <c r="F169" s="6"/>
      <c r="G169" s="7"/>
      <c r="H169" s="5"/>
      <c r="I169" s="7"/>
      <c r="J169" s="5"/>
    </row>
    <row r="170" spans="1:10" ht="15.6" customHeight="1" x14ac:dyDescent="0.25">
      <c r="A170" s="4" t="str">
        <f t="shared" si="3"/>
        <v/>
      </c>
      <c r="B170" s="5"/>
      <c r="C170" s="6"/>
      <c r="D170" s="6"/>
      <c r="E170" s="5"/>
      <c r="F170" s="6"/>
      <c r="G170" s="7"/>
      <c r="H170" s="5"/>
      <c r="I170" s="7"/>
      <c r="J170" s="5"/>
    </row>
    <row r="171" spans="1:10" ht="15.6" customHeight="1" x14ac:dyDescent="0.25">
      <c r="A171" s="4" t="str">
        <f t="shared" si="3"/>
        <v/>
      </c>
      <c r="B171" s="5"/>
      <c r="C171" s="6"/>
      <c r="D171" s="6"/>
      <c r="E171" s="5"/>
      <c r="F171" s="6"/>
      <c r="G171" s="7"/>
      <c r="H171" s="5"/>
      <c r="I171" s="7"/>
      <c r="J171" s="5"/>
    </row>
    <row r="172" spans="1:10" ht="15.6" customHeight="1" x14ac:dyDescent="0.25">
      <c r="A172" s="4" t="str">
        <f t="shared" si="3"/>
        <v/>
      </c>
      <c r="B172" s="5"/>
      <c r="C172" s="6"/>
      <c r="D172" s="6"/>
      <c r="E172" s="5"/>
      <c r="F172" s="6"/>
      <c r="G172" s="7"/>
      <c r="H172" s="5"/>
      <c r="I172" s="7"/>
      <c r="J172" s="5"/>
    </row>
    <row r="173" spans="1:10" ht="15.6" customHeight="1" x14ac:dyDescent="0.25">
      <c r="A173" s="4" t="str">
        <f t="shared" si="3"/>
        <v/>
      </c>
      <c r="B173" s="5"/>
      <c r="C173" s="6"/>
      <c r="D173" s="6"/>
      <c r="E173" s="5"/>
      <c r="F173" s="6"/>
      <c r="G173" s="7"/>
      <c r="H173" s="5"/>
      <c r="I173" s="7"/>
      <c r="J173" s="5"/>
    </row>
    <row r="174" spans="1:10" ht="15.6" customHeight="1" x14ac:dyDescent="0.25">
      <c r="A174" s="4" t="str">
        <f t="shared" si="3"/>
        <v/>
      </c>
      <c r="B174" s="5"/>
      <c r="C174" s="6"/>
      <c r="D174" s="6"/>
      <c r="E174" s="5"/>
      <c r="F174" s="6"/>
      <c r="G174" s="7"/>
      <c r="H174" s="5"/>
      <c r="I174" s="7"/>
      <c r="J174" s="5"/>
    </row>
    <row r="175" spans="1:10" ht="15.6" customHeight="1" x14ac:dyDescent="0.25">
      <c r="A175" s="4" t="str">
        <f t="shared" si="3"/>
        <v/>
      </c>
      <c r="B175" s="5"/>
      <c r="C175" s="6"/>
      <c r="D175" s="6"/>
      <c r="E175" s="5"/>
      <c r="F175" s="6"/>
      <c r="G175" s="7"/>
      <c r="H175" s="5"/>
      <c r="I175" s="7"/>
      <c r="J175" s="5"/>
    </row>
    <row r="176" spans="1:10" ht="15.6" customHeight="1" x14ac:dyDescent="0.25">
      <c r="A176" s="4" t="str">
        <f t="shared" si="3"/>
        <v/>
      </c>
      <c r="B176" s="5"/>
      <c r="C176" s="6"/>
      <c r="D176" s="6"/>
      <c r="E176" s="5"/>
      <c r="F176" s="6"/>
      <c r="G176" s="7"/>
      <c r="H176" s="5"/>
      <c r="I176" s="7"/>
      <c r="J176" s="5"/>
    </row>
    <row r="177" spans="1:10" ht="15.6" customHeight="1" x14ac:dyDescent="0.25">
      <c r="A177" s="4" t="str">
        <f t="shared" si="3"/>
        <v/>
      </c>
      <c r="B177" s="5"/>
      <c r="C177" s="6"/>
      <c r="D177" s="6"/>
      <c r="E177" s="5"/>
      <c r="F177" s="6"/>
      <c r="G177" s="7"/>
      <c r="H177" s="5"/>
      <c r="I177" s="7"/>
      <c r="J177" s="5"/>
    </row>
    <row r="178" spans="1:10" ht="15.6" customHeight="1" x14ac:dyDescent="0.25">
      <c r="A178" s="4" t="str">
        <f t="shared" si="3"/>
        <v/>
      </c>
      <c r="B178" s="5"/>
      <c r="C178" s="6"/>
      <c r="D178" s="6"/>
      <c r="E178" s="5"/>
      <c r="F178" s="6"/>
      <c r="G178" s="7"/>
      <c r="H178" s="5"/>
      <c r="I178" s="7"/>
      <c r="J178" s="5"/>
    </row>
    <row r="179" spans="1:10" ht="15.6" customHeight="1" x14ac:dyDescent="0.25">
      <c r="A179" s="4" t="str">
        <f t="shared" si="3"/>
        <v/>
      </c>
      <c r="B179" s="5"/>
      <c r="C179" s="6"/>
      <c r="D179" s="6"/>
      <c r="E179" s="5"/>
      <c r="F179" s="6"/>
      <c r="G179" s="7"/>
      <c r="H179" s="5"/>
      <c r="I179" s="7"/>
      <c r="J179" s="5"/>
    </row>
    <row r="180" spans="1:10" ht="15.6" customHeight="1" x14ac:dyDescent="0.25">
      <c r="A180" s="4" t="str">
        <f t="shared" si="3"/>
        <v/>
      </c>
      <c r="B180" s="5"/>
      <c r="C180" s="6"/>
      <c r="D180" s="6"/>
      <c r="E180" s="5"/>
      <c r="F180" s="6"/>
      <c r="G180" s="7"/>
      <c r="H180" s="5"/>
      <c r="I180" s="7"/>
      <c r="J180" s="5"/>
    </row>
    <row r="181" spans="1:10" ht="15.6" customHeight="1" x14ac:dyDescent="0.25">
      <c r="A181" s="4" t="str">
        <f t="shared" si="3"/>
        <v/>
      </c>
      <c r="B181" s="5"/>
      <c r="C181" s="6"/>
      <c r="D181" s="6"/>
      <c r="E181" s="5"/>
      <c r="F181" s="6"/>
      <c r="G181" s="7"/>
      <c r="H181" s="5"/>
      <c r="I181" s="7"/>
      <c r="J181" s="5"/>
    </row>
    <row r="182" spans="1:10" ht="15.6" customHeight="1" x14ac:dyDescent="0.25">
      <c r="A182" s="4" t="str">
        <f t="shared" si="3"/>
        <v/>
      </c>
      <c r="B182" s="5"/>
      <c r="C182" s="6"/>
      <c r="D182" s="6"/>
      <c r="E182" s="5"/>
      <c r="F182" s="6"/>
      <c r="G182" s="7"/>
      <c r="H182" s="5"/>
      <c r="I182" s="7"/>
      <c r="J182" s="5"/>
    </row>
    <row r="183" spans="1:10" ht="15.6" customHeight="1" x14ac:dyDescent="0.25">
      <c r="A183" s="4" t="str">
        <f t="shared" si="3"/>
        <v/>
      </c>
      <c r="B183" s="5"/>
      <c r="C183" s="6"/>
      <c r="D183" s="6"/>
      <c r="E183" s="5"/>
      <c r="F183" s="6"/>
      <c r="G183" s="7"/>
      <c r="H183" s="5"/>
      <c r="I183" s="7"/>
      <c r="J183" s="5"/>
    </row>
    <row r="184" spans="1:10" ht="15.6" customHeight="1" x14ac:dyDescent="0.25">
      <c r="A184" s="4" t="str">
        <f t="shared" si="3"/>
        <v/>
      </c>
      <c r="B184" s="5"/>
      <c r="C184" s="6"/>
      <c r="D184" s="6"/>
      <c r="E184" s="5"/>
      <c r="F184" s="6"/>
      <c r="G184" s="7"/>
      <c r="H184" s="5"/>
      <c r="I184" s="7"/>
      <c r="J184" s="5"/>
    </row>
    <row r="185" spans="1:10" ht="15.6" customHeight="1" x14ac:dyDescent="0.25">
      <c r="A185" s="4" t="str">
        <f t="shared" si="3"/>
        <v/>
      </c>
      <c r="B185" s="5"/>
      <c r="C185" s="6"/>
      <c r="D185" s="6"/>
      <c r="E185" s="5"/>
      <c r="F185" s="6"/>
      <c r="G185" s="7"/>
      <c r="H185" s="5"/>
      <c r="I185" s="7"/>
      <c r="J185" s="5"/>
    </row>
    <row r="186" spans="1:10" ht="15.6" customHeight="1" x14ac:dyDescent="0.25">
      <c r="A186" s="4" t="str">
        <f t="shared" si="3"/>
        <v/>
      </c>
      <c r="B186" s="5"/>
      <c r="C186" s="6"/>
      <c r="D186" s="6"/>
      <c r="E186" s="5"/>
      <c r="F186" s="6"/>
      <c r="G186" s="7"/>
      <c r="H186" s="5"/>
      <c r="I186" s="7"/>
      <c r="J186" s="5"/>
    </row>
    <row r="187" spans="1:10" ht="15.6" customHeight="1" x14ac:dyDescent="0.25">
      <c r="A187" s="4" t="str">
        <f t="shared" si="3"/>
        <v/>
      </c>
      <c r="B187" s="5"/>
      <c r="C187" s="6"/>
      <c r="D187" s="6"/>
      <c r="E187" s="5"/>
      <c r="F187" s="6"/>
      <c r="G187" s="7"/>
      <c r="H187" s="5"/>
      <c r="I187" s="7"/>
      <c r="J187" s="5"/>
    </row>
    <row r="188" spans="1:10" ht="15.6" customHeight="1" x14ac:dyDescent="0.25">
      <c r="A188" s="4" t="str">
        <f t="shared" si="3"/>
        <v/>
      </c>
      <c r="B188" s="5"/>
      <c r="C188" s="6"/>
      <c r="D188" s="6"/>
      <c r="E188" s="5"/>
      <c r="F188" s="6"/>
      <c r="G188" s="7"/>
      <c r="H188" s="5"/>
      <c r="I188" s="7"/>
      <c r="J188" s="5"/>
    </row>
    <row r="189" spans="1:10" ht="15.6" customHeight="1" x14ac:dyDescent="0.25">
      <c r="A189" s="4" t="str">
        <f t="shared" si="3"/>
        <v/>
      </c>
      <c r="B189" s="5"/>
      <c r="C189" s="6"/>
      <c r="D189" s="6"/>
      <c r="E189" s="5"/>
      <c r="F189" s="6"/>
      <c r="G189" s="7"/>
      <c r="H189" s="5"/>
      <c r="I189" s="7"/>
      <c r="J189" s="5"/>
    </row>
    <row r="190" spans="1:10" ht="15.6" customHeight="1" x14ac:dyDescent="0.25">
      <c r="A190" s="4" t="str">
        <f t="shared" si="3"/>
        <v/>
      </c>
      <c r="B190" s="5"/>
      <c r="C190" s="6"/>
      <c r="D190" s="6"/>
      <c r="E190" s="5"/>
      <c r="F190" s="6"/>
      <c r="G190" s="7"/>
      <c r="H190" s="5"/>
      <c r="I190" s="7"/>
      <c r="J190" s="5"/>
    </row>
    <row r="191" spans="1:10" ht="15.6" customHeight="1" x14ac:dyDescent="0.25">
      <c r="A191" s="4" t="str">
        <f t="shared" si="3"/>
        <v/>
      </c>
      <c r="B191" s="5"/>
      <c r="C191" s="6"/>
      <c r="D191" s="6"/>
      <c r="E191" s="5"/>
      <c r="F191" s="6"/>
      <c r="G191" s="7"/>
      <c r="H191" s="5"/>
      <c r="I191" s="7"/>
      <c r="J191" s="5"/>
    </row>
    <row r="192" spans="1:10" ht="15.6" customHeight="1" x14ac:dyDescent="0.25">
      <c r="A192" s="4" t="str">
        <f t="shared" si="3"/>
        <v/>
      </c>
      <c r="B192" s="5"/>
      <c r="C192" s="6"/>
      <c r="D192" s="6"/>
      <c r="E192" s="5"/>
      <c r="F192" s="6"/>
      <c r="G192" s="7"/>
      <c r="H192" s="5"/>
      <c r="I192" s="7"/>
      <c r="J192" s="5"/>
    </row>
    <row r="193" spans="1:10" ht="15.6" customHeight="1" x14ac:dyDescent="0.25">
      <c r="A193" s="4" t="str">
        <f t="shared" si="3"/>
        <v/>
      </c>
      <c r="B193" s="5"/>
      <c r="C193" s="6"/>
      <c r="D193" s="6"/>
      <c r="E193" s="5"/>
      <c r="F193" s="6"/>
      <c r="G193" s="7"/>
      <c r="H193" s="5"/>
      <c r="I193" s="7"/>
      <c r="J193" s="5"/>
    </row>
    <row r="194" spans="1:10" ht="15.6" customHeight="1" x14ac:dyDescent="0.25">
      <c r="A194" s="4" t="str">
        <f t="shared" si="3"/>
        <v/>
      </c>
      <c r="B194" s="5"/>
      <c r="C194" s="6"/>
      <c r="D194" s="6"/>
      <c r="E194" s="5"/>
      <c r="F194" s="6"/>
      <c r="G194" s="7"/>
      <c r="H194" s="5"/>
      <c r="I194" s="7"/>
      <c r="J194" s="5"/>
    </row>
    <row r="195" spans="1:10" ht="15.6" customHeight="1" x14ac:dyDescent="0.25">
      <c r="A195" s="4" t="str">
        <f t="shared" si="3"/>
        <v/>
      </c>
      <c r="B195" s="5"/>
      <c r="C195" s="6"/>
      <c r="D195" s="6"/>
      <c r="E195" s="5"/>
      <c r="F195" s="6"/>
      <c r="G195" s="7"/>
      <c r="H195" s="5"/>
      <c r="I195" s="7"/>
      <c r="J195" s="5"/>
    </row>
    <row r="196" spans="1:10" ht="15.6" customHeight="1" x14ac:dyDescent="0.25">
      <c r="A196" s="4" t="str">
        <f t="shared" si="3"/>
        <v/>
      </c>
      <c r="B196" s="5"/>
      <c r="C196" s="6"/>
      <c r="D196" s="6"/>
      <c r="E196" s="5"/>
      <c r="F196" s="6"/>
      <c r="G196" s="7"/>
      <c r="H196" s="5"/>
      <c r="I196" s="7"/>
      <c r="J196" s="5"/>
    </row>
    <row r="197" spans="1:10" ht="15.6" customHeight="1" x14ac:dyDescent="0.25">
      <c r="A197" s="4" t="str">
        <f t="shared" si="3"/>
        <v/>
      </c>
      <c r="B197" s="5"/>
      <c r="C197" s="6"/>
      <c r="D197" s="6"/>
      <c r="E197" s="5"/>
      <c r="F197" s="6"/>
      <c r="G197" s="7"/>
      <c r="H197" s="5"/>
      <c r="I197" s="7"/>
      <c r="J197" s="5"/>
    </row>
    <row r="198" spans="1:10" ht="15.6" customHeight="1" x14ac:dyDescent="0.25">
      <c r="A198" s="4" t="str">
        <f t="shared" si="3"/>
        <v/>
      </c>
      <c r="B198" s="5"/>
      <c r="C198" s="6"/>
      <c r="D198" s="6"/>
      <c r="E198" s="5"/>
      <c r="F198" s="6"/>
      <c r="G198" s="7"/>
      <c r="H198" s="5"/>
      <c r="I198" s="7"/>
      <c r="J198" s="5"/>
    </row>
    <row r="199" spans="1:10" ht="15.6" customHeight="1" x14ac:dyDescent="0.25">
      <c r="A199" s="4" t="str">
        <f t="shared" si="3"/>
        <v/>
      </c>
      <c r="B199" s="5"/>
      <c r="C199" s="6"/>
      <c r="D199" s="6"/>
      <c r="E199" s="5"/>
      <c r="F199" s="6"/>
      <c r="G199" s="7"/>
      <c r="H199" s="5"/>
      <c r="I199" s="7"/>
      <c r="J199" s="5"/>
    </row>
    <row r="200" spans="1:10" ht="15.6" customHeight="1" x14ac:dyDescent="0.25">
      <c r="A200" s="4" t="str">
        <f t="shared" si="3"/>
        <v/>
      </c>
      <c r="B200" s="5"/>
      <c r="C200" s="6"/>
      <c r="D200" s="6"/>
      <c r="E200" s="5"/>
      <c r="F200" s="6"/>
      <c r="G200" s="7"/>
      <c r="H200" s="5"/>
      <c r="I200" s="7"/>
      <c r="J200" s="5"/>
    </row>
    <row r="201" spans="1:10" ht="15.6" customHeight="1" x14ac:dyDescent="0.25">
      <c r="A201" s="4" t="str">
        <f t="shared" si="3"/>
        <v/>
      </c>
      <c r="B201" s="5"/>
      <c r="C201" s="6"/>
      <c r="D201" s="6"/>
      <c r="E201" s="5"/>
      <c r="F201" s="6"/>
      <c r="G201" s="7"/>
      <c r="H201" s="5"/>
      <c r="I201" s="7"/>
      <c r="J201" s="5"/>
    </row>
    <row r="202" spans="1:10" ht="15.6" customHeight="1" x14ac:dyDescent="0.25">
      <c r="A202" s="4" t="str">
        <f t="shared" si="3"/>
        <v/>
      </c>
      <c r="B202" s="5"/>
      <c r="C202" s="6"/>
      <c r="D202" s="6"/>
      <c r="E202" s="5"/>
      <c r="F202" s="6"/>
      <c r="G202" s="7"/>
      <c r="H202" s="5"/>
      <c r="I202" s="7"/>
      <c r="J202" s="5"/>
    </row>
    <row r="203" spans="1:10" ht="15.6" customHeight="1" x14ac:dyDescent="0.25">
      <c r="A203" s="4" t="str">
        <f t="shared" si="3"/>
        <v/>
      </c>
      <c r="B203" s="5"/>
      <c r="C203" s="6"/>
      <c r="D203" s="6"/>
      <c r="E203" s="5"/>
      <c r="F203" s="6"/>
      <c r="G203" s="7"/>
      <c r="H203" s="5"/>
      <c r="I203" s="7"/>
      <c r="J203" s="5"/>
    </row>
    <row r="204" spans="1:10" ht="15.6" customHeight="1" x14ac:dyDescent="0.25">
      <c r="A204" s="4" t="str">
        <f t="shared" si="3"/>
        <v/>
      </c>
      <c r="B204" s="5"/>
      <c r="C204" s="6"/>
      <c r="D204" s="6"/>
      <c r="E204" s="5"/>
      <c r="F204" s="6"/>
      <c r="G204" s="7"/>
      <c r="H204" s="5"/>
      <c r="I204" s="7"/>
      <c r="J204" s="5"/>
    </row>
    <row r="205" spans="1:10" ht="15.6" customHeight="1" x14ac:dyDescent="0.25">
      <c r="A205" s="4" t="str">
        <f t="shared" si="3"/>
        <v/>
      </c>
      <c r="B205" s="5"/>
      <c r="C205" s="6"/>
      <c r="D205" s="6"/>
      <c r="E205" s="5"/>
      <c r="F205" s="6"/>
      <c r="G205" s="7"/>
      <c r="H205" s="5"/>
      <c r="I205" s="7"/>
      <c r="J205" s="5"/>
    </row>
    <row r="206" spans="1:10" ht="15.6" customHeight="1" x14ac:dyDescent="0.25">
      <c r="A206" s="4" t="str">
        <f t="shared" si="3"/>
        <v/>
      </c>
      <c r="B206" s="5"/>
      <c r="C206" s="6"/>
      <c r="D206" s="6"/>
      <c r="E206" s="5"/>
      <c r="F206" s="6"/>
      <c r="G206" s="7"/>
      <c r="H206" s="5"/>
      <c r="I206" s="7"/>
      <c r="J206" s="5"/>
    </row>
    <row r="207" spans="1:10" ht="15.6" customHeight="1" x14ac:dyDescent="0.25">
      <c r="A207" s="4" t="str">
        <f t="shared" si="3"/>
        <v/>
      </c>
      <c r="B207" s="5"/>
      <c r="C207" s="6"/>
      <c r="D207" s="6"/>
      <c r="E207" s="5"/>
      <c r="F207" s="6"/>
      <c r="G207" s="7"/>
      <c r="H207" s="5"/>
      <c r="I207" s="7"/>
      <c r="J207" s="5"/>
    </row>
    <row r="208" spans="1:10" ht="15.6" customHeight="1" x14ac:dyDescent="0.25">
      <c r="A208" s="4" t="str">
        <f t="shared" si="3"/>
        <v/>
      </c>
      <c r="B208" s="5"/>
      <c r="C208" s="6"/>
      <c r="D208" s="6"/>
      <c r="E208" s="5"/>
      <c r="F208" s="6"/>
      <c r="G208" s="7"/>
      <c r="H208" s="5"/>
      <c r="I208" s="7"/>
      <c r="J208" s="5"/>
    </row>
    <row r="209" spans="1:10" ht="15.6" customHeight="1" x14ac:dyDescent="0.25">
      <c r="A209" s="4" t="str">
        <f t="shared" si="3"/>
        <v/>
      </c>
      <c r="B209" s="5"/>
      <c r="C209" s="6"/>
      <c r="D209" s="6"/>
      <c r="E209" s="5"/>
      <c r="F209" s="6"/>
      <c r="G209" s="7"/>
      <c r="H209" s="5"/>
      <c r="I209" s="7"/>
      <c r="J209" s="5"/>
    </row>
    <row r="210" spans="1:10" ht="15.6" customHeight="1" x14ac:dyDescent="0.25">
      <c r="A210" s="4" t="str">
        <f t="shared" si="3"/>
        <v/>
      </c>
      <c r="B210" s="5"/>
      <c r="C210" s="6"/>
      <c r="D210" s="6"/>
      <c r="E210" s="5"/>
      <c r="F210" s="6"/>
      <c r="G210" s="7"/>
      <c r="H210" s="5"/>
      <c r="I210" s="7"/>
      <c r="J210" s="5"/>
    </row>
    <row r="211" spans="1:10" ht="15.6" customHeight="1" x14ac:dyDescent="0.25">
      <c r="A211" s="4" t="str">
        <f t="shared" si="3"/>
        <v/>
      </c>
      <c r="B211" s="5"/>
      <c r="C211" s="6"/>
      <c r="D211" s="6"/>
      <c r="E211" s="5"/>
      <c r="F211" s="6"/>
      <c r="G211" s="7"/>
      <c r="H211" s="5"/>
      <c r="I211" s="7"/>
      <c r="J211" s="5"/>
    </row>
    <row r="212" spans="1:10" ht="15.6" customHeight="1" x14ac:dyDescent="0.25">
      <c r="A212" s="4" t="str">
        <f t="shared" si="3"/>
        <v/>
      </c>
      <c r="B212" s="5"/>
      <c r="C212" s="6"/>
      <c r="D212" s="6"/>
      <c r="E212" s="5"/>
      <c r="F212" s="6"/>
      <c r="G212" s="7"/>
      <c r="H212" s="5"/>
      <c r="I212" s="7"/>
      <c r="J212" s="5"/>
    </row>
    <row r="213" spans="1:10" ht="15.6" customHeight="1" x14ac:dyDescent="0.25">
      <c r="A213" s="4" t="str">
        <f t="shared" si="3"/>
        <v/>
      </c>
      <c r="B213" s="5"/>
      <c r="C213" s="6"/>
      <c r="D213" s="6"/>
      <c r="E213" s="5"/>
      <c r="F213" s="6"/>
      <c r="G213" s="7"/>
      <c r="H213" s="5"/>
      <c r="I213" s="7"/>
      <c r="J213" s="5"/>
    </row>
    <row r="214" spans="1:10" ht="15.6" customHeight="1" x14ac:dyDescent="0.25">
      <c r="A214" s="4" t="str">
        <f t="shared" si="3"/>
        <v/>
      </c>
      <c r="B214" s="5"/>
      <c r="C214" s="6"/>
      <c r="D214" s="6"/>
      <c r="E214" s="5"/>
      <c r="F214" s="6"/>
      <c r="G214" s="7"/>
      <c r="H214" s="5"/>
      <c r="I214" s="7"/>
      <c r="J214" s="5"/>
    </row>
    <row r="215" spans="1:10" ht="15.6" customHeight="1" x14ac:dyDescent="0.25">
      <c r="A215" s="4" t="str">
        <f t="shared" si="3"/>
        <v/>
      </c>
      <c r="B215" s="5"/>
      <c r="C215" s="6"/>
      <c r="D215" s="6"/>
      <c r="E215" s="5"/>
      <c r="F215" s="6"/>
      <c r="G215" s="7"/>
      <c r="H215" s="5"/>
      <c r="I215" s="7"/>
      <c r="J215" s="5"/>
    </row>
    <row r="216" spans="1:10" ht="15.6" customHeight="1" x14ac:dyDescent="0.25">
      <c r="A216" s="4" t="str">
        <f t="shared" si="3"/>
        <v/>
      </c>
      <c r="B216" s="5"/>
      <c r="C216" s="6"/>
      <c r="D216" s="6"/>
      <c r="E216" s="5"/>
      <c r="F216" s="6"/>
      <c r="G216" s="7"/>
      <c r="H216" s="5"/>
      <c r="I216" s="7"/>
      <c r="J216" s="5"/>
    </row>
    <row r="217" spans="1:10" ht="15.6" customHeight="1" x14ac:dyDescent="0.25">
      <c r="A217" s="4" t="str">
        <f t="shared" si="3"/>
        <v/>
      </c>
      <c r="B217" s="5"/>
      <c r="C217" s="6"/>
      <c r="D217" s="6"/>
      <c r="E217" s="5"/>
      <c r="F217" s="6"/>
      <c r="G217" s="7"/>
      <c r="H217" s="5"/>
      <c r="I217" s="7"/>
      <c r="J217" s="5"/>
    </row>
    <row r="218" spans="1:10" ht="15.6" customHeight="1" x14ac:dyDescent="0.25">
      <c r="A218" s="4" t="str">
        <f t="shared" si="3"/>
        <v/>
      </c>
      <c r="B218" s="5"/>
      <c r="C218" s="6"/>
      <c r="D218" s="6"/>
      <c r="E218" s="5"/>
      <c r="F218" s="6"/>
      <c r="G218" s="7"/>
      <c r="H218" s="5"/>
      <c r="I218" s="7"/>
      <c r="J218" s="5"/>
    </row>
    <row r="219" spans="1:10" ht="15.6" customHeight="1" x14ac:dyDescent="0.25">
      <c r="A219" s="4" t="str">
        <f t="shared" si="3"/>
        <v/>
      </c>
      <c r="B219" s="5"/>
      <c r="C219" s="6"/>
      <c r="D219" s="6"/>
      <c r="E219" s="5"/>
      <c r="F219" s="6"/>
      <c r="G219" s="7"/>
      <c r="H219" s="5"/>
      <c r="I219" s="7"/>
      <c r="J219" s="5"/>
    </row>
    <row r="220" spans="1:10" ht="15.6" customHeight="1" x14ac:dyDescent="0.25">
      <c r="A220" s="4" t="str">
        <f t="shared" si="3"/>
        <v/>
      </c>
      <c r="B220" s="5"/>
      <c r="C220" s="6"/>
      <c r="D220" s="6"/>
      <c r="E220" s="5"/>
      <c r="F220" s="6"/>
      <c r="G220" s="7"/>
      <c r="H220" s="5"/>
      <c r="I220" s="7"/>
      <c r="J220" s="5"/>
    </row>
    <row r="221" spans="1:10" ht="15.6" customHeight="1" x14ac:dyDescent="0.25">
      <c r="A221" s="4" t="str">
        <f t="shared" si="3"/>
        <v/>
      </c>
      <c r="B221" s="5"/>
      <c r="C221" s="6"/>
      <c r="D221" s="6"/>
      <c r="E221" s="5"/>
      <c r="F221" s="6"/>
      <c r="G221" s="7"/>
      <c r="H221" s="5"/>
      <c r="I221" s="7"/>
      <c r="J221" s="5"/>
    </row>
    <row r="222" spans="1:10" ht="15.6" customHeight="1" x14ac:dyDescent="0.25">
      <c r="A222" s="4" t="str">
        <f t="shared" si="3"/>
        <v/>
      </c>
      <c r="B222" s="5"/>
      <c r="C222" s="6"/>
      <c r="D222" s="6"/>
      <c r="E222" s="5"/>
      <c r="F222" s="6"/>
      <c r="G222" s="7"/>
      <c r="H222" s="5"/>
      <c r="I222" s="7"/>
      <c r="J222" s="5"/>
    </row>
    <row r="223" spans="1:10" ht="15.6" customHeight="1" x14ac:dyDescent="0.25">
      <c r="A223" s="4" t="str">
        <f t="shared" si="3"/>
        <v/>
      </c>
      <c r="B223" s="5"/>
      <c r="C223" s="6"/>
      <c r="D223" s="6"/>
      <c r="E223" s="5"/>
      <c r="F223" s="6"/>
      <c r="G223" s="7"/>
      <c r="H223" s="5"/>
      <c r="I223" s="7"/>
      <c r="J223" s="5"/>
    </row>
    <row r="224" spans="1:10" ht="15.6" customHeight="1" x14ac:dyDescent="0.25">
      <c r="A224" s="4" t="str">
        <f t="shared" si="3"/>
        <v/>
      </c>
      <c r="B224" s="5"/>
      <c r="C224" s="6"/>
      <c r="D224" s="6"/>
      <c r="E224" s="5"/>
      <c r="F224" s="6"/>
      <c r="G224" s="7"/>
      <c r="H224" s="5"/>
      <c r="I224" s="7"/>
      <c r="J224" s="5"/>
    </row>
    <row r="225" spans="1:10" ht="15.6" customHeight="1" x14ac:dyDescent="0.25">
      <c r="A225" s="4" t="str">
        <f t="shared" si="3"/>
        <v/>
      </c>
      <c r="B225" s="5"/>
      <c r="C225" s="6"/>
      <c r="D225" s="6"/>
      <c r="E225" s="5"/>
      <c r="F225" s="6"/>
      <c r="G225" s="7"/>
      <c r="H225" s="5"/>
      <c r="I225" s="7"/>
      <c r="J225" s="5"/>
    </row>
    <row r="226" spans="1:10" ht="15.6" customHeight="1" x14ac:dyDescent="0.25">
      <c r="A226" s="4" t="str">
        <f t="shared" si="3"/>
        <v/>
      </c>
      <c r="B226" s="5"/>
      <c r="C226" s="6"/>
      <c r="D226" s="6"/>
      <c r="E226" s="5"/>
      <c r="F226" s="6"/>
      <c r="G226" s="7"/>
      <c r="H226" s="5"/>
      <c r="I226" s="7"/>
      <c r="J226" s="5"/>
    </row>
    <row r="227" spans="1:10" ht="15.6" customHeight="1" x14ac:dyDescent="0.25">
      <c r="A227" s="4" t="str">
        <f t="shared" si="3"/>
        <v/>
      </c>
      <c r="B227" s="5"/>
      <c r="C227" s="6"/>
      <c r="D227" s="6"/>
      <c r="E227" s="5"/>
      <c r="F227" s="6"/>
      <c r="G227" s="7"/>
      <c r="H227" s="5"/>
      <c r="I227" s="7"/>
      <c r="J227" s="5"/>
    </row>
    <row r="228" spans="1:10" ht="15.6" customHeight="1" x14ac:dyDescent="0.25">
      <c r="A228" s="4" t="str">
        <f t="shared" si="3"/>
        <v/>
      </c>
      <c r="B228" s="5"/>
      <c r="C228" s="6"/>
      <c r="D228" s="6"/>
      <c r="E228" s="5"/>
      <c r="F228" s="6"/>
      <c r="G228" s="7"/>
      <c r="H228" s="5"/>
      <c r="I228" s="7"/>
      <c r="J228" s="5"/>
    </row>
    <row r="229" spans="1:10" ht="15.6" customHeight="1" x14ac:dyDescent="0.25">
      <c r="A229" s="4" t="str">
        <f t="shared" si="3"/>
        <v/>
      </c>
      <c r="B229" s="5"/>
      <c r="C229" s="6"/>
      <c r="D229" s="6"/>
      <c r="E229" s="5"/>
      <c r="F229" s="6"/>
      <c r="G229" s="7"/>
      <c r="H229" s="5"/>
      <c r="I229" s="7"/>
      <c r="J229" s="5"/>
    </row>
    <row r="230" spans="1:10" ht="15.6" customHeight="1" x14ac:dyDescent="0.25">
      <c r="A230" s="4" t="str">
        <f t="shared" si="3"/>
        <v/>
      </c>
      <c r="B230" s="5"/>
      <c r="C230" s="6"/>
      <c r="D230" s="6"/>
      <c r="E230" s="5"/>
      <c r="F230" s="6"/>
      <c r="G230" s="7"/>
      <c r="H230" s="5"/>
      <c r="I230" s="7"/>
      <c r="J230" s="5"/>
    </row>
    <row r="231" spans="1:10" ht="15.6" customHeight="1" x14ac:dyDescent="0.25">
      <c r="A231" s="4" t="str">
        <f t="shared" ref="A231:A294" si="4">IF(B231&lt;&gt;"",ROW()-3,"")</f>
        <v/>
      </c>
      <c r="B231" s="5"/>
      <c r="C231" s="6"/>
      <c r="D231" s="6"/>
      <c r="E231" s="5"/>
      <c r="F231" s="6"/>
      <c r="G231" s="7"/>
      <c r="H231" s="5"/>
      <c r="I231" s="7"/>
      <c r="J231" s="5"/>
    </row>
    <row r="232" spans="1:10" ht="15.6" customHeight="1" x14ac:dyDescent="0.25">
      <c r="A232" s="4" t="str">
        <f t="shared" si="4"/>
        <v/>
      </c>
      <c r="B232" s="5"/>
      <c r="C232" s="6"/>
      <c r="D232" s="6"/>
      <c r="E232" s="5"/>
      <c r="F232" s="6"/>
      <c r="G232" s="7"/>
      <c r="H232" s="5"/>
      <c r="I232" s="7"/>
      <c r="J232" s="5"/>
    </row>
    <row r="233" spans="1:10" ht="15.6" customHeight="1" x14ac:dyDescent="0.25">
      <c r="A233" s="4" t="str">
        <f t="shared" si="4"/>
        <v/>
      </c>
      <c r="B233" s="5"/>
      <c r="C233" s="6"/>
      <c r="D233" s="6"/>
      <c r="E233" s="5"/>
      <c r="F233" s="6"/>
      <c r="G233" s="7"/>
      <c r="H233" s="5"/>
      <c r="I233" s="7"/>
      <c r="J233" s="5"/>
    </row>
    <row r="234" spans="1:10" ht="15.6" customHeight="1" x14ac:dyDescent="0.25">
      <c r="A234" s="4" t="str">
        <f t="shared" si="4"/>
        <v/>
      </c>
      <c r="B234" s="5"/>
      <c r="C234" s="6"/>
      <c r="D234" s="6"/>
      <c r="E234" s="5"/>
      <c r="F234" s="6"/>
      <c r="G234" s="7"/>
      <c r="H234" s="5"/>
      <c r="I234" s="7"/>
      <c r="J234" s="5"/>
    </row>
    <row r="235" spans="1:10" ht="15.6" customHeight="1" x14ac:dyDescent="0.25">
      <c r="A235" s="4" t="str">
        <f t="shared" si="4"/>
        <v/>
      </c>
      <c r="B235" s="5"/>
      <c r="C235" s="6"/>
      <c r="D235" s="6"/>
      <c r="E235" s="5"/>
      <c r="F235" s="6"/>
      <c r="G235" s="7"/>
      <c r="H235" s="5"/>
      <c r="I235" s="7"/>
      <c r="J235" s="5"/>
    </row>
    <row r="236" spans="1:10" ht="15.6" customHeight="1" x14ac:dyDescent="0.25">
      <c r="A236" s="4" t="str">
        <f t="shared" si="4"/>
        <v/>
      </c>
      <c r="B236" s="5"/>
      <c r="C236" s="6"/>
      <c r="D236" s="6"/>
      <c r="E236" s="5"/>
      <c r="F236" s="6"/>
      <c r="G236" s="7"/>
      <c r="H236" s="5"/>
      <c r="I236" s="7"/>
      <c r="J236" s="5"/>
    </row>
    <row r="237" spans="1:10" ht="15.6" customHeight="1" x14ac:dyDescent="0.25">
      <c r="A237" s="4" t="str">
        <f t="shared" si="4"/>
        <v/>
      </c>
      <c r="B237" s="5"/>
      <c r="C237" s="6"/>
      <c r="D237" s="6"/>
      <c r="E237" s="5"/>
      <c r="F237" s="6"/>
      <c r="G237" s="7"/>
      <c r="H237" s="5"/>
      <c r="I237" s="7"/>
      <c r="J237" s="5"/>
    </row>
    <row r="238" spans="1:10" ht="15.6" customHeight="1" x14ac:dyDescent="0.25">
      <c r="A238" s="4" t="str">
        <f t="shared" si="4"/>
        <v/>
      </c>
      <c r="B238" s="5"/>
      <c r="C238" s="6"/>
      <c r="D238" s="6"/>
      <c r="E238" s="5"/>
      <c r="F238" s="6"/>
      <c r="G238" s="7"/>
      <c r="H238" s="5"/>
      <c r="I238" s="7"/>
      <c r="J238" s="5"/>
    </row>
    <row r="239" spans="1:10" ht="15.6" customHeight="1" x14ac:dyDescent="0.25">
      <c r="A239" s="4" t="str">
        <f t="shared" si="4"/>
        <v/>
      </c>
      <c r="B239" s="5"/>
      <c r="C239" s="6"/>
      <c r="D239" s="6"/>
      <c r="E239" s="5"/>
      <c r="F239" s="6"/>
      <c r="G239" s="7"/>
      <c r="H239" s="5"/>
      <c r="I239" s="7"/>
      <c r="J239" s="5"/>
    </row>
    <row r="240" spans="1:10" ht="15.6" customHeight="1" x14ac:dyDescent="0.25">
      <c r="A240" s="4" t="str">
        <f t="shared" si="4"/>
        <v/>
      </c>
      <c r="B240" s="5"/>
      <c r="C240" s="6"/>
      <c r="D240" s="6"/>
      <c r="E240" s="5"/>
      <c r="F240" s="6"/>
      <c r="G240" s="7"/>
      <c r="H240" s="5"/>
      <c r="I240" s="7"/>
      <c r="J240" s="5"/>
    </row>
    <row r="241" spans="1:10" ht="15.6" customHeight="1" x14ac:dyDescent="0.25">
      <c r="A241" s="4" t="str">
        <f t="shared" si="4"/>
        <v/>
      </c>
      <c r="B241" s="5"/>
      <c r="C241" s="6"/>
      <c r="D241" s="6"/>
      <c r="E241" s="5"/>
      <c r="F241" s="6"/>
      <c r="G241" s="7"/>
      <c r="H241" s="5"/>
      <c r="I241" s="7"/>
      <c r="J241" s="5"/>
    </row>
    <row r="242" spans="1:10" ht="15.6" customHeight="1" x14ac:dyDescent="0.25">
      <c r="A242" s="4" t="str">
        <f t="shared" si="4"/>
        <v/>
      </c>
      <c r="B242" s="5"/>
      <c r="C242" s="6"/>
      <c r="D242" s="6"/>
      <c r="E242" s="5"/>
      <c r="F242" s="6"/>
      <c r="G242" s="7"/>
      <c r="H242" s="5"/>
      <c r="I242" s="7"/>
      <c r="J242" s="5"/>
    </row>
    <row r="243" spans="1:10" ht="15.6" customHeight="1" x14ac:dyDescent="0.25">
      <c r="A243" s="4" t="str">
        <f t="shared" si="4"/>
        <v/>
      </c>
      <c r="B243" s="5"/>
      <c r="C243" s="6"/>
      <c r="D243" s="6"/>
      <c r="E243" s="5"/>
      <c r="F243" s="6"/>
      <c r="G243" s="7"/>
      <c r="H243" s="5"/>
      <c r="I243" s="7"/>
      <c r="J243" s="5"/>
    </row>
    <row r="244" spans="1:10" ht="15.6" customHeight="1" x14ac:dyDescent="0.25">
      <c r="A244" s="4" t="str">
        <f t="shared" si="4"/>
        <v/>
      </c>
      <c r="B244" s="5"/>
      <c r="C244" s="6"/>
      <c r="D244" s="6"/>
      <c r="E244" s="5"/>
      <c r="F244" s="6"/>
      <c r="G244" s="7"/>
      <c r="H244" s="5"/>
      <c r="I244" s="7"/>
      <c r="J244" s="5"/>
    </row>
    <row r="245" spans="1:10" ht="15.6" customHeight="1" x14ac:dyDescent="0.25">
      <c r="A245" s="4" t="str">
        <f t="shared" si="4"/>
        <v/>
      </c>
      <c r="B245" s="5"/>
      <c r="C245" s="6"/>
      <c r="D245" s="6"/>
      <c r="E245" s="5"/>
      <c r="F245" s="6"/>
      <c r="G245" s="7"/>
      <c r="H245" s="5"/>
      <c r="I245" s="7"/>
      <c r="J245" s="5"/>
    </row>
    <row r="246" spans="1:10" ht="15.6" customHeight="1" x14ac:dyDescent="0.25">
      <c r="A246" s="4" t="str">
        <f t="shared" si="4"/>
        <v/>
      </c>
      <c r="B246" s="5"/>
      <c r="C246" s="6"/>
      <c r="D246" s="6"/>
      <c r="E246" s="5"/>
      <c r="F246" s="6"/>
      <c r="G246" s="7"/>
      <c r="H246" s="5"/>
      <c r="I246" s="7"/>
      <c r="J246" s="5"/>
    </row>
    <row r="247" spans="1:10" ht="15.6" customHeight="1" x14ac:dyDescent="0.25">
      <c r="A247" s="4" t="str">
        <f t="shared" si="4"/>
        <v/>
      </c>
      <c r="B247" s="5"/>
      <c r="C247" s="6"/>
      <c r="D247" s="6"/>
      <c r="E247" s="5"/>
      <c r="F247" s="6"/>
      <c r="G247" s="7"/>
      <c r="H247" s="5"/>
      <c r="I247" s="7"/>
      <c r="J247" s="5"/>
    </row>
    <row r="248" spans="1:10" ht="15.6" customHeight="1" x14ac:dyDescent="0.25">
      <c r="A248" s="4" t="str">
        <f t="shared" si="4"/>
        <v/>
      </c>
      <c r="B248" s="5"/>
      <c r="C248" s="6"/>
      <c r="D248" s="6"/>
      <c r="E248" s="5"/>
      <c r="F248" s="6"/>
      <c r="G248" s="7"/>
      <c r="H248" s="5"/>
      <c r="I248" s="7"/>
      <c r="J248" s="5"/>
    </row>
    <row r="249" spans="1:10" ht="15.6" customHeight="1" x14ac:dyDescent="0.25">
      <c r="A249" s="4" t="str">
        <f t="shared" si="4"/>
        <v/>
      </c>
      <c r="B249" s="5"/>
      <c r="C249" s="6"/>
      <c r="D249" s="6"/>
      <c r="E249" s="5"/>
      <c r="F249" s="6"/>
      <c r="G249" s="7"/>
      <c r="H249" s="5"/>
      <c r="I249" s="7"/>
      <c r="J249" s="5"/>
    </row>
    <row r="250" spans="1:10" ht="15.6" customHeight="1" x14ac:dyDescent="0.25">
      <c r="A250" s="4" t="str">
        <f t="shared" si="4"/>
        <v/>
      </c>
      <c r="B250" s="5"/>
      <c r="C250" s="6"/>
      <c r="D250" s="6"/>
      <c r="E250" s="5"/>
      <c r="F250" s="6"/>
      <c r="G250" s="7"/>
      <c r="H250" s="5"/>
      <c r="I250" s="7"/>
      <c r="J250" s="5"/>
    </row>
    <row r="251" spans="1:10" ht="15.6" customHeight="1" x14ac:dyDescent="0.25">
      <c r="A251" s="4" t="str">
        <f t="shared" si="4"/>
        <v/>
      </c>
      <c r="B251" s="5"/>
      <c r="C251" s="6"/>
      <c r="D251" s="6"/>
      <c r="E251" s="5"/>
      <c r="F251" s="6"/>
      <c r="G251" s="7"/>
      <c r="H251" s="5"/>
      <c r="I251" s="7"/>
      <c r="J251" s="5"/>
    </row>
    <row r="252" spans="1:10" ht="15.6" customHeight="1" x14ac:dyDescent="0.25">
      <c r="A252" s="4" t="str">
        <f t="shared" si="4"/>
        <v/>
      </c>
      <c r="B252" s="5"/>
      <c r="C252" s="6"/>
      <c r="D252" s="6"/>
      <c r="E252" s="5"/>
      <c r="F252" s="6"/>
      <c r="G252" s="7"/>
      <c r="H252" s="5"/>
      <c r="I252" s="7"/>
      <c r="J252" s="5"/>
    </row>
    <row r="253" spans="1:10" ht="15.6" customHeight="1" x14ac:dyDescent="0.25">
      <c r="A253" s="4" t="str">
        <f t="shared" si="4"/>
        <v/>
      </c>
      <c r="B253" s="5"/>
      <c r="C253" s="6"/>
      <c r="D253" s="6"/>
      <c r="E253" s="5"/>
      <c r="F253" s="6"/>
      <c r="G253" s="7"/>
      <c r="H253" s="5"/>
      <c r="I253" s="7"/>
      <c r="J253" s="5"/>
    </row>
    <row r="254" spans="1:10" ht="15.6" customHeight="1" x14ac:dyDescent="0.25">
      <c r="A254" s="4" t="str">
        <f t="shared" si="4"/>
        <v/>
      </c>
      <c r="B254" s="5"/>
      <c r="C254" s="6"/>
      <c r="D254" s="6"/>
      <c r="E254" s="5"/>
      <c r="F254" s="6"/>
      <c r="G254" s="7"/>
      <c r="H254" s="5"/>
      <c r="I254" s="7"/>
      <c r="J254" s="5"/>
    </row>
    <row r="255" spans="1:10" ht="15.6" customHeight="1" x14ac:dyDescent="0.25">
      <c r="A255" s="4" t="str">
        <f t="shared" si="4"/>
        <v/>
      </c>
      <c r="B255" s="5"/>
      <c r="C255" s="6"/>
      <c r="D255" s="6"/>
      <c r="E255" s="5"/>
      <c r="F255" s="6"/>
      <c r="G255" s="7"/>
      <c r="H255" s="5"/>
      <c r="I255" s="7"/>
      <c r="J255" s="5"/>
    </row>
    <row r="256" spans="1:10" ht="15.6" customHeight="1" x14ac:dyDescent="0.25">
      <c r="A256" s="4" t="str">
        <f t="shared" si="4"/>
        <v/>
      </c>
      <c r="B256" s="5"/>
      <c r="C256" s="6"/>
      <c r="D256" s="6"/>
      <c r="E256" s="5"/>
      <c r="F256" s="6"/>
      <c r="G256" s="7"/>
      <c r="H256" s="5"/>
      <c r="I256" s="7"/>
      <c r="J256" s="5"/>
    </row>
    <row r="257" spans="1:10" ht="15.6" customHeight="1" x14ac:dyDescent="0.25">
      <c r="A257" s="4" t="str">
        <f t="shared" si="4"/>
        <v/>
      </c>
      <c r="B257" s="5"/>
      <c r="C257" s="6"/>
      <c r="D257" s="6"/>
      <c r="E257" s="5"/>
      <c r="F257" s="6"/>
      <c r="G257" s="7"/>
      <c r="H257" s="5"/>
      <c r="I257" s="7"/>
      <c r="J257" s="5"/>
    </row>
    <row r="258" spans="1:10" ht="15.6" customHeight="1" x14ac:dyDescent="0.25">
      <c r="A258" s="4" t="str">
        <f t="shared" si="4"/>
        <v/>
      </c>
      <c r="B258" s="5"/>
      <c r="C258" s="6"/>
      <c r="D258" s="6"/>
      <c r="E258" s="5"/>
      <c r="F258" s="6"/>
      <c r="G258" s="7"/>
      <c r="H258" s="5"/>
      <c r="I258" s="7"/>
      <c r="J258" s="5"/>
    </row>
    <row r="259" spans="1:10" ht="15.6" customHeight="1" x14ac:dyDescent="0.25">
      <c r="A259" s="4" t="str">
        <f t="shared" si="4"/>
        <v/>
      </c>
      <c r="B259" s="5"/>
      <c r="C259" s="6"/>
      <c r="D259" s="6"/>
      <c r="E259" s="5"/>
      <c r="F259" s="6"/>
      <c r="G259" s="7"/>
      <c r="H259" s="5"/>
      <c r="I259" s="7"/>
      <c r="J259" s="5"/>
    </row>
    <row r="260" spans="1:10" ht="15.6" customHeight="1" x14ac:dyDescent="0.25">
      <c r="A260" s="4" t="str">
        <f t="shared" si="4"/>
        <v/>
      </c>
      <c r="B260" s="5"/>
      <c r="C260" s="6"/>
      <c r="D260" s="6"/>
      <c r="E260" s="5"/>
      <c r="F260" s="6"/>
      <c r="G260" s="7"/>
      <c r="H260" s="5"/>
      <c r="I260" s="7"/>
      <c r="J260" s="5"/>
    </row>
    <row r="261" spans="1:10" ht="15.6" customHeight="1" x14ac:dyDescent="0.25">
      <c r="A261" s="4" t="str">
        <f t="shared" si="4"/>
        <v/>
      </c>
      <c r="B261" s="5"/>
      <c r="C261" s="6"/>
      <c r="D261" s="6"/>
      <c r="E261" s="5"/>
      <c r="F261" s="6"/>
      <c r="G261" s="7"/>
      <c r="H261" s="5"/>
      <c r="I261" s="7"/>
      <c r="J261" s="5"/>
    </row>
    <row r="262" spans="1:10" ht="15.6" customHeight="1" x14ac:dyDescent="0.25">
      <c r="A262" s="4" t="str">
        <f t="shared" si="4"/>
        <v/>
      </c>
      <c r="B262" s="5"/>
      <c r="C262" s="6"/>
      <c r="D262" s="6"/>
      <c r="E262" s="5"/>
      <c r="F262" s="6"/>
      <c r="G262" s="7"/>
      <c r="H262" s="5"/>
      <c r="I262" s="7"/>
      <c r="J262" s="5"/>
    </row>
    <row r="263" spans="1:10" ht="15.6" customHeight="1" x14ac:dyDescent="0.25">
      <c r="A263" s="4" t="str">
        <f t="shared" si="4"/>
        <v/>
      </c>
      <c r="B263" s="5"/>
      <c r="C263" s="6"/>
      <c r="D263" s="6"/>
      <c r="E263" s="5"/>
      <c r="F263" s="6"/>
      <c r="G263" s="7"/>
      <c r="H263" s="5"/>
      <c r="I263" s="7"/>
      <c r="J263" s="5"/>
    </row>
    <row r="264" spans="1:10" ht="15.6" customHeight="1" x14ac:dyDescent="0.25">
      <c r="A264" s="4" t="str">
        <f t="shared" si="4"/>
        <v/>
      </c>
      <c r="B264" s="5"/>
      <c r="C264" s="6"/>
      <c r="D264" s="6"/>
      <c r="E264" s="5"/>
      <c r="F264" s="6"/>
      <c r="G264" s="7"/>
      <c r="H264" s="5"/>
      <c r="I264" s="7"/>
      <c r="J264" s="5"/>
    </row>
    <row r="265" spans="1:10" ht="15.6" customHeight="1" x14ac:dyDescent="0.25">
      <c r="A265" s="4" t="str">
        <f t="shared" si="4"/>
        <v/>
      </c>
      <c r="B265" s="5"/>
      <c r="C265" s="6"/>
      <c r="D265" s="6"/>
      <c r="E265" s="5"/>
      <c r="F265" s="6"/>
      <c r="G265" s="7"/>
      <c r="H265" s="5"/>
      <c r="I265" s="7"/>
      <c r="J265" s="5"/>
    </row>
    <row r="266" spans="1:10" ht="15.6" customHeight="1" x14ac:dyDescent="0.25">
      <c r="A266" s="4" t="str">
        <f t="shared" si="4"/>
        <v/>
      </c>
      <c r="B266" s="5"/>
      <c r="C266" s="6"/>
      <c r="D266" s="6"/>
      <c r="E266" s="5"/>
      <c r="F266" s="6"/>
      <c r="G266" s="7"/>
      <c r="H266" s="5"/>
      <c r="I266" s="7"/>
      <c r="J266" s="5"/>
    </row>
    <row r="267" spans="1:10" ht="15.6" customHeight="1" x14ac:dyDescent="0.25">
      <c r="A267" s="4" t="str">
        <f t="shared" si="4"/>
        <v/>
      </c>
      <c r="B267" s="5"/>
      <c r="C267" s="6"/>
      <c r="D267" s="6"/>
      <c r="E267" s="5"/>
      <c r="F267" s="6"/>
      <c r="G267" s="7"/>
      <c r="H267" s="5"/>
      <c r="I267" s="7"/>
      <c r="J267" s="5"/>
    </row>
    <row r="268" spans="1:10" ht="15.6" customHeight="1" x14ac:dyDescent="0.25">
      <c r="A268" s="4" t="str">
        <f t="shared" si="4"/>
        <v/>
      </c>
      <c r="B268" s="5"/>
      <c r="C268" s="6"/>
      <c r="D268" s="6"/>
      <c r="E268" s="5"/>
      <c r="F268" s="6"/>
      <c r="G268" s="7"/>
      <c r="H268" s="5"/>
      <c r="I268" s="7"/>
      <c r="J268" s="5"/>
    </row>
    <row r="269" spans="1:10" ht="15.6" customHeight="1" x14ac:dyDescent="0.25">
      <c r="A269" s="4" t="str">
        <f t="shared" si="4"/>
        <v/>
      </c>
      <c r="B269" s="5"/>
      <c r="C269" s="6"/>
      <c r="D269" s="6"/>
      <c r="E269" s="5"/>
      <c r="F269" s="6"/>
      <c r="G269" s="7"/>
      <c r="H269" s="5"/>
      <c r="I269" s="7"/>
      <c r="J269" s="5"/>
    </row>
    <row r="270" spans="1:10" ht="15.6" customHeight="1" x14ac:dyDescent="0.25">
      <c r="A270" s="4" t="str">
        <f t="shared" si="4"/>
        <v/>
      </c>
      <c r="B270" s="5"/>
      <c r="C270" s="6"/>
      <c r="D270" s="6"/>
      <c r="E270" s="5"/>
      <c r="F270" s="6"/>
      <c r="G270" s="7"/>
      <c r="H270" s="5"/>
      <c r="I270" s="7"/>
      <c r="J270" s="5"/>
    </row>
    <row r="271" spans="1:10" ht="15.6" customHeight="1" x14ac:dyDescent="0.25">
      <c r="A271" s="4" t="str">
        <f t="shared" si="4"/>
        <v/>
      </c>
      <c r="B271" s="5"/>
      <c r="C271" s="6"/>
      <c r="D271" s="6"/>
      <c r="E271" s="5"/>
      <c r="F271" s="6"/>
      <c r="G271" s="7"/>
      <c r="H271" s="5"/>
      <c r="I271" s="7"/>
      <c r="J271" s="5"/>
    </row>
    <row r="272" spans="1:10" ht="15.6" customHeight="1" x14ac:dyDescent="0.25">
      <c r="A272" s="4" t="str">
        <f t="shared" si="4"/>
        <v/>
      </c>
      <c r="B272" s="5"/>
      <c r="C272" s="6"/>
      <c r="D272" s="6"/>
      <c r="E272" s="5"/>
      <c r="F272" s="6"/>
      <c r="G272" s="7"/>
      <c r="H272" s="5"/>
      <c r="I272" s="7"/>
      <c r="J272" s="5"/>
    </row>
    <row r="273" spans="1:10" ht="15.6" customHeight="1" x14ac:dyDescent="0.25">
      <c r="A273" s="4" t="str">
        <f t="shared" si="4"/>
        <v/>
      </c>
      <c r="B273" s="5"/>
      <c r="C273" s="6"/>
      <c r="D273" s="6"/>
      <c r="E273" s="5"/>
      <c r="F273" s="6"/>
      <c r="G273" s="7"/>
      <c r="H273" s="5"/>
      <c r="I273" s="7"/>
      <c r="J273" s="5"/>
    </row>
    <row r="274" spans="1:10" ht="15.6" customHeight="1" x14ac:dyDescent="0.25">
      <c r="A274" s="4" t="str">
        <f t="shared" si="4"/>
        <v/>
      </c>
      <c r="B274" s="5"/>
      <c r="C274" s="6"/>
      <c r="D274" s="6"/>
      <c r="E274" s="5"/>
      <c r="F274" s="6"/>
      <c r="G274" s="7"/>
      <c r="H274" s="5"/>
      <c r="I274" s="7"/>
      <c r="J274" s="5"/>
    </row>
    <row r="275" spans="1:10" ht="15.6" customHeight="1" x14ac:dyDescent="0.25">
      <c r="A275" s="4" t="str">
        <f t="shared" si="4"/>
        <v/>
      </c>
      <c r="B275" s="5"/>
      <c r="C275" s="6"/>
      <c r="D275" s="6"/>
      <c r="E275" s="5"/>
      <c r="F275" s="6"/>
      <c r="G275" s="7"/>
      <c r="H275" s="5"/>
      <c r="I275" s="7"/>
      <c r="J275" s="5"/>
    </row>
    <row r="276" spans="1:10" ht="15.6" customHeight="1" x14ac:dyDescent="0.25">
      <c r="A276" s="4" t="str">
        <f t="shared" si="4"/>
        <v/>
      </c>
      <c r="B276" s="5"/>
      <c r="C276" s="6"/>
      <c r="D276" s="6"/>
      <c r="E276" s="5"/>
      <c r="F276" s="6"/>
      <c r="G276" s="7"/>
      <c r="H276" s="5"/>
      <c r="I276" s="7"/>
      <c r="J276" s="5"/>
    </row>
    <row r="277" spans="1:10" ht="15.6" customHeight="1" x14ac:dyDescent="0.25">
      <c r="A277" s="4" t="str">
        <f t="shared" si="4"/>
        <v/>
      </c>
      <c r="B277" s="5"/>
      <c r="C277" s="6"/>
      <c r="D277" s="6"/>
      <c r="E277" s="5"/>
      <c r="F277" s="6"/>
      <c r="G277" s="7"/>
      <c r="H277" s="5"/>
      <c r="I277" s="7"/>
      <c r="J277" s="5"/>
    </row>
    <row r="278" spans="1:10" ht="15.6" customHeight="1" x14ac:dyDescent="0.25">
      <c r="A278" s="4" t="str">
        <f t="shared" si="4"/>
        <v/>
      </c>
      <c r="B278" s="5"/>
      <c r="C278" s="6"/>
      <c r="D278" s="6"/>
      <c r="E278" s="5"/>
      <c r="F278" s="6"/>
      <c r="G278" s="7"/>
      <c r="H278" s="5"/>
      <c r="I278" s="7"/>
      <c r="J278" s="5"/>
    </row>
    <row r="279" spans="1:10" ht="15.6" customHeight="1" x14ac:dyDescent="0.25">
      <c r="A279" s="4" t="str">
        <f t="shared" si="4"/>
        <v/>
      </c>
      <c r="B279" s="5"/>
      <c r="C279" s="6"/>
      <c r="D279" s="6"/>
      <c r="E279" s="5"/>
      <c r="F279" s="6"/>
      <c r="G279" s="7"/>
      <c r="H279" s="5"/>
      <c r="I279" s="7"/>
      <c r="J279" s="5"/>
    </row>
    <row r="280" spans="1:10" ht="15.6" customHeight="1" x14ac:dyDescent="0.25">
      <c r="A280" s="4" t="str">
        <f t="shared" si="4"/>
        <v/>
      </c>
      <c r="B280" s="5"/>
      <c r="C280" s="6"/>
      <c r="D280" s="6"/>
      <c r="E280" s="5"/>
      <c r="F280" s="6"/>
      <c r="G280" s="7"/>
      <c r="H280" s="5"/>
      <c r="I280" s="7"/>
      <c r="J280" s="5"/>
    </row>
    <row r="281" spans="1:10" ht="15.6" customHeight="1" x14ac:dyDescent="0.25">
      <c r="A281" s="4" t="str">
        <f t="shared" si="4"/>
        <v/>
      </c>
      <c r="B281" s="5"/>
      <c r="C281" s="6"/>
      <c r="D281" s="6"/>
      <c r="E281" s="5"/>
      <c r="F281" s="6"/>
      <c r="G281" s="7"/>
      <c r="H281" s="5"/>
      <c r="I281" s="7"/>
      <c r="J281" s="5"/>
    </row>
    <row r="282" spans="1:10" ht="15.6" customHeight="1" x14ac:dyDescent="0.25">
      <c r="A282" s="4" t="str">
        <f t="shared" si="4"/>
        <v/>
      </c>
      <c r="B282" s="5"/>
      <c r="C282" s="6"/>
      <c r="D282" s="6"/>
      <c r="E282" s="5"/>
      <c r="F282" s="6"/>
      <c r="G282" s="7"/>
      <c r="H282" s="5"/>
      <c r="I282" s="7"/>
      <c r="J282" s="5"/>
    </row>
    <row r="283" spans="1:10" ht="15.6" customHeight="1" x14ac:dyDescent="0.25">
      <c r="A283" s="4" t="str">
        <f t="shared" si="4"/>
        <v/>
      </c>
      <c r="B283" s="5"/>
      <c r="C283" s="6"/>
      <c r="D283" s="6"/>
      <c r="E283" s="5"/>
      <c r="F283" s="6"/>
      <c r="G283" s="7"/>
      <c r="H283" s="5"/>
      <c r="I283" s="7"/>
      <c r="J283" s="5"/>
    </row>
    <row r="284" spans="1:10" ht="15.6" customHeight="1" x14ac:dyDescent="0.25">
      <c r="A284" s="4" t="str">
        <f t="shared" si="4"/>
        <v/>
      </c>
      <c r="B284" s="5"/>
      <c r="C284" s="6"/>
      <c r="D284" s="6"/>
      <c r="E284" s="5"/>
      <c r="F284" s="6"/>
      <c r="G284" s="7"/>
      <c r="H284" s="5"/>
      <c r="I284" s="7"/>
      <c r="J284" s="5"/>
    </row>
    <row r="285" spans="1:10" ht="15.6" customHeight="1" x14ac:dyDescent="0.25">
      <c r="A285" s="4" t="str">
        <f t="shared" si="4"/>
        <v/>
      </c>
      <c r="B285" s="5"/>
      <c r="C285" s="6"/>
      <c r="D285" s="6"/>
      <c r="E285" s="5"/>
      <c r="F285" s="6"/>
      <c r="G285" s="7"/>
      <c r="H285" s="5"/>
      <c r="I285" s="7"/>
      <c r="J285" s="5"/>
    </row>
    <row r="286" spans="1:10" ht="15.6" customHeight="1" x14ac:dyDescent="0.25">
      <c r="A286" s="4" t="str">
        <f t="shared" si="4"/>
        <v/>
      </c>
      <c r="B286" s="5"/>
      <c r="C286" s="6"/>
      <c r="D286" s="6"/>
      <c r="E286" s="5"/>
      <c r="F286" s="6"/>
      <c r="G286" s="7"/>
      <c r="H286" s="5"/>
      <c r="I286" s="7"/>
      <c r="J286" s="5"/>
    </row>
    <row r="287" spans="1:10" ht="15.6" customHeight="1" x14ac:dyDescent="0.25">
      <c r="A287" s="4" t="str">
        <f t="shared" si="4"/>
        <v/>
      </c>
      <c r="B287" s="5"/>
      <c r="C287" s="6"/>
      <c r="D287" s="6"/>
      <c r="E287" s="5"/>
      <c r="F287" s="6"/>
      <c r="G287" s="7"/>
      <c r="H287" s="5"/>
      <c r="I287" s="7"/>
      <c r="J287" s="5"/>
    </row>
    <row r="288" spans="1:10" ht="15.6" customHeight="1" x14ac:dyDescent="0.25">
      <c r="A288" s="4" t="str">
        <f t="shared" si="4"/>
        <v/>
      </c>
      <c r="B288" s="5"/>
      <c r="C288" s="6"/>
      <c r="D288" s="6"/>
      <c r="E288" s="5"/>
      <c r="F288" s="6"/>
      <c r="G288" s="7"/>
      <c r="H288" s="5"/>
      <c r="I288" s="7"/>
      <c r="J288" s="5"/>
    </row>
    <row r="289" spans="1:10" ht="15.6" customHeight="1" x14ac:dyDescent="0.25">
      <c r="A289" s="4" t="str">
        <f t="shared" si="4"/>
        <v/>
      </c>
      <c r="B289" s="5"/>
      <c r="C289" s="6"/>
      <c r="D289" s="6"/>
      <c r="E289" s="5"/>
      <c r="F289" s="6"/>
      <c r="G289" s="7"/>
      <c r="H289" s="5"/>
      <c r="I289" s="7"/>
      <c r="J289" s="5"/>
    </row>
    <row r="290" spans="1:10" ht="15.6" customHeight="1" x14ac:dyDescent="0.25">
      <c r="A290" s="4" t="str">
        <f t="shared" si="4"/>
        <v/>
      </c>
      <c r="B290" s="5"/>
      <c r="C290" s="6"/>
      <c r="D290" s="6"/>
      <c r="E290" s="5"/>
      <c r="F290" s="6"/>
      <c r="G290" s="7"/>
      <c r="H290" s="5"/>
      <c r="I290" s="7"/>
      <c r="J290" s="5"/>
    </row>
    <row r="291" spans="1:10" ht="15.6" customHeight="1" x14ac:dyDescent="0.25">
      <c r="A291" s="4" t="str">
        <f t="shared" si="4"/>
        <v/>
      </c>
      <c r="B291" s="5"/>
      <c r="C291" s="6"/>
      <c r="D291" s="6"/>
      <c r="E291" s="5"/>
      <c r="F291" s="6"/>
      <c r="G291" s="7"/>
      <c r="H291" s="5"/>
      <c r="I291" s="7"/>
      <c r="J291" s="5"/>
    </row>
    <row r="292" spans="1:10" ht="15.6" customHeight="1" x14ac:dyDescent="0.25">
      <c r="A292" s="4" t="str">
        <f t="shared" si="4"/>
        <v/>
      </c>
      <c r="B292" s="5"/>
      <c r="C292" s="6"/>
      <c r="D292" s="6"/>
      <c r="E292" s="5"/>
      <c r="F292" s="6"/>
      <c r="G292" s="7"/>
      <c r="H292" s="5"/>
      <c r="I292" s="7"/>
      <c r="J292" s="5"/>
    </row>
    <row r="293" spans="1:10" ht="15.6" customHeight="1" x14ac:dyDescent="0.25">
      <c r="A293" s="4" t="str">
        <f t="shared" si="4"/>
        <v/>
      </c>
      <c r="B293" s="5"/>
      <c r="C293" s="6"/>
      <c r="D293" s="6"/>
      <c r="E293" s="5"/>
      <c r="F293" s="6"/>
      <c r="G293" s="7"/>
      <c r="H293" s="5"/>
      <c r="I293" s="7"/>
      <c r="J293" s="5"/>
    </row>
    <row r="294" spans="1:10" ht="15.6" customHeight="1" x14ac:dyDescent="0.25">
      <c r="A294" s="4" t="str">
        <f t="shared" si="4"/>
        <v/>
      </c>
      <c r="B294" s="5"/>
      <c r="C294" s="6"/>
      <c r="D294" s="6"/>
      <c r="E294" s="5"/>
      <c r="F294" s="6"/>
      <c r="G294" s="7"/>
      <c r="H294" s="5"/>
      <c r="I294" s="7"/>
      <c r="J294" s="5"/>
    </row>
    <row r="295" spans="1:10" ht="15.6" customHeight="1" x14ac:dyDescent="0.25">
      <c r="A295" s="4" t="str">
        <f t="shared" ref="A295:A358" si="5">IF(B295&lt;&gt;"",ROW()-3,"")</f>
        <v/>
      </c>
      <c r="B295" s="5"/>
      <c r="C295" s="6"/>
      <c r="D295" s="6"/>
      <c r="E295" s="5"/>
      <c r="F295" s="6"/>
      <c r="G295" s="7"/>
      <c r="H295" s="5"/>
      <c r="I295" s="7"/>
      <c r="J295" s="5"/>
    </row>
    <row r="296" spans="1:10" ht="15.6" customHeight="1" x14ac:dyDescent="0.25">
      <c r="A296" s="4" t="str">
        <f t="shared" si="5"/>
        <v/>
      </c>
      <c r="B296" s="5"/>
      <c r="C296" s="6"/>
      <c r="D296" s="6"/>
      <c r="E296" s="5"/>
      <c r="F296" s="6"/>
      <c r="G296" s="7"/>
      <c r="H296" s="5"/>
      <c r="I296" s="7"/>
      <c r="J296" s="5"/>
    </row>
    <row r="297" spans="1:10" ht="15.6" customHeight="1" x14ac:dyDescent="0.25">
      <c r="A297" s="4" t="str">
        <f t="shared" si="5"/>
        <v/>
      </c>
      <c r="B297" s="5"/>
      <c r="C297" s="6"/>
      <c r="D297" s="6"/>
      <c r="E297" s="5"/>
      <c r="F297" s="6"/>
      <c r="G297" s="7"/>
      <c r="H297" s="5"/>
      <c r="I297" s="7"/>
      <c r="J297" s="5"/>
    </row>
    <row r="298" spans="1:10" ht="15.6" customHeight="1" x14ac:dyDescent="0.25">
      <c r="A298" s="4" t="str">
        <f t="shared" si="5"/>
        <v/>
      </c>
      <c r="B298" s="5"/>
      <c r="C298" s="6"/>
      <c r="D298" s="6"/>
      <c r="E298" s="5"/>
      <c r="F298" s="6"/>
      <c r="G298" s="7"/>
      <c r="H298" s="5"/>
      <c r="I298" s="7"/>
      <c r="J298" s="5"/>
    </row>
    <row r="299" spans="1:10" ht="15.6" customHeight="1" x14ac:dyDescent="0.25">
      <c r="A299" s="4" t="str">
        <f t="shared" si="5"/>
        <v/>
      </c>
      <c r="B299" s="5"/>
      <c r="C299" s="6"/>
      <c r="D299" s="6"/>
      <c r="E299" s="5"/>
      <c r="F299" s="6"/>
      <c r="G299" s="7"/>
      <c r="H299" s="5"/>
      <c r="I299" s="7"/>
      <c r="J299" s="5"/>
    </row>
    <row r="300" spans="1:10" ht="15.6" customHeight="1" x14ac:dyDescent="0.25">
      <c r="A300" s="4" t="str">
        <f t="shared" si="5"/>
        <v/>
      </c>
      <c r="B300" s="5"/>
      <c r="C300" s="6"/>
      <c r="D300" s="6"/>
      <c r="E300" s="5"/>
      <c r="F300" s="6"/>
      <c r="G300" s="7"/>
      <c r="H300" s="5"/>
      <c r="I300" s="7"/>
      <c r="J300" s="5"/>
    </row>
    <row r="301" spans="1:10" ht="15.6" customHeight="1" x14ac:dyDescent="0.25">
      <c r="A301" s="4" t="str">
        <f t="shared" si="5"/>
        <v/>
      </c>
      <c r="B301" s="5"/>
      <c r="C301" s="6"/>
      <c r="D301" s="6"/>
      <c r="E301" s="5"/>
      <c r="F301" s="6"/>
      <c r="G301" s="7"/>
      <c r="H301" s="5"/>
      <c r="I301" s="7"/>
      <c r="J301" s="5"/>
    </row>
    <row r="302" spans="1:10" ht="15.6" customHeight="1" x14ac:dyDescent="0.25">
      <c r="A302" s="4" t="str">
        <f t="shared" si="5"/>
        <v/>
      </c>
      <c r="B302" s="5"/>
      <c r="C302" s="6"/>
      <c r="D302" s="6"/>
      <c r="E302" s="5"/>
      <c r="F302" s="6"/>
      <c r="G302" s="7"/>
      <c r="H302" s="5"/>
      <c r="I302" s="7"/>
      <c r="J302" s="5"/>
    </row>
    <row r="303" spans="1:10" ht="15.6" customHeight="1" x14ac:dyDescent="0.25">
      <c r="A303" s="4" t="str">
        <f t="shared" si="5"/>
        <v/>
      </c>
      <c r="B303" s="5"/>
      <c r="C303" s="6"/>
      <c r="D303" s="6"/>
      <c r="E303" s="5"/>
      <c r="F303" s="6"/>
      <c r="G303" s="7"/>
      <c r="H303" s="5"/>
      <c r="I303" s="7"/>
      <c r="J303" s="5"/>
    </row>
    <row r="304" spans="1:10" ht="15.6" customHeight="1" x14ac:dyDescent="0.25">
      <c r="A304" s="4" t="str">
        <f t="shared" si="5"/>
        <v/>
      </c>
      <c r="B304" s="5"/>
      <c r="C304" s="6"/>
      <c r="D304" s="6"/>
      <c r="E304" s="5"/>
      <c r="F304" s="6"/>
      <c r="G304" s="7"/>
      <c r="H304" s="5"/>
      <c r="I304" s="7"/>
      <c r="J304" s="5"/>
    </row>
    <row r="305" spans="1:10" ht="15.6" customHeight="1" x14ac:dyDescent="0.25">
      <c r="A305" s="4" t="str">
        <f t="shared" si="5"/>
        <v/>
      </c>
      <c r="B305" s="5"/>
      <c r="C305" s="6"/>
      <c r="D305" s="6"/>
      <c r="E305" s="5"/>
      <c r="F305" s="6"/>
      <c r="G305" s="7"/>
      <c r="H305" s="5"/>
      <c r="I305" s="7"/>
      <c r="J305" s="5"/>
    </row>
    <row r="306" spans="1:10" ht="15.6" customHeight="1" x14ac:dyDescent="0.25">
      <c r="A306" s="4" t="str">
        <f t="shared" si="5"/>
        <v/>
      </c>
      <c r="B306" s="5"/>
      <c r="C306" s="6"/>
      <c r="D306" s="6"/>
      <c r="E306" s="5"/>
      <c r="F306" s="6"/>
      <c r="G306" s="7"/>
      <c r="H306" s="5"/>
      <c r="I306" s="7"/>
      <c r="J306" s="5"/>
    </row>
    <row r="307" spans="1:10" ht="15.6" customHeight="1" x14ac:dyDescent="0.25">
      <c r="A307" s="4" t="str">
        <f t="shared" si="5"/>
        <v/>
      </c>
      <c r="B307" s="5"/>
      <c r="C307" s="6"/>
      <c r="D307" s="6"/>
      <c r="E307" s="5"/>
      <c r="F307" s="6"/>
      <c r="G307" s="7"/>
      <c r="H307" s="5"/>
      <c r="I307" s="7"/>
      <c r="J307" s="5"/>
    </row>
    <row r="308" spans="1:10" ht="15.6" customHeight="1" x14ac:dyDescent="0.25">
      <c r="A308" s="4" t="str">
        <f t="shared" si="5"/>
        <v/>
      </c>
      <c r="B308" s="5"/>
      <c r="C308" s="6"/>
      <c r="D308" s="6"/>
      <c r="E308" s="5"/>
      <c r="F308" s="6"/>
      <c r="G308" s="7"/>
      <c r="H308" s="5"/>
      <c r="I308" s="7"/>
      <c r="J308" s="5"/>
    </row>
    <row r="309" spans="1:10" ht="15.6" customHeight="1" x14ac:dyDescent="0.25">
      <c r="A309" s="4" t="str">
        <f t="shared" si="5"/>
        <v/>
      </c>
      <c r="B309" s="5"/>
      <c r="C309" s="6"/>
      <c r="D309" s="6"/>
      <c r="E309" s="5"/>
      <c r="F309" s="6"/>
      <c r="G309" s="7"/>
      <c r="H309" s="5"/>
      <c r="I309" s="7"/>
      <c r="J309" s="5"/>
    </row>
    <row r="310" spans="1:10" ht="15.6" customHeight="1" x14ac:dyDescent="0.25">
      <c r="A310" s="4" t="str">
        <f t="shared" si="5"/>
        <v/>
      </c>
      <c r="B310" s="5"/>
      <c r="C310" s="6"/>
      <c r="D310" s="6"/>
      <c r="E310" s="5"/>
      <c r="F310" s="6"/>
      <c r="G310" s="7"/>
      <c r="H310" s="5"/>
      <c r="I310" s="7"/>
      <c r="J310" s="5"/>
    </row>
    <row r="311" spans="1:10" ht="15.6" customHeight="1" x14ac:dyDescent="0.25">
      <c r="A311" s="4" t="str">
        <f t="shared" si="5"/>
        <v/>
      </c>
      <c r="B311" s="5"/>
      <c r="C311" s="6"/>
      <c r="D311" s="6"/>
      <c r="E311" s="5"/>
      <c r="F311" s="6"/>
      <c r="G311" s="7"/>
      <c r="H311" s="5"/>
      <c r="I311" s="7"/>
      <c r="J311" s="5"/>
    </row>
    <row r="312" spans="1:10" ht="15.6" customHeight="1" x14ac:dyDescent="0.25">
      <c r="A312" s="4" t="str">
        <f t="shared" si="5"/>
        <v/>
      </c>
      <c r="B312" s="5"/>
      <c r="C312" s="6"/>
      <c r="D312" s="6"/>
      <c r="E312" s="5"/>
      <c r="F312" s="6"/>
      <c r="G312" s="7"/>
      <c r="H312" s="5"/>
      <c r="I312" s="7"/>
      <c r="J312" s="5"/>
    </row>
    <row r="313" spans="1:10" ht="15.6" customHeight="1" x14ac:dyDescent="0.25">
      <c r="A313" s="4" t="str">
        <f t="shared" si="5"/>
        <v/>
      </c>
      <c r="B313" s="5"/>
      <c r="C313" s="6"/>
      <c r="D313" s="6"/>
      <c r="E313" s="5"/>
      <c r="F313" s="6"/>
      <c r="G313" s="7"/>
      <c r="H313" s="5"/>
      <c r="I313" s="7"/>
      <c r="J313" s="5"/>
    </row>
    <row r="314" spans="1:10" ht="15.6" customHeight="1" x14ac:dyDescent="0.25">
      <c r="A314" s="4" t="str">
        <f t="shared" si="5"/>
        <v/>
      </c>
      <c r="B314" s="5"/>
      <c r="C314" s="6"/>
      <c r="D314" s="6"/>
      <c r="E314" s="5"/>
      <c r="F314" s="6"/>
      <c r="G314" s="7"/>
      <c r="H314" s="5"/>
      <c r="I314" s="7"/>
      <c r="J314" s="5"/>
    </row>
    <row r="315" spans="1:10" ht="15.6" customHeight="1" x14ac:dyDescent="0.25">
      <c r="A315" s="4" t="str">
        <f t="shared" si="5"/>
        <v/>
      </c>
      <c r="B315" s="5"/>
      <c r="C315" s="6"/>
      <c r="D315" s="6"/>
      <c r="E315" s="5"/>
      <c r="F315" s="6"/>
      <c r="G315" s="7"/>
      <c r="H315" s="5"/>
      <c r="I315" s="7"/>
      <c r="J315" s="5"/>
    </row>
    <row r="316" spans="1:10" ht="15.6" customHeight="1" x14ac:dyDescent="0.25">
      <c r="A316" s="4" t="str">
        <f t="shared" si="5"/>
        <v/>
      </c>
      <c r="B316" s="5"/>
      <c r="C316" s="6"/>
      <c r="D316" s="6"/>
      <c r="E316" s="5"/>
      <c r="F316" s="6"/>
      <c r="G316" s="7"/>
      <c r="H316" s="5"/>
      <c r="I316" s="7"/>
      <c r="J316" s="5"/>
    </row>
    <row r="317" spans="1:10" ht="15.6" customHeight="1" x14ac:dyDescent="0.25">
      <c r="A317" s="4" t="str">
        <f t="shared" si="5"/>
        <v/>
      </c>
      <c r="B317" s="5"/>
      <c r="C317" s="6"/>
      <c r="D317" s="6"/>
      <c r="E317" s="5"/>
      <c r="F317" s="6"/>
      <c r="G317" s="7"/>
      <c r="H317" s="5"/>
      <c r="I317" s="7"/>
      <c r="J317" s="5"/>
    </row>
    <row r="318" spans="1:10" ht="15.6" customHeight="1" x14ac:dyDescent="0.25">
      <c r="A318" s="4" t="str">
        <f t="shared" si="5"/>
        <v/>
      </c>
      <c r="B318" s="5"/>
      <c r="C318" s="6"/>
      <c r="D318" s="6"/>
      <c r="E318" s="5"/>
      <c r="F318" s="6"/>
      <c r="G318" s="7"/>
      <c r="H318" s="5"/>
      <c r="I318" s="7"/>
      <c r="J318" s="5"/>
    </row>
    <row r="319" spans="1:10" ht="15.6" customHeight="1" x14ac:dyDescent="0.25">
      <c r="A319" s="4" t="str">
        <f t="shared" si="5"/>
        <v/>
      </c>
      <c r="B319" s="5"/>
      <c r="C319" s="6"/>
      <c r="D319" s="6"/>
      <c r="E319" s="5"/>
      <c r="F319" s="6"/>
      <c r="G319" s="7"/>
      <c r="H319" s="5"/>
      <c r="I319" s="7"/>
      <c r="J319" s="5"/>
    </row>
    <row r="320" spans="1:10" ht="15.6" customHeight="1" x14ac:dyDescent="0.25">
      <c r="A320" s="4" t="str">
        <f t="shared" si="5"/>
        <v/>
      </c>
      <c r="B320" s="5"/>
      <c r="C320" s="6"/>
      <c r="D320" s="6"/>
      <c r="E320" s="5"/>
      <c r="F320" s="6"/>
      <c r="G320" s="7"/>
      <c r="H320" s="5"/>
      <c r="I320" s="7"/>
      <c r="J320" s="5"/>
    </row>
    <row r="321" spans="1:10" ht="15.6" customHeight="1" x14ac:dyDescent="0.25">
      <c r="A321" s="4" t="str">
        <f t="shared" si="5"/>
        <v/>
      </c>
      <c r="B321" s="5"/>
      <c r="C321" s="6"/>
      <c r="D321" s="6"/>
      <c r="E321" s="5"/>
      <c r="F321" s="6"/>
      <c r="G321" s="7"/>
      <c r="H321" s="5"/>
      <c r="I321" s="7"/>
      <c r="J321" s="5"/>
    </row>
    <row r="322" spans="1:10" ht="15.6" customHeight="1" x14ac:dyDescent="0.25">
      <c r="A322" s="4" t="str">
        <f t="shared" si="5"/>
        <v/>
      </c>
      <c r="B322" s="5"/>
      <c r="C322" s="6"/>
      <c r="D322" s="6"/>
      <c r="E322" s="5"/>
      <c r="F322" s="6"/>
      <c r="G322" s="7"/>
      <c r="H322" s="5"/>
      <c r="I322" s="7"/>
      <c r="J322" s="5"/>
    </row>
    <row r="323" spans="1:10" ht="15.6" customHeight="1" x14ac:dyDescent="0.25">
      <c r="A323" s="4" t="str">
        <f t="shared" si="5"/>
        <v/>
      </c>
      <c r="B323" s="5"/>
      <c r="C323" s="6"/>
      <c r="D323" s="6"/>
      <c r="E323" s="5"/>
      <c r="F323" s="6"/>
      <c r="G323" s="7"/>
      <c r="H323" s="5"/>
      <c r="I323" s="7"/>
      <c r="J323" s="5"/>
    </row>
    <row r="324" spans="1:10" ht="15.6" customHeight="1" x14ac:dyDescent="0.25">
      <c r="A324" s="4" t="str">
        <f t="shared" si="5"/>
        <v/>
      </c>
      <c r="B324" s="5"/>
      <c r="C324" s="6"/>
      <c r="D324" s="6"/>
      <c r="E324" s="5"/>
      <c r="F324" s="6"/>
      <c r="G324" s="7"/>
      <c r="H324" s="5"/>
      <c r="I324" s="7"/>
      <c r="J324" s="5"/>
    </row>
    <row r="325" spans="1:10" ht="15.6" customHeight="1" x14ac:dyDescent="0.25">
      <c r="A325" s="4" t="str">
        <f t="shared" si="5"/>
        <v/>
      </c>
      <c r="B325" s="5"/>
      <c r="C325" s="6"/>
      <c r="D325" s="6"/>
      <c r="E325" s="5"/>
      <c r="F325" s="6"/>
      <c r="G325" s="7"/>
      <c r="H325" s="5"/>
      <c r="I325" s="7"/>
      <c r="J325" s="5"/>
    </row>
    <row r="326" spans="1:10" ht="15.6" customHeight="1" x14ac:dyDescent="0.25">
      <c r="A326" s="4" t="str">
        <f t="shared" si="5"/>
        <v/>
      </c>
      <c r="B326" s="5"/>
      <c r="C326" s="6"/>
      <c r="D326" s="6"/>
      <c r="E326" s="5"/>
      <c r="F326" s="6"/>
      <c r="G326" s="7"/>
      <c r="H326" s="5"/>
      <c r="I326" s="7"/>
      <c r="J326" s="5"/>
    </row>
    <row r="327" spans="1:10" ht="15.6" customHeight="1" x14ac:dyDescent="0.25">
      <c r="A327" s="4" t="str">
        <f t="shared" si="5"/>
        <v/>
      </c>
      <c r="B327" s="5"/>
      <c r="C327" s="6"/>
      <c r="D327" s="6"/>
      <c r="E327" s="5"/>
      <c r="F327" s="6"/>
      <c r="G327" s="7"/>
      <c r="H327" s="5"/>
      <c r="I327" s="7"/>
      <c r="J327" s="5"/>
    </row>
    <row r="328" spans="1:10" ht="15.6" customHeight="1" x14ac:dyDescent="0.25">
      <c r="A328" s="4" t="str">
        <f t="shared" si="5"/>
        <v/>
      </c>
      <c r="B328" s="5"/>
      <c r="C328" s="6"/>
      <c r="D328" s="6"/>
      <c r="E328" s="5"/>
      <c r="F328" s="6"/>
      <c r="G328" s="7"/>
      <c r="H328" s="5"/>
      <c r="I328" s="7"/>
      <c r="J328" s="5"/>
    </row>
    <row r="329" spans="1:10" ht="15.6" customHeight="1" x14ac:dyDescent="0.25">
      <c r="A329" s="4" t="str">
        <f t="shared" si="5"/>
        <v/>
      </c>
      <c r="B329" s="5"/>
      <c r="C329" s="6"/>
      <c r="D329" s="6"/>
      <c r="E329" s="5"/>
      <c r="F329" s="6"/>
      <c r="G329" s="7"/>
      <c r="H329" s="5"/>
      <c r="I329" s="7"/>
      <c r="J329" s="5"/>
    </row>
    <row r="330" spans="1:10" ht="15.6" customHeight="1" x14ac:dyDescent="0.25">
      <c r="A330" s="4" t="str">
        <f t="shared" si="5"/>
        <v/>
      </c>
      <c r="B330" s="5"/>
      <c r="C330" s="6"/>
      <c r="D330" s="6"/>
      <c r="E330" s="5"/>
      <c r="F330" s="6"/>
      <c r="G330" s="7"/>
      <c r="H330" s="5"/>
      <c r="I330" s="7"/>
      <c r="J330" s="5"/>
    </row>
    <row r="331" spans="1:10" ht="15.6" customHeight="1" x14ac:dyDescent="0.25">
      <c r="A331" s="4" t="str">
        <f t="shared" si="5"/>
        <v/>
      </c>
      <c r="B331" s="5"/>
      <c r="C331" s="6"/>
      <c r="D331" s="6"/>
      <c r="E331" s="5"/>
      <c r="F331" s="6"/>
      <c r="G331" s="7"/>
      <c r="H331" s="5"/>
      <c r="I331" s="7"/>
      <c r="J331" s="5"/>
    </row>
    <row r="332" spans="1:10" ht="15.6" customHeight="1" x14ac:dyDescent="0.25">
      <c r="A332" s="4" t="str">
        <f t="shared" si="5"/>
        <v/>
      </c>
      <c r="B332" s="5"/>
      <c r="C332" s="6"/>
      <c r="D332" s="6"/>
      <c r="E332" s="5"/>
      <c r="F332" s="6"/>
      <c r="G332" s="7"/>
      <c r="H332" s="5"/>
      <c r="I332" s="7"/>
      <c r="J332" s="5"/>
    </row>
    <row r="333" spans="1:10" ht="15.6" customHeight="1" x14ac:dyDescent="0.25">
      <c r="A333" s="4" t="str">
        <f t="shared" si="5"/>
        <v/>
      </c>
      <c r="B333" s="5"/>
      <c r="C333" s="6"/>
      <c r="D333" s="6"/>
      <c r="E333" s="5"/>
      <c r="F333" s="6"/>
      <c r="G333" s="7"/>
      <c r="H333" s="5"/>
      <c r="I333" s="7"/>
      <c r="J333" s="5"/>
    </row>
    <row r="334" spans="1:10" ht="15.6" customHeight="1" x14ac:dyDescent="0.25">
      <c r="A334" s="4" t="str">
        <f t="shared" si="5"/>
        <v/>
      </c>
      <c r="B334" s="5"/>
      <c r="C334" s="6"/>
      <c r="D334" s="6"/>
      <c r="E334" s="5"/>
      <c r="F334" s="6"/>
      <c r="G334" s="7"/>
      <c r="H334" s="5"/>
      <c r="I334" s="7"/>
      <c r="J334" s="5"/>
    </row>
    <row r="335" spans="1:10" ht="15.6" customHeight="1" x14ac:dyDescent="0.25">
      <c r="A335" s="4" t="str">
        <f t="shared" si="5"/>
        <v/>
      </c>
      <c r="B335" s="5"/>
      <c r="C335" s="6"/>
      <c r="D335" s="6"/>
      <c r="E335" s="5"/>
      <c r="F335" s="6"/>
      <c r="G335" s="7"/>
      <c r="H335" s="5"/>
      <c r="I335" s="7"/>
      <c r="J335" s="5"/>
    </row>
    <row r="336" spans="1:10" ht="15.6" customHeight="1" x14ac:dyDescent="0.25">
      <c r="A336" s="4" t="str">
        <f t="shared" si="5"/>
        <v/>
      </c>
      <c r="B336" s="5"/>
      <c r="C336" s="6"/>
      <c r="D336" s="6"/>
      <c r="E336" s="5"/>
      <c r="F336" s="6"/>
      <c r="G336" s="7"/>
      <c r="H336" s="5"/>
      <c r="I336" s="7"/>
      <c r="J336" s="5"/>
    </row>
    <row r="337" spans="1:10" ht="15.6" customHeight="1" x14ac:dyDescent="0.25">
      <c r="A337" s="4" t="str">
        <f t="shared" si="5"/>
        <v/>
      </c>
      <c r="B337" s="5"/>
      <c r="C337" s="6"/>
      <c r="D337" s="6"/>
      <c r="E337" s="5"/>
      <c r="F337" s="6"/>
      <c r="G337" s="7"/>
      <c r="H337" s="5"/>
      <c r="I337" s="7"/>
      <c r="J337" s="5"/>
    </row>
    <row r="338" spans="1:10" ht="15.6" customHeight="1" x14ac:dyDescent="0.25">
      <c r="A338" s="4" t="str">
        <f t="shared" si="5"/>
        <v/>
      </c>
      <c r="B338" s="5"/>
      <c r="C338" s="6"/>
      <c r="D338" s="6"/>
      <c r="E338" s="5"/>
      <c r="F338" s="6"/>
      <c r="G338" s="7"/>
      <c r="H338" s="5"/>
      <c r="I338" s="7"/>
      <c r="J338" s="5"/>
    </row>
    <row r="339" spans="1:10" ht="15.6" customHeight="1" x14ac:dyDescent="0.25">
      <c r="A339" s="4" t="str">
        <f t="shared" si="5"/>
        <v/>
      </c>
      <c r="B339" s="5"/>
      <c r="C339" s="6"/>
      <c r="D339" s="6"/>
      <c r="E339" s="5"/>
      <c r="F339" s="6"/>
      <c r="G339" s="7"/>
      <c r="H339" s="5"/>
      <c r="I339" s="7"/>
      <c r="J339" s="5"/>
    </row>
    <row r="340" spans="1:10" ht="15.6" customHeight="1" x14ac:dyDescent="0.25">
      <c r="A340" s="4" t="str">
        <f t="shared" si="5"/>
        <v/>
      </c>
      <c r="B340" s="5"/>
      <c r="C340" s="6"/>
      <c r="D340" s="6"/>
      <c r="E340" s="5"/>
      <c r="F340" s="6"/>
      <c r="G340" s="7"/>
      <c r="H340" s="5"/>
      <c r="I340" s="7"/>
      <c r="J340" s="5"/>
    </row>
    <row r="341" spans="1:10" ht="15.6" customHeight="1" x14ac:dyDescent="0.25">
      <c r="A341" s="4" t="str">
        <f t="shared" si="5"/>
        <v/>
      </c>
      <c r="B341" s="5"/>
      <c r="C341" s="6"/>
      <c r="D341" s="6"/>
      <c r="E341" s="5"/>
      <c r="F341" s="6"/>
      <c r="G341" s="7"/>
      <c r="H341" s="5"/>
      <c r="I341" s="7"/>
      <c r="J341" s="5"/>
    </row>
    <row r="342" spans="1:10" ht="15.6" customHeight="1" x14ac:dyDescent="0.25">
      <c r="A342" s="4" t="str">
        <f t="shared" si="5"/>
        <v/>
      </c>
      <c r="B342" s="5"/>
      <c r="C342" s="6"/>
      <c r="D342" s="6"/>
      <c r="E342" s="5"/>
      <c r="F342" s="6"/>
      <c r="G342" s="7"/>
      <c r="H342" s="5"/>
      <c r="I342" s="7"/>
      <c r="J342" s="5"/>
    </row>
    <row r="343" spans="1:10" ht="15.6" customHeight="1" x14ac:dyDescent="0.25">
      <c r="A343" s="4" t="str">
        <f t="shared" si="5"/>
        <v/>
      </c>
      <c r="B343" s="5"/>
      <c r="C343" s="6"/>
      <c r="D343" s="6"/>
      <c r="E343" s="5"/>
      <c r="F343" s="6"/>
      <c r="G343" s="7"/>
      <c r="H343" s="5"/>
      <c r="I343" s="7"/>
      <c r="J343" s="5"/>
    </row>
    <row r="344" spans="1:10" ht="15.6" customHeight="1" x14ac:dyDescent="0.25">
      <c r="A344" s="4" t="str">
        <f t="shared" si="5"/>
        <v/>
      </c>
      <c r="B344" s="5"/>
      <c r="C344" s="6"/>
      <c r="D344" s="6"/>
      <c r="E344" s="5"/>
      <c r="F344" s="6"/>
      <c r="G344" s="7"/>
      <c r="H344" s="5"/>
      <c r="I344" s="7"/>
      <c r="J344" s="5"/>
    </row>
    <row r="345" spans="1:10" ht="15.6" customHeight="1" x14ac:dyDescent="0.25">
      <c r="A345" s="4" t="str">
        <f t="shared" si="5"/>
        <v/>
      </c>
      <c r="B345" s="5"/>
      <c r="C345" s="6"/>
      <c r="D345" s="6"/>
      <c r="E345" s="5"/>
      <c r="F345" s="6"/>
      <c r="G345" s="7"/>
      <c r="H345" s="5"/>
      <c r="I345" s="7"/>
      <c r="J345" s="5"/>
    </row>
    <row r="346" spans="1:10" ht="15.6" customHeight="1" x14ac:dyDescent="0.25">
      <c r="A346" s="4" t="str">
        <f t="shared" si="5"/>
        <v/>
      </c>
      <c r="B346" s="5"/>
      <c r="C346" s="6"/>
      <c r="D346" s="6"/>
      <c r="E346" s="5"/>
      <c r="F346" s="6"/>
      <c r="G346" s="7"/>
      <c r="H346" s="5"/>
      <c r="I346" s="7"/>
      <c r="J346" s="5"/>
    </row>
    <row r="347" spans="1:10" ht="15.6" customHeight="1" x14ac:dyDescent="0.25">
      <c r="A347" s="4" t="str">
        <f t="shared" si="5"/>
        <v/>
      </c>
      <c r="B347" s="5"/>
      <c r="C347" s="6"/>
      <c r="D347" s="6"/>
      <c r="E347" s="5"/>
      <c r="F347" s="6"/>
      <c r="G347" s="7"/>
      <c r="H347" s="5"/>
      <c r="I347" s="7"/>
      <c r="J347" s="5"/>
    </row>
    <row r="348" spans="1:10" ht="15.6" customHeight="1" x14ac:dyDescent="0.25">
      <c r="A348" s="4" t="str">
        <f t="shared" si="5"/>
        <v/>
      </c>
      <c r="B348" s="5"/>
      <c r="C348" s="6"/>
      <c r="D348" s="6"/>
      <c r="E348" s="5"/>
      <c r="F348" s="6"/>
      <c r="G348" s="7"/>
      <c r="H348" s="5"/>
      <c r="I348" s="7"/>
      <c r="J348" s="5"/>
    </row>
    <row r="349" spans="1:10" ht="15.6" customHeight="1" x14ac:dyDescent="0.25">
      <c r="A349" s="4" t="str">
        <f t="shared" si="5"/>
        <v/>
      </c>
      <c r="B349" s="5"/>
      <c r="C349" s="6"/>
      <c r="D349" s="6"/>
      <c r="E349" s="5"/>
      <c r="F349" s="6"/>
      <c r="G349" s="7"/>
      <c r="H349" s="5"/>
      <c r="I349" s="7"/>
      <c r="J349" s="5"/>
    </row>
    <row r="350" spans="1:10" ht="15.6" customHeight="1" x14ac:dyDescent="0.25">
      <c r="A350" s="4" t="str">
        <f t="shared" si="5"/>
        <v/>
      </c>
      <c r="B350" s="5"/>
      <c r="C350" s="6"/>
      <c r="D350" s="6"/>
      <c r="E350" s="5"/>
      <c r="F350" s="6"/>
      <c r="G350" s="7"/>
      <c r="H350" s="5"/>
      <c r="I350" s="7"/>
      <c r="J350" s="5"/>
    </row>
    <row r="351" spans="1:10" ht="15.6" customHeight="1" x14ac:dyDescent="0.25">
      <c r="A351" s="4" t="str">
        <f t="shared" si="5"/>
        <v/>
      </c>
      <c r="B351" s="5"/>
      <c r="C351" s="6"/>
      <c r="D351" s="6"/>
      <c r="E351" s="5"/>
      <c r="F351" s="6"/>
      <c r="G351" s="7"/>
      <c r="H351" s="5"/>
      <c r="I351" s="7"/>
      <c r="J351" s="5"/>
    </row>
    <row r="352" spans="1:10" ht="15.6" customHeight="1" x14ac:dyDescent="0.25">
      <c r="A352" s="4" t="str">
        <f t="shared" si="5"/>
        <v/>
      </c>
      <c r="B352" s="5"/>
      <c r="C352" s="6"/>
      <c r="D352" s="6"/>
      <c r="E352" s="5"/>
      <c r="F352" s="6"/>
      <c r="G352" s="7"/>
      <c r="H352" s="5"/>
      <c r="I352" s="7"/>
      <c r="J352" s="5"/>
    </row>
    <row r="353" spans="1:10" ht="15.6" customHeight="1" x14ac:dyDescent="0.25">
      <c r="A353" s="4" t="str">
        <f t="shared" si="5"/>
        <v/>
      </c>
      <c r="B353" s="5"/>
      <c r="C353" s="6"/>
      <c r="D353" s="6"/>
      <c r="E353" s="5"/>
      <c r="F353" s="6"/>
      <c r="G353" s="7"/>
      <c r="H353" s="5"/>
      <c r="I353" s="7"/>
      <c r="J353" s="5"/>
    </row>
    <row r="354" spans="1:10" ht="15.6" customHeight="1" x14ac:dyDescent="0.25">
      <c r="A354" s="4" t="str">
        <f t="shared" si="5"/>
        <v/>
      </c>
      <c r="B354" s="5"/>
      <c r="C354" s="6"/>
      <c r="D354" s="6"/>
      <c r="E354" s="5"/>
      <c r="F354" s="6"/>
      <c r="G354" s="7"/>
      <c r="H354" s="5"/>
      <c r="I354" s="7"/>
      <c r="J354" s="5"/>
    </row>
    <row r="355" spans="1:10" ht="15.6" customHeight="1" x14ac:dyDescent="0.25">
      <c r="A355" s="4" t="str">
        <f t="shared" si="5"/>
        <v/>
      </c>
      <c r="B355" s="5"/>
      <c r="C355" s="6"/>
      <c r="D355" s="6"/>
      <c r="E355" s="5"/>
      <c r="F355" s="6"/>
      <c r="G355" s="7"/>
      <c r="H355" s="5"/>
      <c r="I355" s="7"/>
      <c r="J355" s="5"/>
    </row>
    <row r="356" spans="1:10" ht="15.6" customHeight="1" x14ac:dyDescent="0.25">
      <c r="A356" s="4" t="str">
        <f t="shared" si="5"/>
        <v/>
      </c>
      <c r="B356" s="5"/>
      <c r="C356" s="6"/>
      <c r="D356" s="6"/>
      <c r="E356" s="5"/>
      <c r="F356" s="6"/>
      <c r="G356" s="7"/>
      <c r="H356" s="5"/>
      <c r="I356" s="7"/>
      <c r="J356" s="5"/>
    </row>
    <row r="357" spans="1:10" ht="15.6" customHeight="1" x14ac:dyDescent="0.25">
      <c r="A357" s="4" t="str">
        <f t="shared" si="5"/>
        <v/>
      </c>
      <c r="B357" s="5"/>
      <c r="C357" s="6"/>
      <c r="D357" s="6"/>
      <c r="E357" s="5"/>
      <c r="F357" s="6"/>
      <c r="G357" s="7"/>
      <c r="H357" s="5"/>
      <c r="I357" s="7"/>
      <c r="J357" s="5"/>
    </row>
    <row r="358" spans="1:10" ht="15.6" customHeight="1" x14ac:dyDescent="0.25">
      <c r="A358" s="4" t="str">
        <f t="shared" si="5"/>
        <v/>
      </c>
      <c r="B358" s="5"/>
      <c r="C358" s="6"/>
      <c r="D358" s="6"/>
      <c r="E358" s="5"/>
      <c r="F358" s="6"/>
      <c r="G358" s="7"/>
      <c r="H358" s="5"/>
      <c r="I358" s="7"/>
      <c r="J358" s="5"/>
    </row>
    <row r="359" spans="1:10" ht="15.6" customHeight="1" x14ac:dyDescent="0.25">
      <c r="A359" s="4" t="str">
        <f t="shared" ref="A359:A422" si="6">IF(B359&lt;&gt;"",ROW()-3,"")</f>
        <v/>
      </c>
      <c r="B359" s="5"/>
      <c r="C359" s="6"/>
      <c r="D359" s="6"/>
      <c r="E359" s="5"/>
      <c r="F359" s="6"/>
      <c r="G359" s="7"/>
      <c r="H359" s="5"/>
      <c r="I359" s="7"/>
      <c r="J359" s="5"/>
    </row>
    <row r="360" spans="1:10" ht="15.6" customHeight="1" x14ac:dyDescent="0.25">
      <c r="A360" s="4" t="str">
        <f t="shared" si="6"/>
        <v/>
      </c>
      <c r="B360" s="5"/>
      <c r="C360" s="6"/>
      <c r="D360" s="6"/>
      <c r="E360" s="5"/>
      <c r="F360" s="6"/>
      <c r="G360" s="7"/>
      <c r="H360" s="5"/>
      <c r="I360" s="7"/>
      <c r="J360" s="5"/>
    </row>
    <row r="361" spans="1:10" ht="15.6" customHeight="1" x14ac:dyDescent="0.25">
      <c r="A361" s="4" t="str">
        <f t="shared" si="6"/>
        <v/>
      </c>
      <c r="B361" s="5"/>
      <c r="C361" s="6"/>
      <c r="D361" s="6"/>
      <c r="E361" s="5"/>
      <c r="F361" s="6"/>
      <c r="G361" s="7"/>
      <c r="H361" s="5"/>
      <c r="I361" s="7"/>
      <c r="J361" s="5"/>
    </row>
    <row r="362" spans="1:10" ht="15.6" customHeight="1" x14ac:dyDescent="0.25">
      <c r="A362" s="4" t="str">
        <f t="shared" si="6"/>
        <v/>
      </c>
      <c r="B362" s="5"/>
      <c r="C362" s="6"/>
      <c r="D362" s="6"/>
      <c r="E362" s="5"/>
      <c r="F362" s="6"/>
      <c r="G362" s="7"/>
      <c r="H362" s="5"/>
      <c r="I362" s="7"/>
      <c r="J362" s="5"/>
    </row>
    <row r="363" spans="1:10" ht="15.6" customHeight="1" x14ac:dyDescent="0.25">
      <c r="A363" s="4" t="str">
        <f t="shared" si="6"/>
        <v/>
      </c>
      <c r="B363" s="5"/>
      <c r="C363" s="6"/>
      <c r="D363" s="6"/>
      <c r="E363" s="5"/>
      <c r="F363" s="6"/>
      <c r="G363" s="7"/>
      <c r="H363" s="5"/>
      <c r="I363" s="7"/>
      <c r="J363" s="5"/>
    </row>
    <row r="364" spans="1:10" ht="15.6" customHeight="1" x14ac:dyDescent="0.25">
      <c r="A364" s="4" t="str">
        <f t="shared" si="6"/>
        <v/>
      </c>
      <c r="B364" s="5"/>
      <c r="C364" s="6"/>
      <c r="D364" s="6"/>
      <c r="E364" s="5"/>
      <c r="F364" s="6"/>
      <c r="G364" s="7"/>
      <c r="H364" s="5"/>
      <c r="I364" s="7"/>
      <c r="J364" s="5"/>
    </row>
    <row r="365" spans="1:10" ht="15.6" customHeight="1" x14ac:dyDescent="0.25">
      <c r="A365" s="4" t="str">
        <f t="shared" si="6"/>
        <v/>
      </c>
      <c r="B365" s="5"/>
      <c r="C365" s="6"/>
      <c r="D365" s="6"/>
      <c r="E365" s="5"/>
      <c r="F365" s="6"/>
      <c r="G365" s="7"/>
      <c r="H365" s="5"/>
      <c r="I365" s="7"/>
      <c r="J365" s="5"/>
    </row>
    <row r="366" spans="1:10" ht="15.6" customHeight="1" x14ac:dyDescent="0.25">
      <c r="A366" s="4" t="str">
        <f t="shared" si="6"/>
        <v/>
      </c>
      <c r="B366" s="5"/>
      <c r="C366" s="6"/>
      <c r="D366" s="6"/>
      <c r="E366" s="5"/>
      <c r="F366" s="6"/>
      <c r="G366" s="7"/>
      <c r="H366" s="5"/>
      <c r="I366" s="7"/>
      <c r="J366" s="5"/>
    </row>
    <row r="367" spans="1:10" ht="15.6" customHeight="1" x14ac:dyDescent="0.25">
      <c r="A367" s="4" t="str">
        <f t="shared" si="6"/>
        <v/>
      </c>
      <c r="B367" s="5"/>
      <c r="C367" s="6"/>
      <c r="D367" s="6"/>
      <c r="E367" s="5"/>
      <c r="F367" s="6"/>
      <c r="G367" s="7"/>
      <c r="H367" s="5"/>
      <c r="I367" s="7"/>
      <c r="J367" s="5"/>
    </row>
    <row r="368" spans="1:10" ht="15.6" customHeight="1" x14ac:dyDescent="0.25">
      <c r="A368" s="4" t="str">
        <f t="shared" si="6"/>
        <v/>
      </c>
      <c r="B368" s="5"/>
      <c r="C368" s="6"/>
      <c r="D368" s="6"/>
      <c r="E368" s="5"/>
      <c r="F368" s="6"/>
      <c r="G368" s="7"/>
      <c r="H368" s="5"/>
      <c r="I368" s="7"/>
      <c r="J368" s="5"/>
    </row>
    <row r="369" spans="1:10" ht="15.6" customHeight="1" x14ac:dyDescent="0.25">
      <c r="A369" s="4" t="str">
        <f t="shared" si="6"/>
        <v/>
      </c>
      <c r="B369" s="5"/>
      <c r="C369" s="6"/>
      <c r="D369" s="6"/>
      <c r="E369" s="5"/>
      <c r="F369" s="6"/>
      <c r="G369" s="7"/>
      <c r="H369" s="5"/>
      <c r="I369" s="7"/>
      <c r="J369" s="5"/>
    </row>
    <row r="370" spans="1:10" ht="15.6" customHeight="1" x14ac:dyDescent="0.25">
      <c r="A370" s="4" t="str">
        <f t="shared" si="6"/>
        <v/>
      </c>
      <c r="B370" s="5"/>
      <c r="C370" s="6"/>
      <c r="D370" s="6"/>
      <c r="E370" s="5"/>
      <c r="F370" s="6"/>
      <c r="G370" s="7"/>
      <c r="H370" s="5"/>
      <c r="I370" s="7"/>
      <c r="J370" s="5"/>
    </row>
    <row r="371" spans="1:10" ht="15.6" customHeight="1" x14ac:dyDescent="0.25">
      <c r="A371" s="4" t="str">
        <f t="shared" si="6"/>
        <v/>
      </c>
      <c r="B371" s="5"/>
      <c r="C371" s="6"/>
      <c r="D371" s="6"/>
      <c r="E371" s="5"/>
      <c r="F371" s="6"/>
      <c r="G371" s="7"/>
      <c r="H371" s="5"/>
      <c r="I371" s="7"/>
      <c r="J371" s="5"/>
    </row>
    <row r="372" spans="1:10" ht="15.6" customHeight="1" x14ac:dyDescent="0.25">
      <c r="A372" s="4" t="str">
        <f t="shared" si="6"/>
        <v/>
      </c>
      <c r="B372" s="5"/>
      <c r="C372" s="6"/>
      <c r="D372" s="6"/>
      <c r="E372" s="5"/>
      <c r="F372" s="6"/>
      <c r="G372" s="7"/>
      <c r="H372" s="5"/>
      <c r="I372" s="7"/>
      <c r="J372" s="5"/>
    </row>
    <row r="373" spans="1:10" ht="15.6" customHeight="1" x14ac:dyDescent="0.25">
      <c r="A373" s="4" t="str">
        <f t="shared" si="6"/>
        <v/>
      </c>
      <c r="B373" s="5"/>
      <c r="C373" s="6"/>
      <c r="D373" s="6"/>
      <c r="E373" s="5"/>
      <c r="F373" s="6"/>
      <c r="G373" s="7"/>
      <c r="H373" s="5"/>
      <c r="I373" s="7"/>
      <c r="J373" s="5"/>
    </row>
    <row r="374" spans="1:10" ht="15.6" customHeight="1" x14ac:dyDescent="0.25">
      <c r="A374" s="4" t="str">
        <f t="shared" si="6"/>
        <v/>
      </c>
      <c r="B374" s="5"/>
      <c r="C374" s="6"/>
      <c r="D374" s="6"/>
      <c r="E374" s="5"/>
      <c r="F374" s="6"/>
      <c r="G374" s="7"/>
      <c r="H374" s="5"/>
      <c r="I374" s="7"/>
      <c r="J374" s="5"/>
    </row>
    <row r="375" spans="1:10" ht="15.6" customHeight="1" x14ac:dyDescent="0.25">
      <c r="A375" s="4" t="str">
        <f t="shared" si="6"/>
        <v/>
      </c>
      <c r="B375" s="5"/>
      <c r="C375" s="6"/>
      <c r="D375" s="6"/>
      <c r="E375" s="5"/>
      <c r="F375" s="6"/>
      <c r="G375" s="7"/>
      <c r="H375" s="5"/>
      <c r="I375" s="7"/>
      <c r="J375" s="5"/>
    </row>
    <row r="376" spans="1:10" ht="15.6" customHeight="1" x14ac:dyDescent="0.25">
      <c r="A376" s="4" t="str">
        <f t="shared" si="6"/>
        <v/>
      </c>
      <c r="B376" s="5"/>
      <c r="C376" s="6"/>
      <c r="D376" s="6"/>
      <c r="E376" s="5"/>
      <c r="F376" s="6"/>
      <c r="G376" s="7"/>
      <c r="H376" s="5"/>
      <c r="I376" s="7"/>
      <c r="J376" s="5"/>
    </row>
    <row r="377" spans="1:10" ht="15.6" customHeight="1" x14ac:dyDescent="0.25">
      <c r="A377" s="4" t="str">
        <f t="shared" si="6"/>
        <v/>
      </c>
      <c r="B377" s="5"/>
      <c r="C377" s="6"/>
      <c r="D377" s="6"/>
      <c r="E377" s="5"/>
      <c r="F377" s="6"/>
      <c r="G377" s="7"/>
      <c r="H377" s="5"/>
      <c r="I377" s="7"/>
      <c r="J377" s="5"/>
    </row>
    <row r="378" spans="1:10" ht="15.6" customHeight="1" x14ac:dyDescent="0.25">
      <c r="A378" s="4" t="str">
        <f t="shared" si="6"/>
        <v/>
      </c>
      <c r="B378" s="5"/>
      <c r="C378" s="6"/>
      <c r="D378" s="6"/>
      <c r="E378" s="5"/>
      <c r="F378" s="6"/>
      <c r="G378" s="7"/>
      <c r="H378" s="5"/>
      <c r="I378" s="7"/>
      <c r="J378" s="5"/>
    </row>
    <row r="379" spans="1:10" ht="15.6" customHeight="1" x14ac:dyDescent="0.25">
      <c r="A379" s="4" t="str">
        <f t="shared" si="6"/>
        <v/>
      </c>
      <c r="B379" s="5"/>
      <c r="C379" s="6"/>
      <c r="D379" s="6"/>
      <c r="E379" s="5"/>
      <c r="F379" s="6"/>
      <c r="G379" s="7"/>
      <c r="H379" s="5"/>
      <c r="I379" s="7"/>
      <c r="J379" s="5"/>
    </row>
    <row r="380" spans="1:10" ht="15.6" customHeight="1" x14ac:dyDescent="0.25">
      <c r="A380" s="4" t="str">
        <f t="shared" si="6"/>
        <v/>
      </c>
      <c r="B380" s="5"/>
      <c r="C380" s="6"/>
      <c r="D380" s="6"/>
      <c r="E380" s="5"/>
      <c r="F380" s="6"/>
      <c r="G380" s="7"/>
      <c r="H380" s="5"/>
      <c r="I380" s="7"/>
      <c r="J380" s="5"/>
    </row>
    <row r="381" spans="1:10" ht="15.6" customHeight="1" x14ac:dyDescent="0.25">
      <c r="A381" s="4" t="str">
        <f t="shared" si="6"/>
        <v/>
      </c>
      <c r="B381" s="5"/>
      <c r="C381" s="6"/>
      <c r="D381" s="6"/>
      <c r="E381" s="5"/>
      <c r="F381" s="6"/>
      <c r="G381" s="7"/>
      <c r="H381" s="5"/>
      <c r="I381" s="7"/>
      <c r="J381" s="5"/>
    </row>
    <row r="382" spans="1:10" ht="15.6" customHeight="1" x14ac:dyDescent="0.25">
      <c r="A382" s="4" t="str">
        <f t="shared" si="6"/>
        <v/>
      </c>
      <c r="B382" s="5"/>
      <c r="C382" s="6"/>
      <c r="D382" s="6"/>
      <c r="E382" s="5"/>
      <c r="F382" s="6"/>
      <c r="G382" s="7"/>
      <c r="H382" s="5"/>
      <c r="I382" s="7"/>
      <c r="J382" s="5"/>
    </row>
    <row r="383" spans="1:10" ht="15.6" customHeight="1" x14ac:dyDescent="0.25">
      <c r="A383" s="4" t="str">
        <f t="shared" si="6"/>
        <v/>
      </c>
      <c r="B383" s="5"/>
      <c r="C383" s="6"/>
      <c r="D383" s="6"/>
      <c r="E383" s="5"/>
      <c r="F383" s="6"/>
      <c r="G383" s="7"/>
      <c r="H383" s="5"/>
      <c r="I383" s="7"/>
      <c r="J383" s="5"/>
    </row>
    <row r="384" spans="1:10" ht="15.6" customHeight="1" x14ac:dyDescent="0.25">
      <c r="A384" s="4" t="str">
        <f t="shared" si="6"/>
        <v/>
      </c>
      <c r="B384" s="5"/>
      <c r="C384" s="6"/>
      <c r="D384" s="6"/>
      <c r="E384" s="5"/>
      <c r="F384" s="6"/>
      <c r="G384" s="7"/>
      <c r="H384" s="5"/>
      <c r="I384" s="7"/>
      <c r="J384" s="5"/>
    </row>
    <row r="385" spans="1:10" ht="15.6" customHeight="1" x14ac:dyDescent="0.25">
      <c r="A385" s="4" t="str">
        <f t="shared" si="6"/>
        <v/>
      </c>
      <c r="B385" s="5"/>
      <c r="C385" s="6"/>
      <c r="D385" s="6"/>
      <c r="E385" s="5"/>
      <c r="F385" s="6"/>
      <c r="G385" s="7"/>
      <c r="H385" s="5"/>
      <c r="I385" s="7"/>
      <c r="J385" s="5"/>
    </row>
    <row r="386" spans="1:10" ht="15.6" customHeight="1" x14ac:dyDescent="0.25">
      <c r="A386" s="4" t="str">
        <f t="shared" si="6"/>
        <v/>
      </c>
      <c r="B386" s="5"/>
      <c r="C386" s="6"/>
      <c r="D386" s="6"/>
      <c r="E386" s="5"/>
      <c r="F386" s="6"/>
      <c r="G386" s="7"/>
      <c r="H386" s="5"/>
      <c r="I386" s="7"/>
      <c r="J386" s="5"/>
    </row>
    <row r="387" spans="1:10" ht="15.6" customHeight="1" x14ac:dyDescent="0.25">
      <c r="A387" s="4" t="str">
        <f t="shared" si="6"/>
        <v/>
      </c>
      <c r="B387" s="5"/>
      <c r="C387" s="6"/>
      <c r="D387" s="6"/>
      <c r="E387" s="5"/>
      <c r="F387" s="6"/>
      <c r="G387" s="7"/>
      <c r="H387" s="5"/>
      <c r="I387" s="7"/>
      <c r="J387" s="5"/>
    </row>
    <row r="388" spans="1:10" ht="15.6" customHeight="1" x14ac:dyDescent="0.25">
      <c r="A388" s="4" t="str">
        <f t="shared" si="6"/>
        <v/>
      </c>
      <c r="B388" s="5"/>
      <c r="C388" s="6"/>
      <c r="D388" s="6"/>
      <c r="E388" s="5"/>
      <c r="F388" s="6"/>
      <c r="G388" s="7"/>
      <c r="H388" s="5"/>
      <c r="I388" s="7"/>
      <c r="J388" s="5"/>
    </row>
    <row r="389" spans="1:10" ht="15.6" customHeight="1" x14ac:dyDescent="0.25">
      <c r="A389" s="4" t="str">
        <f t="shared" si="6"/>
        <v/>
      </c>
      <c r="B389" s="5"/>
      <c r="C389" s="6"/>
      <c r="D389" s="6"/>
      <c r="E389" s="5"/>
      <c r="F389" s="6"/>
      <c r="G389" s="7"/>
      <c r="H389" s="5"/>
      <c r="I389" s="7"/>
      <c r="J389" s="5"/>
    </row>
    <row r="390" spans="1:10" ht="15.6" customHeight="1" x14ac:dyDescent="0.25">
      <c r="A390" s="4" t="str">
        <f t="shared" si="6"/>
        <v/>
      </c>
      <c r="B390" s="5"/>
      <c r="C390" s="6"/>
      <c r="D390" s="6"/>
      <c r="E390" s="5"/>
      <c r="F390" s="6"/>
      <c r="G390" s="7"/>
      <c r="H390" s="5"/>
      <c r="I390" s="7"/>
      <c r="J390" s="5"/>
    </row>
    <row r="391" spans="1:10" ht="15.6" customHeight="1" x14ac:dyDescent="0.25">
      <c r="A391" s="4" t="str">
        <f t="shared" si="6"/>
        <v/>
      </c>
      <c r="B391" s="5"/>
      <c r="C391" s="6"/>
      <c r="D391" s="6"/>
      <c r="E391" s="5"/>
      <c r="F391" s="6"/>
      <c r="G391" s="7"/>
      <c r="H391" s="5"/>
      <c r="I391" s="7"/>
      <c r="J391" s="5"/>
    </row>
    <row r="392" spans="1:10" ht="15.6" customHeight="1" x14ac:dyDescent="0.25">
      <c r="A392" s="4" t="str">
        <f t="shared" si="6"/>
        <v/>
      </c>
      <c r="B392" s="5"/>
      <c r="C392" s="6"/>
      <c r="D392" s="6"/>
      <c r="E392" s="5"/>
      <c r="F392" s="6"/>
      <c r="G392" s="7"/>
      <c r="H392" s="5"/>
      <c r="I392" s="7"/>
      <c r="J392" s="5"/>
    </row>
    <row r="393" spans="1:10" ht="15.6" customHeight="1" x14ac:dyDescent="0.25">
      <c r="A393" s="4" t="str">
        <f t="shared" si="6"/>
        <v/>
      </c>
      <c r="B393" s="5"/>
      <c r="C393" s="6"/>
      <c r="D393" s="6"/>
      <c r="E393" s="5"/>
      <c r="F393" s="6"/>
      <c r="G393" s="7"/>
      <c r="H393" s="5"/>
      <c r="I393" s="7"/>
      <c r="J393" s="5"/>
    </row>
    <row r="394" spans="1:10" ht="15.6" customHeight="1" x14ac:dyDescent="0.25">
      <c r="A394" s="4" t="str">
        <f t="shared" si="6"/>
        <v/>
      </c>
      <c r="B394" s="5"/>
      <c r="C394" s="6"/>
      <c r="D394" s="6"/>
      <c r="E394" s="5"/>
      <c r="F394" s="6"/>
      <c r="G394" s="7"/>
      <c r="H394" s="5"/>
      <c r="I394" s="7"/>
      <c r="J394" s="5"/>
    </row>
    <row r="395" spans="1:10" ht="15.6" customHeight="1" x14ac:dyDescent="0.25">
      <c r="A395" s="4" t="str">
        <f t="shared" si="6"/>
        <v/>
      </c>
      <c r="B395" s="5"/>
      <c r="C395" s="6"/>
      <c r="D395" s="6"/>
      <c r="E395" s="5"/>
      <c r="F395" s="6"/>
      <c r="G395" s="7"/>
      <c r="H395" s="5"/>
      <c r="I395" s="7"/>
      <c r="J395" s="5"/>
    </row>
    <row r="396" spans="1:10" ht="15.6" customHeight="1" x14ac:dyDescent="0.25">
      <c r="A396" s="4" t="str">
        <f t="shared" si="6"/>
        <v/>
      </c>
      <c r="B396" s="5"/>
      <c r="C396" s="6"/>
      <c r="D396" s="6"/>
      <c r="E396" s="5"/>
      <c r="F396" s="6"/>
      <c r="G396" s="7"/>
      <c r="H396" s="5"/>
      <c r="I396" s="7"/>
      <c r="J396" s="5"/>
    </row>
    <row r="397" spans="1:10" ht="15.6" customHeight="1" x14ac:dyDescent="0.25">
      <c r="A397" s="4" t="str">
        <f t="shared" si="6"/>
        <v/>
      </c>
      <c r="B397" s="5"/>
      <c r="C397" s="6"/>
      <c r="D397" s="6"/>
      <c r="E397" s="5"/>
      <c r="F397" s="6"/>
      <c r="G397" s="7"/>
      <c r="H397" s="5"/>
      <c r="I397" s="7"/>
      <c r="J397" s="5"/>
    </row>
    <row r="398" spans="1:10" ht="15.6" customHeight="1" x14ac:dyDescent="0.25">
      <c r="A398" s="4" t="str">
        <f t="shared" si="6"/>
        <v/>
      </c>
      <c r="B398" s="5"/>
      <c r="C398" s="6"/>
      <c r="D398" s="6"/>
      <c r="E398" s="5"/>
      <c r="F398" s="6"/>
      <c r="G398" s="7"/>
      <c r="H398" s="5"/>
      <c r="I398" s="7"/>
      <c r="J398" s="5"/>
    </row>
    <row r="399" spans="1:10" ht="15.6" customHeight="1" x14ac:dyDescent="0.25">
      <c r="A399" s="4" t="str">
        <f t="shared" si="6"/>
        <v/>
      </c>
      <c r="B399" s="5"/>
      <c r="C399" s="6"/>
      <c r="D399" s="6"/>
      <c r="E399" s="5"/>
      <c r="F399" s="6"/>
      <c r="G399" s="7"/>
      <c r="H399" s="5"/>
      <c r="I399" s="7"/>
      <c r="J399" s="5"/>
    </row>
    <row r="400" spans="1:10" ht="15.6" customHeight="1" x14ac:dyDescent="0.25">
      <c r="A400" s="4" t="str">
        <f t="shared" si="6"/>
        <v/>
      </c>
      <c r="B400" s="5"/>
      <c r="C400" s="6"/>
      <c r="D400" s="6"/>
      <c r="E400" s="5"/>
      <c r="F400" s="6"/>
      <c r="G400" s="7"/>
      <c r="H400" s="5"/>
      <c r="I400" s="7"/>
      <c r="J400" s="5"/>
    </row>
    <row r="401" spans="1:10" ht="15.6" customHeight="1" x14ac:dyDescent="0.25">
      <c r="A401" s="4" t="str">
        <f t="shared" si="6"/>
        <v/>
      </c>
      <c r="B401" s="5"/>
      <c r="C401" s="6"/>
      <c r="D401" s="6"/>
      <c r="E401" s="5"/>
      <c r="F401" s="6"/>
      <c r="G401" s="7"/>
      <c r="H401" s="5"/>
      <c r="I401" s="7"/>
      <c r="J401" s="5"/>
    </row>
    <row r="402" spans="1:10" ht="15.6" customHeight="1" x14ac:dyDescent="0.25">
      <c r="A402" s="4" t="str">
        <f t="shared" si="6"/>
        <v/>
      </c>
      <c r="B402" s="5"/>
      <c r="C402" s="6"/>
      <c r="D402" s="6"/>
      <c r="E402" s="5"/>
      <c r="F402" s="6"/>
      <c r="G402" s="7"/>
      <c r="H402" s="5"/>
      <c r="I402" s="7"/>
      <c r="J402" s="5"/>
    </row>
    <row r="403" spans="1:10" ht="15.6" customHeight="1" x14ac:dyDescent="0.25">
      <c r="A403" s="4" t="str">
        <f t="shared" si="6"/>
        <v/>
      </c>
      <c r="B403" s="5"/>
      <c r="C403" s="6"/>
      <c r="D403" s="6"/>
      <c r="E403" s="5"/>
      <c r="F403" s="6"/>
      <c r="G403" s="7"/>
      <c r="H403" s="5"/>
      <c r="I403" s="7"/>
      <c r="J403" s="5"/>
    </row>
    <row r="404" spans="1:10" ht="15.6" customHeight="1" x14ac:dyDescent="0.25">
      <c r="A404" s="4" t="str">
        <f t="shared" si="6"/>
        <v/>
      </c>
      <c r="B404" s="5"/>
      <c r="C404" s="6"/>
      <c r="D404" s="6"/>
      <c r="E404" s="5"/>
      <c r="F404" s="6"/>
      <c r="G404" s="7"/>
      <c r="H404" s="5"/>
      <c r="I404" s="7"/>
      <c r="J404" s="5"/>
    </row>
    <row r="405" spans="1:10" ht="15.6" customHeight="1" x14ac:dyDescent="0.25">
      <c r="A405" s="4" t="str">
        <f t="shared" si="6"/>
        <v/>
      </c>
      <c r="B405" s="5"/>
      <c r="C405" s="6"/>
      <c r="D405" s="6"/>
      <c r="E405" s="5"/>
      <c r="F405" s="6"/>
      <c r="G405" s="7"/>
      <c r="H405" s="5"/>
      <c r="I405" s="7"/>
      <c r="J405" s="5"/>
    </row>
    <row r="406" spans="1:10" ht="15.6" customHeight="1" x14ac:dyDescent="0.25">
      <c r="A406" s="4" t="str">
        <f t="shared" si="6"/>
        <v/>
      </c>
      <c r="B406" s="5"/>
      <c r="C406" s="6"/>
      <c r="D406" s="6"/>
      <c r="E406" s="5"/>
      <c r="F406" s="6"/>
      <c r="G406" s="7"/>
      <c r="H406" s="5"/>
      <c r="I406" s="7"/>
      <c r="J406" s="5"/>
    </row>
    <row r="407" spans="1:10" ht="15.6" customHeight="1" x14ac:dyDescent="0.25">
      <c r="A407" s="4" t="str">
        <f t="shared" si="6"/>
        <v/>
      </c>
      <c r="B407" s="5"/>
      <c r="C407" s="6"/>
      <c r="D407" s="6"/>
      <c r="E407" s="5"/>
      <c r="F407" s="6"/>
      <c r="G407" s="7"/>
      <c r="H407" s="5"/>
      <c r="I407" s="7"/>
      <c r="J407" s="5"/>
    </row>
    <row r="408" spans="1:10" ht="15.6" customHeight="1" x14ac:dyDescent="0.25">
      <c r="A408" s="4" t="str">
        <f t="shared" si="6"/>
        <v/>
      </c>
      <c r="B408" s="5"/>
      <c r="C408" s="6"/>
      <c r="D408" s="6"/>
      <c r="E408" s="5"/>
      <c r="F408" s="6"/>
      <c r="G408" s="7"/>
      <c r="H408" s="5"/>
      <c r="I408" s="7"/>
      <c r="J408" s="5"/>
    </row>
    <row r="409" spans="1:10" ht="15.6" customHeight="1" x14ac:dyDescent="0.25">
      <c r="A409" s="4" t="str">
        <f t="shared" si="6"/>
        <v/>
      </c>
      <c r="B409" s="5"/>
      <c r="C409" s="6"/>
      <c r="D409" s="6"/>
      <c r="E409" s="5"/>
      <c r="F409" s="6"/>
      <c r="G409" s="7"/>
      <c r="H409" s="5"/>
      <c r="I409" s="7"/>
      <c r="J409" s="5"/>
    </row>
    <row r="410" spans="1:10" ht="15.6" customHeight="1" x14ac:dyDescent="0.25">
      <c r="A410" s="4" t="str">
        <f t="shared" si="6"/>
        <v/>
      </c>
      <c r="B410" s="5"/>
      <c r="C410" s="6"/>
      <c r="D410" s="6"/>
      <c r="E410" s="5"/>
      <c r="F410" s="6"/>
      <c r="G410" s="7"/>
      <c r="H410" s="5"/>
      <c r="I410" s="7"/>
      <c r="J410" s="5"/>
    </row>
    <row r="411" spans="1:10" ht="15.6" customHeight="1" x14ac:dyDescent="0.25">
      <c r="A411" s="4" t="str">
        <f t="shared" si="6"/>
        <v/>
      </c>
      <c r="B411" s="5"/>
      <c r="C411" s="6"/>
      <c r="D411" s="6"/>
      <c r="E411" s="5"/>
      <c r="F411" s="6"/>
      <c r="G411" s="7"/>
      <c r="H411" s="5"/>
      <c r="I411" s="7"/>
      <c r="J411" s="5"/>
    </row>
    <row r="412" spans="1:10" ht="15.6" customHeight="1" x14ac:dyDescent="0.25">
      <c r="A412" s="4" t="str">
        <f t="shared" si="6"/>
        <v/>
      </c>
      <c r="B412" s="5"/>
      <c r="C412" s="6"/>
      <c r="D412" s="6"/>
      <c r="E412" s="5"/>
      <c r="F412" s="6"/>
      <c r="G412" s="7"/>
      <c r="H412" s="5"/>
      <c r="I412" s="7"/>
      <c r="J412" s="5"/>
    </row>
    <row r="413" spans="1:10" ht="15.6" customHeight="1" x14ac:dyDescent="0.25">
      <c r="A413" s="4" t="str">
        <f t="shared" si="6"/>
        <v/>
      </c>
      <c r="B413" s="5"/>
      <c r="C413" s="6"/>
      <c r="D413" s="6"/>
      <c r="E413" s="5"/>
      <c r="F413" s="6"/>
      <c r="G413" s="7"/>
      <c r="H413" s="5"/>
      <c r="I413" s="7"/>
      <c r="J413" s="5"/>
    </row>
    <row r="414" spans="1:10" ht="15.6" customHeight="1" x14ac:dyDescent="0.25">
      <c r="A414" s="4" t="str">
        <f t="shared" si="6"/>
        <v/>
      </c>
      <c r="B414" s="5"/>
      <c r="C414" s="6"/>
      <c r="D414" s="6"/>
      <c r="E414" s="5"/>
      <c r="F414" s="6"/>
      <c r="G414" s="7"/>
      <c r="H414" s="5"/>
      <c r="I414" s="7"/>
      <c r="J414" s="5"/>
    </row>
    <row r="415" spans="1:10" ht="15.6" customHeight="1" x14ac:dyDescent="0.25">
      <c r="A415" s="4" t="str">
        <f t="shared" si="6"/>
        <v/>
      </c>
      <c r="B415" s="5"/>
      <c r="C415" s="6"/>
      <c r="D415" s="6"/>
      <c r="E415" s="5"/>
      <c r="F415" s="6"/>
      <c r="G415" s="7"/>
      <c r="H415" s="5"/>
      <c r="I415" s="7"/>
      <c r="J415" s="5"/>
    </row>
    <row r="416" spans="1:10" ht="15.6" customHeight="1" x14ac:dyDescent="0.25">
      <c r="A416" s="4" t="str">
        <f t="shared" si="6"/>
        <v/>
      </c>
      <c r="B416" s="5"/>
      <c r="C416" s="6"/>
      <c r="D416" s="6"/>
      <c r="E416" s="5"/>
      <c r="F416" s="6"/>
      <c r="G416" s="7"/>
      <c r="H416" s="5"/>
      <c r="I416" s="7"/>
      <c r="J416" s="5"/>
    </row>
    <row r="417" spans="1:10" ht="15.6" customHeight="1" x14ac:dyDescent="0.25">
      <c r="A417" s="4" t="str">
        <f t="shared" si="6"/>
        <v/>
      </c>
      <c r="B417" s="5"/>
      <c r="C417" s="6"/>
      <c r="D417" s="6"/>
      <c r="E417" s="5"/>
      <c r="F417" s="6"/>
      <c r="G417" s="7"/>
      <c r="H417" s="5"/>
      <c r="I417" s="7"/>
      <c r="J417" s="5"/>
    </row>
    <row r="418" spans="1:10" ht="15.6" customHeight="1" x14ac:dyDescent="0.25">
      <c r="A418" s="4" t="str">
        <f t="shared" si="6"/>
        <v/>
      </c>
      <c r="B418" s="5"/>
      <c r="C418" s="6"/>
      <c r="D418" s="6"/>
      <c r="E418" s="5"/>
      <c r="F418" s="6"/>
      <c r="G418" s="7"/>
      <c r="H418" s="5"/>
      <c r="I418" s="7"/>
      <c r="J418" s="5"/>
    </row>
    <row r="419" spans="1:10" ht="15.6" customHeight="1" x14ac:dyDescent="0.25">
      <c r="A419" s="4" t="str">
        <f t="shared" si="6"/>
        <v/>
      </c>
      <c r="B419" s="5"/>
      <c r="C419" s="6"/>
      <c r="D419" s="6"/>
      <c r="E419" s="5"/>
      <c r="F419" s="6"/>
      <c r="G419" s="7"/>
      <c r="H419" s="5"/>
      <c r="I419" s="7"/>
      <c r="J419" s="5"/>
    </row>
    <row r="420" spans="1:10" ht="15.6" customHeight="1" x14ac:dyDescent="0.25">
      <c r="A420" s="4" t="str">
        <f t="shared" si="6"/>
        <v/>
      </c>
      <c r="B420" s="5"/>
      <c r="C420" s="6"/>
      <c r="D420" s="6"/>
      <c r="E420" s="5"/>
      <c r="F420" s="6"/>
      <c r="G420" s="7"/>
      <c r="H420" s="5"/>
      <c r="I420" s="7"/>
      <c r="J420" s="5"/>
    </row>
    <row r="421" spans="1:10" ht="15.6" customHeight="1" x14ac:dyDescent="0.25">
      <c r="A421" s="4" t="str">
        <f t="shared" si="6"/>
        <v/>
      </c>
      <c r="B421" s="5"/>
      <c r="C421" s="6"/>
      <c r="D421" s="6"/>
      <c r="E421" s="5"/>
      <c r="F421" s="6"/>
      <c r="G421" s="7"/>
      <c r="H421" s="5"/>
      <c r="I421" s="7"/>
      <c r="J421" s="5"/>
    </row>
    <row r="422" spans="1:10" ht="15.6" customHeight="1" x14ac:dyDescent="0.25">
      <c r="A422" s="4" t="str">
        <f t="shared" si="6"/>
        <v/>
      </c>
      <c r="B422" s="5"/>
      <c r="C422" s="6"/>
      <c r="D422" s="6"/>
      <c r="E422" s="5"/>
      <c r="F422" s="6"/>
      <c r="G422" s="7"/>
      <c r="H422" s="5"/>
      <c r="I422" s="7"/>
      <c r="J422" s="5"/>
    </row>
    <row r="423" spans="1:10" ht="15.6" customHeight="1" x14ac:dyDescent="0.25">
      <c r="A423" s="4" t="str">
        <f t="shared" ref="A423:A486" si="7">IF(B423&lt;&gt;"",ROW()-3,"")</f>
        <v/>
      </c>
      <c r="B423" s="5"/>
      <c r="C423" s="6"/>
      <c r="D423" s="6"/>
      <c r="E423" s="5"/>
      <c r="F423" s="6"/>
      <c r="G423" s="7"/>
      <c r="H423" s="5"/>
      <c r="I423" s="7"/>
      <c r="J423" s="5"/>
    </row>
    <row r="424" spans="1:10" ht="15.6" customHeight="1" x14ac:dyDescent="0.25">
      <c r="A424" s="4" t="str">
        <f t="shared" si="7"/>
        <v/>
      </c>
      <c r="B424" s="5"/>
      <c r="C424" s="6"/>
      <c r="D424" s="6"/>
      <c r="E424" s="5"/>
      <c r="F424" s="6"/>
      <c r="G424" s="7"/>
      <c r="H424" s="5"/>
      <c r="I424" s="7"/>
      <c r="J424" s="5"/>
    </row>
    <row r="425" spans="1:10" ht="15.6" customHeight="1" x14ac:dyDescent="0.25">
      <c r="A425" s="4" t="str">
        <f t="shared" si="7"/>
        <v/>
      </c>
      <c r="B425" s="5"/>
      <c r="C425" s="6"/>
      <c r="D425" s="6"/>
      <c r="E425" s="5"/>
      <c r="F425" s="6"/>
      <c r="G425" s="7"/>
      <c r="H425" s="5"/>
      <c r="I425" s="7"/>
      <c r="J425" s="5"/>
    </row>
    <row r="426" spans="1:10" ht="15.6" customHeight="1" x14ac:dyDescent="0.25">
      <c r="A426" s="4" t="str">
        <f t="shared" si="7"/>
        <v/>
      </c>
      <c r="B426" s="5"/>
      <c r="C426" s="6"/>
      <c r="D426" s="6"/>
      <c r="E426" s="5"/>
      <c r="F426" s="6"/>
      <c r="G426" s="7"/>
      <c r="H426" s="5"/>
      <c r="I426" s="7"/>
      <c r="J426" s="5"/>
    </row>
    <row r="427" spans="1:10" ht="15.6" customHeight="1" x14ac:dyDescent="0.25">
      <c r="A427" s="4" t="str">
        <f t="shared" si="7"/>
        <v/>
      </c>
      <c r="B427" s="5"/>
      <c r="C427" s="6"/>
      <c r="D427" s="6"/>
      <c r="E427" s="5"/>
      <c r="F427" s="6"/>
      <c r="G427" s="7"/>
      <c r="H427" s="5"/>
      <c r="I427" s="7"/>
      <c r="J427" s="5"/>
    </row>
    <row r="428" spans="1:10" ht="15.6" customHeight="1" x14ac:dyDescent="0.25">
      <c r="A428" s="4" t="str">
        <f t="shared" si="7"/>
        <v/>
      </c>
      <c r="B428" s="5"/>
      <c r="C428" s="6"/>
      <c r="D428" s="6"/>
      <c r="E428" s="5"/>
      <c r="F428" s="6"/>
      <c r="G428" s="7"/>
      <c r="H428" s="5"/>
      <c r="I428" s="7"/>
      <c r="J428" s="5"/>
    </row>
    <row r="429" spans="1:10" ht="15.6" customHeight="1" x14ac:dyDescent="0.25">
      <c r="A429" s="4" t="str">
        <f t="shared" si="7"/>
        <v/>
      </c>
      <c r="B429" s="5"/>
      <c r="C429" s="6"/>
      <c r="D429" s="6"/>
      <c r="E429" s="5"/>
      <c r="F429" s="6"/>
      <c r="G429" s="7"/>
      <c r="H429" s="5"/>
      <c r="I429" s="7"/>
      <c r="J429" s="5"/>
    </row>
    <row r="430" spans="1:10" ht="15.6" customHeight="1" x14ac:dyDescent="0.25">
      <c r="A430" s="4" t="str">
        <f t="shared" si="7"/>
        <v/>
      </c>
      <c r="B430" s="5"/>
      <c r="C430" s="6"/>
      <c r="D430" s="6"/>
      <c r="E430" s="5"/>
      <c r="F430" s="6"/>
      <c r="G430" s="7"/>
      <c r="H430" s="5"/>
      <c r="I430" s="7"/>
      <c r="J430" s="5"/>
    </row>
    <row r="431" spans="1:10" ht="15.6" customHeight="1" x14ac:dyDescent="0.25">
      <c r="A431" s="4" t="str">
        <f t="shared" si="7"/>
        <v/>
      </c>
      <c r="B431" s="5"/>
      <c r="C431" s="6"/>
      <c r="D431" s="6"/>
      <c r="E431" s="5"/>
      <c r="F431" s="6"/>
      <c r="G431" s="7"/>
      <c r="H431" s="5"/>
      <c r="I431" s="7"/>
      <c r="J431" s="5"/>
    </row>
    <row r="432" spans="1:10" ht="15.6" customHeight="1" x14ac:dyDescent="0.25">
      <c r="A432" s="4" t="str">
        <f t="shared" si="7"/>
        <v/>
      </c>
      <c r="B432" s="5"/>
      <c r="C432" s="6"/>
      <c r="D432" s="6"/>
      <c r="E432" s="5"/>
      <c r="F432" s="6"/>
      <c r="G432" s="7"/>
      <c r="H432" s="5"/>
      <c r="I432" s="7"/>
      <c r="J432" s="5"/>
    </row>
    <row r="433" spans="1:10" ht="15.6" customHeight="1" x14ac:dyDescent="0.25">
      <c r="A433" s="4" t="str">
        <f t="shared" si="7"/>
        <v/>
      </c>
      <c r="B433" s="5"/>
      <c r="C433" s="6"/>
      <c r="D433" s="6"/>
      <c r="E433" s="5"/>
      <c r="F433" s="6"/>
      <c r="G433" s="7"/>
      <c r="H433" s="5"/>
      <c r="I433" s="7"/>
      <c r="J433" s="5"/>
    </row>
    <row r="434" spans="1:10" ht="15.6" customHeight="1" x14ac:dyDescent="0.25">
      <c r="A434" s="4" t="str">
        <f t="shared" si="7"/>
        <v/>
      </c>
      <c r="B434" s="5"/>
      <c r="C434" s="6"/>
      <c r="D434" s="6"/>
      <c r="E434" s="5"/>
      <c r="F434" s="6"/>
      <c r="G434" s="7"/>
      <c r="H434" s="5"/>
      <c r="I434" s="7"/>
      <c r="J434" s="5"/>
    </row>
    <row r="435" spans="1:10" ht="15.6" customHeight="1" x14ac:dyDescent="0.25">
      <c r="A435" s="4" t="str">
        <f t="shared" si="7"/>
        <v/>
      </c>
      <c r="B435" s="5"/>
      <c r="C435" s="6"/>
      <c r="D435" s="6"/>
      <c r="E435" s="5"/>
      <c r="F435" s="6"/>
      <c r="G435" s="7"/>
      <c r="H435" s="5"/>
      <c r="I435" s="7"/>
      <c r="J435" s="5"/>
    </row>
    <row r="436" spans="1:10" ht="15.6" customHeight="1" x14ac:dyDescent="0.25">
      <c r="A436" s="4" t="str">
        <f t="shared" si="7"/>
        <v/>
      </c>
      <c r="B436" s="5"/>
      <c r="C436" s="6"/>
      <c r="D436" s="6"/>
      <c r="E436" s="5"/>
      <c r="F436" s="6"/>
      <c r="G436" s="7"/>
      <c r="H436" s="5"/>
      <c r="I436" s="7"/>
      <c r="J436" s="5"/>
    </row>
    <row r="437" spans="1:10" ht="15.6" customHeight="1" x14ac:dyDescent="0.25">
      <c r="A437" s="4" t="str">
        <f t="shared" si="7"/>
        <v/>
      </c>
      <c r="B437" s="5"/>
      <c r="C437" s="6"/>
      <c r="D437" s="6"/>
      <c r="E437" s="5"/>
      <c r="F437" s="6"/>
      <c r="G437" s="7"/>
      <c r="H437" s="5"/>
      <c r="I437" s="7"/>
      <c r="J437" s="5"/>
    </row>
    <row r="438" spans="1:10" ht="15.6" customHeight="1" x14ac:dyDescent="0.25">
      <c r="A438" s="4" t="str">
        <f t="shared" si="7"/>
        <v/>
      </c>
      <c r="B438" s="5"/>
      <c r="C438" s="6"/>
      <c r="D438" s="6"/>
      <c r="E438" s="5"/>
      <c r="F438" s="6"/>
      <c r="G438" s="7"/>
      <c r="H438" s="5"/>
      <c r="I438" s="7"/>
      <c r="J438" s="5"/>
    </row>
    <row r="439" spans="1:10" ht="15.6" customHeight="1" x14ac:dyDescent="0.25">
      <c r="A439" s="4" t="str">
        <f t="shared" si="7"/>
        <v/>
      </c>
      <c r="B439" s="5"/>
      <c r="C439" s="6"/>
      <c r="D439" s="6"/>
      <c r="E439" s="5"/>
      <c r="F439" s="6"/>
      <c r="G439" s="7"/>
      <c r="H439" s="5"/>
      <c r="I439" s="7"/>
      <c r="J439" s="5"/>
    </row>
    <row r="440" spans="1:10" ht="15.6" customHeight="1" x14ac:dyDescent="0.25">
      <c r="A440" s="4" t="str">
        <f t="shared" si="7"/>
        <v/>
      </c>
      <c r="B440" s="5"/>
      <c r="C440" s="6"/>
      <c r="D440" s="6"/>
      <c r="E440" s="5"/>
      <c r="F440" s="6"/>
      <c r="G440" s="7"/>
      <c r="H440" s="5"/>
      <c r="I440" s="7"/>
      <c r="J440" s="5"/>
    </row>
    <row r="441" spans="1:10" ht="15.6" customHeight="1" x14ac:dyDescent="0.25">
      <c r="A441" s="4" t="str">
        <f t="shared" si="7"/>
        <v/>
      </c>
      <c r="B441" s="5"/>
      <c r="C441" s="6"/>
      <c r="D441" s="6"/>
      <c r="E441" s="5"/>
      <c r="F441" s="6"/>
      <c r="G441" s="7"/>
      <c r="H441" s="5"/>
      <c r="I441" s="7"/>
      <c r="J441" s="5"/>
    </row>
    <row r="442" spans="1:10" ht="15.6" customHeight="1" x14ac:dyDescent="0.25">
      <c r="A442" s="4" t="str">
        <f t="shared" si="7"/>
        <v/>
      </c>
      <c r="B442" s="5"/>
      <c r="C442" s="6"/>
      <c r="D442" s="6"/>
      <c r="E442" s="5"/>
      <c r="F442" s="6"/>
      <c r="G442" s="7"/>
      <c r="H442" s="5"/>
      <c r="I442" s="7"/>
      <c r="J442" s="5"/>
    </row>
    <row r="443" spans="1:10" ht="15.6" customHeight="1" x14ac:dyDescent="0.25">
      <c r="A443" s="4" t="str">
        <f t="shared" si="7"/>
        <v/>
      </c>
      <c r="B443" s="5"/>
      <c r="C443" s="6"/>
      <c r="D443" s="6"/>
      <c r="E443" s="5"/>
      <c r="F443" s="6"/>
      <c r="G443" s="7"/>
      <c r="H443" s="5"/>
      <c r="I443" s="7"/>
      <c r="J443" s="5"/>
    </row>
    <row r="444" spans="1:10" ht="15.6" customHeight="1" x14ac:dyDescent="0.25">
      <c r="A444" s="4" t="str">
        <f t="shared" si="7"/>
        <v/>
      </c>
      <c r="B444" s="5"/>
      <c r="C444" s="6"/>
      <c r="D444" s="6"/>
      <c r="E444" s="5"/>
      <c r="F444" s="6"/>
      <c r="G444" s="7"/>
      <c r="H444" s="5"/>
      <c r="I444" s="7"/>
      <c r="J444" s="5"/>
    </row>
    <row r="445" spans="1:10" ht="15.6" customHeight="1" x14ac:dyDescent="0.25">
      <c r="A445" s="4" t="str">
        <f t="shared" si="7"/>
        <v/>
      </c>
      <c r="B445" s="5"/>
      <c r="C445" s="6"/>
      <c r="D445" s="6"/>
      <c r="E445" s="5"/>
      <c r="F445" s="6"/>
      <c r="G445" s="7"/>
      <c r="H445" s="5"/>
      <c r="I445" s="7"/>
      <c r="J445" s="5"/>
    </row>
    <row r="446" spans="1:10" ht="15.6" customHeight="1" x14ac:dyDescent="0.25">
      <c r="A446" s="4" t="str">
        <f t="shared" si="7"/>
        <v/>
      </c>
      <c r="B446" s="5"/>
      <c r="C446" s="6"/>
      <c r="D446" s="6"/>
      <c r="E446" s="5"/>
      <c r="F446" s="6"/>
      <c r="G446" s="7"/>
      <c r="H446" s="5"/>
      <c r="I446" s="7"/>
      <c r="J446" s="5"/>
    </row>
    <row r="447" spans="1:10" ht="15.6" customHeight="1" x14ac:dyDescent="0.25">
      <c r="A447" s="4" t="str">
        <f t="shared" si="7"/>
        <v/>
      </c>
      <c r="B447" s="5"/>
      <c r="C447" s="6"/>
      <c r="D447" s="6"/>
      <c r="E447" s="5"/>
      <c r="F447" s="6"/>
      <c r="G447" s="7"/>
      <c r="H447" s="5"/>
      <c r="I447" s="7"/>
      <c r="J447" s="5"/>
    </row>
    <row r="448" spans="1:10" ht="15.6" customHeight="1" x14ac:dyDescent="0.25">
      <c r="A448" s="4" t="str">
        <f t="shared" si="7"/>
        <v/>
      </c>
      <c r="B448" s="5"/>
      <c r="C448" s="6"/>
      <c r="D448" s="6"/>
      <c r="E448" s="5"/>
      <c r="F448" s="6"/>
      <c r="G448" s="7"/>
      <c r="H448" s="5"/>
      <c r="I448" s="7"/>
      <c r="J448" s="5"/>
    </row>
    <row r="449" spans="1:10" ht="15.6" customHeight="1" x14ac:dyDescent="0.25">
      <c r="A449" s="4" t="str">
        <f t="shared" si="7"/>
        <v/>
      </c>
      <c r="B449" s="5"/>
      <c r="C449" s="6"/>
      <c r="D449" s="6"/>
      <c r="E449" s="5"/>
      <c r="F449" s="6"/>
      <c r="G449" s="7"/>
      <c r="H449" s="5"/>
      <c r="I449" s="7"/>
      <c r="J449" s="5"/>
    </row>
    <row r="450" spans="1:10" ht="15.6" customHeight="1" x14ac:dyDescent="0.25">
      <c r="A450" s="4" t="str">
        <f t="shared" si="7"/>
        <v/>
      </c>
      <c r="B450" s="5"/>
      <c r="C450" s="6"/>
      <c r="D450" s="6"/>
      <c r="E450" s="5"/>
      <c r="F450" s="6"/>
      <c r="G450" s="7"/>
      <c r="H450" s="5"/>
      <c r="I450" s="7"/>
      <c r="J450" s="5"/>
    </row>
    <row r="451" spans="1:10" ht="15.6" customHeight="1" x14ac:dyDescent="0.25">
      <c r="A451" s="4" t="str">
        <f t="shared" si="7"/>
        <v/>
      </c>
      <c r="B451" s="5"/>
      <c r="C451" s="6"/>
      <c r="D451" s="6"/>
      <c r="E451" s="5"/>
      <c r="F451" s="6"/>
      <c r="G451" s="7"/>
      <c r="H451" s="5"/>
      <c r="I451" s="7"/>
      <c r="J451" s="5"/>
    </row>
    <row r="452" spans="1:10" ht="15.6" customHeight="1" x14ac:dyDescent="0.25">
      <c r="A452" s="4" t="str">
        <f t="shared" si="7"/>
        <v/>
      </c>
      <c r="B452" s="5"/>
      <c r="C452" s="6"/>
      <c r="D452" s="6"/>
      <c r="E452" s="5"/>
      <c r="F452" s="6"/>
      <c r="G452" s="7"/>
      <c r="H452" s="5"/>
      <c r="I452" s="7"/>
      <c r="J452" s="5"/>
    </row>
    <row r="453" spans="1:10" ht="15.6" customHeight="1" x14ac:dyDescent="0.25">
      <c r="A453" s="4" t="str">
        <f t="shared" si="7"/>
        <v/>
      </c>
      <c r="B453" s="5"/>
      <c r="C453" s="6"/>
      <c r="D453" s="6"/>
      <c r="E453" s="5"/>
      <c r="F453" s="6"/>
      <c r="G453" s="7"/>
      <c r="H453" s="5"/>
      <c r="I453" s="7"/>
      <c r="J453" s="5"/>
    </row>
    <row r="454" spans="1:10" ht="15.6" customHeight="1" x14ac:dyDescent="0.25">
      <c r="A454" s="4" t="str">
        <f t="shared" si="7"/>
        <v/>
      </c>
      <c r="B454" s="5"/>
      <c r="C454" s="6"/>
      <c r="D454" s="6"/>
      <c r="E454" s="5"/>
      <c r="F454" s="6"/>
      <c r="G454" s="7"/>
      <c r="H454" s="5"/>
      <c r="I454" s="7"/>
      <c r="J454" s="5"/>
    </row>
    <row r="455" spans="1:10" ht="15.6" customHeight="1" x14ac:dyDescent="0.25">
      <c r="A455" s="4" t="str">
        <f t="shared" si="7"/>
        <v/>
      </c>
      <c r="B455" s="5"/>
      <c r="C455" s="6"/>
      <c r="D455" s="6"/>
      <c r="E455" s="5"/>
      <c r="F455" s="6"/>
      <c r="G455" s="7"/>
      <c r="H455" s="5"/>
      <c r="I455" s="7"/>
      <c r="J455" s="5"/>
    </row>
    <row r="456" spans="1:10" ht="15.6" customHeight="1" x14ac:dyDescent="0.25">
      <c r="A456" s="4" t="str">
        <f t="shared" si="7"/>
        <v/>
      </c>
      <c r="B456" s="5"/>
      <c r="C456" s="6"/>
      <c r="D456" s="6"/>
      <c r="E456" s="5"/>
      <c r="F456" s="6"/>
      <c r="G456" s="7"/>
      <c r="H456" s="5"/>
      <c r="I456" s="7"/>
      <c r="J456" s="5"/>
    </row>
    <row r="457" spans="1:10" ht="15.6" customHeight="1" x14ac:dyDescent="0.25">
      <c r="A457" s="4" t="str">
        <f t="shared" si="7"/>
        <v/>
      </c>
      <c r="B457" s="5"/>
      <c r="C457" s="6"/>
      <c r="D457" s="6"/>
      <c r="E457" s="5"/>
      <c r="F457" s="6"/>
      <c r="G457" s="7"/>
      <c r="H457" s="5"/>
      <c r="I457" s="7"/>
      <c r="J457" s="5"/>
    </row>
    <row r="458" spans="1:10" ht="15.6" customHeight="1" x14ac:dyDescent="0.25">
      <c r="A458" s="4" t="str">
        <f t="shared" si="7"/>
        <v/>
      </c>
      <c r="B458" s="5"/>
      <c r="C458" s="6"/>
      <c r="D458" s="6"/>
      <c r="E458" s="5"/>
      <c r="F458" s="6"/>
      <c r="G458" s="7"/>
      <c r="H458" s="5"/>
      <c r="I458" s="7"/>
      <c r="J458" s="5"/>
    </row>
    <row r="459" spans="1:10" ht="15.6" customHeight="1" x14ac:dyDescent="0.25">
      <c r="A459" s="4" t="str">
        <f t="shared" si="7"/>
        <v/>
      </c>
      <c r="B459" s="5"/>
      <c r="C459" s="6"/>
      <c r="D459" s="6"/>
      <c r="E459" s="5"/>
      <c r="F459" s="6"/>
      <c r="G459" s="7"/>
      <c r="H459" s="5"/>
      <c r="I459" s="7"/>
      <c r="J459" s="5"/>
    </row>
    <row r="460" spans="1:10" ht="15.6" customHeight="1" x14ac:dyDescent="0.25">
      <c r="A460" s="4" t="str">
        <f t="shared" si="7"/>
        <v/>
      </c>
      <c r="B460" s="5"/>
      <c r="C460" s="6"/>
      <c r="D460" s="6"/>
      <c r="E460" s="5"/>
      <c r="F460" s="6"/>
      <c r="G460" s="7"/>
      <c r="H460" s="5"/>
      <c r="I460" s="7"/>
      <c r="J460" s="5"/>
    </row>
    <row r="461" spans="1:10" ht="15.6" customHeight="1" x14ac:dyDescent="0.25">
      <c r="A461" s="4" t="str">
        <f t="shared" si="7"/>
        <v/>
      </c>
      <c r="B461" s="5"/>
      <c r="C461" s="6"/>
      <c r="D461" s="6"/>
      <c r="E461" s="5"/>
      <c r="F461" s="6"/>
      <c r="G461" s="7"/>
      <c r="H461" s="5"/>
      <c r="I461" s="7"/>
      <c r="J461" s="5"/>
    </row>
    <row r="462" spans="1:10" ht="15.6" customHeight="1" x14ac:dyDescent="0.25">
      <c r="A462" s="4" t="str">
        <f t="shared" si="7"/>
        <v/>
      </c>
      <c r="B462" s="5"/>
      <c r="C462" s="6"/>
      <c r="D462" s="6"/>
      <c r="E462" s="5"/>
      <c r="F462" s="6"/>
      <c r="G462" s="7"/>
      <c r="H462" s="5"/>
      <c r="I462" s="7"/>
      <c r="J462" s="5"/>
    </row>
    <row r="463" spans="1:10" ht="15.6" customHeight="1" x14ac:dyDescent="0.25">
      <c r="A463" s="4" t="str">
        <f t="shared" si="7"/>
        <v/>
      </c>
      <c r="B463" s="5"/>
      <c r="C463" s="6"/>
      <c r="D463" s="6"/>
      <c r="E463" s="5"/>
      <c r="F463" s="6"/>
      <c r="G463" s="7"/>
      <c r="H463" s="5"/>
      <c r="I463" s="7"/>
      <c r="J463" s="5"/>
    </row>
    <row r="464" spans="1:10" ht="15.6" customHeight="1" x14ac:dyDescent="0.25">
      <c r="A464" s="4" t="str">
        <f t="shared" si="7"/>
        <v/>
      </c>
      <c r="B464" s="5"/>
      <c r="C464" s="6"/>
      <c r="D464" s="6"/>
      <c r="E464" s="5"/>
      <c r="F464" s="6"/>
      <c r="G464" s="7"/>
      <c r="H464" s="5"/>
      <c r="I464" s="7"/>
      <c r="J464" s="5"/>
    </row>
    <row r="465" spans="1:10" ht="15.6" customHeight="1" x14ac:dyDescent="0.25">
      <c r="A465" s="4" t="str">
        <f t="shared" si="7"/>
        <v/>
      </c>
      <c r="B465" s="5"/>
      <c r="C465" s="6"/>
      <c r="D465" s="6"/>
      <c r="E465" s="5"/>
      <c r="F465" s="6"/>
      <c r="G465" s="7"/>
      <c r="H465" s="5"/>
      <c r="I465" s="7"/>
      <c r="J465" s="5"/>
    </row>
    <row r="466" spans="1:10" ht="15.6" customHeight="1" x14ac:dyDescent="0.25">
      <c r="A466" s="4" t="str">
        <f t="shared" si="7"/>
        <v/>
      </c>
      <c r="B466" s="5"/>
      <c r="C466" s="6"/>
      <c r="D466" s="6"/>
      <c r="E466" s="5"/>
      <c r="F466" s="6"/>
      <c r="G466" s="7"/>
      <c r="H466" s="5"/>
      <c r="I466" s="7"/>
      <c r="J466" s="5"/>
    </row>
    <row r="467" spans="1:10" ht="15.6" customHeight="1" x14ac:dyDescent="0.25">
      <c r="A467" s="4" t="str">
        <f t="shared" si="7"/>
        <v/>
      </c>
      <c r="B467" s="5"/>
      <c r="C467" s="6"/>
      <c r="D467" s="6"/>
      <c r="E467" s="5"/>
      <c r="F467" s="6"/>
      <c r="G467" s="7"/>
      <c r="H467" s="5"/>
      <c r="I467" s="7"/>
      <c r="J467" s="5"/>
    </row>
    <row r="468" spans="1:10" ht="15.6" customHeight="1" x14ac:dyDescent="0.25">
      <c r="A468" s="4" t="str">
        <f t="shared" si="7"/>
        <v/>
      </c>
      <c r="B468" s="5"/>
      <c r="C468" s="6"/>
      <c r="D468" s="6"/>
      <c r="E468" s="5"/>
      <c r="F468" s="6"/>
      <c r="G468" s="7"/>
      <c r="H468" s="5"/>
      <c r="I468" s="7"/>
      <c r="J468" s="5"/>
    </row>
    <row r="469" spans="1:10" ht="15.6" customHeight="1" x14ac:dyDescent="0.25">
      <c r="A469" s="4" t="str">
        <f t="shared" si="7"/>
        <v/>
      </c>
      <c r="B469" s="5"/>
      <c r="C469" s="6"/>
      <c r="D469" s="6"/>
      <c r="E469" s="5"/>
      <c r="F469" s="6"/>
      <c r="G469" s="7"/>
      <c r="H469" s="5"/>
      <c r="I469" s="7"/>
      <c r="J469" s="5"/>
    </row>
    <row r="470" spans="1:10" ht="15.6" customHeight="1" x14ac:dyDescent="0.25">
      <c r="A470" s="4" t="str">
        <f t="shared" si="7"/>
        <v/>
      </c>
      <c r="B470" s="5"/>
      <c r="C470" s="6"/>
      <c r="D470" s="6"/>
      <c r="E470" s="5"/>
      <c r="F470" s="6"/>
      <c r="G470" s="7"/>
      <c r="H470" s="5"/>
      <c r="I470" s="7"/>
      <c r="J470" s="5"/>
    </row>
    <row r="471" spans="1:10" ht="15.6" customHeight="1" x14ac:dyDescent="0.25">
      <c r="A471" s="4" t="str">
        <f t="shared" si="7"/>
        <v/>
      </c>
      <c r="B471" s="5"/>
      <c r="C471" s="6"/>
      <c r="D471" s="6"/>
      <c r="E471" s="5"/>
      <c r="F471" s="6"/>
      <c r="G471" s="7"/>
      <c r="H471" s="5"/>
      <c r="I471" s="7"/>
      <c r="J471" s="5"/>
    </row>
    <row r="472" spans="1:10" ht="15.6" customHeight="1" x14ac:dyDescent="0.25">
      <c r="A472" s="4" t="str">
        <f t="shared" si="7"/>
        <v/>
      </c>
      <c r="B472" s="5"/>
      <c r="C472" s="6"/>
      <c r="D472" s="6"/>
      <c r="E472" s="5"/>
      <c r="F472" s="6"/>
      <c r="G472" s="7"/>
      <c r="H472" s="5"/>
      <c r="I472" s="7"/>
      <c r="J472" s="5"/>
    </row>
    <row r="473" spans="1:10" ht="15.6" customHeight="1" x14ac:dyDescent="0.25">
      <c r="A473" s="4" t="str">
        <f t="shared" si="7"/>
        <v/>
      </c>
      <c r="B473" s="5"/>
      <c r="C473" s="6"/>
      <c r="D473" s="6"/>
      <c r="E473" s="5"/>
      <c r="F473" s="6"/>
      <c r="G473" s="7"/>
      <c r="H473" s="5"/>
      <c r="I473" s="7"/>
      <c r="J473" s="5"/>
    </row>
    <row r="474" spans="1:10" ht="15.6" customHeight="1" x14ac:dyDescent="0.25">
      <c r="A474" s="4" t="str">
        <f t="shared" si="7"/>
        <v/>
      </c>
      <c r="B474" s="5"/>
      <c r="C474" s="6"/>
      <c r="D474" s="6"/>
      <c r="E474" s="5"/>
      <c r="F474" s="6"/>
      <c r="G474" s="7"/>
      <c r="H474" s="5"/>
      <c r="I474" s="7"/>
      <c r="J474" s="5"/>
    </row>
    <row r="475" spans="1:10" ht="15.6" customHeight="1" x14ac:dyDescent="0.25">
      <c r="A475" s="4" t="str">
        <f t="shared" si="7"/>
        <v/>
      </c>
      <c r="B475" s="5"/>
      <c r="C475" s="6"/>
      <c r="D475" s="6"/>
      <c r="E475" s="5"/>
      <c r="F475" s="6"/>
      <c r="G475" s="7"/>
      <c r="H475" s="5"/>
      <c r="I475" s="7"/>
      <c r="J475" s="5"/>
    </row>
    <row r="476" spans="1:10" ht="15.6" customHeight="1" x14ac:dyDescent="0.25">
      <c r="A476" s="4" t="str">
        <f t="shared" si="7"/>
        <v/>
      </c>
      <c r="B476" s="5"/>
      <c r="C476" s="6"/>
      <c r="D476" s="6"/>
      <c r="E476" s="5"/>
      <c r="F476" s="6"/>
      <c r="G476" s="7"/>
      <c r="H476" s="5"/>
      <c r="I476" s="7"/>
      <c r="J476" s="5"/>
    </row>
    <row r="477" spans="1:10" ht="15.6" customHeight="1" x14ac:dyDescent="0.25">
      <c r="A477" s="4" t="str">
        <f t="shared" si="7"/>
        <v/>
      </c>
      <c r="B477" s="5"/>
      <c r="C477" s="6"/>
      <c r="D477" s="6"/>
      <c r="E477" s="5"/>
      <c r="F477" s="6"/>
      <c r="G477" s="7"/>
      <c r="H477" s="5"/>
      <c r="I477" s="7"/>
      <c r="J477" s="5"/>
    </row>
    <row r="478" spans="1:10" ht="15.6" customHeight="1" x14ac:dyDescent="0.25">
      <c r="A478" s="4" t="str">
        <f t="shared" si="7"/>
        <v/>
      </c>
      <c r="B478" s="5"/>
      <c r="C478" s="6"/>
      <c r="D478" s="6"/>
      <c r="E478" s="5"/>
      <c r="F478" s="6"/>
      <c r="G478" s="7"/>
      <c r="H478" s="5"/>
      <c r="I478" s="7"/>
      <c r="J478" s="5"/>
    </row>
    <row r="479" spans="1:10" ht="15.6" customHeight="1" x14ac:dyDescent="0.25">
      <c r="A479" s="4" t="str">
        <f t="shared" si="7"/>
        <v/>
      </c>
      <c r="B479" s="5"/>
      <c r="C479" s="6"/>
      <c r="D479" s="6"/>
      <c r="E479" s="5"/>
      <c r="F479" s="6"/>
      <c r="G479" s="7"/>
      <c r="H479" s="5"/>
      <c r="I479" s="7"/>
      <c r="J479" s="5"/>
    </row>
    <row r="480" spans="1:10" ht="15.6" customHeight="1" x14ac:dyDescent="0.25">
      <c r="A480" s="4" t="str">
        <f t="shared" si="7"/>
        <v/>
      </c>
      <c r="B480" s="5"/>
      <c r="C480" s="6"/>
      <c r="D480" s="6"/>
      <c r="E480" s="5"/>
      <c r="F480" s="6"/>
      <c r="G480" s="7"/>
      <c r="H480" s="5"/>
      <c r="I480" s="7"/>
      <c r="J480" s="5"/>
    </row>
    <row r="481" spans="1:10" ht="15.6" customHeight="1" x14ac:dyDescent="0.25">
      <c r="A481" s="4" t="str">
        <f t="shared" si="7"/>
        <v/>
      </c>
      <c r="B481" s="5"/>
      <c r="C481" s="6"/>
      <c r="D481" s="6"/>
      <c r="E481" s="5"/>
      <c r="F481" s="6"/>
      <c r="G481" s="7"/>
      <c r="H481" s="5"/>
      <c r="I481" s="7"/>
      <c r="J481" s="5"/>
    </row>
    <row r="482" spans="1:10" ht="15.6" customHeight="1" x14ac:dyDescent="0.25">
      <c r="A482" s="4" t="str">
        <f t="shared" si="7"/>
        <v/>
      </c>
      <c r="B482" s="5"/>
      <c r="C482" s="6"/>
      <c r="D482" s="6"/>
      <c r="E482" s="5"/>
      <c r="F482" s="6"/>
      <c r="G482" s="7"/>
      <c r="H482" s="5"/>
      <c r="I482" s="7"/>
      <c r="J482" s="5"/>
    </row>
    <row r="483" spans="1:10" ht="15.6" customHeight="1" x14ac:dyDescent="0.25">
      <c r="A483" s="4" t="str">
        <f t="shared" si="7"/>
        <v/>
      </c>
      <c r="B483" s="5"/>
      <c r="C483" s="6"/>
      <c r="D483" s="6"/>
      <c r="E483" s="5"/>
      <c r="F483" s="6"/>
      <c r="G483" s="7"/>
      <c r="H483" s="5"/>
      <c r="I483" s="7"/>
      <c r="J483" s="5"/>
    </row>
    <row r="484" spans="1:10" ht="15.6" customHeight="1" x14ac:dyDescent="0.25">
      <c r="A484" s="4" t="str">
        <f t="shared" si="7"/>
        <v/>
      </c>
      <c r="B484" s="5"/>
      <c r="C484" s="6"/>
      <c r="D484" s="6"/>
      <c r="E484" s="5"/>
      <c r="F484" s="6"/>
      <c r="G484" s="7"/>
      <c r="H484" s="5"/>
      <c r="I484" s="7"/>
      <c r="J484" s="5"/>
    </row>
    <row r="485" spans="1:10" ht="15.6" customHeight="1" x14ac:dyDescent="0.25">
      <c r="A485" s="4" t="str">
        <f t="shared" si="7"/>
        <v/>
      </c>
      <c r="B485" s="5"/>
      <c r="C485" s="6"/>
      <c r="D485" s="6"/>
      <c r="E485" s="5"/>
      <c r="F485" s="6"/>
      <c r="G485" s="7"/>
      <c r="H485" s="5"/>
      <c r="I485" s="7"/>
      <c r="J485" s="5"/>
    </row>
    <row r="486" spans="1:10" ht="15.6" customHeight="1" x14ac:dyDescent="0.25">
      <c r="A486" s="4" t="str">
        <f t="shared" si="7"/>
        <v/>
      </c>
      <c r="B486" s="5"/>
      <c r="C486" s="6"/>
      <c r="D486" s="6"/>
      <c r="E486" s="5"/>
      <c r="F486" s="6"/>
      <c r="G486" s="7"/>
      <c r="H486" s="5"/>
      <c r="I486" s="7"/>
      <c r="J486" s="5"/>
    </row>
    <row r="487" spans="1:10" ht="15.6" customHeight="1" x14ac:dyDescent="0.25">
      <c r="A487" s="4" t="str">
        <f t="shared" ref="A487:A504" si="8">IF(B487&lt;&gt;"",ROW()-3,"")</f>
        <v/>
      </c>
      <c r="B487" s="5"/>
      <c r="C487" s="6"/>
      <c r="D487" s="6"/>
      <c r="E487" s="5"/>
      <c r="F487" s="6"/>
      <c r="G487" s="7"/>
      <c r="H487" s="5"/>
      <c r="I487" s="7"/>
      <c r="J487" s="5"/>
    </row>
    <row r="488" spans="1:10" ht="15.6" customHeight="1" x14ac:dyDescent="0.25">
      <c r="A488" s="4" t="str">
        <f t="shared" si="8"/>
        <v/>
      </c>
      <c r="B488" s="5"/>
      <c r="C488" s="6"/>
      <c r="D488" s="6"/>
      <c r="E488" s="5"/>
      <c r="F488" s="6"/>
      <c r="G488" s="7"/>
      <c r="H488" s="5"/>
      <c r="I488" s="7"/>
      <c r="J488" s="5"/>
    </row>
    <row r="489" spans="1:10" ht="15.6" customHeight="1" x14ac:dyDescent="0.25">
      <c r="A489" s="4" t="str">
        <f t="shared" si="8"/>
        <v/>
      </c>
      <c r="B489" s="5"/>
      <c r="C489" s="6"/>
      <c r="D489" s="6"/>
      <c r="E489" s="5"/>
      <c r="F489" s="6"/>
      <c r="G489" s="7"/>
      <c r="H489" s="5"/>
      <c r="I489" s="7"/>
      <c r="J489" s="5"/>
    </row>
    <row r="490" spans="1:10" ht="15.6" customHeight="1" x14ac:dyDescent="0.25">
      <c r="A490" s="4" t="str">
        <f t="shared" si="8"/>
        <v/>
      </c>
      <c r="B490" s="5"/>
      <c r="C490" s="6"/>
      <c r="D490" s="6"/>
      <c r="E490" s="5"/>
      <c r="F490" s="6"/>
      <c r="G490" s="7"/>
      <c r="H490" s="5"/>
      <c r="I490" s="7"/>
      <c r="J490" s="5"/>
    </row>
    <row r="491" spans="1:10" ht="15.6" customHeight="1" x14ac:dyDescent="0.25">
      <c r="A491" s="4" t="str">
        <f t="shared" si="8"/>
        <v/>
      </c>
      <c r="B491" s="5"/>
      <c r="C491" s="6"/>
      <c r="D491" s="6"/>
      <c r="E491" s="5"/>
      <c r="F491" s="6"/>
      <c r="G491" s="7"/>
      <c r="H491" s="5"/>
      <c r="I491" s="7"/>
      <c r="J491" s="5"/>
    </row>
    <row r="492" spans="1:10" ht="15.6" customHeight="1" x14ac:dyDescent="0.25">
      <c r="A492" s="4" t="str">
        <f t="shared" si="8"/>
        <v/>
      </c>
      <c r="B492" s="5"/>
      <c r="C492" s="6"/>
      <c r="D492" s="6"/>
      <c r="E492" s="5"/>
      <c r="F492" s="6"/>
      <c r="G492" s="7"/>
      <c r="H492" s="5"/>
      <c r="I492" s="7"/>
      <c r="J492" s="5"/>
    </row>
    <row r="493" spans="1:10" ht="15.6" customHeight="1" x14ac:dyDescent="0.25">
      <c r="A493" s="4" t="str">
        <f t="shared" si="8"/>
        <v/>
      </c>
      <c r="B493" s="5"/>
      <c r="C493" s="6"/>
      <c r="D493" s="6"/>
      <c r="E493" s="5"/>
      <c r="F493" s="6"/>
      <c r="G493" s="7"/>
      <c r="H493" s="5"/>
      <c r="I493" s="7"/>
      <c r="J493" s="5"/>
    </row>
    <row r="494" spans="1:10" ht="15.6" customHeight="1" x14ac:dyDescent="0.25">
      <c r="A494" s="4" t="str">
        <f t="shared" si="8"/>
        <v/>
      </c>
      <c r="B494" s="5"/>
      <c r="C494" s="6"/>
      <c r="D494" s="6"/>
      <c r="E494" s="5"/>
      <c r="F494" s="6"/>
      <c r="G494" s="7"/>
      <c r="H494" s="5"/>
      <c r="I494" s="7"/>
      <c r="J494" s="5"/>
    </row>
    <row r="495" spans="1:10" ht="15.6" customHeight="1" x14ac:dyDescent="0.25">
      <c r="A495" s="4" t="str">
        <f t="shared" si="8"/>
        <v/>
      </c>
      <c r="B495" s="5"/>
      <c r="C495" s="6"/>
      <c r="D495" s="6"/>
      <c r="E495" s="5"/>
      <c r="F495" s="6"/>
      <c r="G495" s="7"/>
      <c r="H495" s="5"/>
      <c r="I495" s="7"/>
      <c r="J495" s="5"/>
    </row>
    <row r="496" spans="1:10" ht="15.6" customHeight="1" x14ac:dyDescent="0.25">
      <c r="A496" s="4" t="str">
        <f t="shared" si="8"/>
        <v/>
      </c>
      <c r="B496" s="5"/>
      <c r="C496" s="6"/>
      <c r="D496" s="6"/>
      <c r="E496" s="5"/>
      <c r="F496" s="6"/>
      <c r="G496" s="7"/>
      <c r="H496" s="5"/>
      <c r="I496" s="7"/>
      <c r="J496" s="5"/>
    </row>
    <row r="497" spans="1:10" ht="15.6" customHeight="1" x14ac:dyDescent="0.25">
      <c r="A497" s="4" t="str">
        <f t="shared" si="8"/>
        <v/>
      </c>
      <c r="B497" s="5"/>
      <c r="C497" s="6"/>
      <c r="D497" s="6"/>
      <c r="E497" s="5"/>
      <c r="F497" s="6"/>
      <c r="G497" s="7"/>
      <c r="H497" s="5"/>
      <c r="I497" s="7"/>
      <c r="J497" s="5"/>
    </row>
    <row r="498" spans="1:10" ht="15.6" customHeight="1" x14ac:dyDescent="0.25">
      <c r="A498" s="4" t="str">
        <f t="shared" si="8"/>
        <v/>
      </c>
      <c r="B498" s="5"/>
      <c r="C498" s="6"/>
      <c r="D498" s="6"/>
      <c r="E498" s="5"/>
      <c r="F498" s="6"/>
      <c r="G498" s="7"/>
      <c r="H498" s="5"/>
      <c r="I498" s="7"/>
      <c r="J498" s="5"/>
    </row>
    <row r="499" spans="1:10" ht="15.6" customHeight="1" x14ac:dyDescent="0.25">
      <c r="A499" s="4" t="str">
        <f t="shared" si="8"/>
        <v/>
      </c>
      <c r="B499" s="5"/>
      <c r="C499" s="6"/>
      <c r="D499" s="6"/>
      <c r="E499" s="5"/>
      <c r="F499" s="6"/>
      <c r="G499" s="7"/>
      <c r="H499" s="5"/>
      <c r="I499" s="7"/>
      <c r="J499" s="5"/>
    </row>
    <row r="500" spans="1:10" ht="15.6" customHeight="1" x14ac:dyDescent="0.25">
      <c r="A500" s="4" t="str">
        <f t="shared" si="8"/>
        <v/>
      </c>
      <c r="B500" s="5"/>
      <c r="C500" s="6"/>
      <c r="D500" s="6"/>
      <c r="E500" s="5"/>
      <c r="F500" s="6"/>
      <c r="G500" s="7"/>
      <c r="H500" s="5"/>
      <c r="I500" s="7"/>
      <c r="J500" s="5"/>
    </row>
    <row r="501" spans="1:10" ht="15.6" customHeight="1" x14ac:dyDescent="0.25">
      <c r="A501" s="4" t="str">
        <f t="shared" si="8"/>
        <v/>
      </c>
      <c r="B501" s="5"/>
      <c r="C501" s="6"/>
      <c r="D501" s="6"/>
      <c r="E501" s="5"/>
      <c r="F501" s="6"/>
      <c r="G501" s="7"/>
      <c r="H501" s="5"/>
      <c r="I501" s="7"/>
      <c r="J501" s="5"/>
    </row>
    <row r="502" spans="1:10" ht="15.6" customHeight="1" x14ac:dyDescent="0.25">
      <c r="A502" s="4" t="str">
        <f t="shared" si="8"/>
        <v/>
      </c>
      <c r="B502" s="5"/>
      <c r="C502" s="6"/>
      <c r="D502" s="6"/>
      <c r="E502" s="5"/>
      <c r="F502" s="6"/>
      <c r="G502" s="7"/>
      <c r="H502" s="5"/>
      <c r="I502" s="7"/>
      <c r="J502" s="5"/>
    </row>
    <row r="503" spans="1:10" ht="15.6" customHeight="1" x14ac:dyDescent="0.25">
      <c r="A503" s="4" t="str">
        <f t="shared" si="8"/>
        <v/>
      </c>
      <c r="B503" s="5"/>
      <c r="C503" s="6"/>
      <c r="D503" s="6"/>
      <c r="E503" s="5"/>
      <c r="F503" s="6"/>
      <c r="G503" s="7"/>
      <c r="H503" s="5"/>
      <c r="I503" s="7"/>
      <c r="J503" s="5"/>
    </row>
    <row r="504" spans="1:10" ht="15.6" customHeight="1" x14ac:dyDescent="0.25">
      <c r="A504" s="4" t="str">
        <f t="shared" si="8"/>
        <v/>
      </c>
      <c r="B504" s="5"/>
      <c r="C504" s="6"/>
      <c r="D504" s="6"/>
      <c r="E504" s="5"/>
      <c r="F504" s="6"/>
      <c r="G504" s="7"/>
      <c r="H504" s="5"/>
      <c r="I504" s="7"/>
      <c r="J504" s="5"/>
    </row>
  </sheetData>
  <autoFilter ref="A3:J504"/>
  <mergeCells count="4">
    <mergeCell ref="F1:J1"/>
    <mergeCell ref="A1:E1"/>
    <mergeCell ref="A2:E2"/>
    <mergeCell ref="F2:J2"/>
  </mergeCells>
  <conditionalFormatting sqref="A4:J504">
    <cfRule type="expression" dxfId="258" priority="1">
      <formula>AND($B4&lt;&gt;"",$F4="Open")</formula>
    </cfRule>
    <cfRule type="expression" dxfId="257" priority="2">
      <formula>AND($B4&lt;&gt;"",$F4="Re-Installed")</formula>
    </cfRule>
    <cfRule type="expression" dxfId="256" priority="3">
      <formula>AND($B4="",MOD(ROW(),2)=0)</formula>
    </cfRule>
  </conditionalFormatting>
  <conditionalFormatting sqref="C4:C504">
    <cfRule type="cellIs" dxfId="255" priority="7" operator="equal">
      <formula>"FWD"</formula>
    </cfRule>
    <cfRule type="cellIs" dxfId="254" priority="8" operator="equal">
      <formula>"MID"</formula>
    </cfRule>
    <cfRule type="cellIs" dxfId="253" priority="9" operator="equal">
      <formula>"AFT"</formula>
    </cfRule>
    <cfRule type="cellIs" dxfId="252" priority="10" operator="equal">
      <formula>"JOINT"</formula>
    </cfRule>
    <cfRule type="cellIs" dxfId="251" priority="11" operator="equal">
      <formula>"FLIGHT DECK"</formula>
    </cfRule>
  </conditionalFormatting>
  <conditionalFormatting sqref="D4:D504">
    <cfRule type="expression" dxfId="250" priority="12">
      <formula>AND($B4&lt;&gt;"",$D4="")</formula>
    </cfRule>
  </conditionalFormatting>
  <conditionalFormatting sqref="F4:F504">
    <cfRule type="cellIs" dxfId="249" priority="4" operator="equal">
      <formula>"Open"</formula>
    </cfRule>
    <cfRule type="cellIs" dxfId="248" priority="5" operator="equal">
      <formula>"Re-Installed"</formula>
    </cfRule>
    <cfRule type="cellIs" dxfId="247" priority="6" operator="equal">
      <formula>"Partially"</formula>
    </cfRule>
  </conditionalFormatting>
  <dataValidations count="2">
    <dataValidation type="list" allowBlank="1" sqref="C4:C504">
      <formula1>"FLIGHT DECK,FWD,MID,AFT,JOINT"</formula1>
    </dataValidation>
    <dataValidation type="list" allowBlank="1" sqref="F4:F504">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07D8B"/>
  </sheetPr>
  <dimension ref="A1:J1513"/>
  <sheetViews>
    <sheetView workbookViewId="0">
      <pane ySplit="1" topLeftCell="A116" activePane="bottomLeft" state="frozen"/>
      <selection pane="bottomLeft"/>
    </sheetView>
  </sheetViews>
  <sheetFormatPr defaultRowHeight="15" x14ac:dyDescent="0.2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25">
      <c r="A1" s="141" t="s">
        <v>1146</v>
      </c>
      <c r="B1" s="141" t="s">
        <v>1126</v>
      </c>
      <c r="C1" s="141" t="s">
        <v>1708</v>
      </c>
      <c r="D1" s="141" t="s">
        <v>6</v>
      </c>
      <c r="E1" s="141" t="s">
        <v>1709</v>
      </c>
      <c r="F1" s="141" t="s">
        <v>1710</v>
      </c>
      <c r="G1" s="141" t="s">
        <v>1711</v>
      </c>
      <c r="H1" s="141" t="s">
        <v>1712</v>
      </c>
      <c r="I1" s="141" t="s">
        <v>15</v>
      </c>
      <c r="J1" s="141" t="s">
        <v>1713</v>
      </c>
      <c r="K1" s="106"/>
      <c r="L1" s="142" t="s">
        <v>1714</v>
      </c>
      <c r="M1" s="142" t="s">
        <v>1715</v>
      </c>
    </row>
    <row r="2" spans="1:10">
      <c r="A2" s="143" t="inlineStr">
        <is>
          <t xml:space="preserve">1</t>
        </is>
      </c>
      <c r="B2" s="143" t="inlineStr">
        <is>
          <t xml:space="preserve">32797253</t>
        </is>
      </c>
      <c r="C2" s="143" t="inlineStr">
        <is>
          <t xml:space="preserve">6Y_N/6Y_N YEARS STRUCTURE</t>
        </is>
      </c>
      <c r="D2" s="143" t="inlineStr">
        <is>
          <t xml:space="preserve">N</t>
        </is>
      </c>
      <c r="E2" s="143">
        <v>0.0</v>
      </c>
      <c r="F2" s="143">
        <v>0.0</v>
      </c>
      <c r="G2" s="143">
        <v>0.0</v>
      </c>
      <c r="H2" s="143" t="inlineStr">
        <is>
          <t xml:space="preserve">Not Started</t>
        </is>
      </c>
      <c r="I2" s="143">
        <v>5.0</v>
      </c>
      <c r="J2" s="143"/>
    </row>
    <row r="3" spans="1:10">
      <c r="A3" s="143" t="inlineStr">
        <is>
          <t xml:space="preserve">15</t>
        </is>
      </c>
      <c r="B3" s="143" t="inlineStr">
        <is>
          <t xml:space="preserve">200131-01-1</t>
        </is>
      </c>
      <c r="C3" s="143" t="inlineStr">
        <is>
          <t xml:space="preserve">200131-01-1 (2) / FWD CARGO COMPARTMENT CLEANING</t>
        </is>
      </c>
      <c r="D3" s="143">
        <v>1.0</v>
      </c>
      <c r="E3" s="143">
        <v>3.33</v>
      </c>
      <c r="F3" s="143">
        <v>35.5</v>
      </c>
      <c r="G3" s="143">
        <v>859.4</v>
      </c>
      <c r="H3" s="143" t="inlineStr">
        <is>
          <t xml:space="preserve">Idle</t>
        </is>
      </c>
      <c r="I3" s="143" t="inlineStr">
        <is>
          <t xml:space="preserve">24-92</t>
        </is>
      </c>
      <c r="J3" s="143" t="inlineStr">
        <is>
          <t xml:space="preserve">JOB-SETUP, CLEAN-UP, CLOSE-UP, CLOSE-UP</t>
        </is>
      </c>
    </row>
    <row r="4" spans="1:10">
      <c r="A4" s="143" t="inlineStr">
        <is>
          <t xml:space="preserve">18</t>
        </is>
      </c>
      <c r="B4" s="143" t="inlineStr">
        <is>
          <t xml:space="preserve">200145-01-1</t>
        </is>
      </c>
      <c r="C4" s="143" t="inlineStr">
        <is>
          <t xml:space="preserve">200145-01-1 (2) / ZONE UNDER CABIN FLOOR CLEANING</t>
        </is>
      </c>
      <c r="D4" s="143">
        <v>1.0</v>
      </c>
      <c r="E4" s="143">
        <v>0.0</v>
      </c>
      <c r="F4" s="143">
        <v>20.0</v>
      </c>
      <c r="G4" s="143">
        <v>573.9</v>
      </c>
      <c r="H4" s="143" t="inlineStr">
        <is>
          <t xml:space="preserve">Idle</t>
        </is>
      </c>
      <c r="I4" s="143" t="inlineStr">
        <is>
          <t xml:space="preserve">24-92</t>
        </is>
      </c>
      <c r="J4" s="143" t="inlineStr">
        <is>
          <t xml:space="preserve">JOB-SETUP, CLEAN-UP, INSPECTION, JOB-CLOSEUP</t>
        </is>
      </c>
    </row>
    <row r="5" spans="1:10">
      <c r="A5" s="143" t="inlineStr">
        <is>
          <t xml:space="preserve">20</t>
        </is>
      </c>
      <c r="B5" s="143" t="inlineStr">
        <is>
          <t xml:space="preserve">200151-03-1</t>
        </is>
      </c>
      <c r="C5" s="143" t="inlineStr">
        <is>
          <t xml:space="preserve">200151-03-1 (02) / ACT (EWIS) WIRING CONNECTION INSP</t>
        </is>
      </c>
      <c r="D5" s="143">
        <v>1.0</v>
      </c>
      <c r="E5" s="143">
        <v>4.58</v>
      </c>
      <c r="F5" s="143">
        <v>102.8</v>
      </c>
      <c r="G5" s="143">
        <v>584.4</v>
      </c>
      <c r="H5" s="143" t="inlineStr">
        <is>
          <t xml:space="preserve">Idle</t>
        </is>
      </c>
      <c r="I5" s="143" t="inlineStr">
        <is>
          <t xml:space="preserve">24-92</t>
        </is>
      </c>
      <c r="J5" s="143" t="inlineStr">
        <is>
          <t xml:space="preserve">JOB-SETUP, JOB-SETUP, TC/P, TC/P, TC/P, TC/P, TC/P, TC/P, TC/P, TC/P, TC/P, TC/P, TC/P, TC/P, TC/P, TC/P, TC/P, INSPECTION, JOB-CLOSEUP, JOB-CLOSEUP, JOB-CLOSEUP</t>
        </is>
      </c>
    </row>
    <row r="6" spans="1:10">
      <c r="A6" s="143" t="inlineStr">
        <is>
          <t xml:space="preserve">35</t>
        </is>
      </c>
      <c r="B6" s="143" t="inlineStr">
        <is>
          <t xml:space="preserve">253000-01-1</t>
        </is>
      </c>
      <c r="C6" s="143" t="inlineStr">
        <is>
          <t xml:space="preserve">253000-01-1 (3) / GALLEY ATTACHMENT POINTS INSPECTION</t>
        </is>
      </c>
      <c r="D6" s="143">
        <v>1.0</v>
      </c>
      <c r="E6" s="143">
        <v>0.4</v>
      </c>
      <c r="F6" s="143">
        <v>58.0</v>
      </c>
      <c r="G6" s="143">
        <v>917.4</v>
      </c>
      <c r="H6" s="143" t="inlineStr">
        <is>
          <t xml:space="preserve">Idle</t>
        </is>
      </c>
      <c r="I6" s="143" t="inlineStr">
        <is>
          <t xml:space="preserve">25-30</t>
        </is>
      </c>
      <c r="J6" s="143" t="inlineStr">
        <is>
          <t xml:space="preserve">JOB-SETUP, INSPECTION, INSPECTION, INSPECTION, INSPECTION, JOB-CLOSEUP, JOB-CLOSEUP</t>
        </is>
      </c>
    </row>
    <row r="7" spans="1:10">
      <c r="A7" s="143" t="inlineStr">
        <is>
          <t xml:space="preserve">42</t>
        </is>
      </c>
      <c r="B7" s="143" t="inlineStr">
        <is>
          <t xml:space="preserve">282800-08-1</t>
        </is>
      </c>
      <c r="C7" s="143" t="inlineStr">
        <is>
          <t xml:space="preserve">282800-08-1 (02) / ADDITIONAL CENTER TANK (ACT) OPC</t>
        </is>
      </c>
      <c r="D7" s="143">
        <v>1.0</v>
      </c>
      <c r="E7" s="143">
        <v>0.43</v>
      </c>
      <c r="F7" s="143">
        <v>93.7</v>
      </c>
      <c r="G7" s="143">
        <v>750.8</v>
      </c>
      <c r="H7" s="143" t="inlineStr">
        <is>
          <t xml:space="preserve">Idle</t>
        </is>
      </c>
      <c r="I7" s="143" t="inlineStr">
        <is>
          <t xml:space="preserve">28-28</t>
        </is>
      </c>
      <c r="J7" s="143" t="inlineStr">
        <is>
          <t xml:space="preserve">JOB-SETUP, OPS/LK, JOB-CLOSEUP</t>
        </is>
      </c>
    </row>
    <row r="8" spans="1:10">
      <c r="A8" s="143" t="inlineStr">
        <is>
          <t xml:space="preserve">43</t>
        </is>
      </c>
      <c r="B8" s="143" t="inlineStr">
        <is>
          <t xml:space="preserve">282800-18-1</t>
        </is>
      </c>
      <c r="C8" s="143" t="inlineStr">
        <is>
          <t xml:space="preserve">282800-18-1 (08) / VENT/TRANSFER PIPE SHROUDS FNC</t>
        </is>
      </c>
      <c r="D8" s="143">
        <v>1.0</v>
      </c>
      <c r="E8" s="143">
        <v>1.47</v>
      </c>
      <c r="F8" s="143">
        <v>0.0</v>
      </c>
      <c r="G8" s="143">
        <v>0.0</v>
      </c>
      <c r="H8" s="143" t="inlineStr">
        <is>
          <t xml:space="preserve">Not Started</t>
        </is>
      </c>
      <c r="I8" s="143" t="inlineStr">
        <is>
          <t xml:space="preserve">28-28</t>
        </is>
      </c>
      <c r="J8" s="143" t="inlineStr">
        <is>
          <t xml:space="preserve">JOB-SETUP, TC/P, TC/P, INSPECTION, JOB-CLOSEUP, JOB-CLOSEUP</t>
        </is>
      </c>
    </row>
    <row r="9" spans="1:10">
      <c r="A9" s="143" t="inlineStr">
        <is>
          <t xml:space="preserve">44</t>
        </is>
      </c>
      <c r="B9" s="143" t="inlineStr">
        <is>
          <t xml:space="preserve">323300-01-1</t>
        </is>
      </c>
      <c r="C9" s="143" t="inlineStr">
        <is>
          <t xml:space="preserve">323300-01-1 (2) / LG FREE FALL EXTN MECH&amp;CABLE INSP</t>
        </is>
      </c>
      <c r="D9" s="143">
        <v>1.0</v>
      </c>
      <c r="E9" s="143">
        <v>0.33</v>
      </c>
      <c r="F9" s="143">
        <v>36.0</v>
      </c>
      <c r="G9" s="143">
        <v>390.4</v>
      </c>
      <c r="H9" s="143" t="inlineStr">
        <is>
          <t xml:space="preserve">Idle</t>
        </is>
      </c>
      <c r="I9" s="143" t="inlineStr">
        <is>
          <t xml:space="preserve">32-33</t>
        </is>
      </c>
      <c r="J9" s="143" t="inlineStr">
        <is>
          <t xml:space="preserve">JOB-SETUP, TC/P, TC/P, TC/P, TC/P, INSPECTION, INSPECTION, INSPECTION, INSPECTION, INSPECTION, INSPECTION, INSPECTION, --, JOB-CLOSEUP, JOB-CLOSEUP</t>
        </is>
      </c>
    </row>
    <row r="10" spans="1:10">
      <c r="A10" s="143" t="inlineStr">
        <is>
          <t xml:space="preserve">45</t>
        </is>
      </c>
      <c r="B10" s="143" t="inlineStr">
        <is>
          <t xml:space="preserve">323300-04-1</t>
        </is>
      </c>
      <c r="C10" s="143" t="inlineStr">
        <is>
          <t xml:space="preserve">323300-04-1 (3) / LG FREE FALL MECH CABLE TENTION CHK</t>
        </is>
      </c>
      <c r="D10" s="143">
        <v>1.0</v>
      </c>
      <c r="E10" s="143">
        <v>0.15</v>
      </c>
      <c r="F10" s="143">
        <v>28.2</v>
      </c>
      <c r="G10" s="143">
        <v>843.8</v>
      </c>
      <c r="H10" s="143" t="inlineStr">
        <is>
          <t xml:space="preserve">Idle</t>
        </is>
      </c>
      <c r="I10" s="143" t="inlineStr">
        <is>
          <t xml:space="preserve">32-33</t>
        </is>
      </c>
      <c r="J10" s="143" t="inlineStr">
        <is>
          <t xml:space="preserve">JOB-SETUP, JOB-SETUP, OPS/LK, OPS/LK, JOB-CLOSEUP, JOB-CLOSEUP</t>
        </is>
      </c>
    </row>
    <row r="11" spans="1:10">
      <c r="A11" s="143" t="inlineStr">
        <is>
          <t xml:space="preserve">52</t>
        </is>
      </c>
      <c r="B11" s="143" t="inlineStr">
        <is>
          <t xml:space="preserve">531164-01-1</t>
        </is>
      </c>
      <c r="C11" s="143" t="inlineStr">
        <is>
          <t xml:space="preserve">531164-01-1 (02) / FUSELAGE FR 15-21 INSPECTION</t>
        </is>
      </c>
      <c r="D11" s="143">
        <v>1.0</v>
      </c>
      <c r="E11" s="143">
        <v>1.5</v>
      </c>
      <c r="F11" s="143">
        <v>3.17</v>
      </c>
      <c r="G11" s="143">
        <v>769.9</v>
      </c>
      <c r="H11" s="143" t="inlineStr">
        <is>
          <t xml:space="preserve">Idle</t>
        </is>
      </c>
      <c r="I11" s="143" t="inlineStr">
        <is>
          <t xml:space="preserve">53-11</t>
        </is>
      </c>
      <c r="J11" s="143" t="inlineStr">
        <is>
          <t xml:space="preserve">JOB-SETUP, CLEAN-UP, INSPECTION, INSPECTION, INSPECTION, JOB-CLOSEUP</t>
        </is>
      </c>
    </row>
    <row r="12" spans="1:10">
      <c r="A12" s="143" t="inlineStr">
        <is>
          <t xml:space="preserve">53</t>
        </is>
      </c>
      <c r="B12" s="143" t="inlineStr">
        <is>
          <t xml:space="preserve">531166-01-2</t>
        </is>
      </c>
      <c r="C12" s="143" t="inlineStr">
        <is>
          <t xml:space="preserve">531166-01-2 (2) / FUSELAGE FR 16-20 INSPECTION</t>
        </is>
      </c>
      <c r="D12" s="143">
        <v>1.0</v>
      </c>
      <c r="E12" s="143">
        <v>0.65</v>
      </c>
      <c r="F12" s="143">
        <v>58.5</v>
      </c>
      <c r="G12" s="143">
        <v>581.5</v>
      </c>
      <c r="H12" s="143" t="inlineStr">
        <is>
          <t xml:space="preserve">Idle</t>
        </is>
      </c>
      <c r="I12" s="143" t="inlineStr">
        <is>
          <t xml:space="preserve">53-11</t>
        </is>
      </c>
      <c r="J12" s="143" t="inlineStr">
        <is>
          <t xml:space="preserve">JOB-SETUP, CLEAN-UP, INSPECTION, INSPECTION, JOB-CLOSEUP</t>
        </is>
      </c>
    </row>
    <row r="13" spans="1:10">
      <c r="A13" s="143" t="inlineStr">
        <is>
          <t xml:space="preserve">55</t>
        </is>
      </c>
      <c r="B13" s="143" t="inlineStr">
        <is>
          <t xml:space="preserve">531181-01-1</t>
        </is>
      </c>
      <c r="C13" s="143" t="inlineStr">
        <is>
          <t xml:space="preserve">531181-01-1 (3) / FUSELAGE INTERNL STRUCT FR15-21 INSP</t>
        </is>
      </c>
      <c r="D13" s="143">
        <v>1.0</v>
      </c>
      <c r="E13" s="143">
        <v>1.75</v>
      </c>
      <c r="F13" s="143">
        <v>60.8</v>
      </c>
      <c r="G13" s="143">
        <v>1054.3</v>
      </c>
      <c r="H13" s="143" t="inlineStr">
        <is>
          <t xml:space="preserve">Idle</t>
        </is>
      </c>
      <c r="I13" s="143" t="inlineStr">
        <is>
          <t xml:space="preserve">53-11</t>
        </is>
      </c>
      <c r="J13" s="143" t="inlineStr">
        <is>
          <t xml:space="preserve">JOB-SETUP, CLEAN-UP, INSPECTION, INSPECTION, INSPECTION, JOB-CLOSEUP, JOB-CLOSEUP</t>
        </is>
      </c>
    </row>
    <row r="14" spans="1:10">
      <c r="A14" s="143" t="inlineStr">
        <is>
          <t xml:space="preserve">56</t>
        </is>
      </c>
      <c r="B14" s="143" t="inlineStr">
        <is>
          <t xml:space="preserve">531189-01-2</t>
        </is>
      </c>
      <c r="C14" s="143" t="inlineStr">
        <is>
          <t xml:space="preserve">531189-01-2 (2) / CABIN FLOOR STRUCT FR12 &amp; FR21 INSP</t>
        </is>
      </c>
      <c r="D14" s="143">
        <v>1.0</v>
      </c>
      <c r="E14" s="143">
        <v>3.67</v>
      </c>
      <c r="F14" s="143">
        <v>205.8</v>
      </c>
      <c r="G14" s="143">
        <v>724.7</v>
      </c>
      <c r="H14" s="143" t="inlineStr">
        <is>
          <t xml:space="preserve">Idle</t>
        </is>
      </c>
      <c r="I14" s="143" t="inlineStr">
        <is>
          <t xml:space="preserve">53-11</t>
        </is>
      </c>
      <c r="J14" s="143" t="inlineStr">
        <is>
          <t xml:space="preserve">JOB-SETUP, CLEAN-UP, INSPECTION, INSPECTION, INSPECTION, JOB-CLOSEUP, INSPECTION, JOB-CLOSEUP</t>
        </is>
      </c>
    </row>
    <row r="15" spans="1:10">
      <c r="A15" s="143" t="inlineStr">
        <is>
          <t xml:space="preserve">57</t>
        </is>
      </c>
      <c r="B15" s="143" t="inlineStr">
        <is>
          <t xml:space="preserve">531194-01-2</t>
        </is>
      </c>
      <c r="C15" s="143" t="inlineStr">
        <is>
          <t xml:space="preserve">531194-01-2 (2) / FLOOR STRUCTURE FR21 TO FR24 INSP</t>
        </is>
      </c>
      <c r="D15" s="143">
        <v>1.0</v>
      </c>
      <c r="E15" s="143">
        <v>1.0</v>
      </c>
      <c r="F15" s="143">
        <v>164.3</v>
      </c>
      <c r="G15" s="143">
        <v>818.9</v>
      </c>
      <c r="H15" s="143" t="inlineStr">
        <is>
          <t xml:space="preserve">Idle</t>
        </is>
      </c>
      <c r="I15" s="143" t="inlineStr">
        <is>
          <t xml:space="preserve">53-11</t>
        </is>
      </c>
      <c r="J15" s="143" t="inlineStr">
        <is>
          <t xml:space="preserve">JOB-SETUP, JOB-SETUP, INSPECTION, TC/P, JOB-CLOSEUP, JOB-CLOSEUP, JOB-CLOSEUP</t>
        </is>
      </c>
    </row>
    <row r="16" spans="1:10">
      <c r="A16" s="143" t="inlineStr">
        <is>
          <t xml:space="preserve">62</t>
        </is>
      </c>
      <c r="B16" s="143" t="inlineStr">
        <is>
          <t xml:space="preserve">534147-01-1</t>
        </is>
      </c>
      <c r="C16" s="143" t="inlineStr">
        <is>
          <t xml:space="preserve">534147-01-1 (2) / CABIN FLOOR STRUC AROUND GALLEY&amp;LAV</t>
        </is>
      </c>
      <c r="D16" s="143">
        <v>1.0</v>
      </c>
      <c r="E16" s="143">
        <v>37.0</v>
      </c>
      <c r="F16" s="143">
        <v>331.0</v>
      </c>
      <c r="G16" s="143">
        <v>844.9</v>
      </c>
      <c r="H16" s="143" t="inlineStr">
        <is>
          <t xml:space="preserve">Idle</t>
        </is>
      </c>
      <c r="I16" s="143" t="inlineStr">
        <is>
          <t xml:space="preserve">53-41</t>
        </is>
      </c>
      <c r="J16" s="143" t="inlineStr">
        <is>
          <t xml:space="preserve">JOB-SETUP, CLEAN-UP, INSPECTION, INSPECTION, INSPECTION, JOB-CLOSEUP, JOB-CLOSEUP</t>
        </is>
      </c>
    </row>
    <row r="17" spans="1:10">
      <c r="A17" s="143" t="inlineStr">
        <is>
          <t xml:space="preserve">66</t>
        </is>
      </c>
      <c r="B17" s="143" t="inlineStr">
        <is>
          <t xml:space="preserve">534195-01-2</t>
        </is>
      </c>
      <c r="C17" s="143" t="inlineStr">
        <is>
          <t xml:space="preserve">534195-01-2 (01) / CABIN FLOOR STRUCT BELOW AFT ENTERAN</t>
        </is>
      </c>
      <c r="D17" s="143">
        <v>1.0</v>
      </c>
      <c r="E17" s="143">
        <v>0.0</v>
      </c>
      <c r="F17" s="143">
        <v>92.5</v>
      </c>
      <c r="G17" s="143">
        <v>716.5</v>
      </c>
      <c r="H17" s="143" t="inlineStr">
        <is>
          <t xml:space="preserve">Idle</t>
        </is>
      </c>
      <c r="I17" s="143" t="inlineStr">
        <is>
          <t xml:space="preserve">53-41</t>
        </is>
      </c>
      <c r="J17" s="143" t="inlineStr">
        <is>
          <t xml:space="preserve">JOB-SETUP, INSPECTION, INSPECTION, JOB-CLOSEUP</t>
        </is>
      </c>
    </row>
    <row r="18" spans="1:10">
      <c r="A18" s="143" t="inlineStr">
        <is>
          <t xml:space="preserve">105</t>
        </is>
      </c>
      <c r="B18" s="143" t="inlineStr">
        <is>
          <t xml:space="preserve">ZL-125-02-1</t>
        </is>
      </c>
      <c r="C18" s="143" t="inlineStr">
        <is>
          <t xml:space="preserve">ZL-125-02-1 (4) / LATERAL AVIONIC COMPARTMENT INSP</t>
        </is>
      </c>
      <c r="D18" s="143">
        <v>1.0</v>
      </c>
      <c r="E18" s="143">
        <v>0.78</v>
      </c>
      <c r="F18" s="143">
        <v>6.5</v>
      </c>
      <c r="G18" s="143">
        <v>769.8</v>
      </c>
      <c r="H18" s="143" t="inlineStr">
        <is>
          <t xml:space="preserve">Idle</t>
        </is>
      </c>
      <c r="I18" s="143" t="inlineStr">
        <is>
          <t xml:space="preserve">05-21</t>
        </is>
      </c>
      <c r="J18" s="143" t="inlineStr">
        <is>
          <t xml:space="preserve">JOB-SETUP, INSPECTION, INSPECTION, JOB-CLOSEUP</t>
        </is>
      </c>
    </row>
    <row r="19" spans="1:10">
      <c r="A19" s="143" t="inlineStr">
        <is>
          <t xml:space="preserve">111</t>
        </is>
      </c>
      <c r="B19" s="143" t="inlineStr">
        <is>
          <t xml:space="preserve">ZL-151-02-3</t>
        </is>
      </c>
      <c r="C19" s="143" t="inlineStr">
        <is>
          <t xml:space="preserve">ZL-151-02-3 (2) / AFT CARGO COMPARTMENT ZONAL INSP</t>
        </is>
      </c>
      <c r="D19" s="143">
        <v>1.0</v>
      </c>
      <c r="E19" s="143">
        <v>19.0</v>
      </c>
      <c r="F19" s="143">
        <v>14.25</v>
      </c>
      <c r="G19" s="143">
        <v>725.0</v>
      </c>
      <c r="H19" s="143" t="inlineStr">
        <is>
          <t xml:space="preserve">Idle</t>
        </is>
      </c>
      <c r="I19" s="143" t="inlineStr">
        <is>
          <t xml:space="preserve">28-11</t>
        </is>
      </c>
      <c r="J19" s="143" t="inlineStr">
        <is>
          <t xml:space="preserve">JOB-SETUP, INSPECTION, INSPECTION, CLOSE-UP, CLOSE-UP</t>
        </is>
      </c>
    </row>
    <row r="20" spans="1:10">
      <c r="A20" s="143" t="inlineStr">
        <is>
          <t xml:space="preserve">112</t>
        </is>
      </c>
      <c r="B20" s="143" t="inlineStr">
        <is>
          <t xml:space="preserve">ZL-153-01-1</t>
        </is>
      </c>
      <c r="C20" s="143" t="inlineStr">
        <is>
          <t xml:space="preserve">ZL-153-01-1 (03) / AFT CARGO COMPTMENT UNDERFLOOR BAY</t>
        </is>
      </c>
      <c r="D20" s="143">
        <v>1.0</v>
      </c>
      <c r="E20" s="143">
        <v>3.67</v>
      </c>
      <c r="F20" s="143">
        <v>91.1</v>
      </c>
      <c r="G20" s="143">
        <v>880.0</v>
      </c>
      <c r="H20" s="143" t="inlineStr">
        <is>
          <t xml:space="preserve">Idle</t>
        </is>
      </c>
      <c r="I20" s="143" t="inlineStr">
        <is>
          <t xml:space="preserve">05-21</t>
        </is>
      </c>
      <c r="J20" s="143" t="inlineStr">
        <is>
          <t xml:space="preserve">JOB-SETUP, INSPECTION, INSPECTION, INSPECTION, INSPECTION, INSPECTION, JOB-CLOSEUP, JOB-CLOSEUP</t>
        </is>
      </c>
    </row>
    <row r="21" spans="1:10">
      <c r="A21" s="143" t="inlineStr">
        <is>
          <t xml:space="preserve">158</t>
        </is>
      </c>
      <c r="B21" s="143" t="inlineStr">
        <is>
          <t xml:space="preserve">31871161</t>
        </is>
      </c>
      <c r="C21" s="143" t="inlineStr">
        <is>
          <t xml:space="preserve">A_N (A_N09)/A_N-CHECK</t>
        </is>
      </c>
      <c r="D21" s="143" t="inlineStr">
        <is>
          <t xml:space="preserve">N</t>
        </is>
      </c>
      <c r="E21" s="143">
        <v>0.0</v>
      </c>
      <c r="F21" s="143">
        <v>0.0</v>
      </c>
      <c r="G21" s="143">
        <v>0.0</v>
      </c>
      <c r="H21" s="143" t="inlineStr">
        <is>
          <t xml:space="preserve">Not Started</t>
        </is>
      </c>
      <c r="I21" s="143" t="inlineStr">
        <is>
          <t xml:space="preserve">20-00</t>
        </is>
      </c>
      <c r="J21" s="143"/>
    </row>
    <row r="22" spans="1:10">
      <c r="A22" s="143" t="inlineStr">
        <is>
          <t xml:space="preserve">160</t>
        </is>
      </c>
      <c r="B22" s="143" t="inlineStr">
        <is>
          <t xml:space="preserve">11-11-00-01-0-SVA</t>
        </is>
      </c>
      <c r="C22" s="143" t="inlineStr">
        <is>
          <t xml:space="preserve">11-11-00-01-0-SVA (02) / INTERIOR PLACARDS CHECK</t>
        </is>
      </c>
      <c r="D22" s="143">
        <v>1.0</v>
      </c>
      <c r="E22" s="143">
        <v>1.0</v>
      </c>
      <c r="F22" s="143">
        <v>0.0</v>
      </c>
      <c r="G22" s="143">
        <v>0.0</v>
      </c>
      <c r="H22" s="143" t="inlineStr">
        <is>
          <t xml:space="preserve">Not Started</t>
        </is>
      </c>
      <c r="I22" s="143" t="inlineStr">
        <is>
          <t xml:space="preserve">11-11</t>
        </is>
      </c>
      <c r="J22" s="143" t="inlineStr">
        <is>
          <t xml:space="preserve">PRE INSP</t>
        </is>
      </c>
    </row>
    <row r="23" spans="1:10">
      <c r="A23" s="143" t="inlineStr">
        <is>
          <t xml:space="preserve">165</t>
        </is>
      </c>
      <c r="B23" s="143" t="inlineStr">
        <is>
          <t xml:space="preserve">242000-25-1</t>
        </is>
      </c>
      <c r="C23" s="143" t="inlineStr">
        <is>
          <t xml:space="preserve">242000-25-1 (02) / AC GENERATION</t>
        </is>
      </c>
      <c r="D23" s="143">
        <v>1.0</v>
      </c>
      <c r="E23" s="143">
        <v>1.0</v>
      </c>
      <c r="F23" s="143">
        <v>0.0</v>
      </c>
      <c r="G23" s="143">
        <v>0.0</v>
      </c>
      <c r="H23" s="143" t="inlineStr">
        <is>
          <t xml:space="preserve">Not Started</t>
        </is>
      </c>
      <c r="I23" s="143" t="inlineStr">
        <is>
          <t xml:space="preserve">53-31</t>
        </is>
      </c>
      <c r="J23" s="143" t="inlineStr">
        <is>
          <t xml:space="preserve">JOB-SETUP, OPS/LK, JOB-CLOSEUP</t>
        </is>
      </c>
    </row>
    <row r="24" spans="1:10">
      <c r="A24" s="143" t="inlineStr">
        <is>
          <t xml:space="preserve">170</t>
        </is>
      </c>
      <c r="B24" s="143" t="inlineStr">
        <is>
          <t xml:space="preserve">25-21-00-00-SVA</t>
        </is>
      </c>
      <c r="C24" s="143" t="inlineStr">
        <is>
          <t xml:space="preserve">25-21-00-00-SVA (01) / B/C SEAT DEEP INSP</t>
        </is>
      </c>
      <c r="D24" s="143">
        <v>1.0</v>
      </c>
      <c r="E24" s="143">
        <v>2.33</v>
      </c>
      <c r="F24" s="143">
        <v>7.5</v>
      </c>
      <c r="G24" s="143">
        <v>866.0</v>
      </c>
      <c r="H24" s="143" t="inlineStr">
        <is>
          <t xml:space="preserve">Idle</t>
        </is>
      </c>
      <c r="I24" s="143" t="inlineStr">
        <is>
          <t xml:space="preserve">25-10</t>
        </is>
      </c>
      <c r="J24" s="143"/>
    </row>
    <row r="25" spans="1:10">
      <c r="A25" s="143" t="inlineStr">
        <is>
          <t xml:space="preserve">171</t>
        </is>
      </c>
      <c r="B25" s="143" t="inlineStr">
        <is>
          <t xml:space="preserve">25-21-01-00-SVA</t>
        </is>
      </c>
      <c r="C25" s="143" t="inlineStr">
        <is>
          <t xml:space="preserve">25-21-01-00-SVA (01) / G/C SEAT DEEP INSP</t>
        </is>
      </c>
      <c r="D25" s="143">
        <v>1.0</v>
      </c>
      <c r="E25" s="143">
        <v>1.5</v>
      </c>
      <c r="F25" s="143">
        <v>6.0</v>
      </c>
      <c r="G25" s="143">
        <v>866.1</v>
      </c>
      <c r="H25" s="143" t="inlineStr">
        <is>
          <t xml:space="preserve">Idle</t>
        </is>
      </c>
      <c r="I25" s="143" t="inlineStr">
        <is>
          <t xml:space="preserve">25-10</t>
        </is>
      </c>
      <c r="J25" s="143"/>
    </row>
    <row r="26" spans="1:10">
      <c r="A26" s="143" t="inlineStr">
        <is>
          <t xml:space="preserve">173</t>
        </is>
      </c>
      <c r="B26" s="143" t="inlineStr">
        <is>
          <t xml:space="preserve">25-26-00-08-0-SVA</t>
        </is>
      </c>
      <c r="C26" s="143" t="inlineStr">
        <is>
          <t xml:space="preserve">25-26-00-08-0-SVA (05) / PASSNGER COMPT CURTAINS REPLACEMENT</t>
        </is>
      </c>
      <c r="D26" s="143">
        <v>1.0</v>
      </c>
      <c r="E26" s="143">
        <v>4.0</v>
      </c>
      <c r="F26" s="143">
        <v>0.0</v>
      </c>
      <c r="G26" s="143">
        <v>0.0</v>
      </c>
      <c r="H26" s="143" t="inlineStr">
        <is>
          <t xml:space="preserve">Not Started</t>
        </is>
      </c>
      <c r="I26" s="143" t="inlineStr">
        <is>
          <t xml:space="preserve">25-26</t>
        </is>
      </c>
      <c r="J26" s="143" t="inlineStr">
        <is>
          <t xml:space="preserve">TC/P</t>
        </is>
      </c>
    </row>
    <row r="27" spans="1:10">
      <c r="A27" s="143" t="inlineStr">
        <is>
          <t xml:space="preserve">174</t>
        </is>
      </c>
      <c r="B27" s="143" t="inlineStr">
        <is>
          <t xml:space="preserve">25-28-00-03-0-SVA-001</t>
        </is>
      </c>
      <c r="C27" s="143" t="inlineStr">
        <is>
          <t xml:space="preserve">25-28-00-03-0-SVA-001 (07) / HZ-ASA TO ASG AISLE CARPETS R/R</t>
        </is>
      </c>
      <c r="D27" s="143">
        <v>1.0</v>
      </c>
      <c r="E27" s="143">
        <v>4.0</v>
      </c>
      <c r="F27" s="143">
        <v>0.0</v>
      </c>
      <c r="G27" s="143">
        <v>0.0</v>
      </c>
      <c r="H27" s="143" t="inlineStr">
        <is>
          <t xml:space="preserve">Not Started</t>
        </is>
      </c>
      <c r="I27" s="143" t="inlineStr">
        <is>
          <t xml:space="preserve">25-28</t>
        </is>
      </c>
      <c r="J27" s="143" t="inlineStr">
        <is>
          <t xml:space="preserve">PRE INSP</t>
        </is>
      </c>
    </row>
    <row r="28" spans="1:10">
      <c r="A28" s="143" t="inlineStr">
        <is>
          <t xml:space="preserve">175</t>
        </is>
      </c>
      <c r="B28" s="143" t="inlineStr">
        <is>
          <t xml:space="preserve">25-30-00-03-0-SVA</t>
        </is>
      </c>
      <c r="C28" s="143" t="inlineStr">
        <is>
          <t xml:space="preserve">25-30-00-03-0-SVA (02) / GALLEY CTL PANELS ELECTRICAL INSP</t>
        </is>
      </c>
      <c r="D28" s="143">
        <v>1.0</v>
      </c>
      <c r="E28" s="143">
        <v>2.0</v>
      </c>
      <c r="F28" s="143">
        <v>0.0</v>
      </c>
      <c r="G28" s="143">
        <v>0.0</v>
      </c>
      <c r="H28" s="143" t="inlineStr">
        <is>
          <t xml:space="preserve">Not Started</t>
        </is>
      </c>
      <c r="I28" s="143" t="inlineStr">
        <is>
          <t xml:space="preserve">25-30</t>
        </is>
      </c>
      <c r="J28" s="143" t="inlineStr">
        <is>
          <t xml:space="preserve">PRE HGR</t>
        </is>
      </c>
    </row>
    <row r="29" spans="1:10">
      <c r="A29" s="143" t="inlineStr">
        <is>
          <t xml:space="preserve">176</t>
        </is>
      </c>
      <c r="B29" s="143" t="inlineStr">
        <is>
          <t xml:space="preserve">25-30-00-13-0-SVA</t>
        </is>
      </c>
      <c r="C29" s="143" t="inlineStr">
        <is>
          <t xml:space="preserve">25-30-00-13-0-SVA (02) / GALLY &amp; WATER AUTO DRAIN VALVES OPC</t>
        </is>
      </c>
      <c r="D29" s="143">
        <v>1.0</v>
      </c>
      <c r="E29" s="143">
        <v>0.5</v>
      </c>
      <c r="F29" s="143">
        <v>0.0</v>
      </c>
      <c r="G29" s="143">
        <v>0.0</v>
      </c>
      <c r="H29" s="143" t="inlineStr">
        <is>
          <t xml:space="preserve">Not Started</t>
        </is>
      </c>
      <c r="I29" s="143" t="inlineStr">
        <is>
          <t xml:space="preserve">25-30</t>
        </is>
      </c>
      <c r="J29" s="143" t="inlineStr">
        <is>
          <t xml:space="preserve">PRE INSP</t>
        </is>
      </c>
    </row>
    <row r="30" spans="1:10">
      <c r="A30" s="143" t="inlineStr">
        <is>
          <t xml:space="preserve">177</t>
        </is>
      </c>
      <c r="B30" s="143" t="inlineStr">
        <is>
          <t xml:space="preserve">25-32-00-00-SVA</t>
        </is>
      </c>
      <c r="C30" s="143" t="inlineStr">
        <is>
          <t xml:space="preserve">25-32-00-00-SVA (01) / GALLEY CHECK</t>
        </is>
      </c>
      <c r="D30" s="143">
        <v>1.0</v>
      </c>
      <c r="E30" s="143">
        <v>0.5</v>
      </c>
      <c r="F30" s="143">
        <v>66.0</v>
      </c>
      <c r="G30" s="143">
        <v>917.9</v>
      </c>
      <c r="H30" s="143" t="inlineStr">
        <is>
          <t xml:space="preserve">Idle</t>
        </is>
      </c>
      <c r="I30" s="143" t="inlineStr">
        <is>
          <t xml:space="preserve">25-10</t>
        </is>
      </c>
      <c r="J30" s="143"/>
    </row>
    <row r="31" spans="1:10">
      <c r="A31" s="143" t="inlineStr">
        <is>
          <t xml:space="preserve">190</t>
        </is>
      </c>
      <c r="B31" s="143" t="inlineStr">
        <is>
          <t xml:space="preserve">262200-02-1</t>
        </is>
      </c>
      <c r="C31" s="143" t="inlineStr">
        <is>
          <t xml:space="preserve">262200-02-1 (4) / APU AUTO FIRE EXTINGUISHING OPS</t>
        </is>
      </c>
      <c r="D31" s="143">
        <v>1.0</v>
      </c>
      <c r="E31" s="143">
        <v>0.22</v>
      </c>
      <c r="F31" s="143">
        <v>0.0</v>
      </c>
      <c r="G31" s="143">
        <v>0.0</v>
      </c>
      <c r="H31" s="143" t="inlineStr">
        <is>
          <t xml:space="preserve">Not Started</t>
        </is>
      </c>
      <c r="I31" s="143" t="inlineStr">
        <is>
          <t xml:space="preserve">26-22</t>
        </is>
      </c>
      <c r="J31" s="143" t="inlineStr">
        <is>
          <t xml:space="preserve">OPS/LK</t>
        </is>
      </c>
    </row>
    <row r="32" spans="1:10">
      <c r="A32" s="143" t="inlineStr">
        <is>
          <t xml:space="preserve">199</t>
        </is>
      </c>
      <c r="B32" s="143" t="inlineStr">
        <is>
          <t xml:space="preserve">281100-05-1</t>
        </is>
      </c>
      <c r="C32" s="143" t="inlineStr">
        <is>
          <t xml:space="preserve">281100-05-1 (1) / GENERAL VISUAL INSPECTION OF FUEL TANKS FOR MINOR EXTERNAL LEAKS</t>
        </is>
      </c>
      <c r="D32" s="143">
        <v>1.0</v>
      </c>
      <c r="E32" s="143">
        <v>0.65</v>
      </c>
      <c r="F32" s="143">
        <v>0.0</v>
      </c>
      <c r="G32" s="143">
        <v>0.0</v>
      </c>
      <c r="H32" s="143" t="inlineStr">
        <is>
          <t xml:space="preserve">Not Started</t>
        </is>
      </c>
      <c r="I32" s="143" t="inlineStr">
        <is>
          <t xml:space="preserve">28-11</t>
        </is>
      </c>
      <c r="J32" s="143" t="inlineStr">
        <is>
          <t xml:space="preserve">JOB-SETUP, INSPECTION, JOB-CLOSEUP</t>
        </is>
      </c>
    </row>
    <row r="33" spans="1:10">
      <c r="A33" s="143" t="inlineStr">
        <is>
          <t xml:space="preserve">200</t>
        </is>
      </c>
      <c r="B33" s="143" t="inlineStr">
        <is>
          <t xml:space="preserve">281100-06-1</t>
        </is>
      </c>
      <c r="C33" s="143" t="inlineStr">
        <is>
          <t xml:space="preserve">281100-06-1 (3) / OPERATIONAL CHECK OF WATER DRAIN VALVES</t>
        </is>
      </c>
      <c r="D33" s="143">
        <v>1.0</v>
      </c>
      <c r="E33" s="143">
        <v>0.65</v>
      </c>
      <c r="F33" s="143">
        <v>0.0</v>
      </c>
      <c r="G33" s="143">
        <v>0.0</v>
      </c>
      <c r="H33" s="143" t="inlineStr">
        <is>
          <t xml:space="preserve">Not Started</t>
        </is>
      </c>
      <c r="I33" s="143" t="inlineStr">
        <is>
          <t xml:space="preserve">53-11</t>
        </is>
      </c>
      <c r="J33" s="143" t="inlineStr">
        <is>
          <t xml:space="preserve">JOB-SETUP, OPS/LK</t>
        </is>
      </c>
    </row>
    <row r="34" spans="1:10">
      <c r="A34" s="143" t="inlineStr">
        <is>
          <t xml:space="preserve">201</t>
        </is>
      </c>
      <c r="B34" s="143" t="inlineStr">
        <is>
          <t xml:space="preserve">282800-01-1</t>
        </is>
      </c>
      <c r="C34" s="143" t="inlineStr">
        <is>
          <t xml:space="preserve">282800-01-1 (04) / ACT LEAK MONITOR OPERATIONAL CHECK</t>
        </is>
      </c>
      <c r="D34" s="143">
        <v>1.0</v>
      </c>
      <c r="E34" s="143">
        <v>1.1</v>
      </c>
      <c r="F34" s="143">
        <v>0.0</v>
      </c>
      <c r="G34" s="143">
        <v>0.0</v>
      </c>
      <c r="H34" s="143" t="inlineStr">
        <is>
          <t xml:space="preserve">Not Started</t>
        </is>
      </c>
      <c r="I34" s="143" t="inlineStr">
        <is>
          <t xml:space="preserve">28-28</t>
        </is>
      </c>
      <c r="J34" s="143" t="inlineStr">
        <is>
          <t xml:space="preserve">OPS/LK, OPS/LK</t>
        </is>
      </c>
    </row>
    <row r="35" spans="1:10">
      <c r="A35" s="143" t="inlineStr">
        <is>
          <t xml:space="preserve">202</t>
        </is>
      </c>
      <c r="B35" s="143" t="inlineStr">
        <is>
          <t xml:space="preserve">282800-03-1</t>
        </is>
      </c>
      <c r="C35" s="143" t="inlineStr">
        <is>
          <t xml:space="preserve">282800-03-1 (03) / ACT WATER DRAIN VALVES OPS CHK</t>
        </is>
      </c>
      <c r="D35" s="143">
        <v>1.0</v>
      </c>
      <c r="E35" s="143">
        <v>0.43</v>
      </c>
      <c r="F35" s="143">
        <v>0.0</v>
      </c>
      <c r="G35" s="143">
        <v>0.0</v>
      </c>
      <c r="H35" s="143" t="inlineStr">
        <is>
          <t xml:space="preserve">Not Started</t>
        </is>
      </c>
      <c r="I35" s="143" t="inlineStr">
        <is>
          <t xml:space="preserve">12-32</t>
        </is>
      </c>
      <c r="J35" s="143" t="inlineStr">
        <is>
          <t xml:space="preserve">TC/P, TC/P</t>
        </is>
      </c>
    </row>
    <row r="36" spans="1:10">
      <c r="A36" s="143" t="inlineStr">
        <is>
          <t xml:space="preserve">222</t>
        </is>
      </c>
      <c r="B36" s="143" t="inlineStr">
        <is>
          <t xml:space="preserve">52-32-00-01-0-SVA</t>
        </is>
      </c>
      <c r="C36" s="143" t="inlineStr">
        <is>
          <t xml:space="preserve">52-32-00-01-0-SVA (01) / AFT CARGO COMPARTMENT DOOR PROXIMITY SWITCH AND TARGET CLEANING</t>
        </is>
      </c>
      <c r="D36" s="143">
        <v>1.0</v>
      </c>
      <c r="E36" s="143">
        <v>0.67</v>
      </c>
      <c r="F36" s="143">
        <v>17.5</v>
      </c>
      <c r="G36" s="143">
        <v>378.0</v>
      </c>
      <c r="H36" s="143" t="inlineStr">
        <is>
          <t xml:space="preserve">Idle</t>
        </is>
      </c>
      <c r="I36" s="143" t="inlineStr">
        <is>
          <t xml:space="preserve">52-71-00</t>
        </is>
      </c>
      <c r="J36" s="143" t="inlineStr">
        <is>
          <t xml:space="preserve">CLEAN-UP, TC/P, TC/P, --, JOB-CLOSEUP</t>
        </is>
      </c>
    </row>
    <row r="37" spans="1:10">
      <c r="A37" s="143" t="inlineStr">
        <is>
          <t xml:space="preserve">225</t>
        </is>
      </c>
      <c r="B37" s="143" t="inlineStr">
        <is>
          <t xml:space="preserve">533154-06-1-A</t>
        </is>
      </c>
      <c r="C37" s="143" t="inlineStr">
        <is>
          <t xml:space="preserve">533154-06-1-A (03) / MLG HINGE FITTING KEEL BEAM INSP</t>
        </is>
      </c>
      <c r="D37" s="143">
        <v>1.0</v>
      </c>
      <c r="E37" s="143">
        <v>5.0</v>
      </c>
      <c r="F37" s="143">
        <v>25.9</v>
      </c>
      <c r="G37" s="143">
        <v>903.2</v>
      </c>
      <c r="H37" s="143" t="inlineStr">
        <is>
          <t xml:space="preserve">Idle</t>
        </is>
      </c>
      <c r="I37" s="143" t="inlineStr">
        <is>
          <t xml:space="preserve">53-31</t>
        </is>
      </c>
      <c r="J37" s="143" t="inlineStr">
        <is>
          <t xml:space="preserve">JOB-SETUP, JOB-SETUP, --, --, --, --, INSPECTION, --, INSPECTION, --, --, --</t>
        </is>
      </c>
    </row>
    <row r="38" spans="1:10">
      <c r="A38" s="143" t="inlineStr">
        <is>
          <t xml:space="preserve">226</t>
        </is>
      </c>
      <c r="B38" s="143" t="inlineStr">
        <is>
          <t xml:space="preserve">31675402</t>
        </is>
      </c>
      <c r="C38" s="143" t="inlineStr">
        <is>
          <t xml:space="preserve">EOD-320-53-00042-R00/FUSELAGE - CENTER FUSELAGE - INSPECT MLG DOOR HINGE FITTING ON KEEL BE</t>
        </is>
      </c>
      <c r="D38" s="143" t="inlineStr">
        <is>
          <t xml:space="preserve">ACHK</t>
        </is>
      </c>
      <c r="E38" s="143">
        <v>30.3</v>
      </c>
      <c r="F38" s="143">
        <v>66.7</v>
      </c>
      <c r="G38" s="143">
        <v>147.5</v>
      </c>
      <c r="H38" s="143" t="inlineStr">
        <is>
          <t xml:space="preserve">Idle</t>
        </is>
      </c>
      <c r="I38" s="143">
        <v>53.0</v>
      </c>
      <c r="J38" s="143"/>
    </row>
    <row r="39" spans="1:10">
      <c r="A39" s="143" t="inlineStr">
        <is>
          <t xml:space="preserve">228</t>
        </is>
      </c>
      <c r="B39" s="143" t="inlineStr">
        <is>
          <t xml:space="preserve">72-00-00-01-0-SVA-001</t>
        </is>
      </c>
      <c r="C39" s="143" t="inlineStr">
        <is>
          <t xml:space="preserve">72-00-00-01-0-SVA-001 (01) / NO. 1 ENGINE COMPRESSOR WASH</t>
        </is>
      </c>
      <c r="D39" s="143">
        <v>1.0</v>
      </c>
      <c r="E39" s="143">
        <v>13.0</v>
      </c>
      <c r="F39" s="143">
        <v>0.0</v>
      </c>
      <c r="G39" s="143">
        <v>0.0</v>
      </c>
      <c r="H39" s="143" t="inlineStr">
        <is>
          <t xml:space="preserve">Not Started</t>
        </is>
      </c>
      <c r="I39" s="143" t="inlineStr">
        <is>
          <t xml:space="preserve">72-00</t>
        </is>
      </c>
      <c r="J39" s="143" t="inlineStr">
        <is>
          <t xml:space="preserve">JOB-SETUP, CLEAN-UP, TC/P, TC/P, TC/P, TC/P, TC/P, TC/P, TC/P, TC/P, JOB-CLOSEUP</t>
        </is>
      </c>
    </row>
    <row r="40" spans="1:10">
      <c r="A40" s="143" t="inlineStr">
        <is>
          <t xml:space="preserve">229</t>
        </is>
      </c>
      <c r="B40" s="143" t="inlineStr">
        <is>
          <t xml:space="preserve">72-00-00-01-0-SVA-002</t>
        </is>
      </c>
      <c r="C40" s="143" t="inlineStr">
        <is>
          <t xml:space="preserve">72-00-00-01-0-SVA-002 (01) / NO. 2 ENGINE COMPRESSOR WASH</t>
        </is>
      </c>
      <c r="D40" s="143">
        <v>1.0</v>
      </c>
      <c r="E40" s="143">
        <v>13.0</v>
      </c>
      <c r="F40" s="143">
        <v>0.0</v>
      </c>
      <c r="G40" s="143">
        <v>0.0</v>
      </c>
      <c r="H40" s="143" t="inlineStr">
        <is>
          <t xml:space="preserve">Not Started</t>
        </is>
      </c>
      <c r="I40" s="143" t="inlineStr">
        <is>
          <t xml:space="preserve">72-00</t>
        </is>
      </c>
      <c r="J40" s="143" t="inlineStr">
        <is>
          <t xml:space="preserve">JOB-SETUP, CLEAN-UP, TC/P, TC/P, TC/P, TC/P, TC/P, TC/P, TC/P, TC/P, JOB-CLOSEUP</t>
        </is>
      </c>
    </row>
    <row r="41" spans="1:10">
      <c r="A41" s="143" t="inlineStr">
        <is>
          <t xml:space="preserve">233</t>
        </is>
      </c>
      <c r="B41" s="143" t="inlineStr">
        <is>
          <t xml:space="preserve">31574335</t>
        </is>
      </c>
      <c r="C41" s="143" t="inlineStr">
        <is>
          <t xml:space="preserve">C_N (C_N02)/C-CHECK</t>
        </is>
      </c>
      <c r="D41" s="143" t="inlineStr">
        <is>
          <t xml:space="preserve">N</t>
        </is>
      </c>
      <c r="E41" s="143">
        <v>0.0</v>
      </c>
      <c r="F41" s="143">
        <v>0.0</v>
      </c>
      <c r="G41" s="143">
        <v>0.0</v>
      </c>
      <c r="H41" s="143" t="inlineStr">
        <is>
          <t xml:space="preserve">Not Started</t>
        </is>
      </c>
      <c r="I41" s="143" t="inlineStr">
        <is>
          <t xml:space="preserve">20-00</t>
        </is>
      </c>
      <c r="J41" s="143"/>
    </row>
    <row r="42" spans="1:10">
      <c r="A42" s="143" t="inlineStr">
        <is>
          <t xml:space="preserve">234</t>
        </is>
      </c>
      <c r="B42" s="143" t="inlineStr">
        <is>
          <t xml:space="preserve">05-00-00-05-SVA</t>
        </is>
      </c>
      <c r="C42" s="143" t="inlineStr">
        <is>
          <t xml:space="preserve">05-00-00-05-SVA (03) / FINAL PRODUCT QUALITY INSPECTION</t>
        </is>
      </c>
      <c r="D42" s="143">
        <v>1.0</v>
      </c>
      <c r="E42" s="143">
        <v>1.0</v>
      </c>
      <c r="F42" s="143">
        <v>0.0</v>
      </c>
      <c r="G42" s="143">
        <v>0.0</v>
      </c>
      <c r="H42" s="143" t="inlineStr">
        <is>
          <t xml:space="preserve">Not Started</t>
        </is>
      </c>
      <c r="I42" s="143" t="inlineStr">
        <is>
          <t xml:space="preserve">05-00</t>
        </is>
      </c>
      <c r="J42" s="143" t="inlineStr">
        <is>
          <t xml:space="preserve">ACFT RELEASE, ACFT RELEASE</t>
        </is>
      </c>
    </row>
    <row r="43" spans="1:10">
      <c r="A43" s="143" t="inlineStr">
        <is>
          <t xml:space="preserve">235</t>
        </is>
      </c>
      <c r="B43" s="143" t="inlineStr">
        <is>
          <t xml:space="preserve">08-10-00-01-0-A</t>
        </is>
      </c>
      <c r="C43" s="143" t="inlineStr">
        <is>
          <t xml:space="preserve">08-10-00-01-0-A (02) / WIGHT &amp; BALANCE</t>
        </is>
      </c>
      <c r="D43" s="143">
        <v>1.0</v>
      </c>
      <c r="E43" s="143">
        <v>65.0</v>
      </c>
      <c r="F43" s="143">
        <v>0.0</v>
      </c>
      <c r="G43" s="143">
        <v>0.0</v>
      </c>
      <c r="H43" s="143" t="inlineStr">
        <is>
          <t xml:space="preserve">Not Started</t>
        </is>
      </c>
      <c r="I43" s="143" t="inlineStr">
        <is>
          <t xml:space="preserve">08-10</t>
        </is>
      </c>
      <c r="J43" s="143" t="inlineStr">
        <is>
          <t xml:space="preserve">WT&amp;BAL</t>
        </is>
      </c>
    </row>
    <row r="44" spans="1:10">
      <c r="A44" s="143" t="inlineStr">
        <is>
          <t xml:space="preserve">248</t>
        </is>
      </c>
      <c r="B44" s="143" t="inlineStr">
        <is>
          <t xml:space="preserve">213100-04-1</t>
        </is>
      </c>
      <c r="C44" s="143" t="inlineStr">
        <is>
          <t xml:space="preserve">213100-04-1 (3) / PRESSURE CONTROL AND MONITORING OPC</t>
        </is>
      </c>
      <c r="D44" s="143">
        <v>1.0</v>
      </c>
      <c r="E44" s="143">
        <v>0.1</v>
      </c>
      <c r="F44" s="143">
        <v>0.0</v>
      </c>
      <c r="G44" s="143">
        <v>0.0</v>
      </c>
      <c r="H44" s="143" t="inlineStr">
        <is>
          <t xml:space="preserve">Not Started</t>
        </is>
      </c>
      <c r="I44" s="143" t="inlineStr">
        <is>
          <t xml:space="preserve">21-31</t>
        </is>
      </c>
      <c r="J44" s="143" t="inlineStr">
        <is>
          <t xml:space="preserve">JOB-SETUP, OPS/LK, JOB-CLOSEUP</t>
        </is>
      </c>
    </row>
    <row r="45" spans="1:10">
      <c r="A45" s="143" t="inlineStr">
        <is>
          <t xml:space="preserve">276</t>
        </is>
      </c>
      <c r="B45" s="143" t="inlineStr">
        <is>
          <t xml:space="preserve">25-28-00-04-0-SVA-001</t>
        </is>
      </c>
      <c r="C45" s="143" t="inlineStr">
        <is>
          <t xml:space="preserve">25-28-00-04-0-SVA-001 (03) / A320(HZ-ASA TO ASG) CARPETS&amp;MATS R/R</t>
        </is>
      </c>
      <c r="D45" s="143">
        <v>1.0</v>
      </c>
      <c r="E45" s="143">
        <v>48.0</v>
      </c>
      <c r="F45" s="143">
        <v>169.5</v>
      </c>
      <c r="G45" s="143">
        <v>486.9</v>
      </c>
      <c r="H45" s="143" t="inlineStr">
        <is>
          <t xml:space="preserve">Idle</t>
        </is>
      </c>
      <c r="I45" s="143" t="inlineStr">
        <is>
          <t xml:space="preserve">25-28</t>
        </is>
      </c>
      <c r="J45" s="143" t="inlineStr">
        <is>
          <t xml:space="preserve">TC/P, TC/P, TC/P, TC/P</t>
        </is>
      </c>
    </row>
    <row r="46" spans="1:10">
      <c r="A46" s="143" t="inlineStr">
        <is>
          <t xml:space="preserve">280</t>
        </is>
      </c>
      <c r="B46" s="143" t="inlineStr">
        <is>
          <t xml:space="preserve">25-SVA-03</t>
        </is>
      </c>
      <c r="C46" s="143" t="inlineStr">
        <is>
          <t xml:space="preserve">25-SVA-03 (01) / B/C SEAT REFRESH</t>
        </is>
      </c>
      <c r="D46" s="143">
        <v>1.0</v>
      </c>
      <c r="E46" s="143">
        <v>5.17</v>
      </c>
      <c r="F46" s="143">
        <v>12.5</v>
      </c>
      <c r="G46" s="143">
        <v>858.6</v>
      </c>
      <c r="H46" s="143" t="inlineStr">
        <is>
          <t xml:space="preserve">Idle</t>
        </is>
      </c>
      <c r="I46" s="143">
        <v>25.0</v>
      </c>
      <c r="J46" s="143"/>
    </row>
    <row r="47" spans="1:10">
      <c r="A47" s="143" t="inlineStr">
        <is>
          <t xml:space="preserve">281</t>
        </is>
      </c>
      <c r="B47" s="143" t="inlineStr">
        <is>
          <t xml:space="preserve">25-SVA-04</t>
        </is>
      </c>
      <c r="C47" s="143" t="inlineStr">
        <is>
          <t xml:space="preserve">25-SVA-04 (01) / B/C SEAT DEEP REFRESH</t>
        </is>
      </c>
      <c r="D47" s="143">
        <v>1.0</v>
      </c>
      <c r="E47" s="143">
        <v>3.0</v>
      </c>
      <c r="F47" s="143">
        <v>9.0</v>
      </c>
      <c r="G47" s="143">
        <v>834.5</v>
      </c>
      <c r="H47" s="143" t="inlineStr">
        <is>
          <t xml:space="preserve">Idle</t>
        </is>
      </c>
      <c r="I47" s="143">
        <v>25.0</v>
      </c>
      <c r="J47" s="143"/>
    </row>
    <row r="48" spans="1:10">
      <c r="A48" s="143" t="inlineStr">
        <is>
          <t xml:space="preserve">282</t>
        </is>
      </c>
      <c r="B48" s="143" t="inlineStr">
        <is>
          <t xml:space="preserve">25-SVA-05</t>
        </is>
      </c>
      <c r="C48" s="143" t="inlineStr">
        <is>
          <t xml:space="preserve">25-SVA-05 (01) / G/C SEAT REFRESH</t>
        </is>
      </c>
      <c r="D48" s="143">
        <v>1.0</v>
      </c>
      <c r="E48" s="143">
        <v>1.83</v>
      </c>
      <c r="F48" s="143">
        <v>89.5</v>
      </c>
      <c r="G48" s="143">
        <v>872.6</v>
      </c>
      <c r="H48" s="143" t="inlineStr">
        <is>
          <t xml:space="preserve">Idle</t>
        </is>
      </c>
      <c r="I48" s="143">
        <v>25.0</v>
      </c>
      <c r="J48" s="143"/>
    </row>
    <row r="49" spans="1:10">
      <c r="A49" s="143" t="inlineStr">
        <is>
          <t xml:space="preserve">289</t>
        </is>
      </c>
      <c r="B49" s="143" t="inlineStr">
        <is>
          <t xml:space="preserve">252100-01-1</t>
        </is>
      </c>
      <c r="C49" s="143" t="inlineStr">
        <is>
          <t xml:space="preserve">252100-01-1 (4) / PAX SEAT ATTACH TO FLOOR&amp;STRUC INSP</t>
        </is>
      </c>
      <c r="D49" s="143">
        <v>1.0</v>
      </c>
      <c r="E49" s="143">
        <v>2.0</v>
      </c>
      <c r="F49" s="143">
        <v>19.5</v>
      </c>
      <c r="G49" s="143">
        <v>862.2</v>
      </c>
      <c r="H49" s="143" t="inlineStr">
        <is>
          <t xml:space="preserve">Idle</t>
        </is>
      </c>
      <c r="I49" s="143" t="inlineStr">
        <is>
          <t xml:space="preserve">25-21</t>
        </is>
      </c>
      <c r="J49" s="143" t="inlineStr">
        <is>
          <t xml:space="preserve">JOB-SETUP, INSPECTION, JOB-CLOSEUP</t>
        </is>
      </c>
    </row>
    <row r="50" spans="1:10">
      <c r="A50" s="143" t="inlineStr">
        <is>
          <t xml:space="preserve">290</t>
        </is>
      </c>
      <c r="B50" s="143" t="inlineStr">
        <is>
          <t xml:space="preserve">2521000103-001</t>
        </is>
      </c>
      <c r="C50" s="143" t="inlineStr">
        <is>
          <t xml:space="preserve">2521000103-001 (05) / PASS COMPARTMENT SEAT BELTS CLEANING B/C</t>
        </is>
      </c>
      <c r="D50" s="143">
        <v>1.0</v>
      </c>
      <c r="E50" s="143">
        <v>0.0</v>
      </c>
      <c r="F50" s="143">
        <v>28.0</v>
      </c>
      <c r="G50" s="143">
        <v>867.8</v>
      </c>
      <c r="H50" s="143" t="inlineStr">
        <is>
          <t xml:space="preserve">Idle</t>
        </is>
      </c>
      <c r="I50" s="143" t="inlineStr">
        <is>
          <t xml:space="preserve">25-21</t>
        </is>
      </c>
      <c r="J50" s="143" t="inlineStr">
        <is>
          <t xml:space="preserve">TC/P, TC/P</t>
        </is>
      </c>
    </row>
    <row r="51" spans="1:10">
      <c r="A51" s="143" t="inlineStr">
        <is>
          <t xml:space="preserve">292</t>
        </is>
      </c>
      <c r="B51" s="143" t="inlineStr">
        <is>
          <t xml:space="preserve">252200-01-1</t>
        </is>
      </c>
      <c r="C51" s="143" t="inlineStr">
        <is>
          <t xml:space="preserve">252200-01-1 (4) / CABIN ATTED SEAT ATTACHMENTS INSP</t>
        </is>
      </c>
      <c r="D51" s="143">
        <v>1.0</v>
      </c>
      <c r="E51" s="143">
        <v>0.25</v>
      </c>
      <c r="F51" s="143">
        <v>7.92</v>
      </c>
      <c r="G51" s="143">
        <v>195.8</v>
      </c>
      <c r="H51" s="143" t="inlineStr">
        <is>
          <t xml:space="preserve">Idle</t>
        </is>
      </c>
      <c r="I51" s="143" t="inlineStr">
        <is>
          <t xml:space="preserve">25-22</t>
        </is>
      </c>
      <c r="J51" s="143" t="inlineStr">
        <is>
          <t xml:space="preserve">--, PRE INSP, --</t>
        </is>
      </c>
    </row>
    <row r="52" spans="1:10">
      <c r="A52" s="143" t="inlineStr">
        <is>
          <t xml:space="preserve">296</t>
        </is>
      </c>
      <c r="B52" s="143" t="inlineStr">
        <is>
          <t xml:space="preserve">255000-10-1</t>
        </is>
      </c>
      <c r="C52" s="143" t="inlineStr">
        <is>
          <t xml:space="preserve">255000-10-1 (3) / LOWER DECK CARGO LOADING</t>
        </is>
      </c>
      <c r="D52" s="143">
        <v>1.0</v>
      </c>
      <c r="E52" s="143">
        <v>1.2</v>
      </c>
      <c r="F52" s="143">
        <v>20.08</v>
      </c>
      <c r="G52" s="143">
        <v>738.1</v>
      </c>
      <c r="H52" s="143" t="inlineStr">
        <is>
          <t xml:space="preserve">Idle</t>
        </is>
      </c>
      <c r="I52" s="143" t="inlineStr">
        <is>
          <t xml:space="preserve">25-50</t>
        </is>
      </c>
      <c r="J52" s="143" t="inlineStr">
        <is>
          <t xml:space="preserve">TC/P, TC/P, TC/P, TC/P, TC/P, TC/P, TC/P</t>
        </is>
      </c>
    </row>
    <row r="53" spans="1:10">
      <c r="A53" s="143" t="inlineStr">
        <is>
          <t xml:space="preserve">305</t>
        </is>
      </c>
      <c r="B53" s="143" t="inlineStr">
        <is>
          <t xml:space="preserve">262100-05-1</t>
        </is>
      </c>
      <c r="C53" s="143" t="inlineStr">
        <is>
          <t xml:space="preserve">262100-05-1 (6) / ENG FIRE EXTINGUISHING FIRE CTL OPC</t>
        </is>
      </c>
      <c r="D53" s="143">
        <v>1.0</v>
      </c>
      <c r="E53" s="143">
        <v>1.1</v>
      </c>
      <c r="F53" s="143">
        <v>0.0</v>
      </c>
      <c r="G53" s="143">
        <v>0.0</v>
      </c>
      <c r="H53" s="143" t="inlineStr">
        <is>
          <t xml:space="preserve">Idle</t>
        </is>
      </c>
      <c r="I53" s="143" t="inlineStr">
        <is>
          <t xml:space="preserve">26-21</t>
        </is>
      </c>
      <c r="J53" s="143" t="inlineStr">
        <is>
          <t xml:space="preserve">OPS/LK</t>
        </is>
      </c>
    </row>
    <row r="54" spans="1:10">
      <c r="A54" s="143" t="inlineStr">
        <is>
          <t xml:space="preserve">316</t>
        </is>
      </c>
      <c r="B54" s="143" t="inlineStr">
        <is>
          <t xml:space="preserve">271400-03-1-001</t>
        </is>
      </c>
      <c r="C54" s="143" t="inlineStr">
        <is>
          <t xml:space="preserve">271400-03-1-001 (03) / L/H AILERON SERVO CONTROL FLUID CHK</t>
        </is>
      </c>
      <c r="D54" s="143">
        <v>1.0</v>
      </c>
      <c r="E54" s="143">
        <v>0.65</v>
      </c>
      <c r="F54" s="143">
        <v>26.5</v>
      </c>
      <c r="G54" s="143">
        <v>845.0</v>
      </c>
      <c r="H54" s="143" t="inlineStr">
        <is>
          <t xml:space="preserve">Idle</t>
        </is>
      </c>
      <c r="I54" s="143" t="inlineStr">
        <is>
          <t xml:space="preserve">27-14</t>
        </is>
      </c>
      <c r="J54" s="143" t="inlineStr">
        <is>
          <t xml:space="preserve">PRE HGR, PRE HGR, PRE HGR</t>
        </is>
      </c>
    </row>
    <row r="55" spans="1:10">
      <c r="A55" s="143" t="inlineStr">
        <is>
          <t xml:space="preserve">317</t>
        </is>
      </c>
      <c r="B55" s="143" t="inlineStr">
        <is>
          <t xml:space="preserve">271400-03-1-002</t>
        </is>
      </c>
      <c r="C55" s="143" t="inlineStr">
        <is>
          <t xml:space="preserve">271400-03-1-002 (03) / R/H AILERON SERVO CONTROL FLUID CHK</t>
        </is>
      </c>
      <c r="D55" s="143">
        <v>1.0</v>
      </c>
      <c r="E55" s="143">
        <v>0.65</v>
      </c>
      <c r="F55" s="143">
        <v>16.0</v>
      </c>
      <c r="G55" s="143">
        <v>845.2</v>
      </c>
      <c r="H55" s="143" t="inlineStr">
        <is>
          <t xml:space="preserve">Idle</t>
        </is>
      </c>
      <c r="I55" s="143" t="inlineStr">
        <is>
          <t xml:space="preserve">27-14</t>
        </is>
      </c>
      <c r="J55" s="143" t="inlineStr">
        <is>
          <t xml:space="preserve">PRE HGR, PRE HGR, PRE HGR</t>
        </is>
      </c>
    </row>
    <row r="56" spans="1:10">
      <c r="A56" s="143" t="inlineStr">
        <is>
          <t xml:space="preserve">318</t>
        </is>
      </c>
      <c r="B56" s="143" t="inlineStr">
        <is>
          <t xml:space="preserve">272100-02-1</t>
        </is>
      </c>
      <c r="C56" s="143" t="inlineStr">
        <is>
          <t xml:space="preserve">272100-02-1 (03) / RUDDER CONTROL CABLES INSP</t>
        </is>
      </c>
      <c r="D56" s="143">
        <v>1.0</v>
      </c>
      <c r="E56" s="143">
        <v>38.0</v>
      </c>
      <c r="F56" s="143">
        <v>104.8</v>
      </c>
      <c r="G56" s="143">
        <v>557.5</v>
      </c>
      <c r="H56" s="143" t="inlineStr">
        <is>
          <t xml:space="preserve">Idle</t>
        </is>
      </c>
      <c r="I56" s="143" t="inlineStr">
        <is>
          <t xml:space="preserve">27-21</t>
        </is>
      </c>
      <c r="J56" s="143" t="inlineStr">
        <is>
          <t xml:space="preserve">TC/P, TC/P, INSPECTION, INSPECTION, INSPECTION, INSPECTION, INSPECTION, INSPECTION, INSPECTION</t>
        </is>
      </c>
    </row>
    <row r="57" spans="1:10">
      <c r="A57" s="143" t="inlineStr">
        <is>
          <t xml:space="preserve">330</t>
        </is>
      </c>
      <c r="B57" s="143" t="inlineStr">
        <is>
          <t xml:space="preserve">274400-03-1</t>
        </is>
      </c>
      <c r="C57" s="143" t="inlineStr">
        <is>
          <t xml:space="preserve">274400-03-1 (3) / THS ACTUATOR NO-BACK DEVICE OPC</t>
        </is>
      </c>
      <c r="D57" s="143">
        <v>1.0</v>
      </c>
      <c r="E57" s="143">
        <v>0.65</v>
      </c>
      <c r="F57" s="143">
        <v>0.0</v>
      </c>
      <c r="G57" s="143">
        <v>0.0</v>
      </c>
      <c r="H57" s="143" t="inlineStr">
        <is>
          <t xml:space="preserve">Not Started</t>
        </is>
      </c>
      <c r="I57" s="143" t="inlineStr">
        <is>
          <t xml:space="preserve">27-44</t>
        </is>
      </c>
      <c r="J57" s="143" t="inlineStr">
        <is>
          <t xml:space="preserve">OPS/LK, OPS/LK</t>
        </is>
      </c>
    </row>
    <row r="58" spans="1:10">
      <c r="A58" s="143" t="inlineStr">
        <is>
          <t xml:space="preserve">353</t>
        </is>
      </c>
      <c r="B58" s="143" t="inlineStr">
        <is>
          <t xml:space="preserve">278100-03-1</t>
        </is>
      </c>
      <c r="C58" s="143" t="inlineStr">
        <is>
          <t xml:space="preserve">278100-03-1 (3) / SLAT SYSTEM WING TIP BRAKE OPC</t>
        </is>
      </c>
      <c r="D58" s="143">
        <v>1.0</v>
      </c>
      <c r="E58" s="143">
        <v>0.43</v>
      </c>
      <c r="F58" s="143">
        <v>0.0</v>
      </c>
      <c r="G58" s="143">
        <v>0.0</v>
      </c>
      <c r="H58" s="143" t="inlineStr">
        <is>
          <t xml:space="preserve">Not Started</t>
        </is>
      </c>
      <c r="I58" s="143" t="inlineStr">
        <is>
          <t xml:space="preserve">27-81</t>
        </is>
      </c>
      <c r="J58" s="143" t="inlineStr">
        <is>
          <t xml:space="preserve">JOB-SETUP, OPS/LK, JOB-CLOSEUP</t>
        </is>
      </c>
    </row>
    <row r="59" spans="1:10">
      <c r="A59" s="143" t="inlineStr">
        <is>
          <t xml:space="preserve">356</t>
        </is>
      </c>
      <c r="B59" s="143" t="inlineStr">
        <is>
          <t xml:space="preserve">278400-01-1-001</t>
        </is>
      </c>
      <c r="C59" s="143" t="inlineStr">
        <is>
          <t xml:space="preserve">278400-01-1-001 (02) / L/H WING SLAT TRACK INSPECTION</t>
        </is>
      </c>
      <c r="D59" s="143">
        <v>1.0</v>
      </c>
      <c r="E59" s="143">
        <v>1.4</v>
      </c>
      <c r="F59" s="143">
        <v>8.02</v>
      </c>
      <c r="G59" s="143">
        <v>786.6</v>
      </c>
      <c r="H59" s="143" t="inlineStr">
        <is>
          <t xml:space="preserve">Idle</t>
        </is>
      </c>
      <c r="I59" s="143" t="inlineStr">
        <is>
          <t xml:space="preserve">27-84</t>
        </is>
      </c>
      <c r="J59" s="143" t="inlineStr">
        <is>
          <t xml:space="preserve">JOB-SETUP, CLEAN-UP, INSPECTION, JOB-CLOSEUP</t>
        </is>
      </c>
    </row>
    <row r="60" spans="1:10">
      <c r="A60" s="143" t="inlineStr">
        <is>
          <t xml:space="preserve">357</t>
        </is>
      </c>
      <c r="B60" s="143" t="inlineStr">
        <is>
          <t xml:space="preserve">278400-01-1-002</t>
        </is>
      </c>
      <c r="C60" s="143" t="inlineStr">
        <is>
          <t xml:space="preserve">278400-01-1-002 (02) / R/H WING SLAT TRACK INSPECTION</t>
        </is>
      </c>
      <c r="D60" s="143">
        <v>1.0</v>
      </c>
      <c r="E60" s="143">
        <v>1.4</v>
      </c>
      <c r="F60" s="143">
        <v>1.33</v>
      </c>
      <c r="G60" s="143">
        <v>787.8</v>
      </c>
      <c r="H60" s="143" t="inlineStr">
        <is>
          <t xml:space="preserve">Idle</t>
        </is>
      </c>
      <c r="I60" s="143" t="inlineStr">
        <is>
          <t xml:space="preserve">27-84</t>
        </is>
      </c>
      <c r="J60" s="143" t="inlineStr">
        <is>
          <t xml:space="preserve">JOB-SETUP, CLEAN-UP, INSPECTION, JOB-CLOSEUP</t>
        </is>
      </c>
    </row>
    <row r="61" spans="1:10">
      <c r="A61" s="143" t="inlineStr">
        <is>
          <t xml:space="preserve">363</t>
        </is>
      </c>
      <c r="B61" s="143" t="inlineStr">
        <is>
          <t xml:space="preserve">281600-01-1-001</t>
        </is>
      </c>
      <c r="C61" s="143" t="inlineStr">
        <is>
          <t xml:space="preserve">281600-01-1-001 (02) / NO.1 ENGINE FUEL RECIRC VLV OPS CHK</t>
        </is>
      </c>
      <c r="D61" s="143">
        <v>1.0</v>
      </c>
      <c r="E61" s="143">
        <v>0.17</v>
      </c>
      <c r="F61" s="143">
        <v>16.0</v>
      </c>
      <c r="G61" s="143">
        <v>930.0</v>
      </c>
      <c r="H61" s="143" t="inlineStr">
        <is>
          <t xml:space="preserve">Idle</t>
        </is>
      </c>
      <c r="I61" s="143" t="inlineStr">
        <is>
          <t xml:space="preserve">28-16</t>
        </is>
      </c>
      <c r="J61" s="143" t="inlineStr">
        <is>
          <t xml:space="preserve">JOB-SETUP, OPS/LK, OPS/LK, OPS/LK, JOB-CLOSEUP</t>
        </is>
      </c>
    </row>
    <row r="62" spans="1:10">
      <c r="A62" s="143" t="inlineStr">
        <is>
          <t xml:space="preserve">364</t>
        </is>
      </c>
      <c r="B62" s="143" t="inlineStr">
        <is>
          <t xml:space="preserve">281600-01-1-002</t>
        </is>
      </c>
      <c r="C62" s="143" t="inlineStr">
        <is>
          <t xml:space="preserve">281600-01-1-002 (02) / NO.2 ENGINE FUEL RECIRC VLV OPS CHK</t>
        </is>
      </c>
      <c r="D62" s="143">
        <v>1.0</v>
      </c>
      <c r="E62" s="143">
        <v>0.17</v>
      </c>
      <c r="F62" s="143">
        <v>16.0</v>
      </c>
      <c r="G62" s="143">
        <v>930.0</v>
      </c>
      <c r="H62" s="143" t="inlineStr">
        <is>
          <t xml:space="preserve">Idle</t>
        </is>
      </c>
      <c r="I62" s="143" t="inlineStr">
        <is>
          <t xml:space="preserve">28-16</t>
        </is>
      </c>
      <c r="J62" s="143" t="inlineStr">
        <is>
          <t xml:space="preserve">JOB-SETUP, OPS/LK, OPS/LK, OPS/LK, JOB-CLOSEUP</t>
        </is>
      </c>
    </row>
    <row r="63" spans="1:10">
      <c r="A63" s="143" t="inlineStr">
        <is>
          <t xml:space="preserve">372</t>
        </is>
      </c>
      <c r="B63" s="143" t="inlineStr">
        <is>
          <t xml:space="preserve">282800-04-1</t>
        </is>
      </c>
      <c r="C63" s="143" t="inlineStr">
        <is>
          <t xml:space="preserve">282800-04-1 (02) / INDIVIDUAL MOTR TRX VLV OPC</t>
        </is>
      </c>
      <c r="D63" s="143">
        <v>1.0</v>
      </c>
      <c r="E63" s="143">
        <v>1.32</v>
      </c>
      <c r="F63" s="143">
        <v>0.0</v>
      </c>
      <c r="G63" s="143">
        <v>0.0</v>
      </c>
      <c r="H63" s="143" t="inlineStr">
        <is>
          <t xml:space="preserve">Not Started</t>
        </is>
      </c>
      <c r="I63" s="143" t="inlineStr">
        <is>
          <t xml:space="preserve">28-28</t>
        </is>
      </c>
      <c r="J63" s="143" t="inlineStr">
        <is>
          <t xml:space="preserve">JOB-SETUP, OPS/LK, JOB-CLOSEUP</t>
        </is>
      </c>
    </row>
    <row r="64" spans="1:10">
      <c r="A64" s="143" t="inlineStr">
        <is>
          <t xml:space="preserve">375</t>
        </is>
      </c>
      <c r="B64" s="143" t="inlineStr">
        <is>
          <t xml:space="preserve">282800-07-1</t>
        </is>
      </c>
      <c r="C64" s="143" t="inlineStr">
        <is>
          <t xml:space="preserve">282800-07-1 (02) / ACT TRANSFER SYSTEM FNC</t>
        </is>
      </c>
      <c r="D64" s="143">
        <v>1.0</v>
      </c>
      <c r="E64" s="143">
        <v>0.53</v>
      </c>
      <c r="F64" s="143">
        <v>0.0</v>
      </c>
      <c r="G64" s="143">
        <v>0.0</v>
      </c>
      <c r="H64" s="143" t="inlineStr">
        <is>
          <t xml:space="preserve">Not Started</t>
        </is>
      </c>
      <c r="I64" s="143" t="inlineStr">
        <is>
          <t xml:space="preserve">28-28</t>
        </is>
      </c>
      <c r="J64" s="143" t="inlineStr">
        <is>
          <t xml:space="preserve">JOB-SETUP, TC/P, INSPECTION, INSPECTION, INSPECTION, JOB-CLOSEUP, JOB-CLOSEUP</t>
        </is>
      </c>
    </row>
    <row r="65" spans="1:10">
      <c r="A65" s="143" t="inlineStr">
        <is>
          <t xml:space="preserve">402</t>
        </is>
      </c>
      <c r="B65" s="143" t="inlineStr">
        <is>
          <t xml:space="preserve">323100-04-1</t>
        </is>
      </c>
      <c r="C65" s="143" t="inlineStr">
        <is>
          <t xml:space="preserve">323100-04-1 (4) / (LG) SAFETY VALVE CLOSING OPS CHK</t>
        </is>
      </c>
      <c r="D65" s="143">
        <v>1.0</v>
      </c>
      <c r="E65" s="143">
        <v>0.87</v>
      </c>
      <c r="F65" s="143">
        <v>1.02</v>
      </c>
      <c r="G65" s="143">
        <v>526.8</v>
      </c>
      <c r="H65" s="143" t="inlineStr">
        <is>
          <t xml:space="preserve">Idle</t>
        </is>
      </c>
      <c r="I65" s="143" t="inlineStr">
        <is>
          <t xml:space="preserve">32-31</t>
        </is>
      </c>
      <c r="J65" s="143" t="inlineStr">
        <is>
          <t xml:space="preserve">OPS/LK, OPS/LK, JOB-CLOSEUP, JOB-SETUP, TC/P</t>
        </is>
      </c>
    </row>
    <row r="66" spans="1:10">
      <c r="A66" s="143" t="inlineStr">
        <is>
          <t xml:space="preserve">427</t>
        </is>
      </c>
      <c r="B66" s="143" t="inlineStr">
        <is>
          <t xml:space="preserve">352000-02-1</t>
        </is>
      </c>
      <c r="C66" s="143" t="inlineStr">
        <is>
          <t xml:space="preserve">352000-02-1 (3) / PAX OXYGEN SYSTEM MASK RELEASE FNC</t>
        </is>
      </c>
      <c r="D66" s="143">
        <v>1.0</v>
      </c>
      <c r="E66" s="143">
        <v>1.98</v>
      </c>
      <c r="F66" s="143">
        <v>45.0</v>
      </c>
      <c r="G66" s="143">
        <v>890.5</v>
      </c>
      <c r="H66" s="143" t="inlineStr">
        <is>
          <t xml:space="preserve">Idle</t>
        </is>
      </c>
      <c r="I66" s="143" t="inlineStr">
        <is>
          <t xml:space="preserve">35-23</t>
        </is>
      </c>
      <c r="J66" s="143" t="inlineStr">
        <is>
          <t xml:space="preserve">JOB-SETUP, TC/P, TC/P, OPS/LK, JOB-CLOSEUP, JOB-CLOSEUP</t>
        </is>
      </c>
    </row>
    <row r="67" spans="1:10">
      <c r="A67" s="143" t="inlineStr">
        <is>
          <t xml:space="preserve">428</t>
        </is>
      </c>
      <c r="B67" s="143" t="inlineStr">
        <is>
          <t xml:space="preserve">352142-01-1-SVA</t>
        </is>
      </c>
      <c r="C67" s="143" t="inlineStr">
        <is>
          <t xml:space="preserve">352142-01-1-SVA (01) / VALIDITY CHECK OF CHEMICAL OXYGEN GENERATORS</t>
        </is>
      </c>
      <c r="D67" s="143">
        <v>1.0</v>
      </c>
      <c r="E67" s="143">
        <v>2.42</v>
      </c>
      <c r="F67" s="143">
        <v>48.5</v>
      </c>
      <c r="G67" s="143">
        <v>893.9</v>
      </c>
      <c r="H67" s="143" t="inlineStr">
        <is>
          <t xml:space="preserve">Idle</t>
        </is>
      </c>
      <c r="I67" s="143" t="inlineStr">
        <is>
          <t xml:space="preserve">35-21</t>
        </is>
      </c>
      <c r="J67" s="143" t="inlineStr">
        <is>
          <t xml:space="preserve">JOB-SETUP, --, --, JOB-CLOSEUP, --</t>
        </is>
      </c>
    </row>
    <row r="68" spans="1:10">
      <c r="A68" s="143" t="inlineStr">
        <is>
          <t xml:space="preserve">433</t>
        </is>
      </c>
      <c r="B68" s="143" t="inlineStr">
        <is>
          <t xml:space="preserve">361100-SVA-01</t>
        </is>
      </c>
      <c r="C68" s="143" t="inlineStr">
        <is>
          <t xml:space="preserve">361100-SVA-01 (01) / ENGINE BLEED AIR SUPPLY SYSTEM - HEALTH CHECK TEST OF TEMPERATURE CONT</t>
        </is>
      </c>
      <c r="D68" s="143">
        <v>1.0</v>
      </c>
      <c r="E68" s="143">
        <v>2.83</v>
      </c>
      <c r="F68" s="143">
        <v>44.0</v>
      </c>
      <c r="G68" s="143">
        <v>622.3</v>
      </c>
      <c r="H68" s="143" t="inlineStr">
        <is>
          <t xml:space="preserve">Idle</t>
        </is>
      </c>
      <c r="I68" s="143">
        <v>36.0</v>
      </c>
      <c r="J68" s="143" t="inlineStr">
        <is>
          <t xml:space="preserve">JOB-SETUP, OPS/LK, OPS/LK, --, --, --, --, JOB-CLOSEUP, JOB-CLOSEUP, JOB-CLOSEUP</t>
        </is>
      </c>
    </row>
    <row r="69" spans="1:10">
      <c r="A69" s="143" t="inlineStr">
        <is>
          <t xml:space="preserve">438</t>
        </is>
      </c>
      <c r="B69" s="143" t="inlineStr">
        <is>
          <t xml:space="preserve">361251-01-3</t>
        </is>
      </c>
      <c r="C69" s="143" t="inlineStr">
        <is>
          <t xml:space="preserve">361251-01-3 (03) / APU BLEED CHECK VALVE INSP</t>
        </is>
      </c>
      <c r="D69" s="143">
        <v>1.0</v>
      </c>
      <c r="E69" s="143">
        <v>0.42</v>
      </c>
      <c r="F69" s="143">
        <v>37.8</v>
      </c>
      <c r="G69" s="143">
        <v>807.6</v>
      </c>
      <c r="H69" s="143" t="inlineStr">
        <is>
          <t xml:space="preserve">Idle</t>
        </is>
      </c>
      <c r="I69" s="143" t="inlineStr">
        <is>
          <t xml:space="preserve">36-12</t>
        </is>
      </c>
      <c r="J69" s="143" t="inlineStr">
        <is>
          <t xml:space="preserve">JOB-SETUP, JOB-SETUP, INSPECTION, INSPECTION, INSPECTION, OPS/LK, JOB-CLOSEUP</t>
        </is>
      </c>
    </row>
    <row r="70" spans="1:10">
      <c r="A70" s="143" t="inlineStr">
        <is>
          <t xml:space="preserve">440</t>
        </is>
      </c>
      <c r="B70" s="143" t="inlineStr">
        <is>
          <t xml:space="preserve">384142-01-1</t>
        </is>
      </c>
      <c r="C70" s="143" t="inlineStr">
        <is>
          <t xml:space="preserve">384142-01-1 (3) / AIR FILTER CARTRIDGE REPLACEMENT</t>
        </is>
      </c>
      <c r="D70" s="143">
        <v>1.0</v>
      </c>
      <c r="E70" s="143">
        <v>0.2</v>
      </c>
      <c r="F70" s="143">
        <v>37.5</v>
      </c>
      <c r="G70" s="143">
        <v>222.7</v>
      </c>
      <c r="H70" s="143" t="inlineStr">
        <is>
          <t xml:space="preserve">Idle</t>
        </is>
      </c>
      <c r="I70" s="143" t="inlineStr">
        <is>
          <t xml:space="preserve">38-41</t>
        </is>
      </c>
      <c r="J70" s="143" t="inlineStr">
        <is>
          <t xml:space="preserve">JOB-SETUP, CLEAN-UP, TC/P, OPS/LK, OPS/LK, JOB-CLOSEUP</t>
        </is>
      </c>
    </row>
    <row r="71" spans="1:10">
      <c r="A71" s="143" t="inlineStr">
        <is>
          <t xml:space="preserve">447</t>
        </is>
      </c>
      <c r="B71" s="143" t="inlineStr">
        <is>
          <t xml:space="preserve">521000-02-1</t>
        </is>
      </c>
      <c r="C71" s="143" t="inlineStr">
        <is>
          <t xml:space="preserve">521000-02-1 (3) / PASSENGER/CREW DOOR SUSPENSION CHK</t>
        </is>
      </c>
      <c r="D71" s="143">
        <v>1.0</v>
      </c>
      <c r="E71" s="143">
        <v>0.0</v>
      </c>
      <c r="F71" s="143">
        <v>72.0</v>
      </c>
      <c r="G71" s="143">
        <v>697.9</v>
      </c>
      <c r="H71" s="143" t="inlineStr">
        <is>
          <t xml:space="preserve">Idle</t>
        </is>
      </c>
      <c r="I71" s="143" t="inlineStr">
        <is>
          <t xml:space="preserve">52-10</t>
        </is>
      </c>
      <c r="J71" s="143" t="inlineStr">
        <is>
          <t xml:space="preserve">JOB-SETUP, JOB-SETUP, INSPECTION, OPS/LK, OPS/LK, JOB-CLOSEUP, JOB-CLOSEUP, JOB-CLOSEUP, JOB-CLOSEUP</t>
        </is>
      </c>
    </row>
    <row r="72" spans="1:10">
      <c r="A72" s="143" t="inlineStr">
        <is>
          <t xml:space="preserve">451</t>
        </is>
      </c>
      <c r="B72" s="143" t="inlineStr">
        <is>
          <t xml:space="preserve">521000-04-1-002</t>
        </is>
      </c>
      <c r="C72" s="143" t="inlineStr">
        <is>
          <t xml:space="preserve">521000-04-1-002 (03) / R/H FWD PAX/CREW DOOR INTEGRITY CHK</t>
        </is>
      </c>
      <c r="D72" s="143">
        <v>1.0</v>
      </c>
      <c r="E72" s="143">
        <v>0.53</v>
      </c>
      <c r="F72" s="143">
        <v>33.8</v>
      </c>
      <c r="G72" s="143">
        <v>664.9</v>
      </c>
      <c r="H72" s="143" t="inlineStr">
        <is>
          <t xml:space="preserve">Idle</t>
        </is>
      </c>
      <c r="I72" s="143" t="inlineStr">
        <is>
          <t xml:space="preserve">52-10</t>
        </is>
      </c>
      <c r="J72" s="143" t="inlineStr">
        <is>
          <t xml:space="preserve">JOB-SETUP, INSPECTION, INSPECTION, JOB-CLOSEUP, JOB-CLOSEUP, JOB-CLOSEUP, JOB-CLOSEUP, INSPECTION, JOB-CLOSEUP</t>
        </is>
      </c>
    </row>
    <row r="73" spans="1:10">
      <c r="A73" s="143" t="inlineStr">
        <is>
          <t xml:space="preserve">457</t>
        </is>
      </c>
      <c r="B73" s="143" t="inlineStr">
        <is>
          <t xml:space="preserve">521000-07-1-001</t>
        </is>
      </c>
      <c r="C73" s="143" t="inlineStr">
        <is>
          <t xml:space="preserve">521000-07-1-001 (4) / FWRD L/H&amp;R/H PASS/CREW DOR AJAST CK</t>
        </is>
      </c>
      <c r="D73" s="143">
        <v>1.0</v>
      </c>
      <c r="E73" s="143">
        <v>0.43</v>
      </c>
      <c r="F73" s="143">
        <v>7.5</v>
      </c>
      <c r="G73" s="143">
        <v>745.6</v>
      </c>
      <c r="H73" s="143" t="inlineStr">
        <is>
          <t xml:space="preserve">Idle</t>
        </is>
      </c>
      <c r="I73" s="143" t="inlineStr">
        <is>
          <t xml:space="preserve">52-10</t>
        </is>
      </c>
      <c r="J73" s="143" t="inlineStr">
        <is>
          <t xml:space="preserve">OPS/LK, OPS/LK, OPS/LK, JOB-CLOSEUP, JOB-CLOSEUP, JOB-CLOSEUP</t>
        </is>
      </c>
    </row>
    <row r="74" spans="1:10">
      <c r="A74" s="143" t="inlineStr">
        <is>
          <t xml:space="preserve">462</t>
        </is>
      </c>
      <c r="B74" s="143" t="inlineStr">
        <is>
          <t xml:space="preserve">521000-11-1</t>
        </is>
      </c>
      <c r="C74" s="143" t="inlineStr">
        <is>
          <t xml:space="preserve">521000-11-1 (6) / PASS/CREW DOORS STRIKERS MECHNSM OP</t>
        </is>
      </c>
      <c r="D74" s="143">
        <v>1.0</v>
      </c>
      <c r="E74" s="143">
        <v>0.0</v>
      </c>
      <c r="F74" s="143">
        <v>72.5</v>
      </c>
      <c r="G74" s="143">
        <v>650.0</v>
      </c>
      <c r="H74" s="143" t="inlineStr">
        <is>
          <t xml:space="preserve">Idle</t>
        </is>
      </c>
      <c r="I74" s="143" t="inlineStr">
        <is>
          <t xml:space="preserve">52-10</t>
        </is>
      </c>
      <c r="J74" s="143" t="inlineStr">
        <is>
          <t xml:space="preserve">OPS/LK, OPS/LK, OPS/LK, OPS/LK, OPS/LK, OPS/LK, OPS/LK, OPS/LK, OPS/LK, OPS/LK</t>
        </is>
      </c>
    </row>
    <row r="75" spans="1:10">
      <c r="A75" s="143" t="inlineStr">
        <is>
          <t xml:space="preserve">466</t>
        </is>
      </c>
      <c r="B75" s="143" t="inlineStr">
        <is>
          <t xml:space="preserve">522100-01-1</t>
        </is>
      </c>
      <c r="C75" s="143" t="inlineStr">
        <is>
          <t xml:space="preserve">522100-01-1 (02) / PAX EMER EXIT OPENING FROM INSIDE</t>
        </is>
      </c>
      <c r="D75" s="143">
        <v>1.0</v>
      </c>
      <c r="E75" s="143">
        <v>1.02</v>
      </c>
      <c r="F75" s="143">
        <v>3.2</v>
      </c>
      <c r="G75" s="143">
        <v>147.2</v>
      </c>
      <c r="H75" s="143" t="inlineStr">
        <is>
          <t xml:space="preserve">Idle</t>
        </is>
      </c>
      <c r="I75" s="143" t="inlineStr">
        <is>
          <t xml:space="preserve">52-21</t>
        </is>
      </c>
      <c r="J75" s="143" t="inlineStr">
        <is>
          <t xml:space="preserve">JOB-SETUP, OPS/LK, JOB-CLOSEUP</t>
        </is>
      </c>
    </row>
    <row r="76" spans="1:10">
      <c r="A76" s="143" t="inlineStr">
        <is>
          <t xml:space="preserve">467</t>
        </is>
      </c>
      <c r="B76" s="143" t="inlineStr">
        <is>
          <t xml:space="preserve">522100-02-5</t>
        </is>
      </c>
      <c r="C76" s="143" t="inlineStr">
        <is>
          <t xml:space="preserve">522100-02-5 (04) / PASSENGER COMP EMERGENCY EXIT FNC</t>
        </is>
      </c>
      <c r="D76" s="143">
        <v>1.0</v>
      </c>
      <c r="E76" s="143">
        <v>0.77</v>
      </c>
      <c r="F76" s="143">
        <v>7.4</v>
      </c>
      <c r="G76" s="143">
        <v>147.7</v>
      </c>
      <c r="H76" s="143" t="inlineStr">
        <is>
          <t xml:space="preserve">Idle</t>
        </is>
      </c>
      <c r="I76" s="143" t="inlineStr">
        <is>
          <t xml:space="preserve">52-21</t>
        </is>
      </c>
      <c r="J76" s="143" t="inlineStr">
        <is>
          <t xml:space="preserve">JOB-SETUP, OPS/LK, OPS/LK, JOB-CLOSEUP, JOB-CLOSEUP</t>
        </is>
      </c>
    </row>
    <row r="77" spans="1:10">
      <c r="A77" s="143" t="inlineStr">
        <is>
          <t xml:space="preserve">468</t>
        </is>
      </c>
      <c r="B77" s="143" t="inlineStr">
        <is>
          <t xml:space="preserve">522100-07-5</t>
        </is>
      </c>
      <c r="C77" s="143" t="inlineStr">
        <is>
          <t xml:space="preserve">522100-07-5 (03) / EMERGENCY EXIT HATCH OPERATION</t>
        </is>
      </c>
      <c r="D77" s="143">
        <v>1.0</v>
      </c>
      <c r="E77" s="143">
        <v>1.02</v>
      </c>
      <c r="F77" s="143">
        <v>35.2</v>
      </c>
      <c r="G77" s="143">
        <v>248.2</v>
      </c>
      <c r="H77" s="143" t="inlineStr">
        <is>
          <t xml:space="preserve">Idle</t>
        </is>
      </c>
      <c r="I77" s="143" t="inlineStr">
        <is>
          <t xml:space="preserve">52-21</t>
        </is>
      </c>
      <c r="J77" s="143" t="inlineStr">
        <is>
          <t xml:space="preserve">JOB-SETUP, OPS/LK, OPS/LK, JOB-CLOSEUP</t>
        </is>
      </c>
    </row>
    <row r="78" spans="1:10">
      <c r="A78" s="143" t="inlineStr">
        <is>
          <t xml:space="preserve">470</t>
        </is>
      </c>
      <c r="B78" s="143" t="inlineStr">
        <is>
          <t xml:space="preserve">523100-01-1</t>
        </is>
      </c>
      <c r="C78" s="143" t="inlineStr">
        <is>
          <t xml:space="preserve">523100-01-1 (3) / FORWARD CARGO COMPARTMENT DOOR FNC</t>
        </is>
      </c>
      <c r="D78" s="143">
        <v>1.0</v>
      </c>
      <c r="E78" s="143">
        <v>0.43</v>
      </c>
      <c r="F78" s="143">
        <v>0.0</v>
      </c>
      <c r="G78" s="143">
        <v>0.0</v>
      </c>
      <c r="H78" s="143" t="inlineStr">
        <is>
          <t xml:space="preserve">Not Started</t>
        </is>
      </c>
      <c r="I78" s="143" t="inlineStr">
        <is>
          <t xml:space="preserve">52-31</t>
        </is>
      </c>
      <c r="J78" s="143" t="inlineStr">
        <is>
          <t xml:space="preserve">JOB-SETUP, OPS/LK, JOB-CLOSEUP, JOB-CLOSEUP</t>
        </is>
      </c>
    </row>
    <row r="79" spans="1:10">
      <c r="A79" s="143" t="inlineStr">
        <is>
          <t xml:space="preserve">471</t>
        </is>
      </c>
      <c r="B79" s="143" t="inlineStr">
        <is>
          <t xml:space="preserve">523200-01-1</t>
        </is>
      </c>
      <c r="C79" s="143" t="inlineStr">
        <is>
          <t xml:space="preserve">523200-01-1 (3) / AFT CARGO COMPARTMENT DOOR FNC</t>
        </is>
      </c>
      <c r="D79" s="143">
        <v>1.0</v>
      </c>
      <c r="E79" s="143">
        <v>0.43</v>
      </c>
      <c r="F79" s="143">
        <v>0.0</v>
      </c>
      <c r="G79" s="143">
        <v>0.0</v>
      </c>
      <c r="H79" s="143" t="inlineStr">
        <is>
          <t xml:space="preserve">Not Started</t>
        </is>
      </c>
      <c r="I79" s="143" t="inlineStr">
        <is>
          <t xml:space="preserve">52-32</t>
        </is>
      </c>
      <c r="J79" s="143" t="inlineStr">
        <is>
          <t xml:space="preserve">JOB-SETUP, OPS/LK, JOB-CLOSEUP, JOB-CLOSEUP</t>
        </is>
      </c>
    </row>
    <row r="80" spans="1:10">
      <c r="A80" s="143" t="inlineStr">
        <is>
          <t xml:space="preserve">501</t>
        </is>
      </c>
      <c r="B80" s="143" t="inlineStr">
        <is>
          <t xml:space="preserve">545000-05-1-001</t>
        </is>
      </c>
      <c r="C80" s="143" t="inlineStr">
        <is>
          <t xml:space="preserve">545000-05-1-001 (01) / L/H PYLON FIRE SEALS INSP</t>
        </is>
      </c>
      <c r="D80" s="143">
        <v>1.0</v>
      </c>
      <c r="E80" s="143">
        <v>1.6</v>
      </c>
      <c r="F80" s="143">
        <v>4.5</v>
      </c>
      <c r="G80" s="143">
        <v>858.5</v>
      </c>
      <c r="H80" s="143" t="inlineStr">
        <is>
          <t xml:space="preserve">Idle</t>
        </is>
      </c>
      <c r="I80" s="143" t="inlineStr">
        <is>
          <t xml:space="preserve">05-21</t>
        </is>
      </c>
      <c r="J80" s="143" t="inlineStr">
        <is>
          <t xml:space="preserve">JOB-SETUP, CLEAN-UP, INSPECTION, JOB-CLOSEUP</t>
        </is>
      </c>
    </row>
    <row r="81" spans="1:10">
      <c r="A81" s="143" t="inlineStr">
        <is>
          <t xml:space="preserve">502</t>
        </is>
      </c>
      <c r="B81" s="143" t="inlineStr">
        <is>
          <t xml:space="preserve">545000-05-1-002</t>
        </is>
      </c>
      <c r="C81" s="143" t="inlineStr">
        <is>
          <t xml:space="preserve">545000-05-1-002 (01) / R/H PYLON FIRE SEALS INSP</t>
        </is>
      </c>
      <c r="D81" s="143">
        <v>1.0</v>
      </c>
      <c r="E81" s="143">
        <v>1.6</v>
      </c>
      <c r="F81" s="143">
        <v>5.33</v>
      </c>
      <c r="G81" s="143">
        <v>859.1</v>
      </c>
      <c r="H81" s="143" t="inlineStr">
        <is>
          <t xml:space="preserve">Idle</t>
        </is>
      </c>
      <c r="I81" s="143" t="inlineStr">
        <is>
          <t xml:space="preserve">05-21</t>
        </is>
      </c>
      <c r="J81" s="143" t="inlineStr">
        <is>
          <t xml:space="preserve">JOB-SETUP, CLEAN-UP, INSPECTION, JOB-CLOSEUP</t>
        </is>
      </c>
    </row>
    <row r="82" spans="1:10">
      <c r="A82" s="143" t="inlineStr">
        <is>
          <t xml:space="preserve">510</t>
        </is>
      </c>
      <c r="B82" s="143" t="inlineStr">
        <is>
          <t xml:space="preserve">572178-01-1-001</t>
        </is>
      </c>
      <c r="C82" s="143" t="inlineStr">
        <is>
          <t xml:space="preserve">572178-01-1-001 (03) / L/H OUTER WING, TOP SKIN INSP</t>
        </is>
      </c>
      <c r="D82" s="143">
        <v>1.0</v>
      </c>
      <c r="E82" s="143">
        <v>1.0</v>
      </c>
      <c r="F82" s="143">
        <v>1.5</v>
      </c>
      <c r="G82" s="143">
        <v>786.9</v>
      </c>
      <c r="H82" s="143" t="inlineStr">
        <is>
          <t xml:space="preserve">Idle</t>
        </is>
      </c>
      <c r="I82" s="143" t="inlineStr">
        <is>
          <t xml:space="preserve">05-21</t>
        </is>
      </c>
      <c r="J82" s="143" t="inlineStr">
        <is>
          <t xml:space="preserve">JOB-SETUP, CLEAN-UP, INSPECTION, INSPECTION, JOB-CLOSEUP</t>
        </is>
      </c>
    </row>
    <row r="83" spans="1:10">
      <c r="A83" s="143" t="inlineStr">
        <is>
          <t xml:space="preserve">512</t>
        </is>
      </c>
      <c r="B83" s="143" t="inlineStr">
        <is>
          <t xml:space="preserve">572179-01-1-001</t>
        </is>
      </c>
      <c r="C83" s="143" t="inlineStr">
        <is>
          <t xml:space="preserve">572179-01-1-001 (03) / L/H OUTER WING TOP SKIN RIB 11 TO 27 INSP</t>
        </is>
      </c>
      <c r="D83" s="143">
        <v>1.0</v>
      </c>
      <c r="E83" s="143">
        <v>1.0</v>
      </c>
      <c r="F83" s="143">
        <v>3.0</v>
      </c>
      <c r="G83" s="143">
        <v>786.7</v>
      </c>
      <c r="H83" s="143" t="inlineStr">
        <is>
          <t xml:space="preserve">Idle</t>
        </is>
      </c>
      <c r="I83" s="143" t="inlineStr">
        <is>
          <t xml:space="preserve">05-21</t>
        </is>
      </c>
      <c r="J83" s="143" t="inlineStr">
        <is>
          <t xml:space="preserve">JOB-SETUP, CLEAN-UP, INSPECTION, INSPECTION, JOB-CLOSEUP</t>
        </is>
      </c>
    </row>
    <row r="84" spans="1:10">
      <c r="A84" s="143" t="inlineStr">
        <is>
          <t xml:space="preserve">525</t>
        </is>
      </c>
      <c r="B84" s="143" t="inlineStr">
        <is>
          <t xml:space="preserve">711300-C1-1-001</t>
        </is>
      </c>
      <c r="C84" s="143" t="inlineStr">
        <is>
          <t xml:space="preserve">711300-C1-1-001 (02) / NO. 1 ENGINE FAN COWL LATCH TENSION</t>
        </is>
      </c>
      <c r="D84" s="143">
        <v>1.0</v>
      </c>
      <c r="E84" s="143">
        <v>1.18</v>
      </c>
      <c r="F84" s="143">
        <v>0.0</v>
      </c>
      <c r="G84" s="143">
        <v>0.0</v>
      </c>
      <c r="H84" s="143" t="inlineStr">
        <is>
          <t xml:space="preserve">Not Started</t>
        </is>
      </c>
      <c r="I84" s="143" t="inlineStr">
        <is>
          <t xml:space="preserve">71-13</t>
        </is>
      </c>
      <c r="J84" s="143" t="inlineStr">
        <is>
          <t xml:space="preserve">OPS/LK, OPS/LK</t>
        </is>
      </c>
    </row>
    <row r="85" spans="1:10">
      <c r="A85" s="143" t="inlineStr">
        <is>
          <t xml:space="preserve">526</t>
        </is>
      </c>
      <c r="B85" s="143" t="inlineStr">
        <is>
          <t xml:space="preserve">711300-C1-1-002</t>
        </is>
      </c>
      <c r="C85" s="143" t="inlineStr">
        <is>
          <t xml:space="preserve">711300-C1-1-002 (02) / NO. 2 ENGINE FAN COWL LATCH TENSION</t>
        </is>
      </c>
      <c r="D85" s="143">
        <v>1.0</v>
      </c>
      <c r="E85" s="143">
        <v>1.18</v>
      </c>
      <c r="F85" s="143">
        <v>0.0</v>
      </c>
      <c r="G85" s="143">
        <v>0.0</v>
      </c>
      <c r="H85" s="143" t="inlineStr">
        <is>
          <t xml:space="preserve">Not Started</t>
        </is>
      </c>
      <c r="I85" s="143" t="inlineStr">
        <is>
          <t xml:space="preserve">71-13</t>
        </is>
      </c>
      <c r="J85" s="143" t="inlineStr">
        <is>
          <t xml:space="preserve">OPS/LK, OPS/LK</t>
        </is>
      </c>
    </row>
    <row r="86" spans="1:10">
      <c r="A86" s="143" t="inlineStr">
        <is>
          <t xml:space="preserve">537</t>
        </is>
      </c>
      <c r="B86" s="143" t="inlineStr">
        <is>
          <t xml:space="preserve">712213-01-1-001</t>
        </is>
      </c>
      <c r="C86" s="143" t="inlineStr">
        <is>
          <t xml:space="preserve">712213-01-1-001 (02) / NO. 1 ENGINE AFT MOUNT PINS INSP</t>
        </is>
      </c>
      <c r="D86" s="143">
        <v>1.0</v>
      </c>
      <c r="E86" s="143">
        <v>0.43</v>
      </c>
      <c r="F86" s="143">
        <v>74.5</v>
      </c>
      <c r="G86" s="143">
        <v>699.0</v>
      </c>
      <c r="H86" s="143" t="inlineStr">
        <is>
          <t xml:space="preserve">Idle</t>
        </is>
      </c>
      <c r="I86" s="143" t="inlineStr">
        <is>
          <t xml:space="preserve">71-22</t>
        </is>
      </c>
      <c r="J86" s="143" t="inlineStr">
        <is>
          <t xml:space="preserve">JOB-SETUP, INSPECTION, INSPECTION, INSPECTION, INSPECTION, INSPECTION, INSPECTION, JOB-CLOSEUP</t>
        </is>
      </c>
    </row>
    <row r="87" spans="1:10">
      <c r="A87" s="143" t="inlineStr">
        <is>
          <t xml:space="preserve">538</t>
        </is>
      </c>
      <c r="B87" s="143" t="inlineStr">
        <is>
          <t xml:space="preserve">712213-01-1-002</t>
        </is>
      </c>
      <c r="C87" s="143" t="inlineStr">
        <is>
          <t xml:space="preserve">712213-01-1-002 (02) / NO. 2 ENGINE AFT MOUNT PINS INSP</t>
        </is>
      </c>
      <c r="D87" s="143">
        <v>1.0</v>
      </c>
      <c r="E87" s="143">
        <v>0.43</v>
      </c>
      <c r="F87" s="143">
        <v>53.5</v>
      </c>
      <c r="G87" s="143">
        <v>713.9</v>
      </c>
      <c r="H87" s="143" t="inlineStr">
        <is>
          <t xml:space="preserve">Idle</t>
        </is>
      </c>
      <c r="I87" s="143" t="inlineStr">
        <is>
          <t xml:space="preserve">71-22</t>
        </is>
      </c>
      <c r="J87" s="143" t="inlineStr">
        <is>
          <t xml:space="preserve">JOB-SETUP, INSPECTION, INSPECTION, INSPECTION, INSPECTION, INSPECTION, INSPECTION, JOB-CLOSEUP</t>
        </is>
      </c>
    </row>
    <row r="88" spans="1:10">
      <c r="A88" s="143" t="inlineStr">
        <is>
          <t xml:space="preserve">541</t>
        </is>
      </c>
      <c r="B88" s="143" t="inlineStr">
        <is>
          <t xml:space="preserve">72-00-00-27-0-SVA-001</t>
        </is>
      </c>
      <c r="C88" s="143" t="inlineStr">
        <is>
          <t xml:space="preserve">72-00-00-27-0-SVA-001 (01) / DEPERSERVATION OF ENG# 1 POST C-CHK</t>
        </is>
      </c>
      <c r="D88" s="143">
        <v>1.0</v>
      </c>
      <c r="E88" s="143">
        <v>2.0</v>
      </c>
      <c r="F88" s="143">
        <v>0.0</v>
      </c>
      <c r="G88" s="143">
        <v>0.0</v>
      </c>
      <c r="H88" s="143" t="inlineStr">
        <is>
          <t xml:space="preserve">Not Started</t>
        </is>
      </c>
      <c r="I88" s="143">
        <v>72.0</v>
      </c>
      <c r="J88" s="143" t="inlineStr">
        <is>
          <t xml:space="preserve">OPS/LK</t>
        </is>
      </c>
    </row>
    <row r="89" spans="1:10">
      <c r="A89" s="143" t="inlineStr">
        <is>
          <t xml:space="preserve">542</t>
        </is>
      </c>
      <c r="B89" s="143" t="inlineStr">
        <is>
          <t xml:space="preserve">72-00-00-27-0-SVA-002</t>
        </is>
      </c>
      <c r="C89" s="143" t="inlineStr">
        <is>
          <t xml:space="preserve">72-00-00-27-0-SVA-002 (01) / DEPERSERVATION OF ENG# 2 POST C-CHK</t>
        </is>
      </c>
      <c r="D89" s="143">
        <v>1.0</v>
      </c>
      <c r="E89" s="143">
        <v>2.0</v>
      </c>
      <c r="F89" s="143">
        <v>0.0</v>
      </c>
      <c r="G89" s="143">
        <v>0.0</v>
      </c>
      <c r="H89" s="143" t="inlineStr">
        <is>
          <t xml:space="preserve">Not Started</t>
        </is>
      </c>
      <c r="I89" s="143">
        <v>72.0</v>
      </c>
      <c r="J89" s="143" t="inlineStr">
        <is>
          <t xml:space="preserve">OPS/LK</t>
        </is>
      </c>
    </row>
    <row r="90" spans="1:10">
      <c r="A90" s="143" t="inlineStr">
        <is>
          <t xml:space="preserve">551</t>
        </is>
      </c>
      <c r="B90" s="143" t="inlineStr">
        <is>
          <t xml:space="preserve">783200-01-1-001</t>
        </is>
      </c>
      <c r="C90" s="143" t="inlineStr">
        <is>
          <t xml:space="preserve">783200-01-1-001 (04) / NO. 1 ENG “C” DUCT HINGE FITTINGS INSP</t>
        </is>
      </c>
      <c r="D90" s="143">
        <v>1.0</v>
      </c>
      <c r="E90" s="143">
        <v>0.75</v>
      </c>
      <c r="F90" s="143">
        <v>16.0</v>
      </c>
      <c r="G90" s="143">
        <v>762.5</v>
      </c>
      <c r="H90" s="143" t="inlineStr">
        <is>
          <t xml:space="preserve">Idle</t>
        </is>
      </c>
      <c r="I90" s="143" t="inlineStr">
        <is>
          <t xml:space="preserve">78-32</t>
        </is>
      </c>
      <c r="J90" s="143" t="inlineStr">
        <is>
          <t xml:space="preserve">JOB-SETUP, INSPECTION, JOB-CLOSEUP, JOB-CLOSEUP, JOB-CLOSEUP</t>
        </is>
      </c>
    </row>
    <row r="91" spans="1:10">
      <c r="A91" s="143" t="inlineStr">
        <is>
          <t xml:space="preserve">553</t>
        </is>
      </c>
      <c r="B91" s="143" t="inlineStr">
        <is>
          <t xml:space="preserve">783209-01-1</t>
        </is>
      </c>
      <c r="C91" s="143" t="inlineStr">
        <is>
          <t xml:space="preserve">783209-01-1 (02) / DETAILED INSPECTION OF THRUST REVERSER V-GROOVE ADAPTER RING.</t>
        </is>
      </c>
      <c r="D91" s="143">
        <v>1.0</v>
      </c>
      <c r="E91" s="143">
        <v>1.0</v>
      </c>
      <c r="F91" s="143">
        <v>1.25</v>
      </c>
      <c r="G91" s="143">
        <v>859.4</v>
      </c>
      <c r="H91" s="143" t="inlineStr">
        <is>
          <t xml:space="preserve">Idle</t>
        </is>
      </c>
      <c r="I91" s="143" t="inlineStr">
        <is>
          <t xml:space="preserve">78-32</t>
        </is>
      </c>
      <c r="J91" s="143"/>
    </row>
    <row r="92" spans="1:10">
      <c r="A92" s="143" t="inlineStr">
        <is>
          <t xml:space="preserve">584</t>
        </is>
      </c>
      <c r="B92" s="143" t="inlineStr">
        <is>
          <t xml:space="preserve">282200-04-1</t>
        </is>
      </c>
      <c r="C92" s="143" t="inlineStr">
        <is>
          <t xml:space="preserve">282200-04-1 (1) / APU FUEL PUMP SYSTEM AND FUEL FEED LINE</t>
        </is>
      </c>
      <c r="D92" s="143">
        <v>1.0</v>
      </c>
      <c r="E92" s="143">
        <v>2.53</v>
      </c>
      <c r="F92" s="143">
        <v>0.0</v>
      </c>
      <c r="G92" s="143">
        <v>0.0</v>
      </c>
      <c r="H92" s="143" t="inlineStr">
        <is>
          <t xml:space="preserve">Not Started</t>
        </is>
      </c>
      <c r="I92" s="143" t="inlineStr">
        <is>
          <t xml:space="preserve">28-22</t>
        </is>
      </c>
      <c r="J92" s="143" t="inlineStr">
        <is>
          <t xml:space="preserve">JOB-SETUP, INSPECTION, JOB-CLOSEUP</t>
        </is>
      </c>
    </row>
    <row r="93" spans="1:10">
      <c r="A93" s="143" t="inlineStr">
        <is>
          <t xml:space="preserve">585</t>
        </is>
      </c>
      <c r="B93" s="143" t="inlineStr">
        <is>
          <t xml:space="preserve">282400-01-1-001</t>
        </is>
      </c>
      <c r="C93" s="143" t="inlineStr">
        <is>
          <t xml:space="preserve">282400-01-1-001 (05) / NO. 1 ENG LOW PRESS SHUT OFF VALVE OPC</t>
        </is>
      </c>
      <c r="D93" s="143">
        <v>1.0</v>
      </c>
      <c r="E93" s="143">
        <v>0.5</v>
      </c>
      <c r="F93" s="143">
        <v>0.0</v>
      </c>
      <c r="G93" s="143">
        <v>0.0</v>
      </c>
      <c r="H93" s="143" t="inlineStr">
        <is>
          <t xml:space="preserve">Not Started</t>
        </is>
      </c>
      <c r="I93" s="143" t="inlineStr">
        <is>
          <t xml:space="preserve">28-24</t>
        </is>
      </c>
      <c r="J93" s="143" t="inlineStr">
        <is>
          <t xml:space="preserve">PRE HGR, PRE HGR, PRE HGR, OPS/LK, JOB-CLOSEUP</t>
        </is>
      </c>
    </row>
    <row r="94" spans="1:10">
      <c r="A94" s="143" t="inlineStr">
        <is>
          <t xml:space="preserve">586</t>
        </is>
      </c>
      <c r="B94" s="143" t="inlineStr">
        <is>
          <t xml:space="preserve">282400-01-1-002</t>
        </is>
      </c>
      <c r="C94" s="143" t="inlineStr">
        <is>
          <t xml:space="preserve">282400-01-1-002 (06) / NO.2 ENG LOW PRESS SHUT OFF VALVE OPC</t>
        </is>
      </c>
      <c r="D94" s="143">
        <v>1.0</v>
      </c>
      <c r="E94" s="143">
        <v>0.65</v>
      </c>
      <c r="F94" s="143">
        <v>0.0</v>
      </c>
      <c r="G94" s="143">
        <v>0.0</v>
      </c>
      <c r="H94" s="143" t="inlineStr">
        <is>
          <t xml:space="preserve">Not Started</t>
        </is>
      </c>
      <c r="I94" s="143" t="inlineStr">
        <is>
          <t xml:space="preserve">28-24</t>
        </is>
      </c>
      <c r="J94" s="143" t="inlineStr">
        <is>
          <t xml:space="preserve">PRE HGR, PRE HGR, PRE HGR, PRE HGR, OPS/LK, JOB-CLOSEUP</t>
        </is>
      </c>
    </row>
    <row r="95" spans="1:10">
      <c r="A95" s="143" t="inlineStr">
        <is>
          <t xml:space="preserve">591</t>
        </is>
      </c>
      <c r="B95" s="143" t="inlineStr">
        <is>
          <t xml:space="preserve">38-10-00-SVA</t>
        </is>
      </c>
      <c r="C95" s="143" t="inlineStr">
        <is>
          <t xml:space="preserve">38-10-00-SVA (01) / DECALCIFICATION OF THE POTABLE WATER TANK AND DISTRIBUTION SYSTEM</t>
        </is>
      </c>
      <c r="D95" s="143">
        <v>1.0</v>
      </c>
      <c r="E95" s="143">
        <v>10.0</v>
      </c>
      <c r="F95" s="143">
        <v>0.0</v>
      </c>
      <c r="G95" s="143">
        <v>0.0</v>
      </c>
      <c r="H95" s="143" t="inlineStr">
        <is>
          <t xml:space="preserve">Not Started</t>
        </is>
      </c>
      <c r="I95" s="143" t="inlineStr">
        <is>
          <t xml:space="preserve">38-10</t>
        </is>
      </c>
      <c r="J95" s="143" t="inlineStr">
        <is>
          <t xml:space="preserve">JOB-SETUP, --, JOB-CLOSEUP</t>
        </is>
      </c>
    </row>
    <row r="96" spans="1:10">
      <c r="A96" s="143" t="inlineStr">
        <is>
          <t xml:space="preserve">603</t>
        </is>
      </c>
      <c r="B96" s="143" t="inlineStr">
        <is>
          <t xml:space="preserve">05-00-00-01-0-A</t>
        </is>
      </c>
      <c r="C96" s="143" t="inlineStr">
        <is>
          <t xml:space="preserve">05-00-00-01-0-A (04) / AIRCRAFT C&amp;D CHECKS DATA REVIEW</t>
        </is>
      </c>
      <c r="D96" s="143">
        <v>1.0</v>
      </c>
      <c r="E96" s="143">
        <v>1.0</v>
      </c>
      <c r="F96" s="143">
        <v>0.0</v>
      </c>
      <c r="G96" s="143">
        <v>0.0</v>
      </c>
      <c r="H96" s="143" t="inlineStr">
        <is>
          <t xml:space="preserve">Not Started</t>
        </is>
      </c>
      <c r="I96" s="143" t="inlineStr">
        <is>
          <t xml:space="preserve">05-11</t>
        </is>
      </c>
      <c r="J96" s="143" t="inlineStr">
        <is>
          <t xml:space="preserve">TC/P</t>
        </is>
      </c>
    </row>
    <row r="97" spans="1:10">
      <c r="A97" s="143" t="inlineStr">
        <is>
          <t xml:space="preserve">604</t>
        </is>
      </c>
      <c r="B97" s="143" t="inlineStr">
        <is>
          <t xml:space="preserve">12-21-11-01-0-SVA</t>
        </is>
      </c>
      <c r="C97" s="143" t="inlineStr">
        <is>
          <t xml:space="preserve">12-21-11-01-0-SVA (03) / AIRCRAFT EXTERIOR APPEARANCE WASH</t>
        </is>
      </c>
      <c r="D97" s="143">
        <v>1.0</v>
      </c>
      <c r="E97" s="143">
        <v>9.75</v>
      </c>
      <c r="F97" s="143">
        <v>12.0</v>
      </c>
      <c r="G97" s="143">
        <v>950.9</v>
      </c>
      <c r="H97" s="143" t="inlineStr">
        <is>
          <t xml:space="preserve">Idle</t>
        </is>
      </c>
      <c r="I97" s="143" t="inlineStr">
        <is>
          <t xml:space="preserve">12-21</t>
        </is>
      </c>
      <c r="J97" s="143" t="inlineStr">
        <is>
          <t xml:space="preserve">JOB-SETUP, JOB-SETUP, JOB-SETUP, CLEAN-UP, TC/P, TC/P, TC/P, TC/P, TC/P, JOB-CLOSEUP</t>
        </is>
      </c>
    </row>
    <row r="98" spans="1:10">
      <c r="A98" s="143" t="inlineStr">
        <is>
          <t xml:space="preserve">610</t>
        </is>
      </c>
      <c r="B98" s="143" t="inlineStr">
        <is>
          <t xml:space="preserve">521104-01-1</t>
        </is>
      </c>
      <c r="C98" s="143" t="inlineStr">
        <is>
          <t xml:space="preserve">521104-01-1 (02) / FWD PAX DOOR INTERNAL STRUCTURE INSP</t>
        </is>
      </c>
      <c r="D98" s="143">
        <v>1.0</v>
      </c>
      <c r="E98" s="143">
        <v>1.18</v>
      </c>
      <c r="F98" s="143">
        <v>50.2</v>
      </c>
      <c r="G98" s="143">
        <v>741.9</v>
      </c>
      <c r="H98" s="143" t="inlineStr">
        <is>
          <t xml:space="preserve">Idle</t>
        </is>
      </c>
      <c r="I98" s="143" t="inlineStr">
        <is>
          <t xml:space="preserve">25-62</t>
        </is>
      </c>
      <c r="J98" s="143" t="inlineStr">
        <is>
          <t xml:space="preserve">JOB-SETUP, JOB-SETUP, JOB-SETUP, CLEAN-UP, INSPECTION, INSPECTION, INSPECTION, INSPECTION, JOB-CLOSEUP, JOB-CLOSEUP</t>
        </is>
      </c>
    </row>
    <row r="99" spans="1:10">
      <c r="A99" s="143" t="inlineStr">
        <is>
          <t xml:space="preserve">612</t>
        </is>
      </c>
      <c r="B99" s="143" t="inlineStr">
        <is>
          <t xml:space="preserve">522102-01-1</t>
        </is>
      </c>
      <c r="C99" s="143" t="inlineStr">
        <is>
          <t xml:space="preserve">522102-01-1 (04) / EMERGENCY EXITS STRUCTURE INSPECTION</t>
        </is>
      </c>
      <c r="D99" s="143">
        <v>1.0</v>
      </c>
      <c r="E99" s="143">
        <v>3.5</v>
      </c>
      <c r="F99" s="143">
        <v>9.83</v>
      </c>
      <c r="G99" s="143">
        <v>546.4</v>
      </c>
      <c r="H99" s="143" t="inlineStr">
        <is>
          <t xml:space="preserve">Idle</t>
        </is>
      </c>
      <c r="I99" s="143" t="inlineStr">
        <is>
          <t xml:space="preserve">52-21</t>
        </is>
      </c>
      <c r="J99" s="143" t="inlineStr">
        <is>
          <t xml:space="preserve">JOB-SETUP, CLEAN-UP, INSPECTION, INSPECTION, INSPECTION, INSPECTION, JOB-CLOSEUP</t>
        </is>
      </c>
    </row>
    <row r="100" spans="1:10">
      <c r="A100" s="143" t="inlineStr">
        <is>
          <t xml:space="preserve">613</t>
        </is>
      </c>
      <c r="B100" s="143" t="inlineStr">
        <is>
          <t xml:space="preserve">523103-01-1</t>
        </is>
      </c>
      <c r="C100" s="143" t="inlineStr">
        <is>
          <t xml:space="preserve">523103-01-1 (02) / FWD CGO DOOR INTERNAL STRUCTURE INSP</t>
        </is>
      </c>
      <c r="D100" s="143">
        <v>1.0</v>
      </c>
      <c r="E100" s="143">
        <v>1.62</v>
      </c>
      <c r="F100" s="143">
        <v>11.02</v>
      </c>
      <c r="G100" s="143">
        <v>794.7</v>
      </c>
      <c r="H100" s="143" t="inlineStr">
        <is>
          <t xml:space="preserve">Idle</t>
        </is>
      </c>
      <c r="I100" s="143" t="inlineStr">
        <is>
          <t xml:space="preserve">52-31</t>
        </is>
      </c>
      <c r="J100" s="143" t="inlineStr">
        <is>
          <t xml:space="preserve">JOB-SETUP, CLEAN-UP, INSPECTION, INSPECTION, INSPECTION, JOB-CLOSEUP</t>
        </is>
      </c>
    </row>
    <row r="101" spans="1:10">
      <c r="A101" s="143" t="inlineStr">
        <is>
          <t xml:space="preserve">615</t>
        </is>
      </c>
      <c r="B101" s="143" t="inlineStr">
        <is>
          <t xml:space="preserve">523113-01-1</t>
        </is>
      </c>
      <c r="C101" s="143" t="inlineStr">
        <is>
          <t xml:space="preserve">523113-01-1 (02) / AFT CGO DOOR INTERNAL STRUCTURE INSP</t>
        </is>
      </c>
      <c r="D101" s="143">
        <v>1.0</v>
      </c>
      <c r="E101" s="143">
        <v>1.28</v>
      </c>
      <c r="F101" s="143">
        <v>13.0</v>
      </c>
      <c r="G101" s="143">
        <v>794.9</v>
      </c>
      <c r="H101" s="143" t="inlineStr">
        <is>
          <t xml:space="preserve">Idle</t>
        </is>
      </c>
      <c r="I101" s="143" t="inlineStr">
        <is>
          <t xml:space="preserve">52-32</t>
        </is>
      </c>
      <c r="J101" s="143" t="inlineStr">
        <is>
          <t xml:space="preserve">JOB-SETUP, CLEAN-UP, INSPECTION, JOB-CLOSEUP, JOB-CLOSEUP, JOB-CLOSEUP</t>
        </is>
      </c>
    </row>
    <row r="102" spans="1:10">
      <c r="A102" s="143" t="inlineStr">
        <is>
          <t xml:space="preserve">619</t>
        </is>
      </c>
      <c r="B102" s="143" t="inlineStr">
        <is>
          <t xml:space="preserve">532130-09-1</t>
        </is>
      </c>
      <c r="C102" s="143" t="inlineStr">
        <is>
          <t xml:space="preserve">532130-09-1 (02) / ANTI-CRASH ROD JUNCTION</t>
        </is>
      </c>
      <c r="D102" s="143">
        <v>1.0</v>
      </c>
      <c r="E102" s="143">
        <v>2.8</v>
      </c>
      <c r="F102" s="143">
        <v>0.0</v>
      </c>
      <c r="G102" s="143">
        <v>0.0</v>
      </c>
      <c r="H102" s="143" t="inlineStr">
        <is>
          <t xml:space="preserve">Not Started</t>
        </is>
      </c>
      <c r="I102" s="143" t="inlineStr">
        <is>
          <t xml:space="preserve">53-31</t>
        </is>
      </c>
      <c r="J102" s="143" t="inlineStr">
        <is>
          <t xml:space="preserve">JOB-SETUP, CLEAN-UP, INSPECTION, INSPECTION, JOB-CLOSEUP, JOB-CLOSEUP</t>
        </is>
      </c>
    </row>
    <row r="103" spans="1:10">
      <c r="A103" s="143" t="inlineStr">
        <is>
          <t xml:space="preserve">620</t>
        </is>
      </c>
      <c r="B103" s="143" t="inlineStr">
        <is>
          <t xml:space="preserve">532130-29-1</t>
        </is>
      </c>
      <c r="C103" s="143" t="inlineStr">
        <is>
          <t xml:space="preserve">532130-29-1 (01) / ANTI-CRASH ROD JUNCTION</t>
        </is>
      </c>
      <c r="D103" s="143">
        <v>1.0</v>
      </c>
      <c r="E103" s="143">
        <v>1.4</v>
      </c>
      <c r="F103" s="143">
        <v>81.9</v>
      </c>
      <c r="G103" s="143">
        <v>547.8</v>
      </c>
      <c r="H103" s="143" t="inlineStr">
        <is>
          <t xml:space="preserve">Idle</t>
        </is>
      </c>
      <c r="I103" s="143" t="inlineStr">
        <is>
          <t xml:space="preserve">53-21</t>
        </is>
      </c>
      <c r="J103" s="143" t="inlineStr">
        <is>
          <t xml:space="preserve">JOB-SETUP, JOB-SETUP, JOB-SETUP, JOB-SETUP, INSPECTION, JOB-CLOSEUP, JOB-CLOSEUP, JOB-CLOSEUP, JOB-CLOSEUP, JOB-CLOSEUP</t>
        </is>
      </c>
    </row>
    <row r="104" spans="1:10">
      <c r="A104" s="143" t="inlineStr">
        <is>
          <t xml:space="preserve">623</t>
        </is>
      </c>
      <c r="B104" s="143" t="inlineStr">
        <is>
          <t xml:space="preserve">532175-01-1</t>
        </is>
      </c>
      <c r="C104" s="143" t="inlineStr">
        <is>
          <t xml:space="preserve">532175-01-1 (03) / INTERNAL STRUC AROUND FWD CGO DOOR</t>
        </is>
      </c>
      <c r="D104" s="143">
        <v>1.0</v>
      </c>
      <c r="E104" s="143">
        <v>4.3</v>
      </c>
      <c r="F104" s="143">
        <v>16.83</v>
      </c>
      <c r="G104" s="143">
        <v>795.6</v>
      </c>
      <c r="H104" s="143" t="inlineStr">
        <is>
          <t xml:space="preserve">Idle</t>
        </is>
      </c>
      <c r="I104" s="143" t="inlineStr">
        <is>
          <t xml:space="preserve">53-21</t>
        </is>
      </c>
      <c r="J104" s="143" t="inlineStr">
        <is>
          <t xml:space="preserve">JOB-SETUP, CLEAN-UP, INSPECTION, JOB-CLOSEUP, JOB-CLOSEUP, JOB-CLOSEUP, JOB-CLOSEUP, JOB-CLOSEUP, JOB-CLOSEUP, JOB-CLOSEUP, JOB-CLOSEUP, JOB-CLOSEUP</t>
        </is>
      </c>
    </row>
    <row r="105" spans="1:10">
      <c r="A105" s="143" t="inlineStr">
        <is>
          <t xml:space="preserve">630</t>
        </is>
      </c>
      <c r="B105" s="143" t="inlineStr">
        <is>
          <t xml:space="preserve">534123-01-3</t>
        </is>
      </c>
      <c r="C105" s="143" t="inlineStr">
        <is>
          <t xml:space="preserve">534123-01-3 (06) / GUSSET PLATE FASTENER HOLE NDT INSP</t>
        </is>
      </c>
      <c r="D105" s="143">
        <v>1.0</v>
      </c>
      <c r="E105" s="143">
        <v>8.5</v>
      </c>
      <c r="F105" s="143">
        <v>38.2</v>
      </c>
      <c r="G105" s="143">
        <v>556.8</v>
      </c>
      <c r="H105" s="143" t="inlineStr">
        <is>
          <t xml:space="preserve">Idle</t>
        </is>
      </c>
      <c r="I105" s="143" t="inlineStr">
        <is>
          <t xml:space="preserve">53-41</t>
        </is>
      </c>
      <c r="J105" s="143" t="inlineStr">
        <is>
          <t xml:space="preserve">JOB-SETUP, CLEAN-UP, INSPECTION, INSPECTION, INSPECTION, INSPECTION, INSPECTION, INSPECTION, JOB-CLOSEUP, --</t>
        </is>
      </c>
    </row>
    <row r="106" spans="1:10">
      <c r="A106" s="143" t="inlineStr">
        <is>
          <t xml:space="preserve">632</t>
        </is>
      </c>
      <c r="B106" s="143" t="inlineStr">
        <is>
          <t xml:space="preserve">534143-01-3</t>
        </is>
      </c>
      <c r="C106" s="143" t="inlineStr">
        <is>
          <t xml:space="preserve">534143-01-3 (03) / AFT PASSENGER/CREW DOOR CUTOUT INSP</t>
        </is>
      </c>
      <c r="D106" s="143">
        <v>1.0</v>
      </c>
      <c r="E106" s="143">
        <v>0.0</v>
      </c>
      <c r="F106" s="143">
        <v>23.17</v>
      </c>
      <c r="G106" s="143">
        <v>715.4</v>
      </c>
      <c r="H106" s="143" t="inlineStr">
        <is>
          <t xml:space="preserve">Idle</t>
        </is>
      </c>
      <c r="I106" s="143" t="inlineStr">
        <is>
          <t xml:space="preserve">53-41</t>
        </is>
      </c>
      <c r="J106" s="143" t="inlineStr">
        <is>
          <t xml:space="preserve">JOB-SETUP, INSPECTION, INSPECTION, INSPECTION, INSPECTION, INSPECTION, JOB-CLOSEUP</t>
        </is>
      </c>
    </row>
    <row r="107" spans="1:10">
      <c r="A107" s="143" t="inlineStr">
        <is>
          <t xml:space="preserve">633</t>
        </is>
      </c>
      <c r="B107" s="143" t="inlineStr">
        <is>
          <t xml:space="preserve">534150-01-1</t>
        </is>
      </c>
      <c r="C107" s="143" t="inlineStr">
        <is>
          <t xml:space="preserve">534150-01-1 (02) / AFT CARGO DOOR CUTOUT INSPECTION</t>
        </is>
      </c>
      <c r="D107" s="143">
        <v>1.0</v>
      </c>
      <c r="E107" s="143">
        <v>1.87</v>
      </c>
      <c r="F107" s="143">
        <v>12.75</v>
      </c>
      <c r="G107" s="143">
        <v>680.8</v>
      </c>
      <c r="H107" s="143" t="inlineStr">
        <is>
          <t xml:space="preserve">Idle</t>
        </is>
      </c>
      <c r="I107" s="143" t="inlineStr">
        <is>
          <t xml:space="preserve">53-41</t>
        </is>
      </c>
      <c r="J107" s="143" t="inlineStr">
        <is>
          <t xml:space="preserve">JOB-SETUP, JOB-SETUP, CLEAN-UP, INSPECTION, INSPECTION, INSPECTION, JOB-CLOSEUP, JOB-CLOSEUP</t>
        </is>
      </c>
    </row>
    <row r="108" spans="1:10">
      <c r="A108" s="143" t="inlineStr">
        <is>
          <t xml:space="preserve">635</t>
        </is>
      </c>
      <c r="B108" s="143" t="inlineStr">
        <is>
          <t xml:space="preserve">534195-01-1</t>
        </is>
      </c>
      <c r="C108" s="143" t="inlineStr">
        <is>
          <t xml:space="preserve">534195-01-1 (0) / CABIN FLOOR STRUCTURE AFT ENTRANCE A</t>
        </is>
      </c>
      <c r="D108" s="143">
        <v>1.0</v>
      </c>
      <c r="E108" s="143">
        <v>0.0</v>
      </c>
      <c r="F108" s="143">
        <v>22.5</v>
      </c>
      <c r="G108" s="143">
        <v>383.3</v>
      </c>
      <c r="H108" s="143" t="inlineStr">
        <is>
          <t xml:space="preserve">Idle</t>
        </is>
      </c>
      <c r="I108" s="143" t="inlineStr">
        <is>
          <t xml:space="preserve">53-41</t>
        </is>
      </c>
      <c r="J108" s="143" t="inlineStr">
        <is>
          <t xml:space="preserve">JOB-SETUP, CLEAN-UP, INSPECTION, JOB-CLOSEUP</t>
        </is>
      </c>
    </row>
    <row r="109" spans="1:10">
      <c r="A109" s="143" t="inlineStr">
        <is>
          <t xml:space="preserve">639</t>
        </is>
      </c>
      <c r="B109" s="143" t="inlineStr">
        <is>
          <t xml:space="preserve">545134-09-6-001</t>
        </is>
      </c>
      <c r="C109" s="143" t="inlineStr">
        <is>
          <t xml:space="preserve">545134-09-6-001 (03) / L/H PYLON UPR SPAR RIB 4 AND 10 INSP</t>
        </is>
      </c>
      <c r="D109" s="143">
        <v>1.0</v>
      </c>
      <c r="E109" s="143">
        <v>0.78</v>
      </c>
      <c r="F109" s="143">
        <v>13.17</v>
      </c>
      <c r="G109" s="143">
        <v>859.4</v>
      </c>
      <c r="H109" s="143" t="inlineStr">
        <is>
          <t xml:space="preserve">Idle</t>
        </is>
      </c>
      <c r="I109" s="143" t="inlineStr">
        <is>
          <t xml:space="preserve">54-51</t>
        </is>
      </c>
      <c r="J109" s="143" t="inlineStr">
        <is>
          <t xml:space="preserve">JOB-SETUP, CLEAN-UP, INSPECTION, JOB-CLOSEUP</t>
        </is>
      </c>
    </row>
    <row r="110" spans="1:10">
      <c r="A110" s="143" t="inlineStr">
        <is>
          <t xml:space="preserve">640</t>
        </is>
      </c>
      <c r="B110" s="143" t="inlineStr">
        <is>
          <t xml:space="preserve">545134-09-6-002</t>
        </is>
      </c>
      <c r="C110" s="143" t="inlineStr">
        <is>
          <t xml:space="preserve">545134-09-6-002 (02) / R/H PYLON UPR SPAR RIB 4 AND 10 INSP</t>
        </is>
      </c>
      <c r="D110" s="143">
        <v>1.0</v>
      </c>
      <c r="E110" s="143">
        <v>0.78</v>
      </c>
      <c r="F110" s="143">
        <v>1.33</v>
      </c>
      <c r="G110" s="143">
        <v>859.0</v>
      </c>
      <c r="H110" s="143" t="inlineStr">
        <is>
          <t xml:space="preserve">Idle</t>
        </is>
      </c>
      <c r="I110" s="143" t="inlineStr">
        <is>
          <t xml:space="preserve">54-51</t>
        </is>
      </c>
      <c r="J110" s="143" t="inlineStr">
        <is>
          <t xml:space="preserve">JOB-SETUP, CLEAN-UP, INSPECTION, JOB-CLOSEUP</t>
        </is>
      </c>
    </row>
    <row r="111" spans="1:10">
      <c r="A111" s="143" t="inlineStr">
        <is>
          <t xml:space="preserve">643</t>
        </is>
      </c>
      <c r="B111" s="143" t="inlineStr">
        <is>
          <t xml:space="preserve">572001-01-1-001</t>
        </is>
      </c>
      <c r="C111" s="143" t="inlineStr">
        <is>
          <t xml:space="preserve">572001-01-1-001 (02) / L/H WING FRONT SPAR FWD FACE INSP</t>
        </is>
      </c>
      <c r="D111" s="143">
        <v>1.0</v>
      </c>
      <c r="E111" s="143">
        <v>1.0</v>
      </c>
      <c r="F111" s="143">
        <v>0.52</v>
      </c>
      <c r="G111" s="143">
        <v>786.9</v>
      </c>
      <c r="H111" s="143" t="inlineStr">
        <is>
          <t xml:space="preserve">Idle</t>
        </is>
      </c>
      <c r="I111" s="143" t="inlineStr">
        <is>
          <t xml:space="preserve">57-20</t>
        </is>
      </c>
      <c r="J111" s="143" t="inlineStr">
        <is>
          <t xml:space="preserve">JOB-SETUP, CLEAN-UP, INSPECTION, JOB-CLOSEUP, JOB-CLOSEUP</t>
        </is>
      </c>
    </row>
    <row r="112" spans="1:10">
      <c r="A112" s="143" t="inlineStr">
        <is>
          <t xml:space="preserve">644</t>
        </is>
      </c>
      <c r="B112" s="143" t="inlineStr">
        <is>
          <t xml:space="preserve">572001-01-1-002</t>
        </is>
      </c>
      <c r="C112" s="143" t="inlineStr">
        <is>
          <t xml:space="preserve">572001-01-1-002 (02) / R/H WING FRONT SPAR FWD FACE INSP</t>
        </is>
      </c>
      <c r="D112" s="143">
        <v>1.0</v>
      </c>
      <c r="E112" s="143">
        <v>0.0</v>
      </c>
      <c r="F112" s="143">
        <v>8.25</v>
      </c>
      <c r="G112" s="143">
        <v>810.9</v>
      </c>
      <c r="H112" s="143" t="inlineStr">
        <is>
          <t xml:space="preserve">Idle</t>
        </is>
      </c>
      <c r="I112" s="143" t="inlineStr">
        <is>
          <t xml:space="preserve">57-20</t>
        </is>
      </c>
      <c r="J112" s="143" t="inlineStr">
        <is>
          <t xml:space="preserve">JOB-SETUP, CLEAN-UP, INSPECTION, JOB-CLOSEUP, JOB-CLOSEUP</t>
        </is>
      </c>
    </row>
    <row r="113" spans="1:10">
      <c r="A113" s="143" t="inlineStr">
        <is>
          <t xml:space="preserve">645</t>
        </is>
      </c>
      <c r="B113" s="143" t="inlineStr">
        <is>
          <t xml:space="preserve">572007-01-2-001</t>
        </is>
      </c>
      <c r="C113" s="143" t="inlineStr">
        <is>
          <t xml:space="preserve">572007-01-2-001 (03) / L-OUTER WING REAR SPAR AFT FACE INSP</t>
        </is>
      </c>
      <c r="D113" s="143">
        <v>1.0</v>
      </c>
      <c r="E113" s="143">
        <v>1.0</v>
      </c>
      <c r="F113" s="143">
        <v>0.53</v>
      </c>
      <c r="G113" s="143">
        <v>787.0</v>
      </c>
      <c r="H113" s="143" t="inlineStr">
        <is>
          <t xml:space="preserve">Idle</t>
        </is>
      </c>
      <c r="I113" s="143" t="inlineStr">
        <is>
          <t xml:space="preserve">57-20</t>
        </is>
      </c>
      <c r="J113" s="143" t="inlineStr">
        <is>
          <t xml:space="preserve">JOB-SETUP, INSPECTION, INSPECTION, JOB-CLOSEUP, JOB-CLOSEUP</t>
        </is>
      </c>
    </row>
    <row r="114" spans="1:10">
      <c r="A114" s="143" t="inlineStr">
        <is>
          <t xml:space="preserve">650</t>
        </is>
      </c>
      <c r="B114" s="143" t="inlineStr">
        <is>
          <t xml:space="preserve">572040-01-2-002</t>
        </is>
      </c>
      <c r="C114" s="143" t="inlineStr">
        <is>
          <t xml:space="preserve">572040-01-2-002 (03) / R/H WING BOTTOM SKIN CUTOUTS INSP</t>
        </is>
      </c>
      <c r="D114" s="143">
        <v>1.0</v>
      </c>
      <c r="E114" s="143">
        <v>0.13</v>
      </c>
      <c r="F114" s="143">
        <v>6.75</v>
      </c>
      <c r="G114" s="143">
        <v>696.8</v>
      </c>
      <c r="H114" s="143" t="inlineStr">
        <is>
          <t xml:space="preserve">Idle</t>
        </is>
      </c>
      <c r="I114" s="143" t="inlineStr">
        <is>
          <t xml:space="preserve">57-20</t>
        </is>
      </c>
      <c r="J114" s="143" t="inlineStr">
        <is>
          <t xml:space="preserve">JOB-SETUP, CLEAN-UP, INSPECTION, INSPECTION, JOB-CLOSEUP, JOB-CLOSEUP</t>
        </is>
      </c>
    </row>
    <row r="115" spans="1:10">
      <c r="A115" s="143" t="inlineStr">
        <is>
          <t xml:space="preserve">664</t>
        </is>
      </c>
      <c r="B115" s="143" t="inlineStr">
        <is>
          <t xml:space="preserve">572139-01-2-001</t>
        </is>
      </c>
      <c r="C115" s="143" t="inlineStr">
        <is>
          <t xml:space="preserve">572139-01-2-001 (02) / L/H OUTR WING BOTOM SKIN RIB BAY CUTOUTS INSP</t>
        </is>
      </c>
      <c r="D115" s="143">
        <v>1.0</v>
      </c>
      <c r="E115" s="143">
        <v>0.5</v>
      </c>
      <c r="F115" s="143">
        <v>6.5</v>
      </c>
      <c r="G115" s="143">
        <v>794.4</v>
      </c>
      <c r="H115" s="143" t="inlineStr">
        <is>
          <t xml:space="preserve">Idle</t>
        </is>
      </c>
      <c r="I115" s="143" t="inlineStr">
        <is>
          <t xml:space="preserve">57-21</t>
        </is>
      </c>
      <c r="J115" s="143" t="inlineStr">
        <is>
          <t xml:space="preserve">JOB-SETUP, CLEAN-UP, INSPECTION, JOB-CLOSEUP, JOB-CLOSEUP</t>
        </is>
      </c>
    </row>
    <row r="116" spans="1:10">
      <c r="A116" s="143" t="inlineStr">
        <is>
          <t xml:space="preserve">665</t>
        </is>
      </c>
      <c r="B116" s="143" t="inlineStr">
        <is>
          <t xml:space="preserve">572139-01-2-002</t>
        </is>
      </c>
      <c r="C116" s="143" t="inlineStr">
        <is>
          <t xml:space="preserve">572139-01-2-002 (02) / R/H OUTR WING BOTOM SKIN RIB BAY CUTOUTS INSP</t>
        </is>
      </c>
      <c r="D116" s="143">
        <v>1.0</v>
      </c>
      <c r="E116" s="143">
        <v>0.5</v>
      </c>
      <c r="F116" s="143">
        <v>7.5</v>
      </c>
      <c r="G116" s="143">
        <v>794.4</v>
      </c>
      <c r="H116" s="143" t="inlineStr">
        <is>
          <t xml:space="preserve">Idle</t>
        </is>
      </c>
      <c r="I116" s="143" t="inlineStr">
        <is>
          <t xml:space="preserve">57-21</t>
        </is>
      </c>
      <c r="J116" s="143" t="inlineStr">
        <is>
          <t xml:space="preserve">JOB-SETUP, CLEAN-UP, INSPECTION, JOB-CLOSEUP, JOB-CLOSEUP</t>
        </is>
      </c>
    </row>
    <row r="117" spans="1:10">
      <c r="A117" s="143" t="inlineStr">
        <is>
          <t xml:space="preserve">666</t>
        </is>
      </c>
      <c r="B117" s="143" t="inlineStr">
        <is>
          <t xml:space="preserve">32712996</t>
        </is>
      </c>
      <c r="C117" s="143" t="inlineStr">
        <is>
          <t xml:space="preserve">572140-01-2-001 (03) / LH OUTER WNG BOTTOM SKN CUTOUTS INSP</t>
        </is>
      </c>
      <c r="D117" s="143">
        <v>1.0</v>
      </c>
      <c r="E117" s="143">
        <v>1.32</v>
      </c>
      <c r="F117" s="143">
        <v>5.0</v>
      </c>
      <c r="G117" s="143">
        <v>698.4</v>
      </c>
      <c r="H117" s="143" t="inlineStr">
        <is>
          <t xml:space="preserve">Idle</t>
        </is>
      </c>
      <c r="I117" s="143" t="inlineStr">
        <is>
          <t xml:space="preserve">57-21</t>
        </is>
      </c>
      <c r="J117" s="143" t="inlineStr">
        <is>
          <t xml:space="preserve">JOB-SETUP, CLEAN-UP, INSPECTION, JOB-CLOSEUP, JOB-CLOSEUP</t>
        </is>
      </c>
    </row>
    <row r="118" spans="1:10">
      <c r="A118" s="143" t="inlineStr">
        <is>
          <t xml:space="preserve">667</t>
        </is>
      </c>
      <c r="B118" s="143" t="inlineStr">
        <is>
          <t xml:space="preserve">572140-01-2-002</t>
        </is>
      </c>
      <c r="C118" s="143" t="inlineStr">
        <is>
          <t xml:space="preserve">572140-01-2-002 (03) / RH OUTER WNG BOTTOM SKN CUTOUTS INSP</t>
        </is>
      </c>
      <c r="D118" s="143">
        <v>1.0</v>
      </c>
      <c r="E118" s="143">
        <v>0.5</v>
      </c>
      <c r="F118" s="143">
        <v>5.5</v>
      </c>
      <c r="G118" s="143">
        <v>698.6</v>
      </c>
      <c r="H118" s="143" t="inlineStr">
        <is>
          <t xml:space="preserve">Idle</t>
        </is>
      </c>
      <c r="I118" s="143" t="inlineStr">
        <is>
          <t xml:space="preserve">57-21</t>
        </is>
      </c>
      <c r="J118" s="143" t="inlineStr">
        <is>
          <t xml:space="preserve">JOB-SETUP, CLEAN-UP, INSPECTION, JOB-CLOSEUP, JOB-CLOSEUP</t>
        </is>
      </c>
    </row>
    <row r="119" spans="1:10">
      <c r="A119" s="143" t="inlineStr">
        <is>
          <t xml:space="preserve">707</t>
        </is>
      </c>
      <c r="B119" s="143" t="inlineStr">
        <is>
          <t xml:space="preserve">29904504</t>
        </is>
      </c>
      <c r="C119" s="143" t="inlineStr">
        <is>
          <t xml:space="preserve">EOD-320-21-00004-R00/A320 - AIR CONDITIONING -AVIONICS EQUIPMENT VENTILATION - INTRODUCE A</t>
        </is>
      </c>
      <c r="D119" s="143" t="inlineStr">
        <is>
          <t xml:space="preserve">C</t>
        </is>
      </c>
      <c r="E119" s="143">
        <v>16.0</v>
      </c>
      <c r="F119" s="143">
        <v>81.8</v>
      </c>
      <c r="G119" s="143">
        <v>535.8</v>
      </c>
      <c r="H119" s="143" t="inlineStr">
        <is>
          <t xml:space="preserve">Idle</t>
        </is>
      </c>
      <c r="I119" s="143">
        <v>21.0</v>
      </c>
      <c r="J119" s="143"/>
    </row>
    <row r="120" spans="1:10">
      <c r="A120" s="143" t="inlineStr">
        <is>
          <t xml:space="preserve">709</t>
        </is>
      </c>
      <c r="B120" s="143" t="inlineStr">
        <is>
          <t xml:space="preserve">20893203</t>
        </is>
      </c>
      <c r="C120" s="143" t="inlineStr">
        <is>
          <t xml:space="preserve">EOD-320-25-00032-R00/AD-SPECIAL DETAILED INSPECTION OF THE RACK 80VU (CEO)</t>
        </is>
      </c>
      <c r="D120" s="143" t="inlineStr">
        <is>
          <t xml:space="preserve">PJED</t>
        </is>
      </c>
      <c r="E120" s="143">
        <v>9.17</v>
      </c>
      <c r="F120" s="143">
        <v>2.75</v>
      </c>
      <c r="G120" s="143">
        <v>219.6</v>
      </c>
      <c r="H120" s="143" t="inlineStr">
        <is>
          <t xml:space="preserve">Idle</t>
        </is>
      </c>
      <c r="I120" s="143">
        <v>25.0</v>
      </c>
      <c r="J120" s="143"/>
    </row>
    <row r="121" spans="1:10">
      <c r="A121" s="143" t="inlineStr">
        <is>
          <t xml:space="preserve">710</t>
        </is>
      </c>
      <c r="B121" s="143" t="inlineStr">
        <is>
          <t xml:space="preserve">29715410</t>
        </is>
      </c>
      <c r="C121" s="143" t="inlineStr">
        <is>
          <t xml:space="preserve">EOD-320-25-00050-R00/AD-EQUIPMENT/FURNISHINGS - LININGS AND FURNISHINGS/FORWARD CARGO</t>
        </is>
      </c>
      <c r="D121" s="143" t="inlineStr">
        <is>
          <t xml:space="preserve">CCHK</t>
        </is>
      </c>
      <c r="E121" s="143">
        <v>6.25</v>
      </c>
      <c r="F121" s="143">
        <v>88.8</v>
      </c>
      <c r="G121" s="143">
        <v>551.0</v>
      </c>
      <c r="H121" s="143" t="inlineStr">
        <is>
          <t xml:space="preserve">Idle</t>
        </is>
      </c>
      <c r="I121" s="143">
        <v>25.0</v>
      </c>
      <c r="J121" s="143"/>
    </row>
    <row r="122" spans="1:10">
      <c r="A122" s="143" t="inlineStr">
        <is>
          <t xml:space="preserve">712</t>
        </is>
      </c>
      <c r="B122" s="143" t="inlineStr">
        <is>
          <t xml:space="preserve">29411293</t>
        </is>
      </c>
      <c r="C122" s="143" t="inlineStr">
        <is>
          <t xml:space="preserve">EOD-320-27-00018-R00/A320 - FLIGHT CONTROLS - LIFT AUGMENTING - INTRODUCE IMPROVED SLAT GEA</t>
        </is>
      </c>
      <c r="D122" s="143" t="inlineStr">
        <is>
          <t xml:space="preserve">CCHK</t>
        </is>
      </c>
      <c r="E122" s="143">
        <v>8.75</v>
      </c>
      <c r="F122" s="143">
        <v>52.2</v>
      </c>
      <c r="G122" s="143">
        <v>462.5</v>
      </c>
      <c r="H122" s="143" t="inlineStr">
        <is>
          <t xml:space="preserve">Idle</t>
        </is>
      </c>
      <c r="I122" s="143">
        <v>27.0</v>
      </c>
      <c r="J122" s="143" t="inlineStr">
        <is>
          <t xml:space="preserve">--, --, --, --, --, CLOSE-UP</t>
        </is>
      </c>
    </row>
    <row r="123" spans="1:10">
      <c r="A123" s="143" t="inlineStr">
        <is>
          <t xml:space="preserve">713</t>
        </is>
      </c>
      <c r="B123" s="143" t="inlineStr">
        <is>
          <t xml:space="preserve">29411377</t>
        </is>
      </c>
      <c r="C123" s="143" t="inlineStr">
        <is>
          <t xml:space="preserve">EOD-320-27-00019-R00/A320 - FLIGHT CONTROLS - LIFT AUGMENTING - INTRODUCE IMPROVED SLAT GEA</t>
        </is>
      </c>
      <c r="D123" s="143" t="inlineStr">
        <is>
          <t xml:space="preserve">CCHK</t>
        </is>
      </c>
      <c r="E123" s="143">
        <v>8.75</v>
      </c>
      <c r="F123" s="143">
        <v>92.8</v>
      </c>
      <c r="G123" s="143">
        <v>489.9</v>
      </c>
      <c r="H123" s="143" t="inlineStr">
        <is>
          <t xml:space="preserve">Idle</t>
        </is>
      </c>
      <c r="I123" s="143">
        <v>27.0</v>
      </c>
      <c r="J123" s="143" t="inlineStr">
        <is>
          <t xml:space="preserve">--, --, --, --, --, CLOSE-UP</t>
        </is>
      </c>
    </row>
    <row r="124" spans="1:10">
      <c r="A124" s="143" t="inlineStr">
        <is>
          <t xml:space="preserve">715</t>
        </is>
      </c>
      <c r="B124" s="143" t="inlineStr">
        <is>
          <t xml:space="preserve">30839449</t>
        </is>
      </c>
      <c r="C124" s="143" t="inlineStr">
        <is>
          <t xml:space="preserve">EOD-320-29-00007-R00/HYDRAULIC POWER - PYLON - REPLACE BUSHING ON HP LINE ON SVA CFM PYLON</t>
        </is>
      </c>
      <c r="D124" s="143" t="inlineStr">
        <is>
          <t xml:space="preserve">C</t>
        </is>
      </c>
      <c r="E124" s="143">
        <v>48.5</v>
      </c>
      <c r="F124" s="143">
        <v>75.4</v>
      </c>
      <c r="G124" s="143">
        <v>714.5</v>
      </c>
      <c r="H124" s="143" t="inlineStr">
        <is>
          <t xml:space="preserve">Idle</t>
        </is>
      </c>
      <c r="I124" s="143">
        <v>29.0</v>
      </c>
      <c r="J124" s="143" t="inlineStr">
        <is>
          <t xml:space="preserve">--, JOB-SETUP, JOB-SETUP, JOB-SETUP, --, --, --, --, --, --, --, JOB-CLOSEUP, JOB-CLOSEUP, JOB-CLOSEUP, JOB-CLOSEUP, CLOSE-UP, CLOSE-UP</t>
        </is>
      </c>
    </row>
    <row r="125" spans="1:10">
      <c r="A125" s="143" t="inlineStr">
        <is>
          <t xml:space="preserve">725</t>
        </is>
      </c>
      <c r="B125" s="143" t="inlineStr">
        <is>
          <t xml:space="preserve">31990073</t>
        </is>
      </c>
      <c r="C125" s="143" t="inlineStr">
        <is>
          <t xml:space="preserve">EOD-320-32-00025-R00/A32S - LANDING GEAR – NLG - INTRODUCE A NEW IMPROVED</t>
        </is>
      </c>
      <c r="D125" s="143" t="inlineStr">
        <is>
          <t xml:space="preserve">LINE</t>
        </is>
      </c>
      <c r="E125" s="143">
        <v>54.0</v>
      </c>
      <c r="F125" s="143">
        <v>254.7</v>
      </c>
      <c r="G125" s="143">
        <v>815.9</v>
      </c>
      <c r="H125" s="143" t="inlineStr">
        <is>
          <t xml:space="preserve">Idle</t>
        </is>
      </c>
      <c r="I125" s="143">
        <v>32.0</v>
      </c>
      <c r="J125" s="143"/>
    </row>
    <row r="126" spans="1:10">
      <c r="A126" s="143" t="inlineStr">
        <is>
          <t xml:space="preserve">726</t>
        </is>
      </c>
      <c r="B126" s="143" t="inlineStr">
        <is>
          <t xml:space="preserve">27685448</t>
        </is>
      </c>
      <c r="C126" s="143" t="inlineStr">
        <is>
          <t xml:space="preserve">EOD-320-36-00008-R00/A320 -PNEUMATIC - INSTALL DISCRETE SIGNAL WIRING BETWEEN BMC AND PACKS</t>
        </is>
      </c>
      <c r="D126" s="143" t="inlineStr">
        <is>
          <t xml:space="preserve">CCHK</t>
        </is>
      </c>
      <c r="E126" s="143">
        <v>16.25</v>
      </c>
      <c r="F126" s="143">
        <v>100.0</v>
      </c>
      <c r="G126" s="143">
        <v>699.1</v>
      </c>
      <c r="H126" s="143" t="inlineStr">
        <is>
          <t xml:space="preserve">Idle</t>
        </is>
      </c>
      <c r="I126" s="143">
        <v>36.0</v>
      </c>
      <c r="J126" s="143"/>
    </row>
    <row r="127" spans="1:10">
      <c r="A127" s="143" t="inlineStr">
        <is>
          <t xml:space="preserve">727</t>
        </is>
      </c>
      <c r="B127" s="143" t="inlineStr">
        <is>
          <t xml:space="preserve">30817926</t>
        </is>
      </c>
      <c r="C127" s="143" t="inlineStr">
        <is>
          <t xml:space="preserve">EOD-320-44-00014-R00/ECLIPSE CONNECTIVITY MODIFICATION</t>
        </is>
      </c>
      <c r="D127" s="143">
        <v>1.0</v>
      </c>
      <c r="E127" s="143">
        <v>471.0</v>
      </c>
      <c r="F127" s="143">
        <v>171.4</v>
      </c>
      <c r="G127" s="143">
        <v>703.9</v>
      </c>
      <c r="H127" s="143" t="inlineStr">
        <is>
          <t xml:space="preserve">Idle</t>
        </is>
      </c>
      <c r="I127" s="143">
        <v>44.0</v>
      </c>
      <c r="J127" s="143"/>
    </row>
    <row r="128" spans="1:10">
      <c r="A128" s="143" t="inlineStr">
        <is>
          <t xml:space="preserve">728</t>
        </is>
      </c>
      <c r="B128" s="143" t="inlineStr">
        <is>
          <t xml:space="preserve">31328631</t>
        </is>
      </c>
      <c r="C128" s="143" t="inlineStr">
        <is>
          <t xml:space="preserve">EOD-320-44-00028-R00/DE-MOD TAQNIA SYSTEM REMOVAL</t>
        </is>
      </c>
      <c r="D128" s="143" t="inlineStr">
        <is>
          <t xml:space="preserve">PJED</t>
        </is>
      </c>
      <c r="E128" s="143">
        <v>170.0</v>
      </c>
      <c r="F128" s="143">
        <v>0.0</v>
      </c>
      <c r="G128" s="143">
        <v>0.0</v>
      </c>
      <c r="H128" s="143" t="inlineStr">
        <is>
          <t xml:space="preserve">Idle</t>
        </is>
      </c>
      <c r="I128" s="143">
        <v>44.0</v>
      </c>
      <c r="J128" s="143"/>
    </row>
    <row r="129" spans="1:10">
      <c r="A129" s="143" t="inlineStr">
        <is>
          <t xml:space="preserve">735</t>
        </is>
      </c>
      <c r="B129" s="143" t="inlineStr">
        <is>
          <t xml:space="preserve">15777417</t>
        </is>
      </c>
      <c r="C129" s="143" t="inlineStr">
        <is>
          <t xml:space="preserve">EOD-320-53-00008-R00/AD-INSPECTION OF HORIZONTAL UPPER STIFFENER OF LATERAL WINDOW FRAME</t>
        </is>
      </c>
      <c r="D129" s="143" t="inlineStr">
        <is>
          <t xml:space="preserve">PJED</t>
        </is>
      </c>
      <c r="E129" s="143">
        <v>1.5</v>
      </c>
      <c r="F129" s="143">
        <v>4.42</v>
      </c>
      <c r="G129" s="143">
        <v>556.7</v>
      </c>
      <c r="H129" s="143" t="inlineStr">
        <is>
          <t xml:space="preserve">Idle</t>
        </is>
      </c>
      <c r="I129" s="143">
        <v>53.0</v>
      </c>
      <c r="J129" s="143"/>
    </row>
    <row r="130" spans="1:10">
      <c r="A130" s="143" t="inlineStr">
        <is>
          <t xml:space="preserve">736</t>
        </is>
      </c>
      <c r="B130" s="143" t="inlineStr">
        <is>
          <t xml:space="preserve">15777631</t>
        </is>
      </c>
      <c r="C130" s="143" t="inlineStr">
        <is>
          <t xml:space="preserve">EOD-320-53-00009-R00/AD-INSPECTION OF HORIZONTAL UPPER STIFFENER OF LATERAL WINDOW FRAME</t>
        </is>
      </c>
      <c r="D130" s="143" t="inlineStr">
        <is>
          <t xml:space="preserve">PJED</t>
        </is>
      </c>
      <c r="E130" s="143">
        <v>3.0</v>
      </c>
      <c r="F130" s="143">
        <v>1.75</v>
      </c>
      <c r="G130" s="143">
        <v>555.9</v>
      </c>
      <c r="H130" s="143" t="inlineStr">
        <is>
          <t xml:space="preserve">Idle</t>
        </is>
      </c>
      <c r="I130" s="143">
        <v>53.0</v>
      </c>
      <c r="J130" s="143"/>
    </row>
    <row r="131" spans="1:10">
      <c r="A131" s="143" t="inlineStr">
        <is>
          <t xml:space="preserve">737</t>
        </is>
      </c>
      <c r="B131" s="143" t="inlineStr">
        <is>
          <t xml:space="preserve">16152729</t>
        </is>
      </c>
      <c r="C131" s="143" t="inlineStr">
        <is>
          <t xml:space="preserve">EOD-320-53-00014-R00/AD-INSPECTION OF VERTICAL STIFFENER OF LATERAL</t>
        </is>
      </c>
      <c r="D131" s="143" t="inlineStr">
        <is>
          <t xml:space="preserve">C</t>
        </is>
      </c>
      <c r="E131" s="143">
        <v>8.33</v>
      </c>
      <c r="F131" s="143">
        <v>3.67</v>
      </c>
      <c r="G131" s="143">
        <v>555.2</v>
      </c>
      <c r="H131" s="143" t="inlineStr">
        <is>
          <t xml:space="preserve">Idle</t>
        </is>
      </c>
      <c r="I131" s="143">
        <v>53.0</v>
      </c>
      <c r="J131" s="143"/>
    </row>
    <row r="132" spans="1:10">
      <c r="A132" s="143" t="inlineStr">
        <is>
          <t xml:space="preserve">738</t>
        </is>
      </c>
      <c r="B132" s="143" t="inlineStr">
        <is>
          <t xml:space="preserve">16152761</t>
        </is>
      </c>
      <c r="C132" s="143" t="inlineStr">
        <is>
          <t xml:space="preserve">EOD-320-53-00015-R00/AD-INSPECTION OF VERTICAL STIFFENER OF LATERAL</t>
        </is>
      </c>
      <c r="D132" s="143" t="inlineStr">
        <is>
          <t xml:space="preserve">C</t>
        </is>
      </c>
      <c r="E132" s="143">
        <v>8.33</v>
      </c>
      <c r="F132" s="143">
        <v>3.42</v>
      </c>
      <c r="G132" s="143">
        <v>553.7</v>
      </c>
      <c r="H132" s="143" t="inlineStr">
        <is>
          <t xml:space="preserve">Idle</t>
        </is>
      </c>
      <c r="I132" s="143">
        <v>53.0</v>
      </c>
      <c r="J132" s="143"/>
    </row>
    <row r="133" spans="1:10">
      <c r="A133" s="143" t="inlineStr">
        <is>
          <t xml:space="preserve">739</t>
        </is>
      </c>
      <c r="B133" s="143" t="inlineStr">
        <is>
          <t xml:space="preserve">17837147</t>
        </is>
      </c>
      <c r="C133" s="143" t="inlineStr">
        <is>
          <t xml:space="preserve">EOD-320-53-00022-R00/CENTER FUSELAGE -INSPECTION OF FRAME FOOT AT FR43 RH/LH-</t>
        </is>
      </c>
      <c r="D133" s="143">
        <v>1.0</v>
      </c>
      <c r="E133" s="143">
        <v>25.0</v>
      </c>
      <c r="F133" s="143">
        <v>14.68</v>
      </c>
      <c r="G133" s="143">
        <v>726.9</v>
      </c>
      <c r="H133" s="143" t="inlineStr">
        <is>
          <t xml:space="preserve">Idle</t>
        </is>
      </c>
      <c r="I133" s="143">
        <v>53.0</v>
      </c>
      <c r="J133" s="143"/>
    </row>
    <row r="134" spans="1:10">
      <c r="A134" s="143" t="inlineStr">
        <is>
          <t xml:space="preserve">740</t>
        </is>
      </c>
      <c r="B134" s="143" t="inlineStr">
        <is>
          <t xml:space="preserve">18607800</t>
        </is>
      </c>
      <c r="C134" s="143" t="inlineStr">
        <is>
          <t xml:space="preserve">EOD-320-53-00023-R00/CENTER FUSELAGE -MODIFY FASTENER HOLE OF FRAME FEET COUPLING</t>
        </is>
      </c>
      <c r="D134" s="143">
        <v>1.0</v>
      </c>
      <c r="E134" s="143">
        <v>62.0</v>
      </c>
      <c r="F134" s="143">
        <v>18.0</v>
      </c>
      <c r="G134" s="143">
        <v>655.0</v>
      </c>
      <c r="H134" s="143" t="inlineStr">
        <is>
          <t xml:space="preserve">Idle</t>
        </is>
      </c>
      <c r="I134" s="143">
        <v>53.0</v>
      </c>
      <c r="J134" s="143"/>
    </row>
    <row r="135" spans="1:10">
      <c r="A135" s="143" t="inlineStr">
        <is>
          <t xml:space="preserve">741</t>
        </is>
      </c>
      <c r="B135" s="143" t="inlineStr">
        <is>
          <t xml:space="preserve">29441536</t>
        </is>
      </c>
      <c r="C135" s="143" t="inlineStr">
        <is>
          <t xml:space="preserve">EOD-320-53-00026-R01/A320- FUSELAGE - REAR FUSELAGE - INSPECTION FOR CRACKS AT FR68</t>
        </is>
      </c>
      <c r="D135" s="143">
        <v>1.0</v>
      </c>
      <c r="E135" s="143">
        <v>33.8</v>
      </c>
      <c r="F135" s="143">
        <v>94.8</v>
      </c>
      <c r="G135" s="143">
        <v>700.9</v>
      </c>
      <c r="H135" s="143" t="inlineStr">
        <is>
          <t xml:space="preserve">Idle</t>
        </is>
      </c>
      <c r="I135" s="143">
        <v>53.0</v>
      </c>
      <c r="J135" s="143"/>
    </row>
    <row r="136" spans="1:10">
      <c r="A136" s="143" t="inlineStr">
        <is>
          <t xml:space="preserve">742</t>
        </is>
      </c>
      <c r="B136" s="143" t="inlineStr">
        <is>
          <t xml:space="preserve">28479751</t>
        </is>
      </c>
      <c r="C136" s="143" t="inlineStr">
        <is>
          <t xml:space="preserve">EOD-320-53-00039-R00/FUSELAGE - CENTER FUSELAGE - KEEL BEAM BOTTOM PANEL INSPECTION AT FR46</t>
        </is>
      </c>
      <c r="D136" s="143">
        <v>1.0</v>
      </c>
      <c r="E136" s="143">
        <v>19.83</v>
      </c>
      <c r="F136" s="143">
        <v>76.5</v>
      </c>
      <c r="G136" s="143">
        <v>702.9</v>
      </c>
      <c r="H136" s="143" t="inlineStr">
        <is>
          <t xml:space="preserve">Idle</t>
        </is>
      </c>
      <c r="I136" s="143">
        <v>53.0</v>
      </c>
      <c r="J136" s="143"/>
    </row>
    <row r="137" spans="1:10">
      <c r="A137" s="143" t="inlineStr">
        <is>
          <t xml:space="preserve">747</t>
        </is>
      </c>
      <c r="B137" s="143" t="inlineStr">
        <is>
          <t xml:space="preserve">15969127</t>
        </is>
      </c>
      <c r="C137" s="143" t="inlineStr">
        <is>
          <t xml:space="preserve">EOD-A32S-53-00003-R03/INSPECTION OF THE SIDE BOX BEAM FLANGE AT LHS/RHS IN FR43 AREA.</t>
        </is>
      </c>
      <c r="D137" s="143">
        <v>1.0</v>
      </c>
      <c r="E137" s="143">
        <v>44.2</v>
      </c>
      <c r="F137" s="143">
        <v>67.0</v>
      </c>
      <c r="G137" s="143">
        <v>750.9</v>
      </c>
      <c r="H137" s="143" t="inlineStr">
        <is>
          <t xml:space="preserve">Idle</t>
        </is>
      </c>
      <c r="I137" s="143">
        <v>53.0</v>
      </c>
      <c r="J137" s="143"/>
    </row>
    <row r="138" spans="1:10">
      <c r="A138" s="143" t="inlineStr">
        <is>
          <t xml:space="preserve">748</t>
        </is>
      </c>
      <c r="B138" s="143" t="inlineStr">
        <is>
          <t xml:space="preserve">10897096</t>
        </is>
      </c>
      <c r="C138" s="143" t="inlineStr">
        <is>
          <t xml:space="preserve">EOD-A32S-53-00019-R00/AD-A320/A321-FUSELAGE-DOOR STOP FITTING HOLES AT FR68-INSPECTION</t>
        </is>
      </c>
      <c r="D138" s="143" t="inlineStr">
        <is>
          <t xml:space="preserve">C</t>
        </is>
      </c>
      <c r="E138" s="143">
        <v>12.67</v>
      </c>
      <c r="F138" s="143">
        <v>185.0</v>
      </c>
      <c r="G138" s="143">
        <v>676.5</v>
      </c>
      <c r="H138" s="143" t="inlineStr">
        <is>
          <t xml:space="preserve">Idle</t>
        </is>
      </c>
      <c r="I138" s="143">
        <v>53.0</v>
      </c>
      <c r="J138" s="143"/>
    </row>
    <row r="139" spans="1:10">
      <c r="A139" s="143" t="inlineStr">
        <is>
          <t xml:space="preserve">751</t>
        </is>
      </c>
      <c r="B139" s="143" t="inlineStr">
        <is>
          <t xml:space="preserve">30936889</t>
        </is>
      </c>
      <c r="C139" s="143" t="inlineStr">
        <is>
          <t xml:space="preserve">S32-R10370/A32S - LANDING GEAR - FLEET CAMPIAGN FOR FREE FALL MECHANISM</t>
        </is>
      </c>
      <c r="D139" s="143" t="inlineStr">
        <is>
          <t xml:space="preserve">CCHK</t>
        </is>
      </c>
      <c r="E139" s="143">
        <v>22.5</v>
      </c>
      <c r="F139" s="143">
        <v>237.0</v>
      </c>
      <c r="G139" s="143">
        <v>843.7</v>
      </c>
      <c r="H139" s="143" t="inlineStr">
        <is>
          <t xml:space="preserve">Idle</t>
        </is>
      </c>
      <c r="I139" s="143" t="inlineStr">
        <is>
          <t xml:space="preserve">32-33</t>
        </is>
      </c>
      <c r="J139" s="143" t="inlineStr">
        <is>
          <t xml:space="preserve">--, --, --, --, --, --, --, --, --, --, OPS/LK, --, --, --, CLOSE-UP</t>
        </is>
      </c>
    </row>
    <row r="140" spans="1:10">
      <c r="A140" s="143" t="inlineStr">
        <is>
          <t xml:space="preserve">753</t>
        </is>
      </c>
      <c r="B140" s="143" t="inlineStr">
        <is>
          <t xml:space="preserve">20038778</t>
        </is>
      </c>
      <c r="C140" s="143" t="inlineStr">
        <is>
          <t xml:space="preserve">S51-R10008/A320 FLEET // DENT AND BUCKLE CHART</t>
        </is>
      </c>
      <c r="D140" s="143" t="inlineStr">
        <is>
          <t xml:space="preserve">HNGR</t>
        </is>
      </c>
      <c r="E140" s="143">
        <v>33.5</v>
      </c>
      <c r="F140" s="143">
        <v>3.67</v>
      </c>
      <c r="G140" s="143">
        <v>932.4</v>
      </c>
      <c r="H140" s="143" t="inlineStr">
        <is>
          <t xml:space="preserve">Idle</t>
        </is>
      </c>
      <c r="I140" s="143">
        <v>51.0</v>
      </c>
      <c r="J140" s="143"/>
    </row>
    <row r="141" spans="1:10">
      <c r="A141" s="143" t="inlineStr">
        <is>
          <t xml:space="preserve">754</t>
        </is>
      </c>
      <c r="B141" s="143" t="inlineStr">
        <is>
          <t xml:space="preserve">31978429</t>
        </is>
      </c>
      <c r="C141" s="143" t="inlineStr">
        <is>
          <t xml:space="preserve">S52-D10064/INSPECTION OF HINGES/LATCHES AND LOSS OF SERVICE DOORS 19(X) PANELS</t>
        </is>
      </c>
      <c r="D141" s="143" t="inlineStr">
        <is>
          <t xml:space="preserve">ACHK</t>
        </is>
      </c>
      <c r="E141" s="143">
        <v>2.17</v>
      </c>
      <c r="F141" s="143">
        <v>21.0</v>
      </c>
      <c r="G141" s="143">
        <v>53.0</v>
      </c>
      <c r="H141" s="143" t="inlineStr">
        <is>
          <t xml:space="preserve">Idle</t>
        </is>
      </c>
      <c r="I141" s="143">
        <v>52.0</v>
      </c>
      <c r="J141" s="143"/>
    </row>
    <row r="142" spans="1:10">
      <c r="A142" s="143" t="inlineStr">
        <is>
          <t xml:space="preserve">755</t>
        </is>
      </c>
      <c r="B142" s="143" t="inlineStr">
        <is>
          <t xml:space="preserve">31573583</t>
        </is>
      </c>
      <c r="C142" s="143" t="inlineStr">
        <is>
          <t xml:space="preserve">S53-D10054/INSPECTION FOR MISSING/LOOSE/DAMAGED FASTENERS</t>
        </is>
      </c>
      <c r="D142" s="143" t="inlineStr">
        <is>
          <t xml:space="preserve">CCHK</t>
        </is>
      </c>
      <c r="E142" s="143">
        <v>2.5</v>
      </c>
      <c r="F142" s="143">
        <v>0.0</v>
      </c>
      <c r="G142" s="143">
        <v>0.0</v>
      </c>
      <c r="H142" s="143" t="inlineStr">
        <is>
          <t xml:space="preserve">Not Started</t>
        </is>
      </c>
      <c r="I142" s="143">
        <v>53.0</v>
      </c>
      <c r="J142" s="143"/>
    </row>
    <row r="143" spans="1:10">
      <c r="A143" s="143" t="inlineStr">
        <is>
          <t xml:space="preserve">756</t>
        </is>
      </c>
      <c r="B143" s="143" t="inlineStr">
        <is>
          <t xml:space="preserve">32832482</t>
        </is>
      </c>
      <c r="C143" s="143" t="inlineStr">
        <is>
          <t xml:space="preserve">S71-D10554/CMF56-5B BOTH ENGINES INLET COWLS LIP SKIN INSPECTION &amp; REPAIR</t>
        </is>
      </c>
      <c r="D143" s="143">
        <v>1.0</v>
      </c>
      <c r="E143" s="143">
        <v>0.0</v>
      </c>
      <c r="F143" s="143">
        <v>1.33</v>
      </c>
      <c r="G143" s="143">
        <v>911.4</v>
      </c>
      <c r="H143" s="143" t="inlineStr">
        <is>
          <t xml:space="preserve">Idle</t>
        </is>
      </c>
      <c r="I143" s="143">
        <v>71.0</v>
      </c>
      <c r="J143" s="143"/>
    </row>
    <row r="144" spans="1:10">
      <c r="A144" s="143" t="inlineStr">
        <is>
          <t xml:space="preserve">757</t>
        </is>
      </c>
      <c r="B144" s="143" t="inlineStr">
        <is>
          <t xml:space="preserve">29294848</t>
        </is>
      </c>
      <c r="C144" s="143" t="inlineStr">
        <is>
          <t xml:space="preserve">S73-D10063/ENGINE FUEL FILTER REPLACEMENT</t>
        </is>
      </c>
      <c r="D144" s="143" t="inlineStr">
        <is>
          <t xml:space="preserve">ACHK</t>
        </is>
      </c>
      <c r="E144" s="143">
        <v>4.33</v>
      </c>
      <c r="F144" s="143">
        <v>39.6</v>
      </c>
      <c r="G144" s="143">
        <v>579.3</v>
      </c>
      <c r="H144" s="143" t="inlineStr">
        <is>
          <t xml:space="preserve">Idle</t>
        </is>
      </c>
      <c r="I144" s="143">
        <v>73.0</v>
      </c>
      <c r="J144" s="143"/>
    </row>
    <row r="145" spans="1:10">
      <c r="A145" s="143" t="inlineStr">
        <is>
          <t xml:space="preserve">770</t>
        </is>
      </c>
      <c r="B145" s="143" t="inlineStr">
        <is>
          <t xml:space="preserve">31045000</t>
        </is>
      </c>
      <c r="C145" s="143" t="inlineStr">
        <is>
          <t xml:space="preserve">CFM56-5B3/3/643323 IN(INSPECTION) / EO 751107 CFM56-5B VBV RE-GREASING</t>
        </is>
      </c>
      <c r="D145" s="143">
        <v>1.0</v>
      </c>
      <c r="E145" s="143">
        <v>4.83</v>
      </c>
      <c r="F145" s="143">
        <v>17.0</v>
      </c>
      <c r="G145" s="143">
        <v>479.7</v>
      </c>
      <c r="H145" s="143" t="inlineStr">
        <is>
          <t xml:space="preserve">Idle</t>
        </is>
      </c>
      <c r="I145" s="143">
        <v>75.0</v>
      </c>
      <c r="J145" s="143"/>
    </row>
    <row r="146" spans="1:10">
      <c r="A146" s="143" t="inlineStr">
        <is>
          <t xml:space="preserve">772</t>
        </is>
      </c>
      <c r="B146" s="143" t="inlineStr">
        <is>
          <t xml:space="preserve">80944787</t>
        </is>
      </c>
      <c r="C146" s="143" t="inlineStr">
        <is>
          <t xml:space="preserve">PANEL 41C CEILING PANEL FOUND DAMAGE</t>
        </is>
      </c>
      <c r="D146" s="143" t="inlineStr">
        <is>
          <t xml:space="preserve">PANT</t>
        </is>
      </c>
      <c r="E146" s="143">
        <v>0.0</v>
      </c>
      <c r="F146" s="143">
        <v>16.17</v>
      </c>
      <c r="G146" s="143">
        <v>7395.8</v>
      </c>
      <c r="H146" s="143" t="inlineStr">
        <is>
          <t xml:space="preserve">Idle</t>
        </is>
      </c>
      <c r="I146" s="143">
        <v>25.0</v>
      </c>
      <c r="J146" s="143"/>
    </row>
    <row r="147" spans="1:10">
      <c r="A147" s="143" t="inlineStr">
        <is>
          <t xml:space="preserve">773</t>
        </is>
      </c>
      <c r="B147" s="143" t="inlineStr">
        <is>
          <t xml:space="preserve">81002632</t>
        </is>
      </c>
      <c r="C147" s="143" t="inlineStr">
        <is>
          <t xml:space="preserve">AFT GALLEY COMP COVERT ATTACHMENT FITTING S302 S303 S304 LOWER FLAP IS BROKEN AND DETACHED FROM FLOOR</t>
        </is>
      </c>
      <c r="D147" s="143" t="inlineStr">
        <is>
          <t xml:space="preserve">N</t>
        </is>
      </c>
      <c r="E147" s="143">
        <v>0.0</v>
      </c>
      <c r="F147" s="143">
        <v>16.0</v>
      </c>
      <c r="G147" s="143">
        <v>2888.4</v>
      </c>
      <c r="H147" s="143" t="inlineStr">
        <is>
          <t xml:space="preserve">Idle</t>
        </is>
      </c>
      <c r="I147" s="143">
        <v>25.0</v>
      </c>
      <c r="J147" s="143"/>
    </row>
    <row r="148" spans="1:10">
      <c r="A148" s="143" t="inlineStr">
        <is>
          <t xml:space="preserve">779</t>
        </is>
      </c>
      <c r="B148" s="143" t="inlineStr">
        <is>
          <t xml:space="preserve">94734250</t>
        </is>
      </c>
      <c r="C148" s="143" t="inlineStr">
        <is>
          <t xml:space="preserve">WING DURING WALK ARR FOUND (R) WING JACKING POINT  (C0VER) MISSING</t>
        </is>
      </c>
      <c r="D148" s="143" t="inlineStr">
        <is>
          <t xml:space="preserve">N</t>
        </is>
      </c>
      <c r="E148" s="143">
        <v>1.0</v>
      </c>
      <c r="F148" s="143">
        <v>1.0</v>
      </c>
      <c r="G148" s="143">
        <v>2459.6</v>
      </c>
      <c r="H148" s="143" t="inlineStr">
        <is>
          <t xml:space="preserve">Idle</t>
        </is>
      </c>
      <c r="I148" s="143">
        <v>25.0</v>
      </c>
      <c r="J148" s="143"/>
    </row>
    <row r="149" spans="1:10">
      <c r="A149" s="143" t="inlineStr">
        <is>
          <t xml:space="preserve">783</t>
        </is>
      </c>
      <c r="B149" s="143" t="inlineStr">
        <is>
          <t xml:space="preserve">STJC-20-00-00-03-GA-GO</t>
        </is>
      </c>
      <c r="C149" s="143" t="inlineStr">
        <is>
          <t xml:space="preserve">TOOL ACCOUNTABILITY PRIOR TO ACFT RELEASE</t>
        </is>
      </c>
      <c r="D149" s="143" t="inlineStr">
        <is>
          <t xml:space="preserve">N</t>
        </is>
      </c>
      <c r="E149" s="143">
        <v>1.0</v>
      </c>
      <c r="F149" s="143">
        <v>0.0</v>
      </c>
      <c r="G149" s="143">
        <v>0.0</v>
      </c>
      <c r="H149" s="143" t="inlineStr">
        <is>
          <t xml:space="preserve">Not Started</t>
        </is>
      </c>
      <c r="I149" s="143">
        <v>20.0</v>
      </c>
      <c r="J149" s="143" t="inlineStr">
        <is>
          <t xml:space="preserve">ACFT RELEASE</t>
        </is>
      </c>
    </row>
    <row r="150" spans="1:10">
      <c r="A150" s="143" t="inlineStr">
        <is>
          <t xml:space="preserve">784</t>
        </is>
      </c>
      <c r="B150" s="143" t="inlineStr">
        <is>
          <t xml:space="preserve">STJC-20-00-00-04-GA-SV</t>
        </is>
      </c>
      <c r="C150" s="143" t="inlineStr">
        <is>
          <t xml:space="preserve">AIRCRAFT MAINTENANCE AND CABIN LOGBOOKS AUDIT</t>
        </is>
      </c>
      <c r="D150" s="143" t="inlineStr">
        <is>
          <t xml:space="preserve">N</t>
        </is>
      </c>
      <c r="E150" s="143">
        <v>1.0</v>
      </c>
      <c r="F150" s="143">
        <v>0.0</v>
      </c>
      <c r="G150" s="143">
        <v>0.0</v>
      </c>
      <c r="H150" s="143" t="inlineStr">
        <is>
          <t xml:space="preserve">Not Started</t>
        </is>
      </c>
      <c r="I150" s="143">
        <v>20.0</v>
      </c>
      <c r="J150" s="143" t="inlineStr">
        <is>
          <t xml:space="preserve">TC/P, TC/P</t>
        </is>
      </c>
    </row>
    <row r="151" spans="1:10">
      <c r="A151" s="143" t="inlineStr">
        <is>
          <t xml:space="preserve">785</t>
        </is>
      </c>
      <c r="B151" s="143" t="inlineStr">
        <is>
          <t xml:space="preserve">STJC-20-00-00-05-GA-SV</t>
        </is>
      </c>
      <c r="C151" s="143" t="inlineStr">
        <is>
          <t xml:space="preserve">AIRCRAFT MAINTENANCE PACKAGE ACCOUNTABILITY CHECK</t>
        </is>
      </c>
      <c r="D151" s="143" t="inlineStr">
        <is>
          <t xml:space="preserve">N</t>
        </is>
      </c>
      <c r="E151" s="143">
        <v>5.0</v>
      </c>
      <c r="F151" s="143">
        <v>0.0</v>
      </c>
      <c r="G151" s="143">
        <v>0.0</v>
      </c>
      <c r="H151" s="143" t="inlineStr">
        <is>
          <t xml:space="preserve">Not Started</t>
        </is>
      </c>
      <c r="I151" s="143">
        <v>20.0</v>
      </c>
      <c r="J151" s="143" t="inlineStr">
        <is>
          <t xml:space="preserve">ACFT RELEASE, ACFT RELEASE, --</t>
        </is>
      </c>
    </row>
    <row r="152" spans="1:10">
      <c r="A152" s="143" t="inlineStr">
        <is>
          <t xml:space="preserve">787</t>
        </is>
      </c>
      <c r="B152" s="143" t="inlineStr">
        <is>
          <t xml:space="preserve">STJC-20-00-00-07-A32S-SV</t>
        </is>
      </c>
      <c r="C152" s="143" t="inlineStr">
        <is>
          <t xml:space="preserve">HEAVEY CHECK DE-HANGARING PREPARATION</t>
        </is>
      </c>
      <c r="D152" s="143" t="inlineStr">
        <is>
          <t xml:space="preserve">N</t>
        </is>
      </c>
      <c r="E152" s="143">
        <v>22.0</v>
      </c>
      <c r="F152" s="143">
        <v>0.0</v>
      </c>
      <c r="G152" s="143">
        <v>0.0</v>
      </c>
      <c r="H152" s="143" t="inlineStr">
        <is>
          <t xml:space="preserve">Not Started</t>
        </is>
      </c>
      <c r="I152" s="143">
        <v>20.0</v>
      </c>
      <c r="J152" s="143" t="inlineStr">
        <is>
          <t xml:space="preserve">TC/P, TC/P, TC/P, TC/P, TC/P, TC/P, TC/P, TC/P, TC/P, TC/P, TC/P, TC/P, TC/P, TC/P, TC/P, TC/P, TC/P, TC/P</t>
        </is>
      </c>
    </row>
    <row r="153" spans="1:10">
      <c r="A153" s="143" t="inlineStr">
        <is>
          <t xml:space="preserve">789</t>
        </is>
      </c>
      <c r="B153" s="143" t="inlineStr">
        <is>
          <t xml:space="preserve">STJC-AREAS-FINAL-INSPECTION-01-GA-GO</t>
        </is>
      </c>
      <c r="C153" s="143" t="inlineStr">
        <is>
          <t xml:space="preserve">AIRCRAFT FINAL INSPECTION</t>
        </is>
      </c>
      <c r="D153" s="143" t="inlineStr">
        <is>
          <t xml:space="preserve">N</t>
        </is>
      </c>
      <c r="E153" s="143">
        <v>3.0</v>
      </c>
      <c r="F153" s="143">
        <v>0.0</v>
      </c>
      <c r="G153" s="143">
        <v>0.0</v>
      </c>
      <c r="H153" s="143" t="inlineStr">
        <is>
          <t xml:space="preserve">Not Started</t>
        </is>
      </c>
      <c r="I153" s="143" t="inlineStr">
        <is>
          <t xml:space="preserve">05-00</t>
        </is>
      </c>
      <c r="J153" s="143" t="inlineStr">
        <is>
          <t xml:space="preserve">FINAL INSP, FINAL INSP, FINAL INSP</t>
        </is>
      </c>
    </row>
    <row r="154" spans="1:10">
      <c r="A154" s="143" t="inlineStr">
        <is>
          <t xml:space="preserve">790</t>
        </is>
      </c>
      <c r="B154" s="143" t="inlineStr">
        <is>
          <t xml:space="preserve">STJC-AREAS-FINAL-INSPECTION-02-GA-GO</t>
        </is>
      </c>
      <c r="C154" s="143" t="inlineStr">
        <is>
          <t xml:space="preserve">COCKPIT AND PAX CABIN FINAL INSPECTION</t>
        </is>
      </c>
      <c r="D154" s="143" t="inlineStr">
        <is>
          <t xml:space="preserve">N</t>
        </is>
      </c>
      <c r="E154" s="143">
        <v>2.0</v>
      </c>
      <c r="F154" s="143">
        <v>0.0</v>
      </c>
      <c r="G154" s="143">
        <v>0.0</v>
      </c>
      <c r="H154" s="143" t="inlineStr">
        <is>
          <t xml:space="preserve">Not Started</t>
        </is>
      </c>
      <c r="I154" s="143" t="inlineStr">
        <is>
          <t xml:space="preserve">05-00</t>
        </is>
      </c>
      <c r="J154" s="143" t="inlineStr">
        <is>
          <t xml:space="preserve">FINAL INSP</t>
        </is>
      </c>
    </row>
    <row r="155" spans="1:10">
      <c r="A155" s="143" t="inlineStr">
        <is>
          <t xml:space="preserve">791</t>
        </is>
      </c>
      <c r="B155" s="143" t="inlineStr">
        <is>
          <t xml:space="preserve">STJC-AREAS-FINAL-INSPECTION-03-GA-GO</t>
        </is>
      </c>
      <c r="C155" s="143" t="inlineStr">
        <is>
          <t xml:space="preserve">AIRCRAFT UPPER/LOWER FUSELAGE FINAL INSPECTION</t>
        </is>
      </c>
      <c r="D155" s="143" t="inlineStr">
        <is>
          <t xml:space="preserve">N</t>
        </is>
      </c>
      <c r="E155" s="143">
        <v>2.0</v>
      </c>
      <c r="F155" s="143">
        <v>0.0</v>
      </c>
      <c r="G155" s="143">
        <v>0.0</v>
      </c>
      <c r="H155" s="143" t="inlineStr">
        <is>
          <t xml:space="preserve">Not Started</t>
        </is>
      </c>
      <c r="I155" s="143" t="inlineStr">
        <is>
          <t xml:space="preserve">05-00</t>
        </is>
      </c>
      <c r="J155" s="143" t="inlineStr">
        <is>
          <t xml:space="preserve">FINAL INSP</t>
        </is>
      </c>
    </row>
    <row r="156" spans="1:10">
      <c r="A156" s="143" t="inlineStr">
        <is>
          <t xml:space="preserve">792</t>
        </is>
      </c>
      <c r="B156" s="143" t="inlineStr">
        <is>
          <t xml:space="preserve">STJC-AREAS-FINAL-INSPECTION-04-GA-GO</t>
        </is>
      </c>
      <c r="C156" s="143" t="inlineStr">
        <is>
          <t xml:space="preserve">EMPENNAGE FINAL INSPECTION</t>
        </is>
      </c>
      <c r="D156" s="143" t="inlineStr">
        <is>
          <t xml:space="preserve">N</t>
        </is>
      </c>
      <c r="E156" s="143">
        <v>2.0</v>
      </c>
      <c r="F156" s="143">
        <v>0.0</v>
      </c>
      <c r="G156" s="143">
        <v>0.0</v>
      </c>
      <c r="H156" s="143" t="inlineStr">
        <is>
          <t xml:space="preserve">Not Started</t>
        </is>
      </c>
      <c r="I156" s="143" t="inlineStr">
        <is>
          <t xml:space="preserve">05-00</t>
        </is>
      </c>
      <c r="J156" s="143" t="inlineStr">
        <is>
          <t xml:space="preserve">FINAL INSP</t>
        </is>
      </c>
    </row>
    <row r="157" spans="1:10">
      <c r="A157" s="143" t="inlineStr">
        <is>
          <t xml:space="preserve">793</t>
        </is>
      </c>
      <c r="B157" s="143" t="inlineStr">
        <is>
          <t xml:space="preserve">STJC-AREAS-FINAL-INSPECTION-05-GA-GO</t>
        </is>
      </c>
      <c r="C157" s="143" t="inlineStr">
        <is>
          <t xml:space="preserve">AFT/BULK/FWD CARGO COMPARTMENT FINAL INSPECTION</t>
        </is>
      </c>
      <c r="D157" s="143" t="inlineStr">
        <is>
          <t xml:space="preserve">N</t>
        </is>
      </c>
      <c r="E157" s="143">
        <v>2.0</v>
      </c>
      <c r="F157" s="143">
        <v>0.0</v>
      </c>
      <c r="G157" s="143">
        <v>0.0</v>
      </c>
      <c r="H157" s="143" t="inlineStr">
        <is>
          <t xml:space="preserve">Not Started</t>
        </is>
      </c>
      <c r="I157" s="143" t="inlineStr">
        <is>
          <t xml:space="preserve">05-00</t>
        </is>
      </c>
      <c r="J157" s="143" t="inlineStr">
        <is>
          <t xml:space="preserve">FINAL INSP</t>
        </is>
      </c>
    </row>
    <row r="158" spans="1:10">
      <c r="A158" s="143" t="inlineStr">
        <is>
          <t xml:space="preserve">794</t>
        </is>
      </c>
      <c r="B158" s="143" t="inlineStr">
        <is>
          <t xml:space="preserve">STJC-AREAS-FINAL-INSPECTION-06-GA-GO</t>
        </is>
      </c>
      <c r="C158" s="143" t="inlineStr">
        <is>
          <t xml:space="preserve">L/H AND R/H WINGS FINAL INSPECTION</t>
        </is>
      </c>
      <c r="D158" s="143" t="inlineStr">
        <is>
          <t xml:space="preserve">N</t>
        </is>
      </c>
      <c r="E158" s="143">
        <v>2.0</v>
      </c>
      <c r="F158" s="143">
        <v>0.0</v>
      </c>
      <c r="G158" s="143">
        <v>0.0</v>
      </c>
      <c r="H158" s="143" t="inlineStr">
        <is>
          <t xml:space="preserve">Not Started</t>
        </is>
      </c>
      <c r="I158" s="143" t="inlineStr">
        <is>
          <t xml:space="preserve">05-00</t>
        </is>
      </c>
      <c r="J158" s="143" t="inlineStr">
        <is>
          <t xml:space="preserve">FINAL INSP</t>
        </is>
      </c>
    </row>
    <row r="159" spans="1:10">
      <c r="A159" s="143" t="inlineStr">
        <is>
          <t xml:space="preserve">795</t>
        </is>
      </c>
      <c r="B159" s="143" t="inlineStr">
        <is>
          <t xml:space="preserve">STJC-AREAS-FINAL-INSPECTION-07-GA-GO</t>
        </is>
      </c>
      <c r="C159" s="143" t="inlineStr">
        <is>
          <t xml:space="preserve">LDGS &amp; WHEEL WEEL FINAL INSPECTION (MLG &amp; NLG)</t>
        </is>
      </c>
      <c r="D159" s="143" t="inlineStr">
        <is>
          <t xml:space="preserve">N</t>
        </is>
      </c>
      <c r="E159" s="143">
        <v>1.0</v>
      </c>
      <c r="F159" s="143">
        <v>0.0</v>
      </c>
      <c r="G159" s="143">
        <v>0.0</v>
      </c>
      <c r="H159" s="143" t="inlineStr">
        <is>
          <t xml:space="preserve">Not Started</t>
        </is>
      </c>
      <c r="I159" s="143" t="inlineStr">
        <is>
          <t xml:space="preserve">05-00</t>
        </is>
      </c>
      <c r="J159" s="143" t="inlineStr">
        <is>
          <t xml:space="preserve">FINAL INSP</t>
        </is>
      </c>
    </row>
    <row r="160" spans="1:10">
      <c r="A160" s="143" t="inlineStr">
        <is>
          <t xml:space="preserve">796</t>
        </is>
      </c>
      <c r="B160" s="143" t="inlineStr">
        <is>
          <t xml:space="preserve">STJC-AREAS-FINAL-INSPECTION-08-GA-GO</t>
        </is>
      </c>
      <c r="C160" s="143" t="inlineStr">
        <is>
          <t xml:space="preserve">ENGINE AND PYLON FINAL INSPECTION (L/H &amp; R/H)</t>
        </is>
      </c>
      <c r="D160" s="143" t="inlineStr">
        <is>
          <t xml:space="preserve">N</t>
        </is>
      </c>
      <c r="E160" s="143">
        <v>2.0</v>
      </c>
      <c r="F160" s="143">
        <v>0.0</v>
      </c>
      <c r="G160" s="143">
        <v>0.0</v>
      </c>
      <c r="H160" s="143" t="inlineStr">
        <is>
          <t xml:space="preserve">Not Started</t>
        </is>
      </c>
      <c r="I160" s="143" t="inlineStr">
        <is>
          <t xml:space="preserve">05-00</t>
        </is>
      </c>
      <c r="J160" s="143" t="inlineStr">
        <is>
          <t xml:space="preserve">FINAL INSP</t>
        </is>
      </c>
    </row>
    <row r="161" spans="1:10">
      <c r="A161" s="143" t="inlineStr">
        <is>
          <t xml:space="preserve">797</t>
        </is>
      </c>
      <c r="B161" s="143" t="inlineStr">
        <is>
          <t xml:space="preserve">STJC-AREAS-FINAL-INSPECTION-09-GA-GO</t>
        </is>
      </c>
      <c r="C161" s="143" t="inlineStr">
        <is>
          <t xml:space="preserve">APU FINAL INSPECTION</t>
        </is>
      </c>
      <c r="D161" s="143" t="inlineStr">
        <is>
          <t xml:space="preserve">N</t>
        </is>
      </c>
      <c r="E161" s="143">
        <v>1.0</v>
      </c>
      <c r="F161" s="143">
        <v>0.0</v>
      </c>
      <c r="G161" s="143">
        <v>0.0</v>
      </c>
      <c r="H161" s="143" t="inlineStr">
        <is>
          <t xml:space="preserve">Not Started</t>
        </is>
      </c>
      <c r="I161" s="143" t="inlineStr">
        <is>
          <t xml:space="preserve">05-00</t>
        </is>
      </c>
      <c r="J161" s="143" t="inlineStr">
        <is>
          <t xml:space="preserve">FINAL INSP</t>
        </is>
      </c>
    </row>
    <row r="162" spans="1:10">
      <c r="A162" s="143" t="inlineStr">
        <is>
          <t xml:space="preserve">798</t>
        </is>
      </c>
      <c r="B162" s="143" t="inlineStr">
        <is>
          <t xml:space="preserve">STJC-CRS-GA-SV</t>
        </is>
      </c>
      <c r="C162" s="143" t="inlineStr">
        <is>
          <t xml:space="preserve">CERTIFICATE OF RELEASE TO SERVICE (CRS)</t>
        </is>
      </c>
      <c r="D162" s="143" t="inlineStr">
        <is>
          <t xml:space="preserve">N</t>
        </is>
      </c>
      <c r="E162" s="143">
        <v>0.5</v>
      </c>
      <c r="F162" s="143">
        <v>0.0</v>
      </c>
      <c r="G162" s="143">
        <v>0.0</v>
      </c>
      <c r="H162" s="143" t="inlineStr">
        <is>
          <t xml:space="preserve">Not Started</t>
        </is>
      </c>
      <c r="I162" s="143" t="inlineStr">
        <is>
          <t xml:space="preserve">05-11</t>
        </is>
      </c>
      <c r="J162" s="143" t="inlineStr">
        <is>
          <t xml:space="preserve">ACFT RELEASE</t>
        </is>
      </c>
    </row>
    <row r="163" spans="1:10">
      <c r="A163" s="143" t="inlineStr">
        <is>
          <t xml:space="preserve">799</t>
        </is>
      </c>
      <c r="B163" s="143" t="inlineStr">
        <is>
          <t xml:space="preserve">STJC-RTS-03-A32S-SV</t>
        </is>
      </c>
      <c r="C163" s="143" t="inlineStr">
        <is>
          <t xml:space="preserve">AIRCRAFT RETURN TO SERVICE FOR HEAVEY CHECK</t>
        </is>
      </c>
      <c r="D163" s="143" t="inlineStr">
        <is>
          <t xml:space="preserve">N</t>
        </is>
      </c>
      <c r="E163" s="143">
        <v>7.0</v>
      </c>
      <c r="F163" s="143">
        <v>0.0</v>
      </c>
      <c r="G163" s="143">
        <v>0.0</v>
      </c>
      <c r="H163" s="143" t="inlineStr">
        <is>
          <t xml:space="preserve">Not Started</t>
        </is>
      </c>
      <c r="I163" s="143" t="inlineStr">
        <is>
          <t xml:space="preserve">05-00</t>
        </is>
      </c>
      <c r="J163" s="143" t="inlineStr">
        <is>
          <t xml:space="preserve">FINAL INSP, FINAL INSP, FINAL INSP, FINAL INSP</t>
        </is>
      </c>
    </row>
    <row r="164" spans="1:10">
      <c r="A164" s="143" t="inlineStr">
        <is>
          <t xml:space="preserve">800</t>
        </is>
      </c>
      <c r="B164" s="143" t="inlineStr">
        <is>
          <t xml:space="preserve">32596938</t>
        </is>
      </c>
      <c r="C164" s="143" t="inlineStr">
        <is>
          <t xml:space="preserve">22-70-00-01-0-A (03) / FMC DATA UPLOAD</t>
        </is>
      </c>
      <c r="D164" s="143">
        <v>1.0</v>
      </c>
      <c r="E164" s="143">
        <v>1.0</v>
      </c>
      <c r="F164" s="143">
        <v>0.0</v>
      </c>
      <c r="G164" s="143">
        <v>0.0</v>
      </c>
      <c r="H164" s="143" t="inlineStr">
        <is>
          <t xml:space="preserve">Not Started</t>
        </is>
      </c>
      <c r="I164" s="143" t="inlineStr">
        <is>
          <t xml:space="preserve">22-70</t>
        </is>
      </c>
      <c r="J164" s="143" t="inlineStr">
        <is>
          <t xml:space="preserve">TC/P</t>
        </is>
      </c>
    </row>
    <row r="165" spans="1:10">
      <c r="A165" s="143" t="inlineStr">
        <is>
          <t xml:space="preserve">801</t>
        </is>
      </c>
      <c r="B165" s="143" t="inlineStr">
        <is>
          <t xml:space="preserve">242000-21-1-001</t>
        </is>
      </c>
      <c r="C165" s="143" t="inlineStr">
        <is>
          <t xml:space="preserve">242000-21-1-001 (04) / NO. 1 ENGINE AC GENERATION</t>
        </is>
      </c>
      <c r="D165" s="143">
        <v>1.0</v>
      </c>
      <c r="E165" s="143">
        <v>2.08</v>
      </c>
      <c r="F165" s="143">
        <v>0.0</v>
      </c>
      <c r="G165" s="143">
        <v>0.0</v>
      </c>
      <c r="H165" s="143" t="inlineStr">
        <is>
          <t xml:space="preserve">Not Started</t>
        </is>
      </c>
      <c r="I165" s="143" t="inlineStr">
        <is>
          <t xml:space="preserve">24-21</t>
        </is>
      </c>
      <c r="J165" s="143" t="inlineStr">
        <is>
          <t xml:space="preserve">--, TC/P, --</t>
        </is>
      </c>
    </row>
    <row r="166" spans="1:10">
      <c r="A166" s="143" t="inlineStr">
        <is>
          <t xml:space="preserve">803</t>
        </is>
      </c>
      <c r="B166" s="143" t="inlineStr">
        <is>
          <t xml:space="preserve">381000-01-1</t>
        </is>
      </c>
      <c r="C166" s="143" t="inlineStr">
        <is>
          <t xml:space="preserve">381000-01-1 (3) / WATER TANK DISINFECTION</t>
        </is>
      </c>
      <c r="D166" s="143">
        <v>1.0</v>
      </c>
      <c r="E166" s="143">
        <v>16.0</v>
      </c>
      <c r="F166" s="143">
        <v>0.0</v>
      </c>
      <c r="G166" s="143">
        <v>0.0</v>
      </c>
      <c r="H166" s="143" t="inlineStr">
        <is>
          <t xml:space="preserve">Not Started</t>
        </is>
      </c>
      <c r="I166" s="143" t="inlineStr">
        <is>
          <t xml:space="preserve">38-10</t>
        </is>
      </c>
      <c r="J166" s="143" t="inlineStr">
        <is>
          <t xml:space="preserve">OPS/LK</t>
        </is>
      </c>
    </row>
    <row r="167" spans="1:10">
      <c r="A167" s="143" t="inlineStr">
        <is>
          <t xml:space="preserve">804</t>
        </is>
      </c>
      <c r="B167" s="143" t="inlineStr">
        <is>
          <t xml:space="preserve">32840057</t>
        </is>
      </c>
      <c r="C167" s="143" t="inlineStr">
        <is>
          <t xml:space="preserve">DCC-32S (13) / DCC A32S DAILY CABIN CHECK</t>
        </is>
      </c>
      <c r="D167" s="143">
        <v>1.0</v>
      </c>
      <c r="E167" s="143">
        <v>10.0</v>
      </c>
      <c r="F167" s="143">
        <v>592.6</v>
      </c>
      <c r="G167" s="143">
        <v>678.9</v>
      </c>
      <c r="H167" s="143" t="inlineStr">
        <is>
          <t xml:space="preserve">Idle</t>
        </is>
      </c>
      <c r="I167" s="143" t="inlineStr">
        <is>
          <t xml:space="preserve">25-00</t>
        </is>
      </c>
      <c r="J167" s="143" t="inlineStr">
        <is>
          <t xml:space="preserve">JOB-SETUP, TC/P, TC/P, TC/P, --, --, --, --, --</t>
        </is>
      </c>
    </row>
    <row r="168" spans="1:10">
      <c r="A168" s="143" t="inlineStr">
        <is>
          <t xml:space="preserve">810</t>
        </is>
      </c>
      <c r="B168" s="143" t="inlineStr">
        <is>
          <t xml:space="preserve">32913243</t>
        </is>
      </c>
      <c r="C168" s="143" t="inlineStr">
        <is>
          <t xml:space="preserve">CCC-32S (05) / A32S CABIN CRITICAL CHECK</t>
        </is>
      </c>
      <c r="D168" s="143">
        <v>1.0</v>
      </c>
      <c r="E168" s="143">
        <v>3.17</v>
      </c>
      <c r="F168" s="143">
        <v>100.5</v>
      </c>
      <c r="G168" s="143">
        <v>386.6</v>
      </c>
      <c r="H168" s="143" t="inlineStr">
        <is>
          <t xml:space="preserve">Idle</t>
        </is>
      </c>
      <c r="I168" s="143" t="inlineStr">
        <is>
          <t xml:space="preserve">25-00</t>
        </is>
      </c>
      <c r="J168" s="143" t="inlineStr">
        <is>
          <t xml:space="preserve">JOB-SETUP, TC/P, TC/P, TC/P, TC/P, TC/P, TC/P, --</t>
        </is>
      </c>
    </row>
    <row r="169" spans="1:10">
      <c r="A169" s="143" t="inlineStr">
        <is>
          <t xml:space="preserve">811</t>
        </is>
      </c>
      <c r="B169" s="143" t="inlineStr">
        <is>
          <t xml:space="preserve">94844878</t>
        </is>
      </c>
      <c r="C169" s="143" t="inlineStr">
        <is>
          <t xml:space="preserve">O.O.S AIRCRAFT TAKEN OUT OF SERVICE AT 23:59 Z  DATE 17 JULY 2026 FOR C2 + 6 YEARS CHECK. SCHEDULE 38 DAYS</t>
        </is>
      </c>
      <c r="D169" s="143" t="inlineStr">
        <is>
          <t xml:space="preserve">N</t>
        </is>
      </c>
      <c r="E169" s="143">
        <v>24.0</v>
      </c>
      <c r="F169" s="143">
        <v>0.0</v>
      </c>
      <c r="G169" s="143">
        <v>0.0</v>
      </c>
      <c r="H169" s="143" t="inlineStr">
        <is>
          <t xml:space="preserve">Not Started</t>
        </is>
      </c>
      <c r="I169" s="143" t="inlineStr">
        <is>
          <t xml:space="preserve">05-00</t>
        </is>
      </c>
      <c r="J169" s="143"/>
    </row>
    <row r="170" spans="1:10">
      <c r="A170" s="143" t="inlineStr">
        <is>
          <t xml:space="preserve">812</t>
        </is>
      </c>
      <c r="B170" s="143" t="inlineStr">
        <is>
          <t xml:space="preserve">94844876</t>
        </is>
      </c>
      <c r="C170" s="143" t="inlineStr">
        <is>
          <t xml:space="preserve">L/G ALL L/G SAFETY PINS ARE INSTALLED. AS PER AMM 32-00-00-481-001-A  REV.69 DATE.01 MAY 2026</t>
        </is>
      </c>
      <c r="D170" s="143" t="inlineStr">
        <is>
          <t xml:space="preserve">N</t>
        </is>
      </c>
      <c r="E170" s="143">
        <v>2.0</v>
      </c>
      <c r="F170" s="143">
        <v>0.0</v>
      </c>
      <c r="G170" s="143">
        <v>0.0</v>
      </c>
      <c r="H170" s="143" t="inlineStr">
        <is>
          <t xml:space="preserve">Not Started</t>
        </is>
      </c>
      <c r="I170" s="143" t="inlineStr">
        <is>
          <t xml:space="preserve">32-00</t>
        </is>
      </c>
      <c r="J170" s="143"/>
    </row>
    <row r="171" spans="1:10">
      <c r="A171" s="143" t="inlineStr">
        <is>
          <t xml:space="preserve">816</t>
        </is>
      </c>
      <c r="B171" s="143" t="inlineStr">
        <is>
          <t xml:space="preserve">32977864</t>
        </is>
      </c>
      <c r="C171" s="143" t="inlineStr">
        <is>
          <t xml:space="preserve">PRE---UPPER FUSELAGE---NOCALLBACK---AV UPPER FUSELAGE GPS 1 ANTENNA, FWD AREA PAINT FOUND ERODED.</t>
        </is>
      </c>
      <c r="D171" s="143">
        <v>1.0</v>
      </c>
      <c r="E171" s="143">
        <v>4.0</v>
      </c>
      <c r="F171" s="143">
        <v>8.0</v>
      </c>
      <c r="G171" s="143">
        <v>653.2</v>
      </c>
      <c r="H171" s="143" t="inlineStr">
        <is>
          <t xml:space="preserve">Idle</t>
        </is>
      </c>
      <c r="I171" s="143" t="inlineStr">
        <is>
          <t xml:space="preserve">05-21</t>
        </is>
      </c>
      <c r="J171" s="143"/>
    </row>
    <row r="172" spans="1:10">
      <c r="A172" s="143" t="inlineStr">
        <is>
          <t xml:space="preserve">826</t>
        </is>
      </c>
      <c r="B172" s="143" t="inlineStr">
        <is>
          <t xml:space="preserve">32977906</t>
        </is>
      </c>
      <c r="C172" s="143" t="inlineStr">
        <is>
          <t xml:space="preserve">PRE---R/H WING---NOCALLBACK---AP R/H WING ADJACENT TO SLAT NO#01 I/B SIDE FIXED LEADING EDGE, SEAL FOUND TORN AND WORNOUT.</t>
        </is>
      </c>
      <c r="D172" s="143">
        <v>1.0</v>
      </c>
      <c r="E172" s="143">
        <v>8.0</v>
      </c>
      <c r="F172" s="143">
        <v>0.0</v>
      </c>
      <c r="G172" s="143">
        <v>0.0</v>
      </c>
      <c r="H172" s="143" t="inlineStr">
        <is>
          <t xml:space="preserve">Not Started</t>
        </is>
      </c>
      <c r="I172" s="143" t="inlineStr">
        <is>
          <t xml:space="preserve">05-25</t>
        </is>
      </c>
      <c r="J172" s="143"/>
    </row>
    <row r="173" spans="1:10">
      <c r="A173" s="143" t="inlineStr">
        <is>
          <t xml:space="preserve">852</t>
        </is>
      </c>
      <c r="B173" s="143" t="inlineStr">
        <is>
          <t xml:space="preserve">32978509</t>
        </is>
      </c>
      <c r="C173" s="143" t="inlineStr">
        <is>
          <t xml:space="preserve">FWD CARGO COMP---AP---NO CALL BACK---- FWD CARGO COMP ENTRY DOOR FWD  DOOR NET TORN.</t>
        </is>
      </c>
      <c r="D173" s="143">
        <v>1.0</v>
      </c>
      <c r="E173" s="143">
        <v>6.0</v>
      </c>
      <c r="F173" s="143">
        <v>4.0</v>
      </c>
      <c r="G173" s="143">
        <v>22.57</v>
      </c>
      <c r="H173" s="143" t="inlineStr">
        <is>
          <t xml:space="preserve">Idle</t>
        </is>
      </c>
      <c r="I173" s="143" t="inlineStr">
        <is>
          <t xml:space="preserve">25-50</t>
        </is>
      </c>
      <c r="J173" s="143"/>
    </row>
    <row r="174" spans="1:10">
      <c r="A174" s="143" t="inlineStr">
        <is>
          <t xml:space="preserve">863</t>
        </is>
      </c>
      <c r="B174" s="143" t="inlineStr">
        <is>
          <t xml:space="preserve">32978591</t>
        </is>
      </c>
      <c r="C174" s="143" t="inlineStr">
        <is>
          <t xml:space="preserve">FWD CARGO DOOR---AP--NO CALL BACK---- FWD CARGO DOOR DATA PLATE  TORN.</t>
        </is>
      </c>
      <c r="D174" s="143">
        <v>1.0</v>
      </c>
      <c r="E174" s="143">
        <v>2.0</v>
      </c>
      <c r="F174" s="143">
        <v>0.0</v>
      </c>
      <c r="G174" s="143">
        <v>0.0</v>
      </c>
      <c r="H174" s="143" t="inlineStr">
        <is>
          <t xml:space="preserve">Not Started</t>
        </is>
      </c>
      <c r="I174" s="143" t="inlineStr">
        <is>
          <t xml:space="preserve">05-28</t>
        </is>
      </c>
      <c r="J174" s="143"/>
    </row>
    <row r="175" spans="1:10">
      <c r="A175" s="143" t="inlineStr">
        <is>
          <t xml:space="preserve">864</t>
        </is>
      </c>
      <c r="B175" s="143" t="inlineStr">
        <is>
          <t xml:space="preserve">32978593</t>
        </is>
      </c>
      <c r="C175" s="143" t="inlineStr">
        <is>
          <t xml:space="preserve">FWD CARGO DOOR---AP---CALL BACK--- FWD CARGO DOOR AFT LWR SIDE RUBBER SEAL WITH CUT</t>
        </is>
      </c>
      <c r="D175" s="143">
        <v>1.0</v>
      </c>
      <c r="E175" s="143">
        <v>4.0</v>
      </c>
      <c r="F175" s="143">
        <v>37.5</v>
      </c>
      <c r="G175" s="143">
        <v>114.3</v>
      </c>
      <c r="H175" s="143" t="inlineStr">
        <is>
          <t xml:space="preserve">Idle</t>
        </is>
      </c>
      <c r="I175" s="143" t="inlineStr">
        <is>
          <t xml:space="preserve">05-28</t>
        </is>
      </c>
      <c r="J175" s="143"/>
    </row>
    <row r="176" spans="1:10">
      <c r="A176" s="143" t="inlineStr">
        <is>
          <t xml:space="preserve">867</t>
        </is>
      </c>
      <c r="B176" s="143" t="inlineStr">
        <is>
          <t xml:space="preserve">32978634</t>
        </is>
      </c>
      <c r="C176" s="143" t="inlineStr">
        <is>
          <t xml:space="preserve">AFT CARGO COMP----SM---CALL BACK---- AFT CARGO COMP AFT DOOR NET STANCHION TUBE WTIH DENT ON MID SIDE L=1" W=0.5" D=0.125"</t>
        </is>
      </c>
      <c r="D176" s="143">
        <v>1.0</v>
      </c>
      <c r="E176" s="143">
        <v>4.0</v>
      </c>
      <c r="F176" s="143">
        <v>0.33</v>
      </c>
      <c r="G176" s="143">
        <v>845.7</v>
      </c>
      <c r="H176" s="143" t="inlineStr">
        <is>
          <t xml:space="preserve">Idle</t>
        </is>
      </c>
      <c r="I176" s="143" t="inlineStr">
        <is>
          <t xml:space="preserve">05-21</t>
        </is>
      </c>
      <c r="J176" s="143"/>
    </row>
    <row r="177" spans="1:10">
      <c r="A177" s="143" t="inlineStr">
        <is>
          <t xml:space="preserve">868</t>
        </is>
      </c>
      <c r="B177" s="143" t="inlineStr">
        <is>
          <t xml:space="preserve">32978638</t>
        </is>
      </c>
      <c r="C177" s="143" t="inlineStr">
        <is>
          <t xml:space="preserve">AFT CARGO COMP---SM---CALL BACK---- AFT CARGO COMP CIELING PNL 151DC  DAMAGE WITH MISSING HONEY COMB  L=1" W=0.5"</t>
        </is>
      </c>
      <c r="D177" s="143">
        <v>1.0</v>
      </c>
      <c r="E177" s="143">
        <v>6.0</v>
      </c>
      <c r="F177" s="143">
        <v>0.5</v>
      </c>
      <c r="G177" s="143">
        <v>390.9</v>
      </c>
      <c r="H177" s="143" t="inlineStr">
        <is>
          <t xml:space="preserve">Idle</t>
        </is>
      </c>
      <c r="I177" s="143" t="inlineStr">
        <is>
          <t xml:space="preserve">05-21</t>
        </is>
      </c>
      <c r="J177" s="143"/>
    </row>
    <row r="178" spans="1:10">
      <c r="A178" s="143" t="inlineStr">
        <is>
          <t xml:space="preserve">869</t>
        </is>
      </c>
      <c r="B178" s="143" t="inlineStr">
        <is>
          <t xml:space="preserve">32978643</t>
        </is>
      </c>
      <c r="C178" s="143" t="inlineStr">
        <is>
          <t xml:space="preserve">AFT CARGO COMP----AP---NO CALL BACK--- AFT CARGO COMP SEVERAL PNL WITH MISSING SCREW AND DETACHED GAP SEAL.</t>
        </is>
      </c>
      <c r="D178" s="143">
        <v>1.0</v>
      </c>
      <c r="E178" s="143">
        <v>6.0</v>
      </c>
      <c r="F178" s="143">
        <v>3.5</v>
      </c>
      <c r="G178" s="143">
        <v>86.4</v>
      </c>
      <c r="H178" s="143" t="inlineStr">
        <is>
          <t xml:space="preserve">Idle</t>
        </is>
      </c>
      <c r="I178" s="143" t="inlineStr">
        <is>
          <t xml:space="preserve">05-21</t>
        </is>
      </c>
      <c r="J178" s="143"/>
    </row>
    <row r="179" spans="1:10">
      <c r="A179" s="143" t="inlineStr">
        <is>
          <t xml:space="preserve">876</t>
        </is>
      </c>
      <c r="B179" s="143" t="inlineStr">
        <is>
          <t xml:space="preserve">32978879</t>
        </is>
      </c>
      <c r="C179" s="143" t="inlineStr">
        <is>
          <t xml:space="preserve">FINDING (NRC) TASKCARD 25-SVA-03 (01) / ITEM ONE ALL B/C SEAT BELT DIRTY</t>
        </is>
      </c>
      <c r="D179" s="143">
        <v>1.0</v>
      </c>
      <c r="E179" s="143">
        <v>2.0</v>
      </c>
      <c r="F179" s="143">
        <v>2.0</v>
      </c>
      <c r="G179" s="143">
        <v>29.6</v>
      </c>
      <c r="H179" s="143" t="inlineStr">
        <is>
          <t xml:space="preserve">Idle</t>
        </is>
      </c>
      <c r="I179" s="143" t="inlineStr">
        <is>
          <t xml:space="preserve">25-21</t>
        </is>
      </c>
      <c r="J179" s="143"/>
    </row>
    <row r="180" spans="1:10">
      <c r="A180" s="143" t="inlineStr">
        <is>
          <t xml:space="preserve">888</t>
        </is>
      </c>
      <c r="B180" s="143" t="inlineStr">
        <is>
          <t xml:space="preserve">32979304</t>
        </is>
      </c>
      <c r="C180" s="143" t="inlineStr">
        <is>
          <t xml:space="preserve">FINDING (NRC) TASKCARD ZL-500-02-1-002 (05) / RH WING AP-- CALLBACK RH WING FLAP TRACK NO#3 O/B AFT UPPER SEAL WITH CUT.</t>
        </is>
      </c>
      <c r="D180" s="143">
        <v>1.0</v>
      </c>
      <c r="E180" s="143">
        <v>8.0</v>
      </c>
      <c r="F180" s="143">
        <v>48.0</v>
      </c>
      <c r="G180" s="143">
        <v>581.0</v>
      </c>
      <c r="H180" s="143" t="inlineStr">
        <is>
          <t xml:space="preserve">Idle</t>
        </is>
      </c>
      <c r="I180" s="143" t="inlineStr">
        <is>
          <t xml:space="preserve">05-25</t>
        </is>
      </c>
      <c r="J180" s="143"/>
    </row>
    <row r="181" spans="1:10">
      <c r="A181" s="143" t="inlineStr">
        <is>
          <t xml:space="preserve">893</t>
        </is>
      </c>
      <c r="B181" s="143" t="inlineStr">
        <is>
          <t xml:space="preserve">32979557</t>
        </is>
      </c>
      <c r="C181" s="143" t="inlineStr">
        <is>
          <t xml:space="preserve">FINDING (NRC) TASKCARD 25-65-00-01-0-SVA-001 /RII/CABIN AFT BOTH FIRST  AID KIT WILL EXPIRE ON 06/2026 LESS THAN 6 MONTH</t>
        </is>
      </c>
      <c r="D181" s="143">
        <v>1.0</v>
      </c>
      <c r="E181" s="143">
        <v>1.0</v>
      </c>
      <c r="F181" s="143">
        <v>0.0</v>
      </c>
      <c r="G181" s="143">
        <v>0.0</v>
      </c>
      <c r="H181" s="143" t="inlineStr">
        <is>
          <t xml:space="preserve">Not Started</t>
        </is>
      </c>
      <c r="I181" s="143" t="inlineStr">
        <is>
          <t xml:space="preserve">25-65</t>
        </is>
      </c>
      <c r="J181" s="143"/>
    </row>
    <row r="182" spans="1:10">
      <c r="A182" s="143" t="inlineStr">
        <is>
          <t xml:space="preserve">903</t>
        </is>
      </c>
      <c r="B182" s="143" t="inlineStr">
        <is>
          <t xml:space="preserve">32163655</t>
        </is>
      </c>
      <c r="C182" s="143" t="inlineStr">
        <is>
          <t xml:space="preserve">342B050000/06787 RS(RESTORATION) / CLN THERMOSTAT - FAN AIR VALVE CTRL</t>
        </is>
      </c>
      <c r="D182" s="143">
        <v>1.0</v>
      </c>
      <c r="E182" s="143">
        <v>2.2</v>
      </c>
      <c r="F182" s="143">
        <v>5.5</v>
      </c>
      <c r="G182" s="143">
        <v>640.8</v>
      </c>
      <c r="H182" s="143" t="inlineStr">
        <is>
          <t xml:space="preserve">Idle</t>
        </is>
      </c>
      <c r="I182" s="143" t="inlineStr">
        <is>
          <t xml:space="preserve">36-11</t>
        </is>
      </c>
      <c r="J182" s="143" t="inlineStr">
        <is>
          <t xml:space="preserve">JOB-SETUP, TC/P, TC/P, JOB-CLOSEUP</t>
        </is>
      </c>
    </row>
    <row r="183" spans="1:10">
      <c r="A183" s="143" t="inlineStr">
        <is>
          <t xml:space="preserve">904</t>
        </is>
      </c>
      <c r="B183" s="143" t="inlineStr">
        <is>
          <t xml:space="preserve">32163652</t>
        </is>
      </c>
      <c r="C183" s="143" t="inlineStr">
        <is>
          <t xml:space="preserve">342B050000/10718 RS(RESTORATION) / CLN THERMOSTAT - FAN AIR VALVE CTRL</t>
        </is>
      </c>
      <c r="D183" s="143">
        <v>1.0</v>
      </c>
      <c r="E183" s="143">
        <v>2.2</v>
      </c>
      <c r="F183" s="143">
        <v>8.0</v>
      </c>
      <c r="G183" s="143">
        <v>640.4</v>
      </c>
      <c r="H183" s="143" t="inlineStr">
        <is>
          <t xml:space="preserve">Idle</t>
        </is>
      </c>
      <c r="I183" s="143" t="inlineStr">
        <is>
          <t xml:space="preserve">36-11</t>
        </is>
      </c>
      <c r="J183" s="143" t="inlineStr">
        <is>
          <t xml:space="preserve">JOB-SETUP, TC/P, TC/P, JOB-CLOSEUP</t>
        </is>
      </c>
    </row>
    <row r="184" spans="1:10">
      <c r="A184" s="143" t="inlineStr">
        <is>
          <t xml:space="preserve">905</t>
        </is>
      </c>
      <c r="B184" s="143" t="inlineStr">
        <is>
          <t xml:space="preserve">81172702</t>
        </is>
      </c>
      <c r="C184" s="143" t="inlineStr">
        <is>
          <t xml:space="preserve">IFE REMOTE CONTROL VHS REMOTE CONTROL FOR 1L IS BROKEN  BY CREW: 11013005</t>
        </is>
      </c>
      <c r="D184" s="143" t="inlineStr">
        <is>
          <t xml:space="preserve">N</t>
        </is>
      </c>
      <c r="E184" s="143">
        <v>4.0</v>
      </c>
      <c r="F184" s="143">
        <v>3.5</v>
      </c>
      <c r="G184" s="143">
        <v>1297.5</v>
      </c>
      <c r="H184" s="143" t="inlineStr">
        <is>
          <t xml:space="preserve">Idle</t>
        </is>
      </c>
      <c r="I184" s="143" t="inlineStr">
        <is>
          <t xml:space="preserve">44-26-00</t>
        </is>
      </c>
      <c r="J184" s="143"/>
    </row>
    <row r="185" spans="1:10">
      <c r="A185" s="143" t="inlineStr">
        <is>
          <t xml:space="preserve">912</t>
        </is>
      </c>
      <c r="B185" s="143" t="inlineStr">
        <is>
          <t xml:space="preserve">94844837</t>
        </is>
      </c>
      <c r="C185" s="143" t="inlineStr">
        <is>
          <t xml:space="preserve">DECAL AFT CARGO DOOR ARROW, PULL, PUSH AND WARNING DECAL FOUND WORN</t>
        </is>
      </c>
      <c r="D185" s="143" t="inlineStr">
        <is>
          <t xml:space="preserve">N</t>
        </is>
      </c>
      <c r="E185" s="143">
        <v>2.0</v>
      </c>
      <c r="F185" s="143">
        <v>1.0</v>
      </c>
      <c r="G185" s="143">
        <v>1083.0</v>
      </c>
      <c r="H185" s="143" t="inlineStr">
        <is>
          <t xml:space="preserve">Idle</t>
        </is>
      </c>
      <c r="I185" s="143">
        <v>11.0</v>
      </c>
      <c r="J185" s="143"/>
    </row>
    <row r="186" spans="1:10">
      <c r="A186" s="143" t="inlineStr">
        <is>
          <t xml:space="preserve">915</t>
        </is>
      </c>
      <c r="B186" s="143" t="inlineStr">
        <is>
          <t xml:space="preserve">15777708</t>
        </is>
      </c>
      <c r="C186" s="143" t="inlineStr">
        <is>
          <t xml:space="preserve">EOD-320-53-00010-R00/FUSELAGE - MAIN STRUCTURE - APPLY A CUT ON STIFFENER ON</t>
        </is>
      </c>
      <c r="D186" s="143" t="inlineStr">
        <is>
          <t xml:space="preserve">C</t>
        </is>
      </c>
      <c r="E186" s="143">
        <v>4.33</v>
      </c>
      <c r="F186" s="143">
        <v>10.75</v>
      </c>
      <c r="G186" s="143">
        <v>675.1</v>
      </c>
      <c r="H186" s="143" t="inlineStr">
        <is>
          <t xml:space="preserve">Idle</t>
        </is>
      </c>
      <c r="I186" s="143">
        <v>53.0</v>
      </c>
      <c r="J186" s="143"/>
    </row>
    <row r="187" spans="1:10">
      <c r="A187" s="143" t="inlineStr">
        <is>
          <t xml:space="preserve">916</t>
        </is>
      </c>
      <c r="B187" s="143" t="inlineStr">
        <is>
          <t xml:space="preserve">15777769</t>
        </is>
      </c>
      <c r="C187" s="143" t="inlineStr">
        <is>
          <t xml:space="preserve">EOD-320-53-00011-R00/FUSELAGE - MAIN STRUCTURE - APPLY A CUT ON STIFFENER ON</t>
        </is>
      </c>
      <c r="D187" s="143" t="inlineStr">
        <is>
          <t xml:space="preserve">C</t>
        </is>
      </c>
      <c r="E187" s="143">
        <v>4.67</v>
      </c>
      <c r="F187" s="143">
        <v>10.92</v>
      </c>
      <c r="G187" s="143">
        <v>720.9</v>
      </c>
      <c r="H187" s="143" t="inlineStr">
        <is>
          <t xml:space="preserve">Idle</t>
        </is>
      </c>
      <c r="I187" s="143">
        <v>53.0</v>
      </c>
      <c r="J187" s="143"/>
    </row>
    <row r="188" spans="1:10">
      <c r="A188" s="143" t="inlineStr">
        <is>
          <t xml:space="preserve">917</t>
        </is>
      </c>
      <c r="B188" s="143" t="inlineStr">
        <is>
          <t xml:space="preserve">28372303</t>
        </is>
      </c>
      <c r="C188" s="143" t="inlineStr">
        <is>
          <t xml:space="preserve">REPLACE DVE90-07/7369 (VALVE-SOLENOID)</t>
        </is>
      </c>
      <c r="D188" s="143" t="inlineStr">
        <is>
          <t xml:space="preserve">N</t>
        </is>
      </c>
      <c r="E188" s="143">
        <v>0.0</v>
      </c>
      <c r="F188" s="143">
        <v>47.5</v>
      </c>
      <c r="G188" s="143">
        <v>48.6</v>
      </c>
      <c r="H188" s="143" t="inlineStr">
        <is>
          <t xml:space="preserve">Idle</t>
        </is>
      </c>
      <c r="I188" s="143" t="inlineStr">
        <is>
          <t xml:space="preserve">35-00</t>
        </is>
      </c>
      <c r="J188" s="143"/>
    </row>
    <row r="189" spans="1:10">
      <c r="A189" s="143" t="inlineStr">
        <is>
          <t xml:space="preserve">919</t>
        </is>
      </c>
      <c r="B189" s="143" t="inlineStr">
        <is>
          <t xml:space="preserve">32822269</t>
        </is>
      </c>
      <c r="C189" s="143" t="inlineStr">
        <is>
          <t xml:space="preserve">S26-R10173/A320/A321 - FIRE PROTECTION - INSTALLATION OF PLACARD IN LAVATORY</t>
        </is>
      </c>
      <c r="D189" s="143" t="inlineStr">
        <is>
          <t xml:space="preserve">ACHK</t>
        </is>
      </c>
      <c r="E189" s="143">
        <v>0.5</v>
      </c>
      <c r="F189" s="143">
        <v>0.0</v>
      </c>
      <c r="G189" s="143">
        <v>0.0</v>
      </c>
      <c r="H189" s="143" t="inlineStr">
        <is>
          <t xml:space="preserve">Not Started</t>
        </is>
      </c>
      <c r="I189" s="143">
        <v>26.0</v>
      </c>
      <c r="J189" s="143"/>
    </row>
    <row r="190" spans="1:10">
      <c r="A190" s="143" t="inlineStr">
        <is>
          <t xml:space="preserve">922</t>
        </is>
      </c>
      <c r="B190" s="143" t="inlineStr">
        <is>
          <t xml:space="preserve">30262642</t>
        </is>
      </c>
      <c r="C190" s="143" t="inlineStr">
        <is>
          <t xml:space="preserve">S32-R10324/A320 - LANDING GEAR - OPERATIONAL CHECK OF PBCV TO VERIFY ELECTRICAL</t>
        </is>
      </c>
      <c r="D190" s="143" t="inlineStr">
        <is>
          <t xml:space="preserve">ACHK</t>
        </is>
      </c>
      <c r="E190" s="143">
        <v>1.67</v>
      </c>
      <c r="F190" s="143">
        <v>0.0</v>
      </c>
      <c r="G190" s="143">
        <v>0.0</v>
      </c>
      <c r="H190" s="143" t="inlineStr">
        <is>
          <t xml:space="preserve">Not Started</t>
        </is>
      </c>
      <c r="I190" s="143">
        <v>32.0</v>
      </c>
      <c r="J190" s="143"/>
    </row>
    <row r="191" spans="1:10">
      <c r="A191" s="143" t="inlineStr">
        <is>
          <t xml:space="preserve">923</t>
        </is>
      </c>
      <c r="B191" s="143" t="inlineStr">
        <is>
          <t xml:space="preserve">32800094</t>
        </is>
      </c>
      <c r="C191" s="143" t="inlineStr">
        <is>
          <t xml:space="preserve">S36-R10202/EBAS ENHANCEMENT TASKS - BLEED HEALTH CHECK</t>
        </is>
      </c>
      <c r="D191" s="143" t="inlineStr">
        <is>
          <t xml:space="preserve">CCHK</t>
        </is>
      </c>
      <c r="E191" s="143">
        <v>31.0</v>
      </c>
      <c r="F191" s="143">
        <v>7.52</v>
      </c>
      <c r="G191" s="143">
        <v>820.4</v>
      </c>
      <c r="H191" s="143" t="inlineStr">
        <is>
          <t xml:space="preserve">Idle</t>
        </is>
      </c>
      <c r="I191" s="143">
        <v>36.0</v>
      </c>
      <c r="J191" s="143"/>
    </row>
    <row r="192" spans="1:10">
      <c r="A192" s="143" t="inlineStr">
        <is>
          <t xml:space="preserve">926</t>
        </is>
      </c>
      <c r="B192" s="143" t="inlineStr">
        <is>
          <t xml:space="preserve">32980026</t>
        </is>
      </c>
      <c r="C192" s="143" t="inlineStr">
        <is>
          <t xml:space="preserve">FINDING (NRC) TASKCARD 25-SVA-05 (01) / ITEM ONE ALL G/C SEATS FOODTRAY DIRTY</t>
        </is>
      </c>
      <c r="D192" s="143">
        <v>1.0</v>
      </c>
      <c r="E192" s="143">
        <v>24.0</v>
      </c>
      <c r="F192" s="143">
        <v>0.0</v>
      </c>
      <c r="G192" s="143">
        <v>0.0</v>
      </c>
      <c r="H192" s="143" t="inlineStr">
        <is>
          <t xml:space="preserve">Not Started</t>
        </is>
      </c>
      <c r="I192" s="143" t="inlineStr">
        <is>
          <t xml:space="preserve">25-21</t>
        </is>
      </c>
      <c r="J192" s="143"/>
    </row>
    <row r="193" spans="1:10">
      <c r="A193" s="143" t="inlineStr">
        <is>
          <t xml:space="preserve">939</t>
        </is>
      </c>
      <c r="B193" s="143" t="inlineStr">
        <is>
          <t xml:space="preserve">32980111</t>
        </is>
      </c>
      <c r="C193" s="143" t="inlineStr">
        <is>
          <t xml:space="preserve">FINDING (NRC) TASKCARD ZL-500-02-1-001 (05) / LH WING FT--RII LH WING FLAP FAIRING #4 DRAINED WITH FUEL LEAKAGE</t>
        </is>
      </c>
      <c r="D193" s="143">
        <v>1.0</v>
      </c>
      <c r="E193" s="143">
        <v>0.0</v>
      </c>
      <c r="F193" s="143">
        <v>9.92</v>
      </c>
      <c r="G193" s="143">
        <v>846.9</v>
      </c>
      <c r="H193" s="143" t="inlineStr">
        <is>
          <t xml:space="preserve">Idle</t>
        </is>
      </c>
      <c r="I193" s="143" t="inlineStr">
        <is>
          <t xml:space="preserve">05-25</t>
        </is>
      </c>
      <c r="J193" s="143"/>
    </row>
    <row r="194" spans="1:10">
      <c r="A194" s="143" t="inlineStr">
        <is>
          <t xml:space="preserve">941</t>
        </is>
      </c>
      <c r="B194" s="143" t="inlineStr">
        <is>
          <t xml:space="preserve">32980118</t>
        </is>
      </c>
      <c r="C194" s="143" t="inlineStr">
        <is>
          <t xml:space="preserve">FINDING (NRC) TASKCARD ZL-500-02-1-001 (05) / LH WING AP--RII LH WING SLAT TRACK COVER NO#2 WITH CRACK DIM: L= 2 IN</t>
        </is>
      </c>
      <c r="D194" s="143">
        <v>1.0</v>
      </c>
      <c r="E194" s="143">
        <v>8.0</v>
      </c>
      <c r="F194" s="143">
        <v>13.92</v>
      </c>
      <c r="G194" s="143">
        <v>522.4</v>
      </c>
      <c r="H194" s="143" t="inlineStr">
        <is>
          <t xml:space="preserve">Idle</t>
        </is>
      </c>
      <c r="I194" s="143" t="inlineStr">
        <is>
          <t xml:space="preserve">05-25</t>
        </is>
      </c>
      <c r="J194" s="143"/>
    </row>
    <row r="195" spans="1:10">
      <c r="A195" s="143" t="inlineStr">
        <is>
          <t xml:space="preserve">943</t>
        </is>
      </c>
      <c r="B195" s="143" t="inlineStr">
        <is>
          <t xml:space="preserve">44-SVA-01</t>
        </is>
      </c>
      <c r="C195" s="143" t="inlineStr">
        <is>
          <t xml:space="preserve">44-SVA-01 (01) / PANASONIC LEVEL 1 CHECK</t>
        </is>
      </c>
      <c r="D195" s="143">
        <v>1.0</v>
      </c>
      <c r="E195" s="143">
        <v>1.5</v>
      </c>
      <c r="F195" s="143">
        <v>0.0</v>
      </c>
      <c r="G195" s="143">
        <v>0.0</v>
      </c>
      <c r="H195" s="143" t="inlineStr">
        <is>
          <t xml:space="preserve">Not Started</t>
        </is>
      </c>
      <c r="I195" s="143" t="inlineStr">
        <is>
          <t xml:space="preserve">44-21</t>
        </is>
      </c>
      <c r="J195" s="143"/>
    </row>
    <row r="196" spans="1:10">
      <c r="A196" s="143" t="inlineStr">
        <is>
          <t xml:space="preserve">944</t>
        </is>
      </c>
      <c r="B196" s="143" t="inlineStr">
        <is>
          <t xml:space="preserve">32917899</t>
        </is>
      </c>
      <c r="C196" s="143" t="inlineStr">
        <is>
          <t xml:space="preserve">ISC/IN SERVCE CHECK_N</t>
        </is>
      </c>
      <c r="D196" s="143" t="inlineStr">
        <is>
          <t xml:space="preserve">N</t>
        </is>
      </c>
      <c r="E196" s="143">
        <v>0.0</v>
      </c>
      <c r="F196" s="143">
        <v>0.0</v>
      </c>
      <c r="G196" s="143">
        <v>0.0</v>
      </c>
      <c r="H196" s="143" t="inlineStr">
        <is>
          <t xml:space="preserve">Not Started</t>
        </is>
      </c>
      <c r="I196" s="143" t="inlineStr">
        <is>
          <t xml:space="preserve">20-00</t>
        </is>
      </c>
      <c r="J196" s="143"/>
    </row>
    <row r="197" spans="1:10">
      <c r="A197" s="143" t="inlineStr">
        <is>
          <t xml:space="preserve">945</t>
        </is>
      </c>
      <c r="B197" s="143" t="inlineStr">
        <is>
          <t xml:space="preserve">32420054</t>
        </is>
      </c>
      <c r="C197" s="143" t="inlineStr">
        <is>
          <t xml:space="preserve">W_N/WEEKLY CHECK</t>
        </is>
      </c>
      <c r="D197" s="143" t="inlineStr">
        <is>
          <t xml:space="preserve">N</t>
        </is>
      </c>
      <c r="E197" s="143">
        <v>0.0</v>
      </c>
      <c r="F197" s="143">
        <v>0.0</v>
      </c>
      <c r="G197" s="143">
        <v>0.0</v>
      </c>
      <c r="H197" s="143" t="inlineStr">
        <is>
          <t xml:space="preserve">Not Started</t>
        </is>
      </c>
      <c r="I197" s="143" t="inlineStr">
        <is>
          <t xml:space="preserve">20-00</t>
        </is>
      </c>
      <c r="J197" s="143"/>
    </row>
    <row r="198" spans="1:10">
      <c r="A198" s="143" t="inlineStr">
        <is>
          <t xml:space="preserve">947</t>
        </is>
      </c>
      <c r="B198" s="143" t="inlineStr">
        <is>
          <t xml:space="preserve">ISC-32S</t>
        </is>
      </c>
      <c r="C198" s="143" t="inlineStr">
        <is>
          <t xml:space="preserve">ISC-32S (14) / 32S IN-SERVEICE-CHECK (ISC)</t>
        </is>
      </c>
      <c r="D198" s="143">
        <v>1.0</v>
      </c>
      <c r="E198" s="143">
        <v>2.83</v>
      </c>
      <c r="F198" s="143">
        <v>0.0</v>
      </c>
      <c r="G198" s="143">
        <v>0.0</v>
      </c>
      <c r="H198" s="143" t="inlineStr">
        <is>
          <t xml:space="preserve">Not Started</t>
        </is>
      </c>
      <c r="I198" s="143">
        <v>12.0</v>
      </c>
      <c r="J198" s="143" t="inlineStr">
        <is>
          <t xml:space="preserve">TC/P, --, --, --</t>
        </is>
      </c>
    </row>
    <row r="199" spans="1:10">
      <c r="A199" s="143" t="inlineStr">
        <is>
          <t xml:space="preserve">948</t>
        </is>
      </c>
      <c r="B199" s="143" t="inlineStr">
        <is>
          <t xml:space="preserve">WEEKLY-32S</t>
        </is>
      </c>
      <c r="C199" s="143" t="inlineStr">
        <is>
          <t xml:space="preserve">WEEKLY-32S (05) / WEEKLY 32S CHECK</t>
        </is>
      </c>
      <c r="D199" s="143">
        <v>1.0</v>
      </c>
      <c r="E199" s="143">
        <v>5.92</v>
      </c>
      <c r="F199" s="143">
        <v>0.0</v>
      </c>
      <c r="G199" s="143">
        <v>0.0</v>
      </c>
      <c r="H199" s="143" t="inlineStr">
        <is>
          <t xml:space="preserve">Not Started</t>
        </is>
      </c>
      <c r="I199" s="143">
        <v>12.0</v>
      </c>
      <c r="J199" s="143" t="inlineStr">
        <is>
          <t xml:space="preserve">TC/P, --, --, --, --, --, --, --</t>
        </is>
      </c>
    </row>
    <row r="200" spans="1:10">
      <c r="A200" s="143" t="inlineStr">
        <is>
          <t xml:space="preserve">953</t>
        </is>
      </c>
      <c r="B200" s="143" t="inlineStr">
        <is>
          <t xml:space="preserve">32980186</t>
        </is>
      </c>
      <c r="C200" s="143" t="inlineStr">
        <is>
          <t xml:space="preserve">FINDING (NRC) TASKCARD ZL-500-02-1-001 (05) LH WING  AP--NO CALLBACK LH WING FLAP TRACK MOV. FAIRING WITH SIGN OF OIL LEAKAGE.</t>
        </is>
      </c>
      <c r="D200" s="143">
        <v>1.0</v>
      </c>
      <c r="E200" s="143">
        <v>6.0</v>
      </c>
      <c r="F200" s="143">
        <v>0.0</v>
      </c>
      <c r="G200" s="143">
        <v>0.0</v>
      </c>
      <c r="H200" s="143" t="inlineStr">
        <is>
          <t xml:space="preserve">Not Started</t>
        </is>
      </c>
      <c r="I200" s="143" t="inlineStr">
        <is>
          <t xml:space="preserve">05-25</t>
        </is>
      </c>
      <c r="J200" s="143"/>
    </row>
    <row r="201" spans="1:10">
      <c r="A201" s="143" t="inlineStr">
        <is>
          <t xml:space="preserve">957</t>
        </is>
      </c>
      <c r="B201" s="143" t="inlineStr">
        <is>
          <t xml:space="preserve">32981683</t>
        </is>
      </c>
      <c r="C201" s="143" t="inlineStr">
        <is>
          <t xml:space="preserve">FINDING (NRC) TASKCARD 25-SVA-03 (01) / ITEM ONE B/C SEAT#1A,L, AND 4A, SHROUD/VELCRO ASSEMBLY DAMAGED.</t>
        </is>
      </c>
      <c r="D201" s="143">
        <v>1.0</v>
      </c>
      <c r="E201" s="143">
        <v>3.0</v>
      </c>
      <c r="F201" s="143">
        <v>0.0</v>
      </c>
      <c r="G201" s="143">
        <v>0.0</v>
      </c>
      <c r="H201" s="143" t="inlineStr">
        <is>
          <t xml:space="preserve">Not Started</t>
        </is>
      </c>
      <c r="I201" s="143" t="inlineStr">
        <is>
          <t xml:space="preserve">25-21</t>
        </is>
      </c>
      <c r="J201" s="143"/>
    </row>
    <row r="202" spans="1:10">
      <c r="A202" s="143" t="inlineStr">
        <is>
          <t xml:space="preserve">965</t>
        </is>
      </c>
      <c r="B202" s="143" t="inlineStr">
        <is>
          <t xml:space="preserve">32982133</t>
        </is>
      </c>
      <c r="C202" s="143" t="inlineStr">
        <is>
          <t xml:space="preserve">CAB RII  - OXYGEN MASK F/O OXYGEN MASK VALVE DISK MISSING</t>
        </is>
      </c>
      <c r="D202" s="143">
        <v>1.0</v>
      </c>
      <c r="E202" s="143">
        <v>0.0</v>
      </c>
      <c r="F202" s="143">
        <v>4.5</v>
      </c>
      <c r="G202" s="143">
        <v>884.9</v>
      </c>
      <c r="H202" s="143" t="inlineStr">
        <is>
          <t xml:space="preserve">Idle</t>
        </is>
      </c>
      <c r="I202" s="143" t="inlineStr">
        <is>
          <t xml:space="preserve">35-12</t>
        </is>
      </c>
      <c r="J202" s="143"/>
    </row>
    <row r="203" spans="1:10">
      <c r="A203" s="143" t="inlineStr">
        <is>
          <t xml:space="preserve">966</t>
        </is>
      </c>
      <c r="B203" s="143" t="inlineStr">
        <is>
          <t xml:space="preserve">32982172</t>
        </is>
      </c>
      <c r="C203" s="143" t="inlineStr">
        <is>
          <t xml:space="preserve">AFT GALLY  SM--CALL BACK AFT GALLEY LOWER ATTACHMENT POINTS  FITTING WITH 3 EA PLAT RUSTY</t>
        </is>
      </c>
      <c r="D203" s="143">
        <v>1.0</v>
      </c>
      <c r="E203" s="143">
        <v>8.0</v>
      </c>
      <c r="F203" s="143">
        <v>15.0</v>
      </c>
      <c r="G203" s="143">
        <v>721.0</v>
      </c>
      <c r="H203" s="143" t="inlineStr">
        <is>
          <t xml:space="preserve">Idle</t>
        </is>
      </c>
      <c r="I203" s="143" t="inlineStr">
        <is>
          <t xml:space="preserve">25-30</t>
        </is>
      </c>
      <c r="J203" s="143"/>
    </row>
    <row r="204" spans="1:10">
      <c r="A204" s="143" t="inlineStr">
        <is>
          <t xml:space="preserve">968</t>
        </is>
      </c>
      <c r="B204" s="143" t="inlineStr">
        <is>
          <t xml:space="preserve">32982194</t>
        </is>
      </c>
      <c r="C204" s="143" t="inlineStr">
        <is>
          <t xml:space="preserve">CAB-CALLBACK L2 STOWAGE REMOVAL FOR ACCESS</t>
        </is>
      </c>
      <c r="D204" s="143">
        <v>1.0</v>
      </c>
      <c r="E204" s="143">
        <v>0.0</v>
      </c>
      <c r="F204" s="143">
        <v>27.0</v>
      </c>
      <c r="G204" s="143">
        <v>881.8</v>
      </c>
      <c r="H204" s="143" t="inlineStr">
        <is>
          <t xml:space="preserve">Idle</t>
        </is>
      </c>
      <c r="I204" s="143" t="inlineStr">
        <is>
          <t xml:space="preserve">25-30</t>
        </is>
      </c>
      <c r="J204" s="143"/>
    </row>
    <row r="205" spans="1:10">
      <c r="A205" s="143" t="inlineStr">
        <is>
          <t xml:space="preserve">970</t>
        </is>
      </c>
      <c r="B205" s="143" t="inlineStr">
        <is>
          <t xml:space="preserve">32982197</t>
        </is>
      </c>
      <c r="C205" s="143" t="inlineStr">
        <is>
          <t xml:space="preserve">CAB-CALLBACK R2 STOWAGE REMOVED FOR ACCESS</t>
        </is>
      </c>
      <c r="D205" s="143">
        <v>1.0</v>
      </c>
      <c r="E205" s="143">
        <v>0.0</v>
      </c>
      <c r="F205" s="143">
        <v>29.0</v>
      </c>
      <c r="G205" s="143">
        <v>907.0</v>
      </c>
      <c r="H205" s="143" t="inlineStr">
        <is>
          <t xml:space="preserve">Idle</t>
        </is>
      </c>
      <c r="I205" s="143" t="inlineStr">
        <is>
          <t xml:space="preserve">25-30</t>
        </is>
      </c>
      <c r="J205" s="143"/>
    </row>
    <row r="206" spans="1:10">
      <c r="A206" s="143" t="inlineStr">
        <is>
          <t xml:space="preserve">971</t>
        </is>
      </c>
      <c r="B206" s="143" t="inlineStr">
        <is>
          <t xml:space="preserve">32982199</t>
        </is>
      </c>
      <c r="C206" s="143" t="inlineStr">
        <is>
          <t xml:space="preserve">RII-CAB-L1 INBOARD AND OUTBOARD L1 INBOARD AND OUTBOARD WALL-MOUNTED FLIGHT ATTENDANT SEAT REQUIRE REMOVAL FOR ACCESS.</t>
        </is>
      </c>
      <c r="D206" s="143">
        <v>1.0</v>
      </c>
      <c r="E206" s="143">
        <v>0.0</v>
      </c>
      <c r="F206" s="143">
        <v>1.5</v>
      </c>
      <c r="G206" s="143">
        <v>904.7</v>
      </c>
      <c r="H206" s="143" t="inlineStr">
        <is>
          <t xml:space="preserve">Idle</t>
        </is>
      </c>
      <c r="I206" s="143" t="inlineStr">
        <is>
          <t xml:space="preserve">25-40</t>
        </is>
      </c>
      <c r="J206" s="143"/>
    </row>
    <row r="207" spans="1:10">
      <c r="A207" s="143" t="inlineStr">
        <is>
          <t xml:space="preserve">972</t>
        </is>
      </c>
      <c r="B207" s="143" t="inlineStr">
        <is>
          <t xml:space="preserve">32982200</t>
        </is>
      </c>
      <c r="C207" s="143" t="inlineStr">
        <is>
          <t xml:space="preserve">RII-CAB-SWIVEL SWIVEL FLIGHT ATTENDANT SEAT REQUIRE REMOVAL FOR ACCESS</t>
        </is>
      </c>
      <c r="D207" s="143">
        <v>1.0</v>
      </c>
      <c r="E207" s="143">
        <v>0.0</v>
      </c>
      <c r="F207" s="143">
        <v>15.5</v>
      </c>
      <c r="G207" s="143">
        <v>904.9</v>
      </c>
      <c r="H207" s="143" t="inlineStr">
        <is>
          <t xml:space="preserve">Idle</t>
        </is>
      </c>
      <c r="I207" s="143" t="inlineStr">
        <is>
          <t xml:space="preserve">25-40</t>
        </is>
      </c>
      <c r="J207" s="143"/>
    </row>
    <row r="208" spans="1:10">
      <c r="A208" s="143" t="inlineStr">
        <is>
          <t xml:space="preserve">973</t>
        </is>
      </c>
      <c r="B208" s="143" t="inlineStr">
        <is>
          <t xml:space="preserve">32982202</t>
        </is>
      </c>
      <c r="C208" s="143" t="inlineStr">
        <is>
          <t xml:space="preserve">RII-CALLBACK-R2 DOUBLE WALL-MOUNTED R2 DOUBLE WALL-MOUNTED FLIGHT ATTENDANT SEAT REQUIRE REMOVAL FOR ACCESS</t>
        </is>
      </c>
      <c r="D208" s="143">
        <v>1.0</v>
      </c>
      <c r="E208" s="143">
        <v>0.0</v>
      </c>
      <c r="F208" s="143">
        <v>24.0</v>
      </c>
      <c r="G208" s="143">
        <v>141.8</v>
      </c>
      <c r="H208" s="143" t="inlineStr">
        <is>
          <t xml:space="preserve">Idle</t>
        </is>
      </c>
      <c r="I208" s="143" t="inlineStr">
        <is>
          <t xml:space="preserve">25-40</t>
        </is>
      </c>
      <c r="J208" s="143"/>
    </row>
    <row r="209" spans="1:10">
      <c r="A209" s="143" t="inlineStr">
        <is>
          <t xml:space="preserve">974</t>
        </is>
      </c>
      <c r="B209" s="143" t="inlineStr">
        <is>
          <t xml:space="preserve">32982203</t>
        </is>
      </c>
      <c r="C209" s="143" t="inlineStr">
        <is>
          <t xml:space="preserve">RII-CALLBACK L1 INBOARD AND OUTBOARD WALL-MOUNTED FLIGHT ATTENDANT SEAT REQUIRE REMOVAL FOR ACCESS.</t>
        </is>
      </c>
      <c r="D209" s="143">
        <v>1.0</v>
      </c>
      <c r="E209" s="143">
        <v>0.0</v>
      </c>
      <c r="F209" s="143">
        <v>4.0</v>
      </c>
      <c r="G209" s="143">
        <v>905.2</v>
      </c>
      <c r="H209" s="143" t="inlineStr">
        <is>
          <t xml:space="preserve">Idle</t>
        </is>
      </c>
      <c r="I209" s="143" t="inlineStr">
        <is>
          <t xml:space="preserve">25-40</t>
        </is>
      </c>
      <c r="J209" s="143"/>
    </row>
    <row r="210" spans="1:10">
      <c r="A210" s="143" t="inlineStr">
        <is>
          <t xml:space="preserve">988</t>
        </is>
      </c>
      <c r="B210" s="143" t="inlineStr">
        <is>
          <t xml:space="preserve">32983937</t>
        </is>
      </c>
      <c r="C210" s="143" t="inlineStr">
        <is>
          <t xml:space="preserve">PRE---HYD COMPT---RII---FT LOWER FUSELAGE L/H HYD COMPT ACCESS THROUG PANEL 195 BB, WATER DRAIN VALVE FOUND WITH SIGN OF LEAK.</t>
        </is>
      </c>
      <c r="D210" s="143">
        <v>1.0</v>
      </c>
      <c r="E210" s="143">
        <v>8.0</v>
      </c>
      <c r="F210" s="143">
        <v>0.5</v>
      </c>
      <c r="G210" s="143">
        <v>882.4</v>
      </c>
      <c r="H210" s="143" t="inlineStr">
        <is>
          <t xml:space="preserve">Idle</t>
        </is>
      </c>
      <c r="I210" s="143" t="inlineStr">
        <is>
          <t xml:space="preserve">05-21</t>
        </is>
      </c>
      <c r="J210" s="143"/>
    </row>
    <row r="211" spans="1:10">
      <c r="A211" s="143" t="inlineStr">
        <is>
          <t xml:space="preserve">1009</t>
        </is>
      </c>
      <c r="B211" s="143" t="inlineStr">
        <is>
          <t xml:space="preserve">32984823</t>
        </is>
      </c>
      <c r="C211" s="143" t="inlineStr">
        <is>
          <t xml:space="preserve">PNT - NO CALLBACK - LAV A LAV A WASHBASIN PANEL PAINT SCRATCHED.</t>
        </is>
      </c>
      <c r="D211" s="143">
        <v>1.0</v>
      </c>
      <c r="E211" s="143">
        <v>4.0</v>
      </c>
      <c r="F211" s="143">
        <v>5.5</v>
      </c>
      <c r="G211" s="143">
        <v>814.8</v>
      </c>
      <c r="H211" s="143" t="inlineStr">
        <is>
          <t xml:space="preserve">Idle</t>
        </is>
      </c>
      <c r="I211" s="143" t="inlineStr">
        <is>
          <t xml:space="preserve">25-10</t>
        </is>
      </c>
      <c r="J211" s="143"/>
    </row>
    <row r="212" spans="1:10">
      <c r="A212" s="143" t="inlineStr">
        <is>
          <t xml:space="preserve">1014</t>
        </is>
      </c>
      <c r="B212" s="143" t="inlineStr">
        <is>
          <t xml:space="preserve">32984906</t>
        </is>
      </c>
      <c r="C212" s="143" t="inlineStr">
        <is>
          <t xml:space="preserve">CAB - RII - OXYGEN GENERATORS OXYGEN GENERATORS AT ROW 30 LH AND 34 LH WILL EXPIRE ON 05/2027 ROW 30 LH PN: E63440-00 SN: BEDE-F012-020  ROW 34 LH PN: E63440-00 SN: BEDE-F019-109</t>
        </is>
      </c>
      <c r="D212" s="143">
        <v>1.0</v>
      </c>
      <c r="E212" s="143">
        <v>6.0</v>
      </c>
      <c r="F212" s="143">
        <v>17.0</v>
      </c>
      <c r="G212" s="143">
        <v>869.9</v>
      </c>
      <c r="H212" s="143" t="inlineStr">
        <is>
          <t xml:space="preserve">Idle</t>
        </is>
      </c>
      <c r="I212" s="143">
        <v>38.0</v>
      </c>
      <c r="J212" s="143"/>
    </row>
    <row r="213" spans="1:10">
      <c r="A213" s="143" t="inlineStr">
        <is>
          <t xml:space="preserve">1021</t>
        </is>
      </c>
      <c r="B213" s="143" t="inlineStr">
        <is>
          <t xml:space="preserve">32985000</t>
        </is>
      </c>
      <c r="C213" s="143" t="inlineStr">
        <is>
          <t xml:space="preserve">AP---CALLBACK---ENG. 1 HP DUCT PRESSURE SENSE LINE AT 12 O`CLOCK CHAFFED OVER EGT THERMOCOUPLE</t>
        </is>
      </c>
      <c r="D213" s="143">
        <v>1.0</v>
      </c>
      <c r="E213" s="143">
        <v>8.0</v>
      </c>
      <c r="F213" s="143">
        <v>16.0</v>
      </c>
      <c r="G213" s="143">
        <v>221.7</v>
      </c>
      <c r="H213" s="143" t="inlineStr">
        <is>
          <t xml:space="preserve">Idle</t>
        </is>
      </c>
      <c r="I213" s="143" t="inlineStr">
        <is>
          <t xml:space="preserve">05-24</t>
        </is>
      </c>
      <c r="J213" s="143"/>
    </row>
    <row r="214" spans="1:10">
      <c r="A214" s="143" t="inlineStr">
        <is>
          <t xml:space="preserve">1038</t>
        </is>
      </c>
      <c r="B214" s="143" t="inlineStr">
        <is>
          <t xml:space="preserve">32985332</t>
        </is>
      </c>
      <c r="C214" s="143" t="inlineStr">
        <is>
          <t xml:space="preserve">CAB - NO CALL BACK L1 DOOR INBOARD F/A SEAT BELT DIRTY</t>
        </is>
      </c>
      <c r="D214" s="143">
        <v>1.0</v>
      </c>
      <c r="E214" s="143">
        <v>0.0</v>
      </c>
      <c r="F214" s="143">
        <v>0.0</v>
      </c>
      <c r="G214" s="143">
        <v>0.0</v>
      </c>
      <c r="H214" s="143" t="inlineStr">
        <is>
          <t xml:space="preserve">Not Started</t>
        </is>
      </c>
      <c r="I214" s="143">
        <v>25.0</v>
      </c>
      <c r="J214" s="143"/>
    </row>
    <row r="215" spans="1:10">
      <c r="A215" s="143" t="inlineStr">
        <is>
          <t xml:space="preserve">1045</t>
        </is>
      </c>
      <c r="B215" s="143" t="inlineStr">
        <is>
          <t xml:space="preserve">32985343</t>
        </is>
      </c>
      <c r="C215" s="143" t="inlineStr">
        <is>
          <t xml:space="preserve">CAB - NO CALLBACK L1 DOOR OUTBOARD F/A SEAT BELT DIRTY</t>
        </is>
      </c>
      <c r="D215" s="143">
        <v>1.0</v>
      </c>
      <c r="E215" s="143">
        <v>0.0</v>
      </c>
      <c r="F215" s="143">
        <v>0.0</v>
      </c>
      <c r="G215" s="143">
        <v>0.0</v>
      </c>
      <c r="H215" s="143" t="inlineStr">
        <is>
          <t xml:space="preserve">Not Started</t>
        </is>
      </c>
      <c r="I215" s="143">
        <v>25.0</v>
      </c>
      <c r="J215" s="143"/>
    </row>
    <row r="216" spans="1:10">
      <c r="A216" s="143" t="inlineStr">
        <is>
          <t xml:space="preserve">1061</t>
        </is>
      </c>
      <c r="B216" s="143" t="inlineStr">
        <is>
          <t xml:space="preserve">32985832</t>
        </is>
      </c>
      <c r="C216" s="143" t="inlineStr">
        <is>
          <t xml:space="preserve">CAB -RII DURING OXYGEN GENERATOR CHECK FOUND GREEN LANYARD MISSING AND  BRIDLE ASSY  AT SEAT# 1AC, 2AC, 5AC, 30ABC, 31ABC, 32ABC, 34ABC, 35ABC, 36ABC, 37ABC, 38ABC, 40ABC, 41ABC, 42ABC, 43ABC AND 44ABC</t>
        </is>
      </c>
      <c r="D216" s="143">
        <v>1.0</v>
      </c>
      <c r="E216" s="143">
        <v>0.0</v>
      </c>
      <c r="F216" s="143">
        <v>36.0</v>
      </c>
      <c r="G216" s="143">
        <v>46.0</v>
      </c>
      <c r="H216" s="143" t="inlineStr">
        <is>
          <t xml:space="preserve">Idle</t>
        </is>
      </c>
      <c r="I216" s="143" t="inlineStr">
        <is>
          <t xml:space="preserve">35-23</t>
        </is>
      </c>
      <c r="J216" s="143"/>
    </row>
    <row r="217" spans="1:10">
      <c r="A217" s="143" t="inlineStr">
        <is>
          <t xml:space="preserve">1062</t>
        </is>
      </c>
      <c r="B217" s="143" t="inlineStr">
        <is>
          <t xml:space="preserve">32985833</t>
        </is>
      </c>
      <c r="C217" s="143" t="inlineStr">
        <is>
          <t xml:space="preserve">CAB -RII DURING OXYGEN GENERATOR CHECK FOUND GREEN LANYARD MISSING AND  BRIDLE ASSY  AT SEAT# 2JL,4JL,30JKL,31JKL32JKL,34JKL,36JKL,37JKL,38JKL,39JKL,40JKL,41JKL,42JKL,43JKL,44JKL.</t>
        </is>
      </c>
      <c r="D217" s="143">
        <v>1.0</v>
      </c>
      <c r="E217" s="143">
        <v>0.0</v>
      </c>
      <c r="F217" s="143">
        <v>39.5</v>
      </c>
      <c r="G217" s="143">
        <v>30.1</v>
      </c>
      <c r="H217" s="143" t="inlineStr">
        <is>
          <t xml:space="preserve">Idle</t>
        </is>
      </c>
      <c r="I217" s="143" t="inlineStr">
        <is>
          <t xml:space="preserve">35-23</t>
        </is>
      </c>
      <c r="J217" s="143"/>
    </row>
    <row r="218" spans="1:10">
      <c r="A218" s="143" t="inlineStr">
        <is>
          <t xml:space="preserve">1084</t>
        </is>
      </c>
      <c r="B218" s="143" t="inlineStr">
        <is>
          <t xml:space="preserve">32913240</t>
        </is>
      </c>
      <c r="C218" s="143" t="inlineStr">
        <is>
          <t xml:space="preserve">S28-R10083/A320,321 REPETITIVE FUEL SUMP AND DRAIN - WATER REMOVAL</t>
        </is>
      </c>
      <c r="D218" s="143" t="inlineStr">
        <is>
          <t xml:space="preserve">RON</t>
        </is>
      </c>
      <c r="E218" s="143">
        <v>2.0</v>
      </c>
      <c r="F218" s="143">
        <v>3.5</v>
      </c>
      <c r="G218" s="143">
        <v>836.9</v>
      </c>
      <c r="H218" s="143" t="inlineStr">
        <is>
          <t xml:space="preserve">Idle</t>
        </is>
      </c>
      <c r="I218" s="143">
        <v>28.0</v>
      </c>
      <c r="J218" s="143"/>
    </row>
    <row r="219" spans="1:10">
      <c r="A219" s="143" t="inlineStr">
        <is>
          <t xml:space="preserve">1085</t>
        </is>
      </c>
      <c r="B219" s="143" t="inlineStr">
        <is>
          <t xml:space="preserve">32984296</t>
        </is>
      </c>
      <c r="C219" s="143" t="inlineStr">
        <is>
          <t xml:space="preserve">S34-R10187/A320/A321 - T2CAS - UPDATE OF TERRAIN DATABASE INTO VERSION 227</t>
        </is>
      </c>
      <c r="D219" s="143" t="inlineStr">
        <is>
          <t xml:space="preserve">PJED</t>
        </is>
      </c>
      <c r="E219" s="143">
        <v>1.33</v>
      </c>
      <c r="F219" s="143">
        <v>16.0</v>
      </c>
      <c r="G219" s="143">
        <v>6.45</v>
      </c>
      <c r="H219" s="143" t="inlineStr">
        <is>
          <t xml:space="preserve">Idle</t>
        </is>
      </c>
      <c r="I219" s="143">
        <v>34.0</v>
      </c>
      <c r="J219" s="143"/>
    </row>
    <row r="220" spans="1:10">
      <c r="A220" s="143" t="inlineStr">
        <is>
          <t xml:space="preserve">1086</t>
        </is>
      </c>
      <c r="B220" s="143" t="inlineStr">
        <is>
          <t xml:space="preserve">32974165</t>
        </is>
      </c>
      <c r="C220" s="143" t="inlineStr">
        <is>
          <t xml:space="preserve">S52-R10175/ASD // L2 PAX DOOR SEAL RETAINER WITH DENT &amp; GOUGE</t>
        </is>
      </c>
      <c r="D220" s="143">
        <v>1.0</v>
      </c>
      <c r="E220" s="143">
        <v>0.25</v>
      </c>
      <c r="F220" s="143">
        <v>1.17</v>
      </c>
      <c r="G220" s="143">
        <v>317.6</v>
      </c>
      <c r="H220" s="143" t="inlineStr">
        <is>
          <t xml:space="preserve">Idle</t>
        </is>
      </c>
      <c r="I220" s="143">
        <v>53.0</v>
      </c>
      <c r="J220" s="143"/>
    </row>
    <row r="221" spans="1:10">
      <c r="A221" s="143" t="inlineStr">
        <is>
          <t xml:space="preserve">1100</t>
        </is>
      </c>
      <c r="B221" s="143" t="inlineStr">
        <is>
          <t xml:space="preserve">32987976</t>
        </is>
      </c>
      <c r="C221" s="143" t="inlineStr">
        <is>
          <t xml:space="preserve">PRE---AFT CARGO---NOCALLBACK---AP AFT AND BULK CARGO COMPT DOOR NET IDENTIFICATION LABEL FOUND TORN AND NET STRIPS FOUND DETACHED.</t>
        </is>
      </c>
      <c r="D221" s="143">
        <v>1.0</v>
      </c>
      <c r="E221" s="143">
        <v>6.0</v>
      </c>
      <c r="F221" s="143">
        <v>20.0</v>
      </c>
      <c r="G221" s="143">
        <v>28.5</v>
      </c>
      <c r="H221" s="143" t="inlineStr">
        <is>
          <t xml:space="preserve">Idle</t>
        </is>
      </c>
      <c r="I221" s="143" t="inlineStr">
        <is>
          <t xml:space="preserve">25-50</t>
        </is>
      </c>
      <c r="J221" s="143"/>
    </row>
    <row r="222" spans="1:10">
      <c r="A222" s="143" t="inlineStr">
        <is>
          <t xml:space="preserve">1107</t>
        </is>
      </c>
      <c r="B222" s="143" t="inlineStr">
        <is>
          <t xml:space="preserve">32988329</t>
        </is>
      </c>
      <c r="C222" s="143" t="inlineStr">
        <is>
          <t xml:space="preserve">PAINT - NO CALL BACK - CEILING PANEL CEILING PANEL FOUND DAMAGED ABOVE 4LJ</t>
        </is>
      </c>
      <c r="D222" s="143">
        <v>1.0</v>
      </c>
      <c r="E222" s="143">
        <v>2.0</v>
      </c>
      <c r="F222" s="143">
        <v>0.0</v>
      </c>
      <c r="G222" s="143">
        <v>0.0</v>
      </c>
      <c r="H222" s="143" t="inlineStr">
        <is>
          <t xml:space="preserve">Not Started</t>
        </is>
      </c>
      <c r="I222" s="143" t="inlineStr">
        <is>
          <t xml:space="preserve">25-10</t>
        </is>
      </c>
      <c r="J222" s="143"/>
    </row>
    <row r="223" spans="1:10">
      <c r="A223" s="143" t="inlineStr">
        <is>
          <t xml:space="preserve">1108</t>
        </is>
      </c>
      <c r="B223" s="143" t="inlineStr">
        <is>
          <t xml:space="preserve">32988444</t>
        </is>
      </c>
      <c r="C223" s="143" t="inlineStr">
        <is>
          <t xml:space="preserve">PAINT - NO CALL BACK - CEILING PANEL CHIPPED CEILING PANEL PNT CHIPPED OFF AT 41CBA</t>
        </is>
      </c>
      <c r="D223" s="143">
        <v>1.0</v>
      </c>
      <c r="E223" s="143">
        <v>4.0</v>
      </c>
      <c r="F223" s="143">
        <v>0.5</v>
      </c>
      <c r="G223" s="143">
        <v>220.0</v>
      </c>
      <c r="H223" s="143" t="inlineStr">
        <is>
          <t xml:space="preserve">Idle</t>
        </is>
      </c>
      <c r="I223" s="143" t="inlineStr">
        <is>
          <t xml:space="preserve">25-20</t>
        </is>
      </c>
      <c r="J223" s="143"/>
    </row>
    <row r="224" spans="1:10">
      <c r="A224" s="143" t="inlineStr">
        <is>
          <t xml:space="preserve">1112</t>
        </is>
      </c>
      <c r="B224" s="143" t="inlineStr">
        <is>
          <t xml:space="preserve">32988660</t>
        </is>
      </c>
      <c r="C224" s="143" t="inlineStr">
        <is>
          <t xml:space="preserve">PANT - NO CALL BACK - OSB OSB AT 44 CBA PAINT CHIPPED &amp; INNER DENTS</t>
        </is>
      </c>
      <c r="D224" s="143">
        <v>1.0</v>
      </c>
      <c r="E224" s="143">
        <v>4.0</v>
      </c>
      <c r="F224" s="143">
        <v>74.8</v>
      </c>
      <c r="G224" s="143">
        <v>318.9</v>
      </c>
      <c r="H224" s="143" t="inlineStr">
        <is>
          <t xml:space="preserve">Idle</t>
        </is>
      </c>
      <c r="I224" s="143" t="inlineStr">
        <is>
          <t xml:space="preserve">25-10</t>
        </is>
      </c>
      <c r="J224" s="143"/>
    </row>
    <row r="225" spans="1:10">
      <c r="A225" s="143" t="inlineStr">
        <is>
          <t xml:space="preserve">1113</t>
        </is>
      </c>
      <c r="B225" s="143" t="inlineStr">
        <is>
          <t xml:space="preserve">32988687</t>
        </is>
      </c>
      <c r="C225" s="143" t="inlineStr">
        <is>
          <t xml:space="preserve">CAB - NO CALL BACK - OSB OSB DEVIDER DAMAGED AT 32LKJ</t>
        </is>
      </c>
      <c r="D225" s="143">
        <v>1.0</v>
      </c>
      <c r="E225" s="143">
        <v>2.0</v>
      </c>
      <c r="F225" s="143">
        <v>0.0</v>
      </c>
      <c r="G225" s="143">
        <v>0.0</v>
      </c>
      <c r="H225" s="143" t="inlineStr">
        <is>
          <t xml:space="preserve">Not Started</t>
        </is>
      </c>
      <c r="I225" s="143" t="inlineStr">
        <is>
          <t xml:space="preserve">25-10</t>
        </is>
      </c>
      <c r="J225" s="143"/>
    </row>
    <row r="226" spans="1:10">
      <c r="A226" s="143" t="inlineStr">
        <is>
          <t xml:space="preserve">1116</t>
        </is>
      </c>
      <c r="B226" s="143" t="inlineStr">
        <is>
          <t xml:space="preserve">32988786</t>
        </is>
      </c>
      <c r="C226" s="143" t="inlineStr">
        <is>
          <t xml:space="preserve">PAINT - NO CALL BACK - OSB OSB PAINT FOUND CHIPPED AT 1 CA</t>
        </is>
      </c>
      <c r="D226" s="143">
        <v>1.0</v>
      </c>
      <c r="E226" s="143">
        <v>1.0</v>
      </c>
      <c r="F226" s="143">
        <v>0.0</v>
      </c>
      <c r="G226" s="143">
        <v>0.0</v>
      </c>
      <c r="H226" s="143" t="inlineStr">
        <is>
          <t xml:space="preserve">Not Started</t>
        </is>
      </c>
      <c r="I226" s="143" t="inlineStr">
        <is>
          <t xml:space="preserve">25-10</t>
        </is>
      </c>
      <c r="J226" s="143"/>
    </row>
    <row r="227" spans="1:10">
      <c r="A227" s="143" t="inlineStr">
        <is>
          <t xml:space="preserve">1129</t>
        </is>
      </c>
      <c r="B227" s="143" t="inlineStr">
        <is>
          <t xml:space="preserve">32989475</t>
        </is>
      </c>
      <c r="C227" s="143" t="inlineStr">
        <is>
          <t xml:space="preserve">AV - NO CALLBACK - PAX SEATS SEATS AT 30ABC TO 34 ABC REQUIRED TO REMOVED ELECTRICAL WIRE FOR ACCESS.</t>
        </is>
      </c>
      <c r="D227" s="143">
        <v>1.0</v>
      </c>
      <c r="E227" s="143">
        <v>8.0</v>
      </c>
      <c r="F227" s="143">
        <v>29.0</v>
      </c>
      <c r="G227" s="143">
        <v>842.2</v>
      </c>
      <c r="H227" s="143" t="inlineStr">
        <is>
          <t xml:space="preserve">Idle</t>
        </is>
      </c>
      <c r="I227" s="143">
        <v>25.0</v>
      </c>
      <c r="J227" s="143"/>
    </row>
    <row r="228" spans="1:10">
      <c r="A228" s="143" t="inlineStr">
        <is>
          <t xml:space="preserve">1135</t>
        </is>
      </c>
      <c r="B228" s="143" t="inlineStr">
        <is>
          <t xml:space="preserve">32989529</t>
        </is>
      </c>
      <c r="C228" s="143" t="inlineStr">
        <is>
          <t xml:space="preserve">FWD GARGO COMPT=====FS=====NO CALL BACK FWD CARGO COMPARTMENT CEILING, SIDE WALL AND SLOPY AREA DIRTY WITH ACCUMULATED DUST</t>
        </is>
      </c>
      <c r="D228" s="143">
        <v>1.0</v>
      </c>
      <c r="E228" s="143">
        <v>30.0</v>
      </c>
      <c r="F228" s="143">
        <v>16.0</v>
      </c>
      <c r="G228" s="143">
        <v>6.33</v>
      </c>
      <c r="H228" s="143" t="inlineStr">
        <is>
          <t xml:space="preserve">Idle</t>
        </is>
      </c>
      <c r="I228" s="143" t="inlineStr">
        <is>
          <t xml:space="preserve">05-21</t>
        </is>
      </c>
      <c r="J228" s="143"/>
    </row>
    <row r="229" spans="1:10">
      <c r="A229" s="143" t="inlineStr">
        <is>
          <t xml:space="preserve">1144</t>
        </is>
      </c>
      <c r="B229" s="143" t="inlineStr">
        <is>
          <t xml:space="preserve">32989797</t>
        </is>
      </c>
      <c r="C229" s="143" t="inlineStr">
        <is>
          <t xml:space="preserve">S/M - NO CALL BACK - C101 STOWAGE FWD COMPARTMENT C101 PAINT CHIPPED OFF</t>
        </is>
      </c>
      <c r="D229" s="143">
        <v>1.0</v>
      </c>
      <c r="E229" s="143">
        <v>4.0</v>
      </c>
      <c r="F229" s="143">
        <v>0.0</v>
      </c>
      <c r="G229" s="143">
        <v>0.0</v>
      </c>
      <c r="H229" s="143" t="inlineStr">
        <is>
          <t xml:space="preserve">Idle</t>
        </is>
      </c>
      <c r="I229" s="143">
        <v>25.0</v>
      </c>
      <c r="J229" s="143"/>
    </row>
    <row r="230" spans="1:10">
      <c r="A230" s="143" t="inlineStr">
        <is>
          <t xml:space="preserve">1163</t>
        </is>
      </c>
      <c r="B230" s="143" t="inlineStr">
        <is>
          <t xml:space="preserve">32989966</t>
        </is>
      </c>
      <c r="C230" s="143" t="inlineStr">
        <is>
          <t xml:space="preserve">#2 ENG - FAN FR ASSY - HMU LINES CLAMPS - AP - RII #2 ENG FAN FRAME ASSEMBLY AT 06:00 O`CLOCK POSTION FOUND HYDROMECHANICAL UNIT (HMU) SOV FUEL LINES (ROD AND HEAD LINES) CLAMPS CORRODED .</t>
        </is>
      </c>
      <c r="D230" s="143">
        <v>1.0</v>
      </c>
      <c r="E230" s="143">
        <v>4.0</v>
      </c>
      <c r="F230" s="143">
        <v>0.0</v>
      </c>
      <c r="G230" s="143">
        <v>0.0</v>
      </c>
      <c r="H230" s="143" t="inlineStr">
        <is>
          <t xml:space="preserve">Not Started</t>
        </is>
      </c>
      <c r="I230" s="143" t="inlineStr">
        <is>
          <t xml:space="preserve">24-92</t>
        </is>
      </c>
      <c r="J230" s="143"/>
    </row>
    <row r="231" spans="1:10">
      <c r="A231" s="143" t="inlineStr">
        <is>
          <t xml:space="preserve">1165</t>
        </is>
      </c>
      <c r="B231" s="143" t="inlineStr">
        <is>
          <t xml:space="preserve">32989971</t>
        </is>
      </c>
      <c r="C231" s="143" t="inlineStr">
        <is>
          <t xml:space="preserve">#2 ENG - L/H AND R/H T/REV - TEFLON SEAL - AP - RII #2 ENG L/H AND R/H THRUST REVERSERS AT FWD SIDE FOUND FAN COWLS RUB TEFLON SEAL DETERIORATED AND DETACHED.</t>
        </is>
      </c>
      <c r="D231" s="143">
        <v>1.0</v>
      </c>
      <c r="E231" s="143">
        <v>0.0</v>
      </c>
      <c r="F231" s="143">
        <v>4.67</v>
      </c>
      <c r="G231" s="143">
        <v>721.2</v>
      </c>
      <c r="H231" s="143" t="inlineStr">
        <is>
          <t xml:space="preserve">Idle</t>
        </is>
      </c>
      <c r="I231" s="143" t="inlineStr">
        <is>
          <t xml:space="preserve">05-24</t>
        </is>
      </c>
      <c r="J231" s="143"/>
    </row>
    <row r="232" spans="1:10">
      <c r="A232" s="143" t="inlineStr">
        <is>
          <t xml:space="preserve">1166</t>
        </is>
      </c>
      <c r="B232" s="143" t="inlineStr">
        <is>
          <t xml:space="preserve">32989973</t>
        </is>
      </c>
      <c r="C232" s="143" t="inlineStr">
        <is>
          <t xml:space="preserve">#2 ENG - R/H T/REV - HCU - AP - NO CALL BACK #2 ENG R/H THRUST REVERSER FWD FACE FOUND HYDRAULIC CONTROL UNIT (HCU) LEAKING .</t>
        </is>
      </c>
      <c r="D232" s="143">
        <v>1.0</v>
      </c>
      <c r="E232" s="143">
        <v>4.0</v>
      </c>
      <c r="F232" s="143">
        <v>0.0</v>
      </c>
      <c r="G232" s="143">
        <v>0.0</v>
      </c>
      <c r="H232" s="143" t="inlineStr">
        <is>
          <t xml:space="preserve">Not Started</t>
        </is>
      </c>
      <c r="I232" s="143" t="inlineStr">
        <is>
          <t xml:space="preserve">05-24</t>
        </is>
      </c>
      <c r="J232" s="143"/>
    </row>
    <row r="233" spans="1:10">
      <c r="A233" s="143" t="inlineStr">
        <is>
          <t xml:space="preserve">1171</t>
        </is>
      </c>
      <c r="B233" s="143" t="inlineStr">
        <is>
          <t xml:space="preserve">32989995</t>
        </is>
      </c>
      <c r="C233" s="143" t="inlineStr">
        <is>
          <t xml:space="preserve">RII-CAB SEAT# 30ABC, 31ABC, 32ABC, 33ABC AND 30JKL,31JKL, 32JKL ,33JKL REQUIRE REMOVAL  SEAT`S FOR ACCESS.</t>
        </is>
      </c>
      <c r="D233" s="143">
        <v>1.0</v>
      </c>
      <c r="E233" s="143">
        <v>0.0</v>
      </c>
      <c r="F233" s="143">
        <v>95.0</v>
      </c>
      <c r="G233" s="143">
        <v>846.2</v>
      </c>
      <c r="H233" s="143" t="inlineStr">
        <is>
          <t xml:space="preserve">Idle</t>
        </is>
      </c>
      <c r="I233" s="143">
        <v>25.0</v>
      </c>
      <c r="J233" s="143"/>
    </row>
    <row r="234" spans="1:10">
      <c r="A234" s="143" t="inlineStr">
        <is>
          <t xml:space="preserve">1174</t>
        </is>
      </c>
      <c r="B234" s="143" t="inlineStr">
        <is>
          <t xml:space="preserve">32990008</t>
        </is>
      </c>
      <c r="C234" s="143" t="inlineStr">
        <is>
          <t xml:space="preserve">CAB RII - F/A L2 F/A SEAT REQUIRE REMOVAL FOR ACCESS</t>
        </is>
      </c>
      <c r="D234" s="143">
        <v>1.0</v>
      </c>
      <c r="E234" s="143">
        <v>0.0</v>
      </c>
      <c r="F234" s="143">
        <v>24.0</v>
      </c>
      <c r="G234" s="143">
        <v>141.9</v>
      </c>
      <c r="H234" s="143" t="inlineStr">
        <is>
          <t xml:space="preserve">Idle</t>
        </is>
      </c>
      <c r="I234" s="143" t="inlineStr">
        <is>
          <t xml:space="preserve">25-40</t>
        </is>
      </c>
      <c r="J234" s="143"/>
    </row>
    <row r="235" spans="1:10">
      <c r="A235" s="143" t="inlineStr">
        <is>
          <t xml:space="preserve">1192</t>
        </is>
      </c>
      <c r="B235" s="143" t="inlineStr">
        <is>
          <t xml:space="preserve">32990170</t>
        </is>
      </c>
      <c r="C235" s="143" t="inlineStr">
        <is>
          <t xml:space="preserve">#1 ENG - R/H FAN COWL - PRESS DR - AP - RII #1 ENG R/H FAN COWL INNER SIDE FOUND PRESSURE RELIEF DOOR UPPER AND LOWER SPRING LOADED ARMS HINGES RUSTED AND UPPER SPRING LOADED ARM LANYARD FWD END CHAFFED-OFF AND SPRING LOADED ARM END GOUGED.</t>
        </is>
      </c>
      <c r="D235" s="143">
        <v>1.0</v>
      </c>
      <c r="E235" s="143">
        <v>8.0</v>
      </c>
      <c r="F235" s="143">
        <v>0.0</v>
      </c>
      <c r="G235" s="143">
        <v>0.0</v>
      </c>
      <c r="H235" s="143" t="inlineStr">
        <is>
          <t xml:space="preserve">Not Started</t>
        </is>
      </c>
      <c r="I235" s="143" t="inlineStr">
        <is>
          <t xml:space="preserve">71-13</t>
        </is>
      </c>
      <c r="J235" s="143"/>
    </row>
    <row r="236" spans="1:10">
      <c r="A236" s="143" t="inlineStr">
        <is>
          <t xml:space="preserve">1195</t>
        </is>
      </c>
      <c r="B236" s="143" t="inlineStr">
        <is>
          <t xml:space="preserve">32990192</t>
        </is>
      </c>
      <c r="C236" s="143" t="inlineStr">
        <is>
          <t xml:space="preserve">#1 ENG - L/H AND R/H T/REV - TEFLON SEAL - AP - RII #1 ENG L/H AND R/H THRUST REVERSERS AT FWD SIDE FOUND FAN COWLS RUB TEFLON SEAL DETERIORATED AND DETACHED. (R/H T/REV TEFLON SEAL DETACHED FROM UPPER AND LOWER SIDE).</t>
        </is>
      </c>
      <c r="D236" s="143">
        <v>1.0</v>
      </c>
      <c r="E236" s="143">
        <v>0.0</v>
      </c>
      <c r="F236" s="143">
        <v>14.33</v>
      </c>
      <c r="G236" s="143">
        <v>721.4</v>
      </c>
      <c r="H236" s="143" t="inlineStr">
        <is>
          <t xml:space="preserve">Idle</t>
        </is>
      </c>
      <c r="I236" s="143" t="inlineStr">
        <is>
          <t xml:space="preserve">05-24</t>
        </is>
      </c>
      <c r="J236" s="143"/>
    </row>
    <row r="237" spans="1:10">
      <c r="A237" s="143" t="inlineStr">
        <is>
          <t xml:space="preserve">1196</t>
        </is>
      </c>
      <c r="B237" s="143" t="inlineStr">
        <is>
          <t xml:space="preserve">32990196</t>
        </is>
      </c>
      <c r="C237" s="143" t="inlineStr">
        <is>
          <t xml:space="preserve">#1 ENG - L/H T/REV - LOWER BLOCKER DR - AP - NO CALL BACK #1 ENG L/H THRUST REVERSER FOUND LOWER BLOCKER DOOR ACTUATOR WITH HEAVY LEAK AT ROD END.</t>
        </is>
      </c>
      <c r="D237" s="143">
        <v>1.0</v>
      </c>
      <c r="E237" s="143">
        <v>3.0</v>
      </c>
      <c r="F237" s="143">
        <v>1.0</v>
      </c>
      <c r="G237" s="143">
        <v>604.1</v>
      </c>
      <c r="H237" s="143" t="inlineStr">
        <is>
          <t xml:space="preserve">Idle</t>
        </is>
      </c>
      <c r="I237" s="143" t="inlineStr">
        <is>
          <t xml:space="preserve">05-24</t>
        </is>
      </c>
      <c r="J237" s="143"/>
    </row>
    <row r="238" spans="1:10">
      <c r="A238" s="143" t="inlineStr">
        <is>
          <t xml:space="preserve">1200</t>
        </is>
      </c>
      <c r="B238" s="143" t="inlineStr">
        <is>
          <t xml:space="preserve">32991276</t>
        </is>
      </c>
      <c r="C238" s="143" t="inlineStr">
        <is>
          <t xml:space="preserve">AV - NO CALLBACK - PAX SEATS ELECTRICAL CONNECTIONS AT SEATS 30RH TO 34RH REQUIRE REMOVAL FOR ACCESS.</t>
        </is>
      </c>
      <c r="D238" s="143">
        <v>1.0</v>
      </c>
      <c r="E238" s="143">
        <v>0.0</v>
      </c>
      <c r="F238" s="143">
        <v>4.0</v>
      </c>
      <c r="G238" s="143">
        <v>842.3</v>
      </c>
      <c r="H238" s="143" t="inlineStr">
        <is>
          <t xml:space="preserve">Idle</t>
        </is>
      </c>
      <c r="I238" s="143">
        <v>25.0</v>
      </c>
      <c r="J238" s="143"/>
    </row>
    <row r="239" spans="1:10">
      <c r="A239" s="143" t="inlineStr">
        <is>
          <t xml:space="preserve">1202</t>
        </is>
      </c>
      <c r="B239" s="143" t="inlineStr">
        <is>
          <t xml:space="preserve">32991511</t>
        </is>
      </c>
      <c r="C239" s="143" t="inlineStr">
        <is>
          <t xml:space="preserve">CAB - RII - LAV E LAV E ACCESS DOOR WASTE COMPARTMENT WITH SMALL CRACK NEXT TO LATCH.</t>
        </is>
      </c>
      <c r="D239" s="143">
        <v>1.0</v>
      </c>
      <c r="E239" s="143">
        <v>0.0</v>
      </c>
      <c r="F239" s="143">
        <v>0.0</v>
      </c>
      <c r="G239" s="143">
        <v>0.0</v>
      </c>
      <c r="H239" s="143" t="inlineStr">
        <is>
          <t xml:space="preserve">Not Started</t>
        </is>
      </c>
      <c r="I239" s="143">
        <v>25.0</v>
      </c>
      <c r="J239" s="143"/>
    </row>
    <row r="240" spans="1:10">
      <c r="A240" s="143" t="inlineStr">
        <is>
          <t xml:space="preserve">1205</t>
        </is>
      </c>
      <c r="B240" s="143" t="inlineStr">
        <is>
          <t xml:space="preserve">32991527</t>
        </is>
      </c>
      <c r="C240" s="143" t="inlineStr">
        <is>
          <t xml:space="preserve">CAB - RII - LAV E LAV E WASTE FLAP DAMPER INOP</t>
        </is>
      </c>
      <c r="D240" s="143">
        <v>1.0</v>
      </c>
      <c r="E240" s="143">
        <v>0.0</v>
      </c>
      <c r="F240" s="143">
        <v>6.95</v>
      </c>
      <c r="G240" s="143">
        <v>78.4</v>
      </c>
      <c r="H240" s="143" t="inlineStr">
        <is>
          <t xml:space="preserve">Idle</t>
        </is>
      </c>
      <c r="I240" s="143">
        <v>25.0</v>
      </c>
      <c r="J240" s="143"/>
    </row>
    <row r="241" spans="1:10">
      <c r="A241" s="143" t="inlineStr">
        <is>
          <t xml:space="preserve">1206</t>
        </is>
      </c>
      <c r="B241" s="143" t="inlineStr">
        <is>
          <t xml:space="preserve">32991534</t>
        </is>
      </c>
      <c r="C241" s="143" t="inlineStr">
        <is>
          <t xml:space="preserve">PNT - RII - LAV E LAV E ACCESS DOOR WASTE COMPARTMENT WITH SCRATCHES FROM OUTSIDE.</t>
        </is>
      </c>
      <c r="D241" s="143">
        <v>1.0</v>
      </c>
      <c r="E241" s="143">
        <v>3.0</v>
      </c>
      <c r="F241" s="143">
        <v>1.83</v>
      </c>
      <c r="G241" s="143">
        <v>258.1</v>
      </c>
      <c r="H241" s="143" t="inlineStr">
        <is>
          <t xml:space="preserve">Idle</t>
        </is>
      </c>
      <c r="I241" s="143">
        <v>25.0</v>
      </c>
      <c r="J241" s="143"/>
    </row>
    <row r="242" spans="1:10">
      <c r="A242" s="143" t="inlineStr">
        <is>
          <t xml:space="preserve">1207</t>
        </is>
      </c>
      <c r="B242" s="143" t="inlineStr">
        <is>
          <t xml:space="preserve">32991563</t>
        </is>
      </c>
      <c r="C242" s="143" t="inlineStr">
        <is>
          <t xml:space="preserve">RH WING -- FT REFER TO TC # 572020-01-1-002, 572040-01-2-002, 572139-01-2-002, 572140-01-2-002 AND 572161-01-11-002 REQUIRE TO REMOVE RH WING FUEL TANK ACCESS PANELS  - 640AB, 640BB , 640CB, 640DB, 640EB, 640FB, 640GB  - 640HB, 640JB, 640KB, 640LB...</t>
        </is>
      </c>
      <c r="D242" s="143">
        <v>1.0</v>
      </c>
      <c r="E242" s="143">
        <v>0.0</v>
      </c>
      <c r="F242" s="143">
        <v>145.8</v>
      </c>
      <c r="G242" s="143">
        <v>844.4</v>
      </c>
      <c r="H242" s="143" t="inlineStr">
        <is>
          <t xml:space="preserve">Idle</t>
        </is>
      </c>
      <c r="I242" s="143">
        <v>57.0</v>
      </c>
      <c r="J242" s="143"/>
    </row>
    <row r="243" spans="1:10">
      <c r="A243" s="143" t="inlineStr">
        <is>
          <t xml:space="preserve">1209</t>
        </is>
      </c>
      <c r="B243" s="143" t="inlineStr">
        <is>
          <t xml:space="preserve">32991584</t>
        </is>
      </c>
      <c r="C243" s="143" t="inlineStr">
        <is>
          <t xml:space="preserve">LH WING -- FT REFER TO TC # 572020-01-1-001, 572040-01-2-001, 572139-01-2-001, 572140-01-2-001 AND 572161-01-11-001 REQUIRE TO REMOVE LH WING FUEL TANK ACCESS PANELS  - 540AB, 540BB , 540CB, 540DB, 540EB, 540FB, 540GB  - 540HB, 540JB, 540KB, 540LB...</t>
        </is>
      </c>
      <c r="D243" s="143">
        <v>1.0</v>
      </c>
      <c r="E243" s="143">
        <v>0.0</v>
      </c>
      <c r="F243" s="143">
        <v>125.7</v>
      </c>
      <c r="G243" s="143">
        <v>843.5</v>
      </c>
      <c r="H243" s="143" t="inlineStr">
        <is>
          <t xml:space="preserve">Idle</t>
        </is>
      </c>
      <c r="I243" s="143">
        <v>57.0</v>
      </c>
      <c r="J243" s="143"/>
    </row>
    <row r="244" spans="1:10">
      <c r="A244" s="143" t="inlineStr">
        <is>
          <t xml:space="preserve">1210</t>
        </is>
      </c>
      <c r="B244" s="143" t="inlineStr">
        <is>
          <t xml:space="preserve">32991594</t>
        </is>
      </c>
      <c r="C244" s="143" t="inlineStr">
        <is>
          <t xml:space="preserve">FINDING (NRC) TASKCARD ZL-531-02-1-002 (01) RH WING   AP--NO C/B RH WING FLAP TRACK NO#2 AFT BONDING WIRE WITH CUT .</t>
        </is>
      </c>
      <c r="D244" s="143">
        <v>1.0</v>
      </c>
      <c r="E244" s="143">
        <v>6.0</v>
      </c>
      <c r="F244" s="143">
        <v>10.0</v>
      </c>
      <c r="G244" s="143">
        <v>698.5</v>
      </c>
      <c r="H244" s="143" t="inlineStr">
        <is>
          <t xml:space="preserve">Idle</t>
        </is>
      </c>
      <c r="I244" s="143" t="inlineStr">
        <is>
          <t xml:space="preserve">05-25</t>
        </is>
      </c>
      <c r="J244" s="143"/>
    </row>
    <row r="245" spans="1:10">
      <c r="A245" s="143" t="inlineStr">
        <is>
          <t xml:space="preserve">1211</t>
        </is>
      </c>
      <c r="B245" s="143" t="inlineStr">
        <is>
          <t xml:space="preserve">32991646</t>
        </is>
      </c>
      <c r="C245" s="143" t="inlineStr">
        <is>
          <t xml:space="preserve">AVIO - N0 CALL BACK - SEAT CONNECTION ELECTRICAL CONNECTIONS AT SEATS 39RH TO 44RH REQUIRE REMOVAL FOR ACCESS.</t>
        </is>
      </c>
      <c r="D245" s="143">
        <v>1.0</v>
      </c>
      <c r="E245" s="143">
        <v>0.0</v>
      </c>
      <c r="F245" s="143">
        <v>20.0</v>
      </c>
      <c r="G245" s="143">
        <v>842.1</v>
      </c>
      <c r="H245" s="143" t="inlineStr">
        <is>
          <t xml:space="preserve">Idle</t>
        </is>
      </c>
      <c r="I245" s="143" t="inlineStr">
        <is>
          <t xml:space="preserve">53-41</t>
        </is>
      </c>
      <c r="J245" s="143"/>
    </row>
    <row r="246" spans="1:10">
      <c r="A246" s="143" t="inlineStr">
        <is>
          <t xml:space="preserve">1212</t>
        </is>
      </c>
      <c r="B246" s="143" t="inlineStr">
        <is>
          <t xml:space="preserve">32991651</t>
        </is>
      </c>
      <c r="C246" s="143" t="inlineStr">
        <is>
          <t xml:space="preserve">AVIO - N0 CALL BACK - SEAT CONNECTION ELECTRICAL CONNECTIONS AT SEATS 39LH TO 44LH REQUIRE REMOVAL FOR ACCESS.</t>
        </is>
      </c>
      <c r="D246" s="143">
        <v>1.0</v>
      </c>
      <c r="E246" s="143">
        <v>0.0</v>
      </c>
      <c r="F246" s="143">
        <v>16.0</v>
      </c>
      <c r="G246" s="143">
        <v>842.1</v>
      </c>
      <c r="H246" s="143" t="inlineStr">
        <is>
          <t xml:space="preserve">Idle</t>
        </is>
      </c>
      <c r="I246" s="143" t="inlineStr">
        <is>
          <t xml:space="preserve">53-41</t>
        </is>
      </c>
      <c r="J246" s="143"/>
    </row>
    <row r="247" spans="1:10">
      <c r="A247" s="143" t="inlineStr">
        <is>
          <t xml:space="preserve">1213</t>
        </is>
      </c>
      <c r="B247" s="143" t="inlineStr">
        <is>
          <t xml:space="preserve">32991622</t>
        </is>
      </c>
      <c r="C247" s="143" t="inlineStr">
        <is>
          <t xml:space="preserve">FINDING (NRC) TASKCARD ZL-531-02-1-002 (01) RH WING  AP--CALLBACK FLAP TRACK NO#2 IN/B  FWD UPPER ACTUATOR SUPPORT LINK TEFLON COLLAR NOT SECURED.</t>
        </is>
      </c>
      <c r="D247" s="143">
        <v>1.0</v>
      </c>
      <c r="E247" s="143">
        <v>6.0</v>
      </c>
      <c r="F247" s="143">
        <v>58.5</v>
      </c>
      <c r="G247" s="143">
        <v>69.1</v>
      </c>
      <c r="H247" s="143" t="inlineStr">
        <is>
          <t xml:space="preserve">Idle</t>
        </is>
      </c>
      <c r="I247" s="143" t="inlineStr">
        <is>
          <t xml:space="preserve">05-25</t>
        </is>
      </c>
      <c r="J247" s="143"/>
    </row>
    <row r="248" spans="1:10">
      <c r="A248" s="143" t="inlineStr">
        <is>
          <t xml:space="preserve">1215</t>
        </is>
      </c>
      <c r="B248" s="143" t="inlineStr">
        <is>
          <t xml:space="preserve">32991957</t>
        </is>
      </c>
      <c r="C248" s="143" t="inlineStr">
        <is>
          <t xml:space="preserve">FINDING (NRC) TASKCARD ZL-532-01-1-002 (04) RH WING   AP-- CALLBACK FLAP TRACK NO#3 IN/B  FWD UPPER ACTUATOR SUPPORT LINK TEFLON COLLAR NOT SECURED.</t>
        </is>
      </c>
      <c r="D248" s="143">
        <v>1.0</v>
      </c>
      <c r="E248" s="143">
        <v>6.0</v>
      </c>
      <c r="F248" s="143">
        <v>145.3</v>
      </c>
      <c r="G248" s="143">
        <v>50.8</v>
      </c>
      <c r="H248" s="143" t="inlineStr">
        <is>
          <t xml:space="preserve">Idle</t>
        </is>
      </c>
      <c r="I248" s="143" t="inlineStr">
        <is>
          <t xml:space="preserve">05-25</t>
        </is>
      </c>
      <c r="J248" s="143"/>
    </row>
    <row r="249" spans="1:10">
      <c r="A249" s="143" t="inlineStr">
        <is>
          <t xml:space="preserve">1216</t>
        </is>
      </c>
      <c r="B249" s="143" t="inlineStr">
        <is>
          <t xml:space="preserve">32991972</t>
        </is>
      </c>
      <c r="C249" s="143" t="inlineStr">
        <is>
          <t xml:space="preserve">FINDING (NRC) TASKCARD ZL-533-01-1-002 (04) RH WING  AP--CALLBACK FLAP TRACK NO#4 IN/B  FWD UPPER ACTUATOR SUPPORT LINK TEFLON COLLAR NOT SECURED.</t>
        </is>
      </c>
      <c r="D249" s="143">
        <v>1.0</v>
      </c>
      <c r="E249" s="143">
        <v>4.0</v>
      </c>
      <c r="F249" s="143">
        <v>67.0</v>
      </c>
      <c r="G249" s="143">
        <v>139.1</v>
      </c>
      <c r="H249" s="143" t="inlineStr">
        <is>
          <t xml:space="preserve">Idle</t>
        </is>
      </c>
      <c r="I249" s="143" t="inlineStr">
        <is>
          <t xml:space="preserve">05-25</t>
        </is>
      </c>
      <c r="J249" s="143"/>
    </row>
    <row r="250" spans="1:10">
      <c r="A250" s="143" t="inlineStr">
        <is>
          <t xml:space="preserve">1217</t>
        </is>
      </c>
      <c r="B250" s="143" t="inlineStr">
        <is>
          <t xml:space="preserve">32991973</t>
        </is>
      </c>
      <c r="C250" s="143" t="inlineStr">
        <is>
          <t xml:space="preserve">FINDING (NRC) TASKCARD ZL-533-01-1-002 (04) RH WING  AP--CALLBACK RH WING FLAP TRACK NO#4 AFT BONDING WIRE WITH CUT .</t>
        </is>
      </c>
      <c r="D250" s="143">
        <v>1.0</v>
      </c>
      <c r="E250" s="143">
        <v>6.0</v>
      </c>
      <c r="F250" s="143">
        <v>4.0</v>
      </c>
      <c r="G250" s="143">
        <v>648.6</v>
      </c>
      <c r="H250" s="143" t="inlineStr">
        <is>
          <t xml:space="preserve">Idle</t>
        </is>
      </c>
      <c r="I250" s="143" t="inlineStr">
        <is>
          <t xml:space="preserve">05-25</t>
        </is>
      </c>
      <c r="J250" s="143"/>
    </row>
    <row r="251" spans="1:10">
      <c r="A251" s="143" t="inlineStr">
        <is>
          <t xml:space="preserve">1219</t>
        </is>
      </c>
      <c r="B251" s="143" t="inlineStr">
        <is>
          <t xml:space="preserve">32992488</t>
        </is>
      </c>
      <c r="C251" s="143" t="inlineStr">
        <is>
          <t xml:space="preserve">CAB - CALL BACK - AFT GLLY AFT GALLEY REQUIRE REMOVAL FOR ACCESS</t>
        </is>
      </c>
      <c r="D251" s="143">
        <v>1.0</v>
      </c>
      <c r="E251" s="143">
        <v>0.0</v>
      </c>
      <c r="F251" s="143">
        <v>176.2</v>
      </c>
      <c r="G251" s="143">
        <v>839.5</v>
      </c>
      <c r="H251" s="143" t="inlineStr">
        <is>
          <t xml:space="preserve">Idle</t>
        </is>
      </c>
      <c r="I251" s="143" t="inlineStr">
        <is>
          <t xml:space="preserve">53-41</t>
        </is>
      </c>
      <c r="J251" s="143"/>
    </row>
    <row r="252" spans="1:10">
      <c r="A252" s="143" t="inlineStr">
        <is>
          <t xml:space="preserve">1220</t>
        </is>
      </c>
      <c r="B252" s="143" t="inlineStr">
        <is>
          <t xml:space="preserve">32992489</t>
        </is>
      </c>
      <c r="C252" s="143" t="inlineStr">
        <is>
          <t xml:space="preserve">CAB - CALLBACK - G1 GALLEY G1 GALLEY REQUIRE REMOVAL FOR ACCESS.</t>
        </is>
      </c>
      <c r="D252" s="143">
        <v>1.0</v>
      </c>
      <c r="E252" s="143">
        <v>0.0</v>
      </c>
      <c r="F252" s="143">
        <v>24.0</v>
      </c>
      <c r="G252" s="143">
        <v>831.1</v>
      </c>
      <c r="H252" s="143" t="inlineStr">
        <is>
          <t xml:space="preserve">Idle</t>
        </is>
      </c>
      <c r="I252" s="143">
        <v>25.0</v>
      </c>
      <c r="J252" s="143"/>
    </row>
    <row r="253" spans="1:10">
      <c r="A253" s="143" t="inlineStr">
        <is>
          <t xml:space="preserve">1221</t>
        </is>
      </c>
      <c r="B253" s="143" t="inlineStr">
        <is>
          <t xml:space="preserve">32992493</t>
        </is>
      </c>
      <c r="C253" s="143" t="inlineStr">
        <is>
          <t xml:space="preserve">CAB - CALLBACK - LAV A "LAVATORY A" REQUIRE REMOVAL FOR ACCESS.</t>
        </is>
      </c>
      <c r="D253" s="143">
        <v>1.0</v>
      </c>
      <c r="E253" s="143">
        <v>0.0</v>
      </c>
      <c r="F253" s="143">
        <v>103.0</v>
      </c>
      <c r="G253" s="143">
        <v>705.0</v>
      </c>
      <c r="H253" s="143" t="inlineStr">
        <is>
          <t xml:space="preserve">Idle</t>
        </is>
      </c>
      <c r="I253" s="143">
        <v>25.0</v>
      </c>
      <c r="J253" s="143"/>
    </row>
    <row r="254" spans="1:10">
      <c r="A254" s="143" t="inlineStr">
        <is>
          <t xml:space="preserve">1222</t>
        </is>
      </c>
      <c r="B254" s="143" t="inlineStr">
        <is>
          <t xml:space="preserve">32992492</t>
        </is>
      </c>
      <c r="C254" s="143" t="inlineStr">
        <is>
          <t xml:space="preserve">CAB - CALL BACK - LAV E LAVATORY "E" REQUIRE REMOVAL FOR ACCESS</t>
        </is>
      </c>
      <c r="D254" s="143">
        <v>1.0</v>
      </c>
      <c r="E254" s="143">
        <v>0.0</v>
      </c>
      <c r="F254" s="143">
        <v>82.5</v>
      </c>
      <c r="G254" s="143">
        <v>813.9</v>
      </c>
      <c r="H254" s="143" t="inlineStr">
        <is>
          <t xml:space="preserve">Idle</t>
        </is>
      </c>
      <c r="I254" s="143" t="inlineStr">
        <is>
          <t xml:space="preserve">53-41</t>
        </is>
      </c>
      <c r="J254" s="143"/>
    </row>
    <row r="255" spans="1:10">
      <c r="A255" s="143" t="inlineStr">
        <is>
          <t xml:space="preserve">1223</t>
        </is>
      </c>
      <c r="B255" s="143" t="inlineStr">
        <is>
          <t xml:space="preserve">32992500</t>
        </is>
      </c>
      <c r="C255" s="143" t="inlineStr">
        <is>
          <t xml:space="preserve">CAB - CALL BACK - LAV D LAVATORY "D" REQUIRE REMOVAL FOR ACCESS</t>
        </is>
      </c>
      <c r="D255" s="143">
        <v>1.0</v>
      </c>
      <c r="E255" s="143">
        <v>0.0</v>
      </c>
      <c r="F255" s="143">
        <v>40.0</v>
      </c>
      <c r="G255" s="143">
        <v>810.2</v>
      </c>
      <c r="H255" s="143" t="inlineStr">
        <is>
          <t xml:space="preserve">Idle</t>
        </is>
      </c>
      <c r="I255" s="143" t="inlineStr">
        <is>
          <t xml:space="preserve">53-41</t>
        </is>
      </c>
      <c r="J255" s="143"/>
    </row>
    <row r="256" spans="1:10">
      <c r="A256" s="143" t="inlineStr">
        <is>
          <t xml:space="preserve">1224</t>
        </is>
      </c>
      <c r="B256" s="143" t="inlineStr">
        <is>
          <t xml:space="preserve">32992517</t>
        </is>
      </c>
      <c r="C256" s="143" t="inlineStr">
        <is>
          <t xml:space="preserve">CAB - CALLBACK - STOWAGE C1 "STOWAGE C1" REQUIRE REMOVAL FOR ACCESS.</t>
        </is>
      </c>
      <c r="D256" s="143">
        <v>1.0</v>
      </c>
      <c r="E256" s="143">
        <v>0.0</v>
      </c>
      <c r="F256" s="143">
        <v>9.5</v>
      </c>
      <c r="G256" s="143">
        <v>821.4</v>
      </c>
      <c r="H256" s="143" t="inlineStr">
        <is>
          <t xml:space="preserve">Idle</t>
        </is>
      </c>
      <c r="I256" s="143">
        <v>25.0</v>
      </c>
      <c r="J256" s="143"/>
    </row>
    <row r="257" spans="1:10">
      <c r="A257" s="143" t="inlineStr">
        <is>
          <t xml:space="preserve">1225</t>
        </is>
      </c>
      <c r="B257" s="143" t="inlineStr">
        <is>
          <t xml:space="preserve">32992509</t>
        </is>
      </c>
      <c r="C257" s="143" t="inlineStr">
        <is>
          <t xml:space="preserve">CAB - CALL BACK- SEAT SEATS FROM 40LH TO 44 LH AND 40RH TO 44RH REQUIRE REMOVAL FOR ACCESS</t>
        </is>
      </c>
      <c r="D257" s="143">
        <v>1.0</v>
      </c>
      <c r="E257" s="143">
        <v>0.0</v>
      </c>
      <c r="F257" s="143">
        <v>61.5</v>
      </c>
      <c r="G257" s="143">
        <v>837.9</v>
      </c>
      <c r="H257" s="143" t="inlineStr">
        <is>
          <t xml:space="preserve">Idle</t>
        </is>
      </c>
      <c r="I257" s="143" t="inlineStr">
        <is>
          <t xml:space="preserve">53-41</t>
        </is>
      </c>
      <c r="J257" s="143"/>
    </row>
    <row r="258" spans="1:10">
      <c r="A258" s="143" t="inlineStr">
        <is>
          <t xml:space="preserve">1234</t>
        </is>
      </c>
      <c r="B258" s="143" t="inlineStr">
        <is>
          <t xml:space="preserve">32992731</t>
        </is>
      </c>
      <c r="C258" s="143" t="inlineStr">
        <is>
          <t xml:space="preserve">CAB - RII - SEAT REMOVAL FOR ACCESS SEAT 5JL REQUIRE REMOVAL FOR ACCESS</t>
        </is>
      </c>
      <c r="D258" s="143">
        <v>1.0</v>
      </c>
      <c r="E258" s="143">
        <v>0.0</v>
      </c>
      <c r="F258" s="143">
        <v>8.0</v>
      </c>
      <c r="G258" s="143">
        <v>818.9</v>
      </c>
      <c r="H258" s="143" t="inlineStr">
        <is>
          <t xml:space="preserve">Idle</t>
        </is>
      </c>
      <c r="I258" s="143">
        <v>25.0</v>
      </c>
      <c r="J258" s="143"/>
    </row>
    <row r="259" spans="1:10">
      <c r="A259" s="143" t="inlineStr">
        <is>
          <t xml:space="preserve">1235</t>
        </is>
      </c>
      <c r="B259" s="143" t="inlineStr">
        <is>
          <t xml:space="preserve">32992738</t>
        </is>
      </c>
      <c r="C259" s="143" t="inlineStr">
        <is>
          <t xml:space="preserve">CAB - NO CALL BACK - COFFEE MAKER AFT GALLEY COFFEE MAKER NO.1 STENCIL</t>
        </is>
      </c>
      <c r="D259" s="143">
        <v>1.0</v>
      </c>
      <c r="E259" s="143">
        <v>0.0</v>
      </c>
      <c r="F259" s="143">
        <v>2.0</v>
      </c>
      <c r="G259" s="143">
        <v>237.4</v>
      </c>
      <c r="H259" s="143" t="inlineStr">
        <is>
          <t xml:space="preserve">Idle</t>
        </is>
      </c>
      <c r="I259" s="143">
        <v>25.0</v>
      </c>
      <c r="J259" s="143"/>
    </row>
    <row r="260" spans="1:10">
      <c r="A260" s="143" t="inlineStr">
        <is>
          <t xml:space="preserve">1262</t>
        </is>
      </c>
      <c r="B260" s="143" t="inlineStr">
        <is>
          <t xml:space="preserve">32996073</t>
        </is>
      </c>
      <c r="C260" s="143" t="inlineStr">
        <is>
          <t xml:space="preserve">FINDING (NRC) TASKCARD ZL-833-02-1 (04) / ITEM-1 RII--SM RH FWD EMERGENCY EXIT HATCH DOOR CUTOUT WITH ABRAISION AT LOWER EDGE  L=80 MM W=10 MM</t>
        </is>
      </c>
      <c r="D260" s="143">
        <v>1.0</v>
      </c>
      <c r="E260" s="143">
        <v>3.0</v>
      </c>
      <c r="F260" s="143">
        <v>0.17</v>
      </c>
      <c r="G260" s="143">
        <v>695.9</v>
      </c>
      <c r="H260" s="143" t="inlineStr">
        <is>
          <t xml:space="preserve">Idle</t>
        </is>
      </c>
      <c r="I260" s="143" t="inlineStr">
        <is>
          <t xml:space="preserve">05-28</t>
        </is>
      </c>
      <c r="J260" s="143"/>
    </row>
    <row r="261" spans="1:10">
      <c r="A261" s="143" t="inlineStr">
        <is>
          <t xml:space="preserve">1269</t>
        </is>
      </c>
      <c r="B261" s="143" t="inlineStr">
        <is>
          <t xml:space="preserve">32997085</t>
        </is>
      </c>
      <c r="C261" s="143" t="inlineStr">
        <is>
          <t xml:space="preserve">APU BLEED DUCT=====AP======NO CALL BACK APU BLEED DUCT CHECK VLV SPRING BROKEN</t>
        </is>
      </c>
      <c r="D261" s="143">
        <v>1.0</v>
      </c>
      <c r="E261" s="143">
        <v>6.0</v>
      </c>
      <c r="F261" s="143">
        <v>2.52</v>
      </c>
      <c r="G261" s="143">
        <v>643.9</v>
      </c>
      <c r="H261" s="143" t="inlineStr">
        <is>
          <t xml:space="preserve">Idle</t>
        </is>
      </c>
      <c r="I261" s="143" t="inlineStr">
        <is>
          <t xml:space="preserve">36-12</t>
        </is>
      </c>
      <c r="J261" s="143"/>
    </row>
    <row r="262" spans="1:10">
      <c r="A262" s="143" t="inlineStr">
        <is>
          <t xml:space="preserve">1274</t>
        </is>
      </c>
      <c r="B262" s="143" t="inlineStr">
        <is>
          <t xml:space="preserve">32998241</t>
        </is>
      </c>
      <c r="C262" s="143" t="inlineStr">
        <is>
          <t xml:space="preserve">FINDING (NRC) TASKCARD 532137-03-1 (1) / ITEM ONE SM--RII FWD CARGO DOOR CUTOUTS BOTH FWD AND AFT LOWER CUTOUTS AT FRAMES FR24A AND FR28 WITH BOTH FITTINGS MISSING FASTNERS (2EA PER FITTING)</t>
        </is>
      </c>
      <c r="D262" s="143">
        <v>1.0</v>
      </c>
      <c r="E262" s="143">
        <v>2.0</v>
      </c>
      <c r="F262" s="143">
        <v>0.17</v>
      </c>
      <c r="G262" s="143">
        <v>701.4</v>
      </c>
      <c r="H262" s="143" t="inlineStr">
        <is>
          <t xml:space="preserve">Idle</t>
        </is>
      </c>
      <c r="I262" s="143" t="inlineStr">
        <is>
          <t xml:space="preserve">53-21</t>
        </is>
      </c>
      <c r="J262" s="143"/>
    </row>
    <row r="263" spans="1:10">
      <c r="A263" s="143" t="inlineStr">
        <is>
          <t xml:space="preserve">1286</t>
        </is>
      </c>
      <c r="B263" s="143" t="inlineStr">
        <is>
          <t xml:space="preserve">33002727</t>
        </is>
      </c>
      <c r="C263" s="143" t="inlineStr">
        <is>
          <t xml:space="preserve">AP---CALLBACK---RH WING SLAT 1 RH WING SLAT 1 OUTBOARD EDGE SEAL CUT OFF</t>
        </is>
      </c>
      <c r="D263" s="143">
        <v>1.0</v>
      </c>
      <c r="E263" s="143">
        <v>6.0</v>
      </c>
      <c r="F263" s="143">
        <v>0.0</v>
      </c>
      <c r="G263" s="143">
        <v>0.0</v>
      </c>
      <c r="H263" s="143" t="inlineStr">
        <is>
          <t xml:space="preserve">Not Started</t>
        </is>
      </c>
      <c r="I263" s="143" t="inlineStr">
        <is>
          <t xml:space="preserve">57-42</t>
        </is>
      </c>
      <c r="J263" s="143"/>
    </row>
    <row r="264" spans="1:10">
      <c r="A264" s="143" t="inlineStr">
        <is>
          <t xml:space="preserve">1287</t>
        </is>
      </c>
      <c r="B264" s="143" t="inlineStr">
        <is>
          <t xml:space="preserve">33002757</t>
        </is>
      </c>
      <c r="C264" s="143" t="inlineStr">
        <is>
          <t xml:space="preserve">S52-R10176/ASD // L2 PAX DOOR SEAL RETAINER WITH DENT &amp; GOUGE</t>
        </is>
      </c>
      <c r="D264" s="143">
        <v>1.0</v>
      </c>
      <c r="E264" s="143">
        <v>0.5</v>
      </c>
      <c r="F264" s="143">
        <v>41.8</v>
      </c>
      <c r="G264" s="143">
        <v>606.9</v>
      </c>
      <c r="H264" s="143" t="inlineStr">
        <is>
          <t xml:space="preserve">Idle</t>
        </is>
      </c>
      <c r="I264" s="143">
        <v>53.0</v>
      </c>
      <c r="J264" s="143"/>
    </row>
    <row r="265" spans="1:10">
      <c r="A265" s="143" t="inlineStr">
        <is>
          <t xml:space="preserve">1289</t>
        </is>
      </c>
      <c r="B265" s="143" t="inlineStr">
        <is>
          <t xml:space="preserve">33002784</t>
        </is>
      </c>
      <c r="C265" s="143" t="inlineStr">
        <is>
          <t xml:space="preserve">PNT - NO CALLBACK - OSBD OSB DOORS AT 1AC, 4AC, 5AC, 4JL, 5JL OSB DOORS REQUIRE PAINT (7 EA).</t>
        </is>
      </c>
      <c r="D265" s="143">
        <v>1.0</v>
      </c>
      <c r="E265" s="143">
        <v>24.0</v>
      </c>
      <c r="F265" s="143">
        <v>27.5</v>
      </c>
      <c r="G265" s="143">
        <v>703.3</v>
      </c>
      <c r="H265" s="143" t="inlineStr">
        <is>
          <t xml:space="preserve">Idle</t>
        </is>
      </c>
      <c r="I265" s="143">
        <v>25.0</v>
      </c>
      <c r="J265" s="143"/>
    </row>
    <row r="266" spans="1:10">
      <c r="A266" s="143" t="inlineStr">
        <is>
          <t xml:space="preserve">1291</t>
        </is>
      </c>
      <c r="B266" s="143" t="inlineStr">
        <is>
          <t xml:space="preserve">33003253</t>
        </is>
      </c>
      <c r="C266" s="143" t="inlineStr">
        <is>
          <t xml:space="preserve">FINDING (NRC) TASKCARD 574505-01-1-001 (02) / ITEM-1 AP--RII LH WING SLAT N.O 4 LOWER PLATE LOCATED AT SLAT ATTACHMENT FITTING CRACKED 1EA</t>
        </is>
      </c>
      <c r="D266" s="143">
        <v>1.0</v>
      </c>
      <c r="E266" s="143">
        <v>6.0</v>
      </c>
      <c r="F266" s="143">
        <v>1.5</v>
      </c>
      <c r="G266" s="143">
        <v>639.9</v>
      </c>
      <c r="H266" s="143" t="inlineStr">
        <is>
          <t xml:space="preserve">Idle</t>
        </is>
      </c>
      <c r="I266" s="143" t="inlineStr">
        <is>
          <t xml:space="preserve">57-45</t>
        </is>
      </c>
      <c r="J266" s="143"/>
    </row>
    <row r="267" spans="1:10">
      <c r="A267" s="143" t="inlineStr">
        <is>
          <t xml:space="preserve">1293</t>
        </is>
      </c>
      <c r="B267" s="143" t="inlineStr">
        <is>
          <t xml:space="preserve">33003278</t>
        </is>
      </c>
      <c r="C267" s="143" t="inlineStr">
        <is>
          <t xml:space="preserve">AP---RII---RH WING SLAT 4 RH WING SLAT 4 INBOARD TRACK LOWER PLATE ATTACHMENT CRACKED</t>
        </is>
      </c>
      <c r="D267" s="143">
        <v>1.0</v>
      </c>
      <c r="E267" s="143">
        <v>6.0</v>
      </c>
      <c r="F267" s="143">
        <v>0.0</v>
      </c>
      <c r="G267" s="143">
        <v>0.0</v>
      </c>
      <c r="H267" s="143" t="inlineStr">
        <is>
          <t xml:space="preserve">Not Started</t>
        </is>
      </c>
      <c r="I267" s="143" t="inlineStr">
        <is>
          <t xml:space="preserve">57-45</t>
        </is>
      </c>
      <c r="J267" s="143"/>
    </row>
    <row r="268" spans="1:10">
      <c r="A268" s="143" t="inlineStr">
        <is>
          <t xml:space="preserve">1294</t>
        </is>
      </c>
      <c r="B268" s="143" t="inlineStr">
        <is>
          <t xml:space="preserve">33003279</t>
        </is>
      </c>
      <c r="C268" s="143" t="inlineStr">
        <is>
          <t xml:space="preserve">SM - BRACKET ABOVE COCKPIT DOOR BRACKET ABOVE COCKPIT DOOR REQUIRE REMOVAL FOR ACCESS</t>
        </is>
      </c>
      <c r="D268" s="143">
        <v>1.0</v>
      </c>
      <c r="E268" s="143">
        <v>0.0</v>
      </c>
      <c r="F268" s="143">
        <v>11.17</v>
      </c>
      <c r="G268" s="143">
        <v>726.9</v>
      </c>
      <c r="H268" s="143" t="inlineStr">
        <is>
          <t xml:space="preserve">Idle</t>
        </is>
      </c>
      <c r="I268" s="143" t="inlineStr">
        <is>
          <t xml:space="preserve">53-11</t>
        </is>
      </c>
      <c r="J268" s="143"/>
    </row>
    <row r="269" spans="1:10">
      <c r="A269" s="143" t="inlineStr">
        <is>
          <t xml:space="preserve">1295</t>
        </is>
      </c>
      <c r="B269" s="143" t="inlineStr">
        <is>
          <t xml:space="preserve">33003366</t>
        </is>
      </c>
      <c r="C269" s="143" t="inlineStr">
        <is>
          <t xml:space="preserve">FINDING (NRC) TASKCARD 574605-01-1-001 (02) / ITEM-1 AP--RII LH WING SLAT N.O 5  INNER RUBBER SEAL TORN 1 EA</t>
        </is>
      </c>
      <c r="D269" s="143">
        <v>1.0</v>
      </c>
      <c r="E269" s="143">
        <v>4.0</v>
      </c>
      <c r="F269" s="143">
        <v>0.0</v>
      </c>
      <c r="G269" s="143">
        <v>0.0</v>
      </c>
      <c r="H269" s="143" t="inlineStr">
        <is>
          <t xml:space="preserve">Not Started</t>
        </is>
      </c>
      <c r="I269" s="143" t="inlineStr">
        <is>
          <t xml:space="preserve">57-46</t>
        </is>
      </c>
      <c r="J269" s="143"/>
    </row>
    <row r="270" spans="1:10">
      <c r="A270" s="143" t="inlineStr">
        <is>
          <t xml:space="preserve">1296</t>
        </is>
      </c>
      <c r="B270" s="143" t="inlineStr">
        <is>
          <t xml:space="preserve">33003374</t>
        </is>
      </c>
      <c r="C270" s="143" t="inlineStr">
        <is>
          <t xml:space="preserve">FINDING (NRC) TASKCARD 574605-01-1-001 (02) / ITEM-1 AP--RII LH WING SLAT N.O 3 LOWER PLATE LOCATED AT SLAT ATTACHMENT FITTING CRACKED 1EA</t>
        </is>
      </c>
      <c r="D270" s="143">
        <v>1.0</v>
      </c>
      <c r="E270" s="143">
        <v>6.0</v>
      </c>
      <c r="F270" s="143">
        <v>0.0</v>
      </c>
      <c r="G270" s="143">
        <v>0.0</v>
      </c>
      <c r="H270" s="143" t="inlineStr">
        <is>
          <t xml:space="preserve">Not Started</t>
        </is>
      </c>
      <c r="I270" s="143" t="inlineStr">
        <is>
          <t xml:space="preserve">57-46</t>
        </is>
      </c>
      <c r="J270" s="143"/>
    </row>
    <row r="271" spans="1:10">
      <c r="A271" s="143" t="inlineStr">
        <is>
          <t xml:space="preserve">1297</t>
        </is>
      </c>
      <c r="B271" s="143" t="inlineStr">
        <is>
          <t xml:space="preserve">33007153</t>
        </is>
      </c>
      <c r="C271" s="143" t="inlineStr">
        <is>
          <t xml:space="preserve">FINDING (NRC) TASKCARD 574205-01-1-001 (02) / ITEM-1 AP--RII LH WING SLAT N.O 1 LOWER PLATE LOCATED AT SLAT ATTACHMENT FITTING CRACKED 1EA</t>
        </is>
      </c>
      <c r="D271" s="143">
        <v>1.0</v>
      </c>
      <c r="E271" s="143">
        <v>4.0</v>
      </c>
      <c r="F271" s="143">
        <v>1.25</v>
      </c>
      <c r="G271" s="143">
        <v>639.8</v>
      </c>
      <c r="H271" s="143" t="inlineStr">
        <is>
          <t xml:space="preserve">Idle</t>
        </is>
      </c>
      <c r="I271" s="143" t="inlineStr">
        <is>
          <t xml:space="preserve">57-42</t>
        </is>
      </c>
      <c r="J271" s="143"/>
    </row>
    <row r="272" spans="1:10">
      <c r="A272" s="143" t="inlineStr">
        <is>
          <t xml:space="preserve">1298</t>
        </is>
      </c>
      <c r="B272" s="143" t="inlineStr">
        <is>
          <t xml:space="preserve">33007155</t>
        </is>
      </c>
      <c r="C272" s="143" t="inlineStr">
        <is>
          <t xml:space="preserve">FINDING (NRC) TASKCARD 574205-01-1-001 (02) / ITEM-1 AP--RII LH WING SLAT N.O 1  INNER RUBBER SEAL TORN 1 EA AT SLAT INNER INBOARD SIDE</t>
        </is>
      </c>
      <c r="D272" s="143">
        <v>1.0</v>
      </c>
      <c r="E272" s="143">
        <v>4.0</v>
      </c>
      <c r="F272" s="143">
        <v>0.0</v>
      </c>
      <c r="G272" s="143">
        <v>0.0</v>
      </c>
      <c r="H272" s="143" t="inlineStr">
        <is>
          <t xml:space="preserve">Not Started</t>
        </is>
      </c>
      <c r="I272" s="143" t="inlineStr">
        <is>
          <t xml:space="preserve">57-42</t>
        </is>
      </c>
      <c r="J272" s="143"/>
    </row>
    <row r="273" spans="1:10">
      <c r="A273" s="143" t="inlineStr">
        <is>
          <t xml:space="preserve">1299</t>
        </is>
      </c>
      <c r="B273" s="143" t="inlineStr">
        <is>
          <t xml:space="preserve">33007178</t>
        </is>
      </c>
      <c r="C273" s="143" t="inlineStr">
        <is>
          <t xml:space="preserve">FINDING (NRC) TASKCARD 574305-01-1-001 (02) / ITEM-1  AP--RII LH WING SLAT N.O 2 LOWER PLATE LOCATED AT SLAT ATTACHMENT FITTING CRACKED 1EA</t>
        </is>
      </c>
      <c r="D273" s="143">
        <v>1.0</v>
      </c>
      <c r="E273" s="143">
        <v>6.0</v>
      </c>
      <c r="F273" s="143">
        <v>0.0</v>
      </c>
      <c r="G273" s="143">
        <v>0.0</v>
      </c>
      <c r="H273" s="143" t="inlineStr">
        <is>
          <t xml:space="preserve">Not Started</t>
        </is>
      </c>
      <c r="I273" s="143" t="inlineStr">
        <is>
          <t xml:space="preserve">57-43</t>
        </is>
      </c>
      <c r="J273" s="143"/>
    </row>
    <row r="274" spans="1:10">
      <c r="A274" s="143" t="inlineStr">
        <is>
          <t xml:space="preserve">1301</t>
        </is>
      </c>
      <c r="B274" s="143" t="inlineStr">
        <is>
          <t xml:space="preserve">33007347</t>
        </is>
      </c>
      <c r="C274" s="143" t="inlineStr">
        <is>
          <t xml:space="preserve">FINDING (NRC) TASKCARD 574405-01-1-001 (02) / ITEM-1 AP--RII LH WING SLAT N.O 3  INNER RUBBER SEAL TORN 1 EA</t>
        </is>
      </c>
      <c r="D274" s="143">
        <v>1.0</v>
      </c>
      <c r="E274" s="143">
        <v>4.0</v>
      </c>
      <c r="F274" s="143">
        <v>0.0</v>
      </c>
      <c r="G274" s="143">
        <v>0.0</v>
      </c>
      <c r="H274" s="143" t="inlineStr">
        <is>
          <t xml:space="preserve">Not Started</t>
        </is>
      </c>
      <c r="I274" s="143" t="inlineStr">
        <is>
          <t xml:space="preserve">57-44</t>
        </is>
      </c>
      <c r="J274" s="143"/>
    </row>
    <row r="275" spans="1:10">
      <c r="A275" s="143" t="inlineStr">
        <is>
          <t xml:space="preserve">1314</t>
        </is>
      </c>
      <c r="B275" s="143" t="inlineStr">
        <is>
          <t xml:space="preserve">33013562</t>
        </is>
      </c>
      <c r="C275" s="143" t="inlineStr">
        <is>
          <t xml:space="preserve">ENG NO#01=====SM=====RII ENG NO#01 LH THR/REV NEAR THE FWD MOST HINGE ADJACENT STRUCTURE WITH BULGE ASSOCIATED WITH DELAMINATION  DIMENSION AS FOLLOWS LENGTH = 3.5" WIDTH = 3"</t>
        </is>
      </c>
      <c r="D275" s="143">
        <v>1.0</v>
      </c>
      <c r="E275" s="143">
        <v>48.0</v>
      </c>
      <c r="F275" s="143">
        <v>35.2</v>
      </c>
      <c r="G275" s="143">
        <v>696.0</v>
      </c>
      <c r="H275" s="143" t="inlineStr">
        <is>
          <t xml:space="preserve">Idle</t>
        </is>
      </c>
      <c r="I275" s="143" t="inlineStr">
        <is>
          <t xml:space="preserve">78-32</t>
        </is>
      </c>
      <c r="J275" s="143"/>
    </row>
    <row r="276" spans="1:10">
      <c r="A276" s="143" t="inlineStr">
        <is>
          <t xml:space="preserve">1317</t>
        </is>
      </c>
      <c r="B276" s="143" t="inlineStr">
        <is>
          <t xml:space="preserve">33017436</t>
        </is>
      </c>
      <c r="C276" s="143" t="inlineStr">
        <is>
          <t xml:space="preserve">CAB - NO CALL BACK - CURTAIN RAIL FWD GALLEY CURTAIN RAIL DEFORMED</t>
        </is>
      </c>
      <c r="D276" s="143">
        <v>1.0</v>
      </c>
      <c r="E276" s="143">
        <v>0.0</v>
      </c>
      <c r="F276" s="143">
        <v>0.0</v>
      </c>
      <c r="G276" s="143">
        <v>0.0</v>
      </c>
      <c r="H276" s="143" t="inlineStr">
        <is>
          <t xml:space="preserve">Not Started</t>
        </is>
      </c>
      <c r="I276" s="143">
        <v>25.0</v>
      </c>
      <c r="J276" s="143"/>
    </row>
    <row r="277" spans="1:10">
      <c r="A277" s="143" t="inlineStr">
        <is>
          <t xml:space="preserve">1321</t>
        </is>
      </c>
      <c r="B277" s="143" t="inlineStr">
        <is>
          <t xml:space="preserve">33019264</t>
        </is>
      </c>
      <c r="C277" s="143" t="inlineStr">
        <is>
          <t xml:space="preserve">ESCAPE SLIDE -RII FWD PAX DOOR L/H ESCAPE SLIDE RQE REMOVED FOR ACCESS  P/N : D30664-709         S/N: M18949</t>
        </is>
      </c>
      <c r="D277" s="143">
        <v>1.0</v>
      </c>
      <c r="E277" s="143">
        <v>0.0</v>
      </c>
      <c r="F277" s="143">
        <v>33.5</v>
      </c>
      <c r="G277" s="143">
        <v>722.5</v>
      </c>
      <c r="H277" s="143" t="inlineStr">
        <is>
          <t xml:space="preserve">Idle</t>
        </is>
      </c>
      <c r="I277" s="143" t="inlineStr">
        <is>
          <t xml:space="preserve">25-62</t>
        </is>
      </c>
      <c r="J277" s="143"/>
    </row>
    <row r="278" spans="1:10">
      <c r="A278" s="143" t="inlineStr">
        <is>
          <t xml:space="preserve">1323</t>
        </is>
      </c>
      <c r="B278" s="143" t="inlineStr">
        <is>
          <t xml:space="preserve">33019327</t>
        </is>
      </c>
      <c r="C278" s="143" t="inlineStr">
        <is>
          <t xml:space="preserve">ESCAPE SLIDE RII FWD PAX DOOR ESCAPE SLIDE R/H RQE REMOVAL FOR ACCESS  PN/: D30664-709             S/N : C0740</t>
        </is>
      </c>
      <c r="D278" s="143">
        <v>1.0</v>
      </c>
      <c r="E278" s="143">
        <v>0.0</v>
      </c>
      <c r="F278" s="143">
        <v>25.8</v>
      </c>
      <c r="G278" s="143">
        <v>722.4</v>
      </c>
      <c r="H278" s="143" t="inlineStr">
        <is>
          <t xml:space="preserve">Idle</t>
        </is>
      </c>
      <c r="I278" s="143" t="inlineStr">
        <is>
          <t xml:space="preserve">25-62</t>
        </is>
      </c>
      <c r="J278" s="143"/>
    </row>
    <row r="279" spans="1:10">
      <c r="A279" s="143" t="inlineStr">
        <is>
          <t xml:space="preserve">1324</t>
        </is>
      </c>
      <c r="B279" s="143" t="inlineStr">
        <is>
          <t xml:space="preserve">33019384</t>
        </is>
      </c>
      <c r="C279" s="143" t="inlineStr">
        <is>
          <t xml:space="preserve">ESCAPE SLIDE RII AFT PAX DOOR ESCAPE SLIDE R/H RQE REMOVED FOR ACCESS  PN/ D30665-709        SN/ M8479</t>
        </is>
      </c>
      <c r="D279" s="143">
        <v>1.0</v>
      </c>
      <c r="E279" s="143">
        <v>0.0</v>
      </c>
      <c r="F279" s="143">
        <v>18.0</v>
      </c>
      <c r="G279" s="143">
        <v>722.3</v>
      </c>
      <c r="H279" s="143" t="inlineStr">
        <is>
          <t xml:space="preserve">Idle</t>
        </is>
      </c>
      <c r="I279" s="143" t="inlineStr">
        <is>
          <t xml:space="preserve">25-62</t>
        </is>
      </c>
      <c r="J279" s="143"/>
    </row>
    <row r="280" spans="1:10">
      <c r="A280" s="143" t="inlineStr">
        <is>
          <t xml:space="preserve">1325</t>
        </is>
      </c>
      <c r="B280" s="143" t="inlineStr">
        <is>
          <t xml:space="preserve">33019437</t>
        </is>
      </c>
      <c r="C280" s="143" t="inlineStr">
        <is>
          <t xml:space="preserve">ESCAPE SLIDE RII AFT PAX DOOR ESCAPE SLIDE L/H RQE REMOVEVAL FOR ACCESS  PN / D30665-709     SN/ M14410</t>
        </is>
      </c>
      <c r="D280" s="143">
        <v>1.0</v>
      </c>
      <c r="E280" s="143">
        <v>0.0</v>
      </c>
      <c r="F280" s="143">
        <v>17.0</v>
      </c>
      <c r="G280" s="143">
        <v>722.2</v>
      </c>
      <c r="H280" s="143" t="inlineStr">
        <is>
          <t xml:space="preserve">Idle</t>
        </is>
      </c>
      <c r="I280" s="143" t="inlineStr">
        <is>
          <t xml:space="preserve">25-62</t>
        </is>
      </c>
      <c r="J280" s="143"/>
    </row>
    <row r="281" spans="1:10">
      <c r="A281" s="143" t="inlineStr">
        <is>
          <t xml:space="preserve">1343</t>
        </is>
      </c>
      <c r="B281" s="143" t="inlineStr">
        <is>
          <t xml:space="preserve">33022800</t>
        </is>
      </c>
      <c r="C281" s="143" t="inlineStr">
        <is>
          <t xml:space="preserve">CAB - NO CALLBACK - FWD FLOOR MAT J/C ENTRY WAY AND FWD GALLEY FLOOR MAT REQUIRE REPLACEMENT.</t>
        </is>
      </c>
      <c r="D281" s="143">
        <v>1.0</v>
      </c>
      <c r="E281" s="143">
        <v>0.0</v>
      </c>
      <c r="F281" s="143">
        <v>14.0</v>
      </c>
      <c r="G281" s="143">
        <v>102.9</v>
      </c>
      <c r="H281" s="143" t="inlineStr">
        <is>
          <t xml:space="preserve">Idle</t>
        </is>
      </c>
      <c r="I281" s="143" t="inlineStr">
        <is>
          <t xml:space="preserve">25-28</t>
        </is>
      </c>
      <c r="J281" s="143"/>
    </row>
    <row r="282" spans="1:10">
      <c r="A282" s="143" t="inlineStr">
        <is>
          <t xml:space="preserve">1360</t>
        </is>
      </c>
      <c r="B282" s="143" t="inlineStr">
        <is>
          <t xml:space="preserve">33025667</t>
        </is>
      </c>
      <c r="C282" s="143" t="inlineStr">
        <is>
          <t xml:space="preserve">CAB - RII - R2 DOOR PANEL ASSY-FLOOR L2 &amp; R2 DOOR PANEL FLOOR ASSY  WITH DAMAGE</t>
        </is>
      </c>
      <c r="D282" s="143">
        <v>1.0</v>
      </c>
      <c r="E282" s="143">
        <v>0.0</v>
      </c>
      <c r="F282" s="143">
        <v>27.8</v>
      </c>
      <c r="G282" s="143">
        <v>450.7</v>
      </c>
      <c r="H282" s="143" t="inlineStr">
        <is>
          <t xml:space="preserve">Idle</t>
        </is>
      </c>
      <c r="I282" s="143">
        <v>25.0</v>
      </c>
      <c r="J282" s="143"/>
    </row>
    <row r="283" spans="1:10">
      <c r="A283" s="143" t="inlineStr">
        <is>
          <t xml:space="preserve">1377</t>
        </is>
      </c>
      <c r="B283" s="143" t="inlineStr">
        <is>
          <t xml:space="preserve">33028466</t>
        </is>
      </c>
      <c r="C283" s="143" t="inlineStr">
        <is>
          <t xml:space="preserve">CAB - CALLBACK - G2 GALLEY G2 GALLEY REQUIRE REMOVAL FOR ACCESS.</t>
        </is>
      </c>
      <c r="D283" s="143">
        <v>1.0</v>
      </c>
      <c r="E283" s="143">
        <v>0.0</v>
      </c>
      <c r="F283" s="143">
        <v>24.5</v>
      </c>
      <c r="G283" s="143">
        <v>677.9</v>
      </c>
      <c r="H283" s="143" t="inlineStr">
        <is>
          <t xml:space="preserve">Idle</t>
        </is>
      </c>
      <c r="I283" s="143">
        <v>25.0</v>
      </c>
      <c r="J283" s="143"/>
    </row>
    <row r="284" spans="1:10">
      <c r="A284" s="143" t="inlineStr">
        <is>
          <t xml:space="preserve">1378</t>
        </is>
      </c>
      <c r="B284" s="143" t="inlineStr">
        <is>
          <t xml:space="preserve">33028471</t>
        </is>
      </c>
      <c r="C284" s="143" t="inlineStr">
        <is>
          <t xml:space="preserve">CAB - RII - B/C SEATS ALL B/C SEATS REQUIRE REMOVAL FOR ACCESS.</t>
        </is>
      </c>
      <c r="D284" s="143">
        <v>1.0</v>
      </c>
      <c r="E284" s="143">
        <v>0.0</v>
      </c>
      <c r="F284" s="143">
        <v>135.8</v>
      </c>
      <c r="G284" s="143">
        <v>677.9</v>
      </c>
      <c r="H284" s="143" t="inlineStr">
        <is>
          <t xml:space="preserve">Idle</t>
        </is>
      </c>
      <c r="I284" s="143">
        <v>25.0</v>
      </c>
      <c r="J284" s="143"/>
    </row>
    <row r="285" spans="1:10">
      <c r="A285" s="143" t="inlineStr">
        <is>
          <t xml:space="preserve">1388</t>
        </is>
      </c>
      <c r="B285" s="143" t="inlineStr">
        <is>
          <t xml:space="preserve">33030877</t>
        </is>
      </c>
      <c r="C285" s="143" t="inlineStr">
        <is>
          <t xml:space="preserve">AP---CALLBACK---RH WING SLAT 1 RH WING SLAT 1 TRACK 3 UPPER SURROUNDING SEAL TORN</t>
        </is>
      </c>
      <c r="D285" s="143">
        <v>1.0</v>
      </c>
      <c r="E285" s="143">
        <v>0.0</v>
      </c>
      <c r="F285" s="143">
        <v>0.0</v>
      </c>
      <c r="G285" s="143">
        <v>0.0</v>
      </c>
      <c r="H285" s="143" t="inlineStr">
        <is>
          <t xml:space="preserve">Not Started</t>
        </is>
      </c>
      <c r="I285" s="143" t="inlineStr">
        <is>
          <t xml:space="preserve">57-42</t>
        </is>
      </c>
      <c r="J285" s="143"/>
    </row>
    <row r="286" spans="1:10">
      <c r="A286" s="143" t="inlineStr">
        <is>
          <t xml:space="preserve">1389</t>
        </is>
      </c>
      <c r="B286" s="143" t="inlineStr">
        <is>
          <t xml:space="preserve">33030906</t>
        </is>
      </c>
      <c r="C286" s="143" t="inlineStr">
        <is>
          <t xml:space="preserve">CTR TANK FUEL PNL----FT----RII REFER TO TC # 571192-19-1 AND 571192-09-1 REQUIRE TO REMOVE CENTER  FUEL TANK ACCESS PANEL 148AZ</t>
        </is>
      </c>
      <c r="D286" s="143">
        <v>1.0</v>
      </c>
      <c r="E286" s="143">
        <v>0.0</v>
      </c>
      <c r="F286" s="143">
        <v>25.8</v>
      </c>
      <c r="G286" s="143">
        <v>557.7</v>
      </c>
      <c r="H286" s="143" t="inlineStr">
        <is>
          <t xml:space="preserve">Idle</t>
        </is>
      </c>
      <c r="I286" s="143">
        <v>28.0</v>
      </c>
      <c r="J286" s="143"/>
    </row>
    <row r="287" spans="1:10">
      <c r="A287" s="143" t="inlineStr">
        <is>
          <t xml:space="preserve">1393</t>
        </is>
      </c>
      <c r="B287" s="143" t="inlineStr">
        <is>
          <t xml:space="preserve">33035902</t>
        </is>
      </c>
      <c r="C287" s="143" t="inlineStr">
        <is>
          <t xml:space="preserve">VHS BROKEN VHS AT SEAT 1A BROKEN</t>
        </is>
      </c>
      <c r="D287" s="143">
        <v>1.0</v>
      </c>
      <c r="E287" s="143">
        <v>2.0</v>
      </c>
      <c r="F287" s="143">
        <v>3.0</v>
      </c>
      <c r="G287" s="143">
        <v>156.9</v>
      </c>
      <c r="H287" s="143" t="inlineStr">
        <is>
          <t xml:space="preserve">Idle</t>
        </is>
      </c>
      <c r="I287" s="143">
        <v>23.0</v>
      </c>
      <c r="J287" s="143"/>
    </row>
    <row r="288" spans="1:10">
      <c r="A288" s="143" t="inlineStr">
        <is>
          <t xml:space="preserve">1394</t>
        </is>
      </c>
      <c r="B288" s="143" t="inlineStr">
        <is>
          <t xml:space="preserve">33035907</t>
        </is>
      </c>
      <c r="C288" s="143" t="inlineStr">
        <is>
          <t xml:space="preserve">VHS BROKEN VHS AT SEAT 1L BROKEN</t>
        </is>
      </c>
      <c r="D288" s="143">
        <v>1.0</v>
      </c>
      <c r="E288" s="143">
        <v>2.0</v>
      </c>
      <c r="F288" s="143">
        <v>8.0</v>
      </c>
      <c r="G288" s="143">
        <v>162.8</v>
      </c>
      <c r="H288" s="143" t="inlineStr">
        <is>
          <t xml:space="preserve">Idle</t>
        </is>
      </c>
      <c r="I288" s="143">
        <v>23.0</v>
      </c>
      <c r="J288" s="143"/>
    </row>
    <row r="289" spans="1:10">
      <c r="A289" s="143" t="inlineStr">
        <is>
          <t xml:space="preserve">1395</t>
        </is>
      </c>
      <c r="B289" s="143" t="inlineStr">
        <is>
          <t xml:space="preserve">33036878</t>
        </is>
      </c>
      <c r="C289" s="143" t="inlineStr">
        <is>
          <t xml:space="preserve">ENG#1 HPV FUNCTIONAL CHECK FAILED -- AP -- RII ENG#1 HPV DURING HEALTH CHECK TEST FOUND HPV STUCK TO CLOSED POSITION, REQUIRE R/R.</t>
        </is>
      </c>
      <c r="D289" s="143">
        <v>1.0</v>
      </c>
      <c r="E289" s="143">
        <v>12.0</v>
      </c>
      <c r="F289" s="143">
        <v>25.5</v>
      </c>
      <c r="G289" s="143">
        <v>576.7</v>
      </c>
      <c r="H289" s="143" t="inlineStr">
        <is>
          <t xml:space="preserve">Idle</t>
        </is>
      </c>
      <c r="I289" s="143" t="inlineStr">
        <is>
          <t xml:space="preserve">36-11-00</t>
        </is>
      </c>
      <c r="J289" s="143"/>
    </row>
    <row r="290" spans="1:10">
      <c r="A290" s="143" t="inlineStr">
        <is>
          <t xml:space="preserve">1398</t>
        </is>
      </c>
      <c r="B290" s="143" t="inlineStr">
        <is>
          <t xml:space="preserve">33037962</t>
        </is>
      </c>
      <c r="C290" s="143" t="inlineStr">
        <is>
          <t xml:space="preserve">ENGINE #1 LH FAN COWL.....AP..RII REFER TO WO# 33014947. ENGINE #1 LH FAN COWL REQ REMOVAL FOR STRUCTURE REPAIR</t>
        </is>
      </c>
      <c r="D290" s="143">
        <v>1.0</v>
      </c>
      <c r="E290" s="143">
        <v>16.0</v>
      </c>
      <c r="F290" s="143">
        <v>46.1</v>
      </c>
      <c r="G290" s="143">
        <v>593.4</v>
      </c>
      <c r="H290" s="143" t="inlineStr">
        <is>
          <t xml:space="preserve">Idle</t>
        </is>
      </c>
      <c r="I290" s="143">
        <v>71.0</v>
      </c>
      <c r="J290" s="143"/>
    </row>
    <row r="291" spans="1:10">
      <c r="A291" s="143" t="inlineStr">
        <is>
          <t xml:space="preserve">1399</t>
        </is>
      </c>
      <c r="B291" s="143" t="inlineStr">
        <is>
          <t xml:space="preserve">33037966</t>
        </is>
      </c>
      <c r="C291" s="143" t="inlineStr">
        <is>
          <t xml:space="preserve">ENGINE #1 RH FAN COWL.....AP...RII REFER TO WO# 33014938. ENGINE #1 RH FAN COWL REQ REMOVAL FOR STRUCTURE REPAIR</t>
        </is>
      </c>
      <c r="D291" s="143">
        <v>1.0</v>
      </c>
      <c r="E291" s="143">
        <v>16.0</v>
      </c>
      <c r="F291" s="143">
        <v>25.3</v>
      </c>
      <c r="G291" s="143">
        <v>593.3</v>
      </c>
      <c r="H291" s="143" t="inlineStr">
        <is>
          <t xml:space="preserve">Idle</t>
        </is>
      </c>
      <c r="I291" s="143">
        <v>71.0</v>
      </c>
      <c r="J291" s="143"/>
    </row>
    <row r="292" spans="1:10">
      <c r="A292" s="143" t="inlineStr">
        <is>
          <t xml:space="preserve">1400</t>
        </is>
      </c>
      <c r="B292" s="143" t="inlineStr">
        <is>
          <t xml:space="preserve">33037967</t>
        </is>
      </c>
      <c r="C292" s="143" t="inlineStr">
        <is>
          <t xml:space="preserve">ENGINE #2 RH FAN COWL.....AP....RII REFER TO WO# 33014940. ENGINE # RH FAN COWL REQ REMOVAL FOR STRUCTURE REPAIR</t>
        </is>
      </c>
      <c r="D292" s="143">
        <v>1.0</v>
      </c>
      <c r="E292" s="143">
        <v>16.0</v>
      </c>
      <c r="F292" s="143">
        <v>28.1</v>
      </c>
      <c r="G292" s="143">
        <v>592.2</v>
      </c>
      <c r="H292" s="143" t="inlineStr">
        <is>
          <t xml:space="preserve">Idle</t>
        </is>
      </c>
      <c r="I292" s="143">
        <v>71.0</v>
      </c>
      <c r="J292" s="143"/>
    </row>
    <row r="293" spans="1:10">
      <c r="A293" s="143" t="inlineStr">
        <is>
          <t xml:space="preserve">1405</t>
        </is>
      </c>
      <c r="B293" s="143" t="inlineStr">
        <is>
          <t xml:space="preserve">33043802</t>
        </is>
      </c>
      <c r="C293" s="143" t="inlineStr">
        <is>
          <t xml:space="preserve">TASKCARD 531166-01-2 (2) / ITEM-1---SM---CALL BACK--- R1 DOOR-CUTOUT LOWER-CORNERS ON FWD AND AFT FOUND SURFACE CORROSION.</t>
        </is>
      </c>
      <c r="D293" s="143">
        <v>1.0</v>
      </c>
      <c r="E293" s="143">
        <v>0.0</v>
      </c>
      <c r="F293" s="143">
        <v>295.2</v>
      </c>
      <c r="G293" s="143">
        <v>508.3</v>
      </c>
      <c r="H293" s="143" t="inlineStr">
        <is>
          <t xml:space="preserve">Idle</t>
        </is>
      </c>
      <c r="I293" s="143" t="inlineStr">
        <is>
          <t xml:space="preserve">53-11</t>
        </is>
      </c>
      <c r="J293" s="143"/>
    </row>
    <row r="294" spans="1:10">
      <c r="A294" s="143" t="inlineStr">
        <is>
          <t xml:space="preserve">1408</t>
        </is>
      </c>
      <c r="B294" s="143" t="inlineStr">
        <is>
          <t xml:space="preserve">33045441</t>
        </is>
      </c>
      <c r="C294" s="143" t="inlineStr">
        <is>
          <t xml:space="preserve">VERTICAL MEMBER ASSEMBLIES FR24- AP-RII FWD CARGO VERTICAL MEMBER ASSEMBLIES AT FRAME 24 (LOC : Y-765, Y-254, Y254, Y765) FOUND DVI EVALUATION OUT OF LIMITS</t>
        </is>
      </c>
      <c r="D294" s="143">
        <v>1.0</v>
      </c>
      <c r="E294" s="143">
        <v>5.0</v>
      </c>
      <c r="F294" s="143">
        <v>8.0</v>
      </c>
      <c r="G294" s="143">
        <v>223.2</v>
      </c>
      <c r="H294" s="143" t="inlineStr">
        <is>
          <t xml:space="preserve">Idle</t>
        </is>
      </c>
      <c r="I294" s="143">
        <v>25.0</v>
      </c>
      <c r="J294" s="143"/>
    </row>
    <row r="295" spans="1:10">
      <c r="A295" s="143" t="inlineStr">
        <is>
          <t xml:space="preserve">1409</t>
        </is>
      </c>
      <c r="B295" s="143" t="inlineStr">
        <is>
          <t xml:space="preserve">33045500</t>
        </is>
      </c>
      <c r="C295" s="143" t="inlineStr">
        <is>
          <t xml:space="preserve">CAB - CALL BACK - RH AFT EXIT DOOR RH AFT EXIT DOOR INNER SIDE AROUND WINDOW FRAME BROKEN</t>
        </is>
      </c>
      <c r="D295" s="143">
        <v>1.0</v>
      </c>
      <c r="E295" s="143">
        <v>0.0</v>
      </c>
      <c r="F295" s="143">
        <v>5.0</v>
      </c>
      <c r="G295" s="143">
        <v>14.87</v>
      </c>
      <c r="H295" s="143" t="inlineStr">
        <is>
          <t xml:space="preserve">Idle</t>
        </is>
      </c>
      <c r="I295" s="143">
        <v>25.0</v>
      </c>
      <c r="J295" s="143"/>
    </row>
    <row r="296" spans="1:10">
      <c r="A296" s="143" t="inlineStr">
        <is>
          <t xml:space="preserve">1410</t>
        </is>
      </c>
      <c r="B296" s="143" t="inlineStr">
        <is>
          <t xml:space="preserve">95001845</t>
        </is>
      </c>
      <c r="C296" s="143" t="inlineStr">
        <is>
          <t xml:space="preserve">ROB TQ REF. # 845597 ENG # 2 THRUST REVERSER HCU P/N : TY2013-11 S/N # 8888 REQ. ROB TO SVC AS 75</t>
        </is>
      </c>
      <c r="D296" s="143" t="inlineStr">
        <is>
          <t xml:space="preserve">N</t>
        </is>
      </c>
      <c r="E296" s="143">
        <v>0.0</v>
      </c>
      <c r="F296" s="143">
        <v>108.0</v>
      </c>
      <c r="G296" s="143">
        <v>533.1</v>
      </c>
      <c r="H296" s="143" t="inlineStr">
        <is>
          <t xml:space="preserve">Idle</t>
        </is>
      </c>
      <c r="I296" s="143" t="inlineStr">
        <is>
          <t xml:space="preserve">70-00</t>
        </is>
      </c>
      <c r="J296" s="143"/>
    </row>
    <row r="297" spans="1:10">
      <c r="A297" s="143" t="inlineStr">
        <is>
          <t xml:space="preserve">1423</t>
        </is>
      </c>
      <c r="B297" s="143" t="inlineStr">
        <is>
          <t xml:space="preserve">33062059</t>
        </is>
      </c>
      <c r="C297" s="143" t="inlineStr">
        <is>
          <t xml:space="preserve">PNT - NO CALLBACK - SEATS DURING CKPT CHK FOUND SIDE OF CAP. AND F/O SEATS PAINT CHIPPED</t>
        </is>
      </c>
      <c r="D297" s="143">
        <v>1.0</v>
      </c>
      <c r="E297" s="143">
        <v>8.0</v>
      </c>
      <c r="F297" s="143">
        <v>7.5</v>
      </c>
      <c r="G297" s="143">
        <v>460.5</v>
      </c>
      <c r="H297" s="143" t="inlineStr">
        <is>
          <t xml:space="preserve">Idle</t>
        </is>
      </c>
      <c r="I297" s="143" t="inlineStr">
        <is>
          <t xml:space="preserve">25-10</t>
        </is>
      </c>
      <c r="J297" s="143"/>
    </row>
    <row r="298" spans="1:10">
      <c r="A298" s="143" t="inlineStr">
        <is>
          <t xml:space="preserve">1427</t>
        </is>
      </c>
      <c r="B298" s="143" t="inlineStr">
        <is>
          <t xml:space="preserve">95001846</t>
        </is>
      </c>
      <c r="C298" s="143" t="inlineStr">
        <is>
          <t xml:space="preserve">ROB REF TO TQ # 846298 VHS ROBBED TO SVC AS55 P/N # RD-FA5117-01 S/N#H597712</t>
        </is>
      </c>
      <c r="D298" s="143" t="inlineStr">
        <is>
          <t xml:space="preserve">N</t>
        </is>
      </c>
      <c r="E298" s="143">
        <v>0.0</v>
      </c>
      <c r="F298" s="143">
        <v>5.0</v>
      </c>
      <c r="G298" s="143">
        <v>506.9</v>
      </c>
      <c r="H298" s="143" t="inlineStr">
        <is>
          <t xml:space="preserve">Idle</t>
        </is>
      </c>
      <c r="I298" s="143">
        <v>23.0</v>
      </c>
      <c r="J298" s="143"/>
    </row>
    <row r="299" spans="1:10">
      <c r="A299" s="143" t="inlineStr">
        <is>
          <t xml:space="preserve">1436</t>
        </is>
      </c>
      <c r="B299" s="143" t="inlineStr">
        <is>
          <t xml:space="preserve">33069060</t>
        </is>
      </c>
      <c r="C299" s="143" t="inlineStr">
        <is>
          <t xml:space="preserve">REPLACE 3214-31/151653 (BATTERY, EMERGENCY)</t>
        </is>
      </c>
      <c r="D299" s="143" t="inlineStr">
        <is>
          <t xml:space="preserve">N</t>
        </is>
      </c>
      <c r="E299" s="143">
        <v>0.0</v>
      </c>
      <c r="F299" s="143">
        <v>6.42</v>
      </c>
      <c r="G299" s="143">
        <v>379.8</v>
      </c>
      <c r="H299" s="143" t="inlineStr">
        <is>
          <t xml:space="preserve">Idle</t>
        </is>
      </c>
      <c r="I299" s="143" t="inlineStr">
        <is>
          <t xml:space="preserve">20-00</t>
        </is>
      </c>
      <c r="J299" s="143"/>
    </row>
    <row r="300" spans="1:10">
      <c r="A300" s="143" t="inlineStr">
        <is>
          <t xml:space="preserve">1437</t>
        </is>
      </c>
      <c r="B300" s="143" t="inlineStr">
        <is>
          <t xml:space="preserve">33069005</t>
        </is>
      </c>
      <c r="C300" s="143" t="inlineStr">
        <is>
          <t xml:space="preserve">REPLACE 3214-31/151671 (BATTERY, EMERGENCY)</t>
        </is>
      </c>
      <c r="D300" s="143" t="inlineStr">
        <is>
          <t xml:space="preserve">N</t>
        </is>
      </c>
      <c r="E300" s="143">
        <v>0.0</v>
      </c>
      <c r="F300" s="143">
        <v>6.42</v>
      </c>
      <c r="G300" s="143">
        <v>379.4</v>
      </c>
      <c r="H300" s="143" t="inlineStr">
        <is>
          <t xml:space="preserve">Idle</t>
        </is>
      </c>
      <c r="I300" s="143" t="inlineStr">
        <is>
          <t xml:space="preserve">20-00</t>
        </is>
      </c>
      <c r="J300" s="143"/>
    </row>
    <row r="301" spans="1:10">
      <c r="A301" s="143" t="inlineStr">
        <is>
          <t xml:space="preserve">1438</t>
        </is>
      </c>
      <c r="B301" s="143" t="inlineStr">
        <is>
          <t xml:space="preserve">33069059</t>
        </is>
      </c>
      <c r="C301" s="143" t="inlineStr">
        <is>
          <t xml:space="preserve">REPLACE 3214-31/151674 (BATTERY, EMERGENCY)</t>
        </is>
      </c>
      <c r="D301" s="143" t="inlineStr">
        <is>
          <t xml:space="preserve">N</t>
        </is>
      </c>
      <c r="E301" s="143">
        <v>0.0</v>
      </c>
      <c r="F301" s="143">
        <v>6.42</v>
      </c>
      <c r="G301" s="143">
        <v>379.2</v>
      </c>
      <c r="H301" s="143" t="inlineStr">
        <is>
          <t xml:space="preserve">Idle</t>
        </is>
      </c>
      <c r="I301" s="143" t="inlineStr">
        <is>
          <t xml:space="preserve">20-00</t>
        </is>
      </c>
      <c r="J301" s="143"/>
    </row>
    <row r="302" spans="1:10">
      <c r="A302" s="143" t="inlineStr">
        <is>
          <t xml:space="preserve">1439</t>
        </is>
      </c>
      <c r="B302" s="143" t="inlineStr">
        <is>
          <t xml:space="preserve">33069030</t>
        </is>
      </c>
      <c r="C302" s="143" t="inlineStr">
        <is>
          <t xml:space="preserve">REPLACE 3214-31/151687 (BATTERY, EMERGENCY)</t>
        </is>
      </c>
      <c r="D302" s="143" t="inlineStr">
        <is>
          <t xml:space="preserve">N</t>
        </is>
      </c>
      <c r="E302" s="143">
        <v>0.0</v>
      </c>
      <c r="F302" s="143">
        <v>6.17</v>
      </c>
      <c r="G302" s="143">
        <v>378.9</v>
      </c>
      <c r="H302" s="143" t="inlineStr">
        <is>
          <t xml:space="preserve">Idle</t>
        </is>
      </c>
      <c r="I302" s="143" t="inlineStr">
        <is>
          <t xml:space="preserve">20-00</t>
        </is>
      </c>
      <c r="J302" s="143"/>
    </row>
    <row r="303" spans="1:10">
      <c r="A303" s="143" t="inlineStr">
        <is>
          <t xml:space="preserve">1440</t>
        </is>
      </c>
      <c r="B303" s="143" t="inlineStr">
        <is>
          <t xml:space="preserve">33079373</t>
        </is>
      </c>
      <c r="C303" s="143" t="inlineStr">
        <is>
          <t xml:space="preserve">CAB - CALL BACK - AFT GALLEY AFT GALLEY 2 EACH BUSHING MISSING</t>
        </is>
      </c>
      <c r="D303" s="143">
        <v>1.0</v>
      </c>
      <c r="E303" s="143">
        <v>0.0</v>
      </c>
      <c r="F303" s="143">
        <v>6.67</v>
      </c>
      <c r="G303" s="143">
        <v>379.7</v>
      </c>
      <c r="H303" s="143" t="inlineStr">
        <is>
          <t xml:space="preserve">Idle</t>
        </is>
      </c>
      <c r="I303" s="143">
        <v>25.0</v>
      </c>
      <c r="J303" s="143"/>
    </row>
    <row r="304" spans="1:10">
      <c r="A304" s="143" t="inlineStr">
        <is>
          <t xml:space="preserve">1451</t>
        </is>
      </c>
      <c r="B304" s="143" t="inlineStr">
        <is>
          <t xml:space="preserve">33086132</t>
        </is>
      </c>
      <c r="C304" s="143" t="inlineStr">
        <is>
          <t xml:space="preserve">PNT - NO CALLBACK - PLACARDS SEVERAL PLACARDS DAMAGED INSIDE CKPT ( OXY MASK R/H, MAX LOAD 3KG-7LB R/H, DISK STOWAGE R/H, DISK STOWAGE L/H, FLASH LIGHT L/H, LANDING GEAR PINS L/H )</t>
        </is>
      </c>
      <c r="D304" s="143">
        <v>1.0</v>
      </c>
      <c r="E304" s="143">
        <v>4.0</v>
      </c>
      <c r="F304" s="143">
        <v>0.0</v>
      </c>
      <c r="G304" s="143">
        <v>0.0</v>
      </c>
      <c r="H304" s="143" t="inlineStr">
        <is>
          <t xml:space="preserve">Not Started</t>
        </is>
      </c>
      <c r="I304" s="143" t="inlineStr">
        <is>
          <t xml:space="preserve">25-10</t>
        </is>
      </c>
      <c r="J304" s="143"/>
    </row>
    <row r="305" spans="1:10">
      <c r="A305" s="143" t="inlineStr">
        <is>
          <t xml:space="preserve">1455</t>
        </is>
      </c>
      <c r="B305" s="143" t="inlineStr">
        <is>
          <t xml:space="preserve">33110403</t>
        </is>
      </c>
      <c r="C305" s="143" t="inlineStr">
        <is>
          <t xml:space="preserve">PNT CARGO PANELS - NO CALL BACK - PNT AFT CARGO ALL SIDE WALL PANELS PNT PEELED OFF</t>
        </is>
      </c>
      <c r="D305" s="143">
        <v>1.0</v>
      </c>
      <c r="E305" s="143">
        <v>20.0</v>
      </c>
      <c r="F305" s="143">
        <v>9.0</v>
      </c>
      <c r="G305" s="143">
        <v>213.3</v>
      </c>
      <c r="H305" s="143" t="inlineStr">
        <is>
          <t xml:space="preserve">Idle</t>
        </is>
      </c>
      <c r="I305" s="143" t="inlineStr">
        <is>
          <t xml:space="preserve">25-50</t>
        </is>
      </c>
      <c r="J305" s="143"/>
    </row>
    <row r="306" spans="1:10">
      <c r="A306" s="143" t="inlineStr">
        <is>
          <t xml:space="preserve">1458</t>
        </is>
      </c>
      <c r="B306" s="143" t="inlineStr">
        <is>
          <t xml:space="preserve">33111530</t>
        </is>
      </c>
      <c r="C306" s="143" t="inlineStr">
        <is>
          <t xml:space="preserve">AP------SAFETY VALVES---------RII DURING OP`S CHK FOUND BOTH SAFETY VALVES FIN# 6HL+7HL FAILED</t>
        </is>
      </c>
      <c r="D306" s="143">
        <v>1.0</v>
      </c>
      <c r="E306" s="143">
        <v>56.0</v>
      </c>
      <c r="F306" s="143">
        <v>56.2</v>
      </c>
      <c r="G306" s="143">
        <v>332.5</v>
      </c>
      <c r="H306" s="143" t="inlineStr">
        <is>
          <t xml:space="preserve">Idle</t>
        </is>
      </c>
      <c r="I306" s="143" t="inlineStr">
        <is>
          <t xml:space="preserve">21-31</t>
        </is>
      </c>
      <c r="J306" s="143"/>
    </row>
    <row r="307" spans="1:10">
      <c r="A307" s="143" t="inlineStr">
        <is>
          <t xml:space="preserve">1461</t>
        </is>
      </c>
      <c r="B307" s="143" t="inlineStr">
        <is>
          <t xml:space="preserve">95001841</t>
        </is>
      </c>
      <c r="C307" s="143" t="inlineStr">
        <is>
          <t xml:space="preserve">ENG#1 T/REV ENG#1 T/REV HCU DE-ACTIVATION PIN INSTALLATION ACCOMPLISHED. AS PER AMM 78-30-00-481-041-B  REV.69 DATE.01 MAY 2026  ** PLEASE REMOVE BEFORE FLIGHT **</t>
        </is>
      </c>
      <c r="D307" s="143" t="inlineStr">
        <is>
          <t xml:space="preserve">N</t>
        </is>
      </c>
      <c r="E307" s="143">
        <v>4.0</v>
      </c>
      <c r="F307" s="143">
        <v>0.0</v>
      </c>
      <c r="G307" s="143">
        <v>0.0</v>
      </c>
      <c r="H307" s="143" t="inlineStr">
        <is>
          <t xml:space="preserve">Not Started</t>
        </is>
      </c>
      <c r="I307" s="143" t="inlineStr">
        <is>
          <t xml:space="preserve">78-00</t>
        </is>
      </c>
      <c r="J307" s="143"/>
    </row>
    <row r="308" spans="1:10">
      <c r="A308" s="143" t="inlineStr">
        <is>
          <t xml:space="preserve">1462</t>
        </is>
      </c>
      <c r="B308" s="143" t="inlineStr">
        <is>
          <t xml:space="preserve">95001842</t>
        </is>
      </c>
      <c r="C308" s="143" t="inlineStr">
        <is>
          <t xml:space="preserve">ENG# 2 T/REV ENG#2 T/REV HCU DE-ACTIVATION PIN INSTALLATION ACCOMPLISHED. AS PER AMM 78-30-00-481-041-B  REV.69 DATE.01 MAY 2026  ** PLEASE REMOVE BEFORE FLIGHT **</t>
        </is>
      </c>
      <c r="D308" s="143" t="inlineStr">
        <is>
          <t xml:space="preserve">N</t>
        </is>
      </c>
      <c r="E308" s="143">
        <v>4.0</v>
      </c>
      <c r="F308" s="143">
        <v>0.0</v>
      </c>
      <c r="G308" s="143">
        <v>0.0</v>
      </c>
      <c r="H308" s="143" t="inlineStr">
        <is>
          <t xml:space="preserve">Not Started</t>
        </is>
      </c>
      <c r="I308" s="143" t="inlineStr">
        <is>
          <t xml:space="preserve">78-00</t>
        </is>
      </c>
      <c r="J308" s="143"/>
    </row>
    <row r="309" spans="1:10">
      <c r="A309" s="143" t="inlineStr">
        <is>
          <t xml:space="preserve">1463</t>
        </is>
      </c>
      <c r="B309" s="143" t="inlineStr">
        <is>
          <t xml:space="preserve">95001844</t>
        </is>
      </c>
      <c r="C309" s="143" t="inlineStr">
        <is>
          <t xml:space="preserve">PITOT AND STATIC COVERS INSTALLED AND CB OPEN AS PER AMM 10-11-00-555-013-A  REV 69  DTD 01 MAY 2026</t>
        </is>
      </c>
      <c r="D309" s="143" t="inlineStr">
        <is>
          <t xml:space="preserve">N</t>
        </is>
      </c>
      <c r="E309" s="143">
        <v>0.0</v>
      </c>
      <c r="F309" s="143">
        <v>0.0</v>
      </c>
      <c r="G309" s="143">
        <v>0.0</v>
      </c>
      <c r="H309" s="143" t="inlineStr">
        <is>
          <t xml:space="preserve">Not Started</t>
        </is>
      </c>
      <c r="I309" s="143" t="inlineStr">
        <is>
          <t xml:space="preserve">10-11</t>
        </is>
      </c>
      <c r="J309" s="143"/>
    </row>
    <row r="310" spans="1:10">
      <c r="A310" s="143" t="inlineStr">
        <is>
          <t xml:space="preserve">1464</t>
        </is>
      </c>
      <c r="B310" s="143" t="inlineStr">
        <is>
          <t xml:space="preserve">95001848</t>
        </is>
      </c>
      <c r="C310" s="143" t="inlineStr">
        <is>
          <t xml:space="preserve">ROB .. REF TO T/Q.848794 ENG NO.1 CORE NOZZLE ASSY P/N.642-4001-501 S/N.7891001 ROBBED TO SVC HZ-AS52. AS PER A320 AMM 78-11-11-000-041-A  REV.70 DATE.01 AUG 2026</t>
        </is>
      </c>
      <c r="D310" s="143" t="inlineStr">
        <is>
          <t xml:space="preserve">N</t>
        </is>
      </c>
      <c r="E310" s="143">
        <v>12.0</v>
      </c>
      <c r="F310" s="143">
        <v>2.0</v>
      </c>
      <c r="G310" s="143">
        <v>332.9</v>
      </c>
      <c r="H310" s="143" t="inlineStr">
        <is>
          <t xml:space="preserve">Idle</t>
        </is>
      </c>
      <c r="I310" s="143" t="inlineStr">
        <is>
          <t xml:space="preserve">72-00</t>
        </is>
      </c>
      <c r="J310" s="143"/>
    </row>
    <row r="311" spans="1:10">
      <c r="A311" s="143" t="inlineStr">
        <is>
          <t xml:space="preserve">1465</t>
        </is>
      </c>
      <c r="B311" s="143" t="inlineStr">
        <is>
          <t xml:space="preserve">95001849</t>
        </is>
      </c>
      <c r="C311" s="143" t="inlineStr">
        <is>
          <t xml:space="preserve">ROB .. REF TO T/Q.848794 ENG NO.1 CENTER BODY P/N.238-0451-523 S/N10359001 ROBBED TO SVC HZ-AS52 AS PER A320 AMM 78-11-12-000-041-A  REV.70 DATE.01 AUG 2026</t>
        </is>
      </c>
      <c r="D311" s="143" t="inlineStr">
        <is>
          <t xml:space="preserve">N</t>
        </is>
      </c>
      <c r="E311" s="143">
        <v>12.0</v>
      </c>
      <c r="F311" s="143">
        <v>2.0</v>
      </c>
      <c r="G311" s="143">
        <v>331.8</v>
      </c>
      <c r="H311" s="143" t="inlineStr">
        <is>
          <t xml:space="preserve">Idle</t>
        </is>
      </c>
      <c r="I311" s="143" t="inlineStr">
        <is>
          <t xml:space="preserve">78-00</t>
        </is>
      </c>
      <c r="J311" s="143"/>
    </row>
    <row r="312" spans="1:10">
      <c r="A312" s="143" t="inlineStr">
        <is>
          <t xml:space="preserve">1482</t>
        </is>
      </c>
      <c r="B312" s="143" t="inlineStr">
        <is>
          <t xml:space="preserve">33084455</t>
        </is>
      </c>
      <c r="C312" s="143" t="inlineStr">
        <is>
          <t xml:space="preserve">S44-R10270/CELL MODEM TEST - CAPTURE DEBUG</t>
        </is>
      </c>
      <c r="D312" s="143" t="inlineStr">
        <is>
          <t xml:space="preserve">RON</t>
        </is>
      </c>
      <c r="E312" s="143">
        <v>2.0</v>
      </c>
      <c r="F312" s="143">
        <v>0.0</v>
      </c>
      <c r="G312" s="143">
        <v>0.0</v>
      </c>
      <c r="H312" s="143" t="inlineStr">
        <is>
          <t xml:space="preserve">Not Started</t>
        </is>
      </c>
      <c r="I312" s="143">
        <v>44.0</v>
      </c>
      <c r="J312" s="143"/>
    </row>
    <row r="313" spans="1:10">
      <c r="A313" s="143" t="inlineStr">
        <is>
          <t xml:space="preserve">1494</t>
        </is>
      </c>
      <c r="B313" s="143" t="inlineStr">
        <is>
          <t xml:space="preserve">33151496</t>
        </is>
      </c>
      <c r="C313" s="143" t="inlineStr">
        <is>
          <t xml:space="preserve">CAB - RII - L1 F/A SEAT L1 DOOR L/H F/A SEAT LOWER BASE DEFORMED AND CRACKED</t>
        </is>
      </c>
      <c r="D313" s="143">
        <v>1.0</v>
      </c>
      <c r="E313" s="143">
        <v>0.0</v>
      </c>
      <c r="F313" s="143">
        <v>0.0</v>
      </c>
      <c r="G313" s="143">
        <v>0.0</v>
      </c>
      <c r="H313" s="143" t="inlineStr">
        <is>
          <t xml:space="preserve">Not Started</t>
        </is>
      </c>
      <c r="I313" s="143" t="inlineStr">
        <is>
          <t xml:space="preserve">25-22</t>
        </is>
      </c>
      <c r="J313" s="143"/>
    </row>
    <row r="314" spans="1:10">
      <c r="A314" s="143" t="inlineStr">
        <is>
          <t xml:space="preserve">1495</t>
        </is>
      </c>
      <c r="B314" s="143" t="inlineStr">
        <is>
          <t xml:space="preserve">33151563</t>
        </is>
      </c>
      <c r="C314" s="143" t="inlineStr">
        <is>
          <t xml:space="preserve">CAB - RII - L1 DOOR F/A SEAT L1 DOOR R/H F/A SEAT LOWER BASE DEFORMED &amp; CRACKED</t>
        </is>
      </c>
      <c r="D314" s="143">
        <v>1.0</v>
      </c>
      <c r="E314" s="143">
        <v>0.0</v>
      </c>
      <c r="F314" s="143">
        <v>0.0</v>
      </c>
      <c r="G314" s="143">
        <v>0.0</v>
      </c>
      <c r="H314" s="143" t="inlineStr">
        <is>
          <t xml:space="preserve">Not Started</t>
        </is>
      </c>
      <c r="I314" s="143" t="inlineStr">
        <is>
          <t xml:space="preserve">25-22</t>
        </is>
      </c>
      <c r="J314" s="143"/>
    </row>
    <row r="315" spans="1:10">
      <c r="A315" s="143" t="inlineStr">
        <is>
          <t xml:space="preserve">1496</t>
        </is>
      </c>
      <c r="B315" s="143" t="inlineStr">
        <is>
          <t xml:space="preserve">33151580</t>
        </is>
      </c>
      <c r="C315" s="143" t="inlineStr">
        <is>
          <t xml:space="preserve">CABIN - RII - L2 F/A SEAT L2 DOOR F/A SEAT LOWER BASE CORRODED</t>
        </is>
      </c>
      <c r="D315" s="143">
        <v>1.0</v>
      </c>
      <c r="E315" s="143">
        <v>0.0</v>
      </c>
      <c r="F315" s="143">
        <v>1.0</v>
      </c>
      <c r="G315" s="143">
        <v>45.8</v>
      </c>
      <c r="H315" s="143" t="inlineStr">
        <is>
          <t xml:space="preserve">Idle</t>
        </is>
      </c>
      <c r="I315" s="143" t="inlineStr">
        <is>
          <t xml:space="preserve">25-22</t>
        </is>
      </c>
      <c r="J315" s="143"/>
    </row>
    <row r="316" spans="1:10">
      <c r="A316" s="143" t="inlineStr">
        <is>
          <t xml:space="preserve">1498</t>
        </is>
      </c>
      <c r="B316" s="143" t="inlineStr">
        <is>
          <t xml:space="preserve">200151-01-1</t>
        </is>
      </c>
      <c r="C316" s="143" t="inlineStr">
        <is>
          <t xml:space="preserve">200151-01-1 (01) / AFT CARGO COMPARTMENT EWIS CLEANING</t>
        </is>
      </c>
      <c r="D316" s="143">
        <v>1.0</v>
      </c>
      <c r="E316" s="143">
        <v>0.5</v>
      </c>
      <c r="F316" s="143">
        <v>21.0</v>
      </c>
      <c r="G316" s="143">
        <v>188.9</v>
      </c>
      <c r="H316" s="143" t="inlineStr">
        <is>
          <t xml:space="preserve">Idle</t>
        </is>
      </c>
      <c r="I316" s="143" t="inlineStr">
        <is>
          <t xml:space="preserve">24-92</t>
        </is>
      </c>
      <c r="J316" s="143" t="inlineStr">
        <is>
          <t xml:space="preserve">JOB-SETUP, CLEAN-UP, TC/P, TC/P, TC/P, JOB-CLOSEUP, JOB-CLOSEUP</t>
        </is>
      </c>
    </row>
    <row r="317" spans="1:10">
      <c r="A317" s="143" t="inlineStr">
        <is>
          <t xml:space="preserve">1507</t>
        </is>
      </c>
      <c r="B317" s="143" t="inlineStr">
        <is>
          <t xml:space="preserve">33157472</t>
        </is>
      </c>
      <c r="C317" s="143" t="inlineStr">
        <is>
          <t xml:space="preserve">SM - RH WING - 631AT - CALLBACK RH WING ACCESS PANEL 631AT FWD EDGE LH &amp; RH SEAL IS WORN OUT. REQUIRES REPLACEMENT.</t>
        </is>
      </c>
      <c r="D317" s="143">
        <v>1.0</v>
      </c>
      <c r="E317" s="143">
        <v>0.0</v>
      </c>
      <c r="F317" s="143">
        <v>52.5</v>
      </c>
      <c r="G317" s="143">
        <v>150.9</v>
      </c>
      <c r="H317" s="143" t="inlineStr">
        <is>
          <t xml:space="preserve">Idle</t>
        </is>
      </c>
      <c r="I317" s="143" t="inlineStr">
        <is>
          <t xml:space="preserve">05-25</t>
        </is>
      </c>
      <c r="J317" s="143"/>
    </row>
    <row r="318" spans="1:10">
      <c r="A318" s="143" t="inlineStr">
        <is>
          <t xml:space="preserve">1508</t>
        </is>
      </c>
      <c r="B318" s="143" t="inlineStr">
        <is>
          <t xml:space="preserve">33157478</t>
        </is>
      </c>
      <c r="C318" s="143" t="inlineStr">
        <is>
          <t xml:space="preserve">SM - RH WING - 632AT - CALLBACK RH WING ACCESS PANEL 632AT FWD EDGE LH &amp; RH SEALS ARE WORN OUT. REQUIRES REPLACEMENT.</t>
        </is>
      </c>
      <c r="D318" s="143">
        <v>1.0</v>
      </c>
      <c r="E318" s="143">
        <v>0.0</v>
      </c>
      <c r="F318" s="143">
        <v>71.3</v>
      </c>
      <c r="G318" s="143">
        <v>150.9</v>
      </c>
      <c r="H318" s="143" t="inlineStr">
        <is>
          <t xml:space="preserve">Idle</t>
        </is>
      </c>
      <c r="I318" s="143" t="inlineStr">
        <is>
          <t xml:space="preserve">05-25</t>
        </is>
      </c>
      <c r="J318" s="143"/>
    </row>
    <row r="319" spans="1:10">
      <c r="A319" s="143" t="inlineStr">
        <is>
          <t xml:space="preserve">1510</t>
        </is>
      </c>
      <c r="B319" s="143" t="inlineStr">
        <is>
          <t xml:space="preserve">33163295</t>
        </is>
      </c>
      <c r="C319" s="143" t="inlineStr">
        <is>
          <t xml:space="preserve">CAB - RII - OXYGEN CONTAINER OXYGEN CONTAINER AT ROW 42 L/H AND R/H  FOUND DAMAGED.</t>
        </is>
      </c>
      <c r="D319" s="143">
        <v>1.0</v>
      </c>
      <c r="E319" s="143">
        <v>0.0</v>
      </c>
      <c r="F319" s="143">
        <v>22.5</v>
      </c>
      <c r="G319" s="143">
        <v>23.03</v>
      </c>
      <c r="H319" s="143" t="inlineStr">
        <is>
          <t xml:space="preserve">Idle</t>
        </is>
      </c>
      <c r="I319" s="143">
        <v>35.0</v>
      </c>
      <c r="J319" s="143"/>
    </row>
    <row r="320" spans="1:10">
      <c r="A320" s="143" t="inlineStr">
        <is>
          <t xml:space="preserve">1512</t>
        </is>
      </c>
      <c r="B320" s="143" t="inlineStr">
        <is>
          <t xml:space="preserve">33173578</t>
        </is>
      </c>
      <c r="C320" s="143" t="inlineStr">
        <is>
          <t xml:space="preserve">MACHINE SHOP - NO CALL BACK - GRID COLLECTOR DURING CLOSE UP FOUND COCKPIT GRID COLLECTOR TWO HELI COILS REQUIRE MACHINIST</t>
        </is>
      </c>
      <c r="D320" s="143">
        <v>1.0</v>
      </c>
      <c r="E320" s="143">
        <v>0.0</v>
      </c>
      <c r="F320" s="143">
        <v>0.0</v>
      </c>
      <c r="G320" s="143">
        <v>0.0</v>
      </c>
      <c r="H320" s="143" t="inlineStr">
        <is>
          <t xml:space="preserve">Not Started</t>
        </is>
      </c>
      <c r="I320" s="143" t="inlineStr">
        <is>
          <t xml:space="preserve">25-10</t>
        </is>
      </c>
      <c r="J320" s="143"/>
    </row>
    <row r="321" spans="1:10">
      <c r="A321" s="143" t="inlineStr">
        <is>
          <t xml:space="preserve">1513</t>
        </is>
      </c>
      <c r="B321" s="143" t="inlineStr">
        <is>
          <t xml:space="preserve">33173612</t>
        </is>
      </c>
      <c r="C321" s="143" t="inlineStr">
        <is>
          <t xml:space="preserve">DC GENERATION MAIN BATTERY 2PB2 FOUND DISCHARGED.</t>
        </is>
      </c>
      <c r="D321" s="143">
        <v>1.0</v>
      </c>
      <c r="E321" s="143">
        <v>6.0</v>
      </c>
      <c r="F321" s="143">
        <v>12.0</v>
      </c>
      <c r="G321" s="143">
        <v>46.9</v>
      </c>
      <c r="H321" s="143" t="inlineStr">
        <is>
          <t xml:space="preserve">Idle</t>
        </is>
      </c>
      <c r="I321" s="143">
        <v>24.0</v>
      </c>
      <c r="J321" s="143"/>
    </row>
    <row r="322" spans="1:10">
      <c r="A322" s="143" t="inlineStr">
        <is>
          <t xml:space="preserve">1515</t>
        </is>
      </c>
      <c r="B322" s="143" t="inlineStr">
        <is>
          <t xml:space="preserve">33181577</t>
        </is>
      </c>
      <c r="C322" s="143" t="inlineStr">
        <is>
          <t xml:space="preserve">B/C SEAT PNT- NO CALLBACK ALL B/C SEAT BACK SHELL WITH PAINT SCRATCHES AND PEELED OFF</t>
        </is>
      </c>
      <c r="D322" s="143">
        <v>1.0</v>
      </c>
      <c r="E322" s="143">
        <v>0.92</v>
      </c>
      <c r="F322" s="143">
        <v>16.0</v>
      </c>
      <c r="G322" s="143">
        <v>55.6</v>
      </c>
      <c r="H322" s="143" t="inlineStr">
        <is>
          <t xml:space="preserve">Idle</t>
        </is>
      </c>
      <c r="I322" s="143" t="inlineStr">
        <is>
          <t xml:space="preserve">25-20</t>
        </is>
      </c>
      <c r="J322" s="143"/>
    </row>
    <row r="323" spans="1:10">
      <c r="A323" s="143" t="inlineStr">
        <is>
          <t xml:space="preserve">1516</t>
        </is>
      </c>
      <c r="B323" s="143" t="inlineStr">
        <is>
          <t xml:space="preserve">95001852</t>
        </is>
      </c>
      <c r="C323" s="143" t="inlineStr">
        <is>
          <t xml:space="preserve">ROB REF TO TQ852366 PN:642-1000-505 S/N:10514001 DESC INLET NOSE COWL ROBBED FROM ASD ENG#1 TO SVC ASA</t>
        </is>
      </c>
      <c r="D323" s="143" t="inlineStr">
        <is>
          <t xml:space="preserve">N</t>
        </is>
      </c>
      <c r="E323" s="143">
        <v>12.0</v>
      </c>
      <c r="F323" s="143">
        <v>98.0</v>
      </c>
      <c r="G323" s="143">
        <v>55.5</v>
      </c>
      <c r="H323" s="143" t="inlineStr">
        <is>
          <t xml:space="preserve">Idle</t>
        </is>
      </c>
      <c r="I323" s="143">
        <v>70.0</v>
      </c>
      <c r="J323" s="143"/>
    </row>
    <row r="324" spans="1:10">
      <c r="A324" s="143" t="inlineStr">
        <is>
          <t xml:space="preserve">1517</t>
        </is>
      </c>
      <c r="B324" s="143" t="inlineStr">
        <is>
          <t xml:space="preserve">33183582</t>
        </is>
      </c>
      <c r="C324" s="143" t="inlineStr">
        <is>
          <t xml:space="preserve">DOCUMENT S52-D10064,,,LWR FUSELAGE,,,,A/P,,,NO CALL BACK A/C SVC PNL 191 CB LATCH HARDE TO CLOSE.</t>
        </is>
      </c>
      <c r="D324" s="143">
        <v>1.0</v>
      </c>
      <c r="E324" s="143">
        <v>0.0</v>
      </c>
      <c r="F324" s="143">
        <v>0.0</v>
      </c>
      <c r="G324" s="143">
        <v>0.0</v>
      </c>
      <c r="H324" s="143" t="inlineStr">
        <is>
          <t xml:space="preserve">Not Started</t>
        </is>
      </c>
      <c r="I324" s="143">
        <v>52.0</v>
      </c>
      <c r="J324" s="143"/>
    </row>
    <row r="325" spans="1:10">
      <c r="A325" s="143" t="inlineStr">
        <is>
          <t xml:space="preserve">1518</t>
        </is>
      </c>
      <c r="B325" s="143" t="inlineStr">
        <is>
          <t xml:space="preserve">33183587</t>
        </is>
      </c>
      <c r="C325" s="143" t="inlineStr">
        <is>
          <t xml:space="preserve">DOCUMENT S52-D10064,,,,LWR FUSELAGE,,,S/M,,,RII A/C PNL # 191 CB HINGE STRIP INNER SIDE WITH CRACK DIM: 5.00 MM</t>
        </is>
      </c>
      <c r="D325" s="143">
        <v>1.0</v>
      </c>
      <c r="E325" s="143">
        <v>0.0</v>
      </c>
      <c r="F325" s="143">
        <v>0.17</v>
      </c>
      <c r="G325" s="143">
        <v>23.37</v>
      </c>
      <c r="H325" s="143" t="inlineStr">
        <is>
          <t xml:space="preserve">Idle</t>
        </is>
      </c>
      <c r="I325" s="143">
        <v>52.0</v>
      </c>
      <c r="J325" s="143"/>
    </row>
    <row r="326" spans="1:10">
      <c r="A326" s="143" t="inlineStr">
        <is>
          <t xml:space="preserve">1519</t>
        </is>
      </c>
      <c r="B326" s="143" t="inlineStr">
        <is>
          <t xml:space="preserve">33183632</t>
        </is>
      </c>
      <c r="C326" s="143" t="inlineStr">
        <is>
          <t xml:space="preserve">DOCUMENT S52-D10064,,,HYD PNL,,,,A/P,,,NO CALL BACK HYD PNL # 197 FB HARDE TO CLOSE AND WITH JERKY SOUND.</t>
        </is>
      </c>
      <c r="D326" s="143">
        <v>1.0</v>
      </c>
      <c r="E326" s="143">
        <v>2.0</v>
      </c>
      <c r="F326" s="143">
        <v>0.0</v>
      </c>
      <c r="G326" s="143">
        <v>0.0</v>
      </c>
      <c r="H326" s="143" t="inlineStr">
        <is>
          <t xml:space="preserve">Not Started</t>
        </is>
      </c>
      <c r="I326" s="143">
        <v>52.0</v>
      </c>
      <c r="J326" s="143"/>
    </row>
    <row r="327" spans="1:10">
      <c r="A327" s="143" t="inlineStr">
        <is>
          <t xml:space="preserve">1520</t>
        </is>
      </c>
      <c r="B327" s="143" t="inlineStr">
        <is>
          <t xml:space="preserve">33183667</t>
        </is>
      </c>
      <c r="C327" s="143" t="inlineStr">
        <is>
          <t xml:space="preserve">DOCUMENT S52-D10064,,,HYD PNL,,,S/M,,RII HYD PNL # 197 FB LATCH WITH 1 EA REVIT LOSSE</t>
        </is>
      </c>
      <c r="D327" s="143">
        <v>1.0</v>
      </c>
      <c r="E327" s="143">
        <v>2.0</v>
      </c>
      <c r="F327" s="143">
        <v>4.5</v>
      </c>
      <c r="G327" s="143">
        <v>30.4</v>
      </c>
      <c r="H327" s="143" t="inlineStr">
        <is>
          <t xml:space="preserve">Idle</t>
        </is>
      </c>
      <c r="I327" s="143">
        <v>52.0</v>
      </c>
      <c r="J327" s="143"/>
    </row>
    <row r="328" spans="1:10">
      <c r="A328" s="143" t="inlineStr">
        <is>
          <t xml:space="preserve">1521</t>
        </is>
      </c>
      <c r="B328" s="143" t="inlineStr">
        <is>
          <t xml:space="preserve">33183670</t>
        </is>
      </c>
      <c r="C328" s="143" t="inlineStr">
        <is>
          <t xml:space="preserve">DOCUMENT S52-D10064,,,,HYD PNLS,,,,A/P,NO CALL BACK ALL HYD SVC PNLS INNER SEAL FOUND MISSING</t>
        </is>
      </c>
      <c r="D328" s="143">
        <v>1.0</v>
      </c>
      <c r="E328" s="143">
        <v>0.0</v>
      </c>
      <c r="F328" s="143">
        <v>0.0</v>
      </c>
      <c r="G328" s="143">
        <v>0.0</v>
      </c>
      <c r="H328" s="143" t="inlineStr">
        <is>
          <t xml:space="preserve">Not Started</t>
        </is>
      </c>
      <c r="I328" s="143">
        <v>52.0</v>
      </c>
      <c r="J328" s="143"/>
    </row>
    <row r="329" spans="1:10">
      <c r="A329" s="143" t="inlineStr">
        <is>
          <t xml:space="preserve">1522</t>
        </is>
      </c>
      <c r="B329" s="143" t="inlineStr">
        <is>
          <t xml:space="preserve">33183671</t>
        </is>
      </c>
      <c r="C329" s="143" t="inlineStr">
        <is>
          <t xml:space="preserve">DOCUMENT S52-D10064,,,,,WASTE PNL,,,,S/M...RII WASTE PNL # 172 AR BOTH HINGES FOUND WITH SURFACE CORROSION.</t>
        </is>
      </c>
      <c r="D329" s="143">
        <v>1.0</v>
      </c>
      <c r="E329" s="143">
        <v>0.0</v>
      </c>
      <c r="F329" s="143">
        <v>0.0</v>
      </c>
      <c r="G329" s="143">
        <v>0.0</v>
      </c>
      <c r="H329" s="143" t="inlineStr">
        <is>
          <t xml:space="preserve">Not Started</t>
        </is>
      </c>
      <c r="I329" s="143">
        <v>52.0</v>
      </c>
      <c r="J329" s="143"/>
    </row>
    <row r="330" spans="1:10">
      <c r="A330" s="143" t="inlineStr">
        <is>
          <t xml:space="preserve">1523</t>
        </is>
      </c>
      <c r="B330" s="143" t="inlineStr">
        <is>
          <t xml:space="preserve">33183699</t>
        </is>
      </c>
      <c r="C330" s="143" t="inlineStr">
        <is>
          <t xml:space="preserve">DOCUMENT S52-D10064,,,,WASTE PNL,A/P,RII WASTE PNL # 172 AR BOTH HINGES BOLT FOUND RUSTY</t>
        </is>
      </c>
      <c r="D330" s="143">
        <v>1.0</v>
      </c>
      <c r="E330" s="143">
        <v>0.0</v>
      </c>
      <c r="F330" s="143">
        <v>0.0</v>
      </c>
      <c r="G330" s="143">
        <v>0.0</v>
      </c>
      <c r="H330" s="143" t="inlineStr">
        <is>
          <t xml:space="preserve">Not Started</t>
        </is>
      </c>
      <c r="I330" s="143">
        <v>52.0</v>
      </c>
      <c r="J330" s="143"/>
    </row>
    <row r="331" spans="1:10">
      <c r="A331" s="143" t="inlineStr">
        <is>
          <t xml:space="preserve">1524</t>
        </is>
      </c>
      <c r="B331" s="143" t="inlineStr">
        <is>
          <t xml:space="preserve">33183754</t>
        </is>
      </c>
      <c r="C331" s="143" t="inlineStr">
        <is>
          <t xml:space="preserve">DOCUMENT S52-D10064,,WASTE PNL,,,A/P,,,NO CALL BACK WASTE PNL 172 AR AFT LATCH NOT OPENING</t>
        </is>
      </c>
      <c r="D331" s="143">
        <v>1.0</v>
      </c>
      <c r="E331" s="143">
        <v>0.0</v>
      </c>
      <c r="F331" s="143">
        <v>0.0</v>
      </c>
      <c r="G331" s="143">
        <v>0.0</v>
      </c>
      <c r="H331" s="143" t="inlineStr">
        <is>
          <t xml:space="preserve">Not Started</t>
        </is>
      </c>
      <c r="I331" s="143">
        <v>52.0</v>
      </c>
      <c r="J331" s="143"/>
    </row>
    <row r="332" spans="1:10">
      <c r="A332" s="143" t="inlineStr">
        <is>
          <t xml:space="preserve">1525</t>
        </is>
      </c>
      <c r="B332" s="143" t="inlineStr">
        <is>
          <t xml:space="preserve">33183755</t>
        </is>
      </c>
      <c r="C332" s="143" t="inlineStr">
        <is>
          <t xml:space="preserve">DOCUMENT S52-D10064,,WASTE PNL,,A/P,,NO CALL BACK WASTE PNL # 172 AR INNER SEAL MISSING</t>
        </is>
      </c>
      <c r="D332" s="143">
        <v>1.0</v>
      </c>
      <c r="E332" s="143">
        <v>0.0</v>
      </c>
      <c r="F332" s="143">
        <v>0.0</v>
      </c>
      <c r="G332" s="143">
        <v>0.0</v>
      </c>
      <c r="H332" s="143" t="inlineStr">
        <is>
          <t xml:space="preserve">Not Started</t>
        </is>
      </c>
      <c r="I332" s="143">
        <v>52.0</v>
      </c>
      <c r="J332" s="143"/>
    </row>
    <row r="333" spans="1:10">
      <c r="A333" s="143" t="inlineStr">
        <is>
          <t xml:space="preserve">1526</t>
        </is>
      </c>
      <c r="B333" s="143" t="inlineStr">
        <is>
          <t xml:space="preserve">33183756</t>
        </is>
      </c>
      <c r="C333" s="143" t="inlineStr">
        <is>
          <t xml:space="preserve">DOCUMENT S52-D10064,,,,WASTE PNL,,,A/P,,,NO CALL BACK WASTE PNL # 172 AR FWD BONDING WIRE FOUND CUT</t>
        </is>
      </c>
      <c r="D333" s="143">
        <v>1.0</v>
      </c>
      <c r="E333" s="143">
        <v>0.0</v>
      </c>
      <c r="F333" s="143">
        <v>0.0</v>
      </c>
      <c r="G333" s="143">
        <v>0.0</v>
      </c>
      <c r="H333" s="143" t="inlineStr">
        <is>
          <t xml:space="preserve">Not Started</t>
        </is>
      </c>
      <c r="I333" s="143">
        <v>52.0</v>
      </c>
      <c r="J333" s="143"/>
    </row>
    <row r="334" spans="1:10">
      <c r="A334" s="143" t="inlineStr">
        <is>
          <t xml:space="preserve">1527</t>
        </is>
      </c>
      <c r="B334" s="143" t="inlineStr">
        <is>
          <t xml:space="preserve">33183759</t>
        </is>
      </c>
      <c r="C334" s="143" t="inlineStr">
        <is>
          <t xml:space="preserve">DOCUMENT S52-D10064,,,WATER SVC PNL,,,A/P,,NO CALL BACK WATER SVC PNL # 171 AL INNER SEAL FOUND MISSING</t>
        </is>
      </c>
      <c r="D334" s="143">
        <v>1.0</v>
      </c>
      <c r="E334" s="143">
        <v>0.0</v>
      </c>
      <c r="F334" s="143">
        <v>0.0</v>
      </c>
      <c r="G334" s="143">
        <v>0.0</v>
      </c>
      <c r="H334" s="143" t="inlineStr">
        <is>
          <t xml:space="preserve">Not Started</t>
        </is>
      </c>
      <c r="I334" s="143">
        <v>52.0</v>
      </c>
      <c r="J334" s="143"/>
    </row>
    <row r="335" spans="1:10">
      <c r="A335" s="143" t="inlineStr">
        <is>
          <t xml:space="preserve">1528</t>
        </is>
      </c>
      <c r="B335" s="143" t="inlineStr">
        <is>
          <t xml:space="preserve">33183761</t>
        </is>
      </c>
      <c r="C335" s="143" t="inlineStr">
        <is>
          <t xml:space="preserve">DOCUMENT S52-D10064WATER SVC PNL,,NO CALL BACK WATER SVC PNL # 171 AL AFT LATCH HARD TO CLOSE.</t>
        </is>
      </c>
      <c r="D335" s="143">
        <v>1.0</v>
      </c>
      <c r="E335" s="143">
        <v>0.0</v>
      </c>
      <c r="F335" s="143">
        <v>0.0</v>
      </c>
      <c r="G335" s="143">
        <v>0.0</v>
      </c>
      <c r="H335" s="143" t="inlineStr">
        <is>
          <t xml:space="preserve">Not Started</t>
        </is>
      </c>
      <c r="I335" s="143">
        <v>52.0</v>
      </c>
      <c r="J335" s="143"/>
    </row>
    <row r="336" spans="1:10">
      <c r="A336" s="143" t="inlineStr">
        <is>
          <t xml:space="preserve">1529</t>
        </is>
      </c>
      <c r="B336" s="143" t="inlineStr">
        <is>
          <t xml:space="preserve">33183762</t>
        </is>
      </c>
      <c r="C336" s="143" t="inlineStr">
        <is>
          <t xml:space="preserve">DOCUMENT S52-D10064,, WATER SVC PNL,,A/P,,NO CALL BACK WATER SVC PNL BOTH BONDING WIRE FOUND CUT .</t>
        </is>
      </c>
      <c r="D336" s="143">
        <v>1.0</v>
      </c>
      <c r="E336" s="143">
        <v>0.0</v>
      </c>
      <c r="F336" s="143">
        <v>0.0</v>
      </c>
      <c r="G336" s="143">
        <v>0.0</v>
      </c>
      <c r="H336" s="143" t="inlineStr">
        <is>
          <t xml:space="preserve">Not Started</t>
        </is>
      </c>
      <c r="I336" s="143">
        <v>52.0</v>
      </c>
      <c r="J336" s="143"/>
    </row>
    <row r="337" spans="1:10">
      <c r="A337" s="143" t="inlineStr">
        <is>
          <t xml:space="preserve">1530</t>
        </is>
      </c>
      <c r="B337" s="143" t="inlineStr">
        <is>
          <t xml:space="preserve">33183763</t>
        </is>
      </c>
      <c r="C337" s="143" t="inlineStr">
        <is>
          <t xml:space="preserve">DOCUMENT S52-D10064,,,WATER SVC PNL,,A/P,,RII WATER SVC PNL # 171 AL BOTH HINGES BOLT FOUND RUSTY.</t>
        </is>
      </c>
      <c r="D337" s="143">
        <v>1.0</v>
      </c>
      <c r="E337" s="143">
        <v>0.0</v>
      </c>
      <c r="F337" s="143">
        <v>0.0</v>
      </c>
      <c r="G337" s="143">
        <v>0.0</v>
      </c>
      <c r="H337" s="143" t="inlineStr">
        <is>
          <t xml:space="preserve">Not Started</t>
        </is>
      </c>
      <c r="I337" s="143">
        <v>52.0</v>
      </c>
      <c r="J337" s="143"/>
    </row>
    <row r="338" spans="1:10">
      <c r="A338" s="143" t="inlineStr">
        <is>
          <t xml:space="preserve">1531</t>
        </is>
      </c>
      <c r="B338" s="143" t="inlineStr">
        <is>
          <t xml:space="preserve">33183768</t>
        </is>
      </c>
      <c r="C338" s="143" t="inlineStr">
        <is>
          <t xml:space="preserve">DOCUMENT S52-D10064,,,WATER SVC PNL,,,S/M,,RII WATER SVC PNL # 171 AL FWD HINGE FOUND BROKEN AT FWD SIDE.</t>
        </is>
      </c>
      <c r="D338" s="143">
        <v>1.0</v>
      </c>
      <c r="E338" s="143">
        <v>0.0</v>
      </c>
      <c r="F338" s="143">
        <v>0.0</v>
      </c>
      <c r="G338" s="143">
        <v>0.0</v>
      </c>
      <c r="H338" s="143" t="inlineStr">
        <is>
          <t xml:space="preserve">Not Started</t>
        </is>
      </c>
      <c r="I338" s="143">
        <v>52.0</v>
      </c>
      <c r="J338" s="143"/>
    </row>
    <row r="339" spans="1:10">
      <c r="A339" s="143" t="inlineStr">
        <is>
          <t xml:space="preserve">1532</t>
        </is>
      </c>
      <c r="B339" s="143" t="inlineStr">
        <is>
          <t xml:space="preserve">33190399</t>
        </is>
      </c>
      <c r="C339" s="143" t="inlineStr">
        <is>
          <t xml:space="preserve">MACHINE SHOP. AFT GALLEY LOWER L/H AT CORNER INSIDE 1 EA  SCREW  SHINK BROKEN.</t>
        </is>
      </c>
      <c r="D339" s="143">
        <v>1.0</v>
      </c>
      <c r="E339" s="143">
        <v>0.0</v>
      </c>
      <c r="F339" s="143">
        <v>0.0</v>
      </c>
      <c r="G339" s="143">
        <v>0.0</v>
      </c>
      <c r="H339" s="143" t="inlineStr">
        <is>
          <t xml:space="preserve">Not Started</t>
        </is>
      </c>
      <c r="I339" s="143">
        <v>25.0</v>
      </c>
      <c r="J339" s="143"/>
    </row>
    <row r="340" spans="1:10">
      <c r="A340" s="143" t="inlineStr">
        <is>
          <t xml:space="preserve">1534</t>
        </is>
      </c>
      <c r="B340" s="143" t="inlineStr">
        <is>
          <t xml:space="preserve">33193094</t>
        </is>
      </c>
      <c r="C340" s="143" t="inlineStr">
        <is>
          <t xml:space="preserve">PNT - NO CALLBACK - OSB OVERHEAD STOWAGE DOORS AT 32ABC, 33ABC, 38JKL, 41JKL, 44ABC AND AFT LH ELT OSB DOOR REQUIRE PAINT.</t>
        </is>
      </c>
      <c r="D340" s="143">
        <v>1.0</v>
      </c>
      <c r="E340" s="143">
        <v>0.0</v>
      </c>
      <c r="F340" s="143">
        <v>0.0</v>
      </c>
      <c r="G340" s="143">
        <v>0.0</v>
      </c>
      <c r="H340" s="143" t="inlineStr">
        <is>
          <t xml:space="preserve">Not Started</t>
        </is>
      </c>
      <c r="I340" s="143" t="inlineStr">
        <is>
          <t xml:space="preserve">25-00</t>
        </is>
      </c>
      <c r="J340" s="143"/>
    </row>
    <row r="341" spans="1:10">
      <c r="A341" s="143" t="inlineStr">
        <is>
          <t xml:space="preserve">2</t>
        </is>
      </c>
      <c r="B341" s="143" t="inlineStr">
        <is>
          <t xml:space="preserve">200001-02-1</t>
        </is>
      </c>
      <c r="C341" s="143" t="inlineStr">
        <is>
          <t xml:space="preserve">200001-02-1 (3) / HIRF/LIGHTNING PROTECTION-WING CHK</t>
        </is>
      </c>
      <c r="D341" s="143">
        <v>1.0</v>
      </c>
      <c r="E341" s="143">
        <v>4.43</v>
      </c>
      <c r="F341" s="143">
        <v>12.25</v>
      </c>
      <c r="G341" s="143">
        <v>3.88</v>
      </c>
      <c r="H341" s="143" t="inlineStr">
        <is>
          <t xml:space="preserve">Closed</t>
        </is>
      </c>
      <c r="I341" s="143" t="inlineStr">
        <is>
          <t xml:space="preserve">24-92</t>
        </is>
      </c>
      <c r="J341" s="143" t="inlineStr">
        <is>
          <t xml:space="preserve">OPS/LK, OPS/LK</t>
        </is>
      </c>
    </row>
    <row r="342" spans="1:10">
      <c r="A342" s="143" t="inlineStr">
        <is>
          <t xml:space="preserve">3</t>
        </is>
      </c>
      <c r="B342" s="143" t="inlineStr">
        <is>
          <t xml:space="preserve">200003-01-1</t>
        </is>
      </c>
      <c r="C342" s="143" t="inlineStr">
        <is>
          <t xml:space="preserve">200003-01-1 (2) / ELEM FITT ON HARN 4202VB AND 4204VB</t>
        </is>
      </c>
      <c r="D342" s="143">
        <v>1.0</v>
      </c>
      <c r="E342" s="143">
        <v>0.32</v>
      </c>
      <c r="F342" s="143">
        <v>1.5</v>
      </c>
      <c r="G342" s="143">
        <v>3.05</v>
      </c>
      <c r="H342" s="143" t="inlineStr">
        <is>
          <t xml:space="preserve">Closed</t>
        </is>
      </c>
      <c r="I342" s="143" t="inlineStr">
        <is>
          <t xml:space="preserve">24-92</t>
        </is>
      </c>
      <c r="J342" s="143" t="inlineStr">
        <is>
          <t xml:space="preserve">INSPECTION</t>
        </is>
      </c>
    </row>
    <row r="343" spans="1:10">
      <c r="A343" s="143" t="inlineStr">
        <is>
          <t xml:space="preserve">4</t>
        </is>
      </c>
      <c r="B343" s="143" t="inlineStr">
        <is>
          <t xml:space="preserve">200003-02-1</t>
        </is>
      </c>
      <c r="C343" s="143" t="inlineStr">
        <is>
          <t xml:space="preserve">200003-02-1 (3) / HIRF/LIGHTNING PROTECTION-VRT FIN</t>
        </is>
      </c>
      <c r="D343" s="143">
        <v>1.0</v>
      </c>
      <c r="E343" s="143">
        <v>0.32</v>
      </c>
      <c r="F343" s="143">
        <v>1.5</v>
      </c>
      <c r="G343" s="143">
        <v>3.02</v>
      </c>
      <c r="H343" s="143" t="inlineStr">
        <is>
          <t xml:space="preserve">Closed</t>
        </is>
      </c>
      <c r="I343" s="143" t="inlineStr">
        <is>
          <t xml:space="preserve">24-92</t>
        </is>
      </c>
      <c r="J343" s="143" t="inlineStr">
        <is>
          <t xml:space="preserve">INSPECTION</t>
        </is>
      </c>
    </row>
    <row r="344" spans="1:10">
      <c r="A344" s="143" t="inlineStr">
        <is>
          <t xml:space="preserve">5</t>
        </is>
      </c>
      <c r="B344" s="143" t="inlineStr">
        <is>
          <t xml:space="preserve">200003-03-1</t>
        </is>
      </c>
      <c r="C344" s="143" t="inlineStr">
        <is>
          <t xml:space="preserve">200003-03-1 (2) / ELEM FIT ON HARNES 4202VB &amp; 4204VB</t>
        </is>
      </c>
      <c r="D344" s="143">
        <v>1.0</v>
      </c>
      <c r="E344" s="143">
        <v>0.32</v>
      </c>
      <c r="F344" s="143">
        <v>0.5</v>
      </c>
      <c r="G344" s="143">
        <v>0.5</v>
      </c>
      <c r="H344" s="143" t="inlineStr">
        <is>
          <t xml:space="preserve">Closed</t>
        </is>
      </c>
      <c r="I344" s="143" t="inlineStr">
        <is>
          <t xml:space="preserve">24-92</t>
        </is>
      </c>
      <c r="J344" s="143" t="inlineStr">
        <is>
          <t xml:space="preserve">INSPECTION</t>
        </is>
      </c>
    </row>
    <row r="345" spans="1:10">
      <c r="A345" s="143" t="inlineStr">
        <is>
          <t xml:space="preserve">6</t>
        </is>
      </c>
      <c r="B345" s="143" t="inlineStr">
        <is>
          <t xml:space="preserve">200121-01-1</t>
        </is>
      </c>
      <c r="C345" s="143" t="inlineStr">
        <is>
          <t xml:space="preserve">200121-01-1 (3) / FWD AVIONIC COMP. ELECTRICAL WIRING</t>
        </is>
      </c>
      <c r="D345" s="143">
        <v>1.0</v>
      </c>
      <c r="E345" s="143">
        <v>1.32</v>
      </c>
      <c r="F345" s="143">
        <v>12.0</v>
      </c>
      <c r="G345" s="143">
        <v>2.02</v>
      </c>
      <c r="H345" s="143" t="inlineStr">
        <is>
          <t xml:space="preserve">Closed</t>
        </is>
      </c>
      <c r="I345" s="143" t="inlineStr">
        <is>
          <t xml:space="preserve">24-92</t>
        </is>
      </c>
      <c r="J345" s="143" t="inlineStr">
        <is>
          <t xml:space="preserve">TC/P, TC/P</t>
        </is>
      </c>
    </row>
    <row r="346" spans="1:10">
      <c r="A346" s="143" t="inlineStr">
        <is>
          <t xml:space="preserve">7</t>
        </is>
      </c>
      <c r="B346" s="143" t="inlineStr">
        <is>
          <t xml:space="preserve">200121-03-1</t>
        </is>
      </c>
      <c r="C346" s="143" t="inlineStr">
        <is>
          <t xml:space="preserve">200121-03-1 (2) / FORWARD AVIONIC COMPARTMENT INSP</t>
        </is>
      </c>
      <c r="D346" s="143">
        <v>1.0</v>
      </c>
      <c r="E346" s="143">
        <v>2.2</v>
      </c>
      <c r="F346" s="143">
        <v>3.0</v>
      </c>
      <c r="G346" s="143">
        <v>1.5</v>
      </c>
      <c r="H346" s="143" t="inlineStr">
        <is>
          <t xml:space="preserve">Closed</t>
        </is>
      </c>
      <c r="I346" s="143" t="inlineStr">
        <is>
          <t xml:space="preserve">24-92</t>
        </is>
      </c>
      <c r="J346" s="143" t="inlineStr">
        <is>
          <t xml:space="preserve">INSPECTION</t>
        </is>
      </c>
    </row>
    <row r="347" spans="1:10">
      <c r="A347" s="143" t="inlineStr">
        <is>
          <t xml:space="preserve">8</t>
        </is>
      </c>
      <c r="B347" s="143" t="inlineStr">
        <is>
          <t xml:space="preserve">200121-04-1</t>
        </is>
      </c>
      <c r="C347" s="143" t="inlineStr">
        <is>
          <t xml:space="preserve">200121-04-1 (03) / FWD AVIONICS COMPT WIRING DET INSP</t>
        </is>
      </c>
      <c r="D347" s="143">
        <v>1.0</v>
      </c>
      <c r="E347" s="143">
        <v>1.27</v>
      </c>
      <c r="F347" s="143">
        <v>4.0</v>
      </c>
      <c r="G347" s="143">
        <v>2.0</v>
      </c>
      <c r="H347" s="143" t="inlineStr">
        <is>
          <t xml:space="preserve">Closed</t>
        </is>
      </c>
      <c r="I347" s="143" t="inlineStr">
        <is>
          <t xml:space="preserve">24-92</t>
        </is>
      </c>
      <c r="J347" s="143" t="inlineStr">
        <is>
          <t xml:space="preserve">INSPECTION</t>
        </is>
      </c>
    </row>
    <row r="348" spans="1:10">
      <c r="A348" s="143" t="inlineStr">
        <is>
          <t xml:space="preserve">9</t>
        </is>
      </c>
      <c r="B348" s="143" t="inlineStr">
        <is>
          <t xml:space="preserve">200125-01-1</t>
        </is>
      </c>
      <c r="C348" s="143" t="inlineStr">
        <is>
          <t xml:space="preserve">200125-01-1 (2) / LATERAL AVIONIC COMPARTMENT CLEANING</t>
        </is>
      </c>
      <c r="D348" s="143">
        <v>1.0</v>
      </c>
      <c r="E348" s="143">
        <v>1.35</v>
      </c>
      <c r="F348" s="143">
        <v>12.0</v>
      </c>
      <c r="G348" s="143">
        <v>6.0</v>
      </c>
      <c r="H348" s="143" t="inlineStr">
        <is>
          <t xml:space="preserve">Closed</t>
        </is>
      </c>
      <c r="I348" s="143" t="inlineStr">
        <is>
          <t xml:space="preserve">24-92</t>
        </is>
      </c>
      <c r="J348" s="143" t="inlineStr">
        <is>
          <t xml:space="preserve">CLEAN-UP</t>
        </is>
      </c>
    </row>
    <row r="349" spans="1:10">
      <c r="A349" s="143" t="inlineStr">
        <is>
          <t xml:space="preserve">10</t>
        </is>
      </c>
      <c r="B349" s="143" t="inlineStr">
        <is>
          <t xml:space="preserve">200125-05-1</t>
        </is>
      </c>
      <c r="C349" s="143" t="inlineStr">
        <is>
          <t xml:space="preserve">200125-05-1 (2) / LATERAL AVIONIC COMPARTMENT INSP</t>
        </is>
      </c>
      <c r="D349" s="143">
        <v>1.0</v>
      </c>
      <c r="E349" s="143">
        <v>9.9</v>
      </c>
      <c r="F349" s="143">
        <v>1.0</v>
      </c>
      <c r="G349" s="143">
        <v>1.0</v>
      </c>
      <c r="H349" s="143" t="inlineStr">
        <is>
          <t xml:space="preserve">Closed</t>
        </is>
      </c>
      <c r="I349" s="143" t="inlineStr">
        <is>
          <t xml:space="preserve">24-92</t>
        </is>
      </c>
      <c r="J349" s="143" t="inlineStr">
        <is>
          <t xml:space="preserve">INSPECTION</t>
        </is>
      </c>
    </row>
    <row r="350" spans="1:10">
      <c r="A350" s="143" t="inlineStr">
        <is>
          <t xml:space="preserve">11</t>
        </is>
      </c>
      <c r="B350" s="143" t="inlineStr">
        <is>
          <t xml:space="preserve">200125-06-1</t>
        </is>
      </c>
      <c r="C350" s="143" t="inlineStr">
        <is>
          <t xml:space="preserve">200125-06-1 (2) / LATERAL AVIONICS COMPT INSP</t>
        </is>
      </c>
      <c r="D350" s="143">
        <v>1.0</v>
      </c>
      <c r="E350" s="143">
        <v>10.15</v>
      </c>
      <c r="F350" s="143">
        <v>26.5</v>
      </c>
      <c r="G350" s="143">
        <v>49.9</v>
      </c>
      <c r="H350" s="143" t="inlineStr">
        <is>
          <t xml:space="preserve">Closed</t>
        </is>
      </c>
      <c r="I350" s="143" t="inlineStr">
        <is>
          <t xml:space="preserve">24-92</t>
        </is>
      </c>
      <c r="J350" s="143" t="inlineStr">
        <is>
          <t xml:space="preserve">JOB-SETUP, INSPECTION, JOB-CLOSEUP, JOB-CLOSEUP, JOB-CLOSEUP</t>
        </is>
      </c>
    </row>
    <row r="351" spans="1:10">
      <c r="A351" s="143" t="inlineStr">
        <is>
          <t xml:space="preserve">12</t>
        </is>
      </c>
      <c r="B351" s="143" t="inlineStr">
        <is>
          <t xml:space="preserve">200127-02-1</t>
        </is>
      </c>
      <c r="C351" s="143" t="inlineStr">
        <is>
          <t xml:space="preserve">200127-02-1 (2) / REAR AVIONICS COMPT CLEANING</t>
        </is>
      </c>
      <c r="D351" s="143">
        <v>1.0</v>
      </c>
      <c r="E351" s="143">
        <v>1.32</v>
      </c>
      <c r="F351" s="143">
        <v>6.0</v>
      </c>
      <c r="G351" s="143">
        <v>2.0</v>
      </c>
      <c r="H351" s="143" t="inlineStr">
        <is>
          <t xml:space="preserve">Closed</t>
        </is>
      </c>
      <c r="I351" s="143" t="inlineStr">
        <is>
          <t xml:space="preserve">24-92</t>
        </is>
      </c>
      <c r="J351" s="143" t="inlineStr">
        <is>
          <t xml:space="preserve">CLEAN-UP</t>
        </is>
      </c>
    </row>
    <row r="352" spans="1:10">
      <c r="A352" s="143" t="inlineStr">
        <is>
          <t xml:space="preserve">13</t>
        </is>
      </c>
      <c r="B352" s="143" t="inlineStr">
        <is>
          <t xml:space="preserve">200127-05-1</t>
        </is>
      </c>
      <c r="C352" s="143" t="inlineStr">
        <is>
          <t xml:space="preserve">200127-05-1 (2) / REAR AVIONICS COMPT INSPECTION</t>
        </is>
      </c>
      <c r="D352" s="143">
        <v>1.0</v>
      </c>
      <c r="E352" s="143">
        <v>3.3</v>
      </c>
      <c r="F352" s="143">
        <v>1.0</v>
      </c>
      <c r="G352" s="143">
        <v>1.0</v>
      </c>
      <c r="H352" s="143" t="inlineStr">
        <is>
          <t xml:space="preserve">Closed</t>
        </is>
      </c>
      <c r="I352" s="143" t="inlineStr">
        <is>
          <t xml:space="preserve">24-92</t>
        </is>
      </c>
      <c r="J352" s="143" t="inlineStr">
        <is>
          <t xml:space="preserve">TC/P</t>
        </is>
      </c>
    </row>
    <row r="353" spans="1:10">
      <c r="A353" s="143" t="inlineStr">
        <is>
          <t xml:space="preserve">14</t>
        </is>
      </c>
      <c r="B353" s="143" t="inlineStr">
        <is>
          <t xml:space="preserve">200127-07-1</t>
        </is>
      </c>
      <c r="C353" s="143" t="inlineStr">
        <is>
          <t xml:space="preserve">200127-07-1 (2) / REAR AVIONIC COMPARTMENT INSPECTION</t>
        </is>
      </c>
      <c r="D353" s="143">
        <v>1.0</v>
      </c>
      <c r="E353" s="143">
        <v>8.35</v>
      </c>
      <c r="F353" s="143">
        <v>1.0</v>
      </c>
      <c r="G353" s="143">
        <v>1.0</v>
      </c>
      <c r="H353" s="143" t="inlineStr">
        <is>
          <t xml:space="preserve">Closed</t>
        </is>
      </c>
      <c r="I353" s="143" t="inlineStr">
        <is>
          <t xml:space="preserve">24-92</t>
        </is>
      </c>
      <c r="J353" s="143" t="inlineStr">
        <is>
          <t xml:space="preserve">INSPECTION</t>
        </is>
      </c>
    </row>
    <row r="354" spans="1:10">
      <c r="A354" s="143" t="inlineStr">
        <is>
          <t xml:space="preserve">16</t>
        </is>
      </c>
      <c r="B354" s="143" t="inlineStr">
        <is>
          <t xml:space="preserve">200133-01-1</t>
        </is>
      </c>
      <c r="C354" s="143" t="inlineStr">
        <is>
          <t xml:space="preserve">200133-01-1 (2) / FWD CGO UNDER FLOOR BAY (EWIS) CLEAN</t>
        </is>
      </c>
      <c r="D354" s="143">
        <v>1.0</v>
      </c>
      <c r="E354" s="143">
        <v>14.3</v>
      </c>
      <c r="F354" s="143">
        <v>39.2</v>
      </c>
      <c r="G354" s="143">
        <v>855.9</v>
      </c>
      <c r="H354" s="143" t="inlineStr">
        <is>
          <t xml:space="preserve">Closed</t>
        </is>
      </c>
      <c r="I354" s="143" t="inlineStr">
        <is>
          <t xml:space="preserve">24-92</t>
        </is>
      </c>
      <c r="J354" s="143" t="inlineStr">
        <is>
          <t xml:space="preserve">JOB-SETUP, CLEAN-UP, INSPECTION, JOB-CLOSEUP</t>
        </is>
      </c>
    </row>
    <row r="355" spans="1:10">
      <c r="A355" s="143" t="inlineStr">
        <is>
          <t xml:space="preserve">17</t>
        </is>
      </c>
      <c r="B355" s="143" t="inlineStr">
        <is>
          <t xml:space="preserve">200137-01-1</t>
        </is>
      </c>
      <c r="C355" s="143" t="inlineStr">
        <is>
          <t xml:space="preserve">200137-01-1 (3) / BAY BEHIND FWD CGO COMPT CLEANING</t>
        </is>
      </c>
      <c r="D355" s="143">
        <v>1.0</v>
      </c>
      <c r="E355" s="143">
        <v>38.1</v>
      </c>
      <c r="F355" s="143">
        <v>12.0</v>
      </c>
      <c r="G355" s="143">
        <v>84.0</v>
      </c>
      <c r="H355" s="143" t="inlineStr">
        <is>
          <t xml:space="preserve">Closed</t>
        </is>
      </c>
      <c r="I355" s="143" t="inlineStr">
        <is>
          <t xml:space="preserve">24-92</t>
        </is>
      </c>
      <c r="J355" s="143" t="inlineStr">
        <is>
          <t xml:space="preserve">JOB-SETUP, CLEAN-UP, JOB-CLOSEUP</t>
        </is>
      </c>
    </row>
    <row r="356" spans="1:10">
      <c r="A356" s="143" t="inlineStr">
        <is>
          <t xml:space="preserve">21</t>
        </is>
      </c>
      <c r="B356" s="143" t="inlineStr">
        <is>
          <t xml:space="preserve">200161-01-1</t>
        </is>
      </c>
      <c r="C356" s="143" t="inlineStr">
        <is>
          <t xml:space="preserve">200161-01-1 (01) / BULK CARGO COMPARTMENT CLEANING</t>
        </is>
      </c>
      <c r="D356" s="143">
        <v>1.0</v>
      </c>
      <c r="E356" s="143">
        <v>81.4</v>
      </c>
      <c r="F356" s="143">
        <v>15.0</v>
      </c>
      <c r="G356" s="143">
        <v>85.3</v>
      </c>
      <c r="H356" s="143" t="inlineStr">
        <is>
          <t xml:space="preserve">Closed</t>
        </is>
      </c>
      <c r="I356" s="143" t="inlineStr">
        <is>
          <t xml:space="preserve">24-92</t>
        </is>
      </c>
      <c r="J356" s="143" t="inlineStr">
        <is>
          <t xml:space="preserve">JOB-SETUP, CLEAN-UP, JOB-CLOSEUP</t>
        </is>
      </c>
    </row>
    <row r="357" spans="1:10">
      <c r="A357" s="143" t="inlineStr">
        <is>
          <t xml:space="preserve">22</t>
        </is>
      </c>
      <c r="B357" s="143" t="inlineStr">
        <is>
          <t xml:space="preserve">200191-01-1</t>
        </is>
      </c>
      <c r="C357" s="143" t="inlineStr">
        <is>
          <t xml:space="preserve">200191-01-1 (02) / AIR COND COMP AND FAIRING CLEANING</t>
        </is>
      </c>
      <c r="D357" s="143">
        <v>1.0</v>
      </c>
      <c r="E357" s="143">
        <v>0.65</v>
      </c>
      <c r="F357" s="143">
        <v>8.0</v>
      </c>
      <c r="G357" s="143">
        <v>4.02</v>
      </c>
      <c r="H357" s="143" t="inlineStr">
        <is>
          <t xml:space="preserve">Closed</t>
        </is>
      </c>
      <c r="I357" s="143" t="inlineStr">
        <is>
          <t xml:space="preserve">24-92</t>
        </is>
      </c>
      <c r="J357" s="143" t="inlineStr">
        <is>
          <t xml:space="preserve">PWR-OFF</t>
        </is>
      </c>
    </row>
    <row r="358" spans="1:10">
      <c r="A358" s="143" t="inlineStr">
        <is>
          <t xml:space="preserve">23</t>
        </is>
      </c>
      <c r="B358" s="143" t="inlineStr">
        <is>
          <t xml:space="preserve">200211-02-1</t>
        </is>
      </c>
      <c r="C358" s="143" t="inlineStr">
        <is>
          <t xml:space="preserve">200211-02-1 (01) / COCKPIT WIRING CLEANING</t>
        </is>
      </c>
      <c r="D358" s="143">
        <v>1.0</v>
      </c>
      <c r="E358" s="143">
        <v>5.72</v>
      </c>
      <c r="F358" s="143">
        <v>8.0</v>
      </c>
      <c r="G358" s="143">
        <v>4.02</v>
      </c>
      <c r="H358" s="143" t="inlineStr">
        <is>
          <t xml:space="preserve">Closed</t>
        </is>
      </c>
      <c r="I358" s="143" t="inlineStr">
        <is>
          <t xml:space="preserve">24-92</t>
        </is>
      </c>
      <c r="J358" s="143" t="inlineStr">
        <is>
          <t xml:space="preserve">PWR-OFF</t>
        </is>
      </c>
    </row>
    <row r="359" spans="1:10">
      <c r="A359" s="143" t="inlineStr">
        <is>
          <t xml:space="preserve">24</t>
        </is>
      </c>
      <c r="B359" s="143" t="inlineStr">
        <is>
          <t xml:space="preserve">200231-03-1</t>
        </is>
      </c>
      <c r="C359" s="143" t="inlineStr">
        <is>
          <t xml:space="preserve">200231-03-1 (2) / FORWARD PASSENGER COMPARTMENT INSP</t>
        </is>
      </c>
      <c r="D359" s="143">
        <v>1.0</v>
      </c>
      <c r="E359" s="143">
        <v>7.15</v>
      </c>
      <c r="F359" s="143">
        <v>13.5</v>
      </c>
      <c r="G359" s="143">
        <v>22.17</v>
      </c>
      <c r="H359" s="143" t="inlineStr">
        <is>
          <t xml:space="preserve">Closed</t>
        </is>
      </c>
      <c r="I359" s="143" t="inlineStr">
        <is>
          <t xml:space="preserve">24-92</t>
        </is>
      </c>
      <c r="J359" s="143" t="inlineStr">
        <is>
          <t xml:space="preserve">JOB-SETUP, INSPECTION, JOB-CLOSEUP</t>
        </is>
      </c>
    </row>
    <row r="360" spans="1:10">
      <c r="A360" s="143" t="inlineStr">
        <is>
          <t xml:space="preserve">25</t>
        </is>
      </c>
      <c r="B360" s="143" t="inlineStr">
        <is>
          <t xml:space="preserve">200241-04-1</t>
        </is>
      </c>
      <c r="C360" s="143" t="inlineStr">
        <is>
          <t xml:space="preserve">200241-04-1 (2) / CENTER PASSENGER COMPARTMENT INSP</t>
        </is>
      </c>
      <c r="D360" s="143">
        <v>1.0</v>
      </c>
      <c r="E360" s="143">
        <v>7.15</v>
      </c>
      <c r="F360" s="143">
        <v>17.0</v>
      </c>
      <c r="G360" s="143">
        <v>795.2</v>
      </c>
      <c r="H360" s="143" t="inlineStr">
        <is>
          <t xml:space="preserve">Closed</t>
        </is>
      </c>
      <c r="I360" s="143" t="inlineStr">
        <is>
          <t xml:space="preserve">24-92</t>
        </is>
      </c>
      <c r="J360" s="143" t="inlineStr">
        <is>
          <t xml:space="preserve">JOB-SETUP, INSPECTION, JOB-CLOSEUP</t>
        </is>
      </c>
    </row>
    <row r="361" spans="1:10">
      <c r="A361" s="143" t="inlineStr">
        <is>
          <t xml:space="preserve">26</t>
        </is>
      </c>
      <c r="B361" s="143" t="inlineStr">
        <is>
          <t xml:space="preserve">200251-03-1</t>
        </is>
      </c>
      <c r="C361" s="143" t="inlineStr">
        <is>
          <t xml:space="preserve">200251-03-1 (2) / AFT PASSENGER COMPARTMENT INSPECTION</t>
        </is>
      </c>
      <c r="D361" s="143">
        <v>1.0</v>
      </c>
      <c r="E361" s="143">
        <v>7.15</v>
      </c>
      <c r="F361" s="143">
        <v>25.5</v>
      </c>
      <c r="G361" s="143">
        <v>818.7</v>
      </c>
      <c r="H361" s="143" t="inlineStr">
        <is>
          <t xml:space="preserve">Closed</t>
        </is>
      </c>
      <c r="I361" s="143" t="inlineStr">
        <is>
          <t xml:space="preserve">24-92</t>
        </is>
      </c>
      <c r="J361" s="143" t="inlineStr">
        <is>
          <t xml:space="preserve">JOB-SETUP, INSPECTION, JOB-CLOSEUP</t>
        </is>
      </c>
    </row>
    <row r="362" spans="1:10">
      <c r="A362" s="143" t="inlineStr">
        <is>
          <t xml:space="preserve">27</t>
        </is>
      </c>
      <c r="B362" s="143" t="inlineStr">
        <is>
          <t xml:space="preserve">200315-01-1</t>
        </is>
      </c>
      <c r="C362" s="143" t="inlineStr">
        <is>
          <t xml:space="preserve">200315-01-1 (3) / TAIL CONE&amp;APU ACCESSORY ROUTES INSP</t>
        </is>
      </c>
      <c r="D362" s="143">
        <v>1.0</v>
      </c>
      <c r="E362" s="143">
        <v>0.43</v>
      </c>
      <c r="F362" s="143">
        <v>1.0</v>
      </c>
      <c r="G362" s="143">
        <v>0.5</v>
      </c>
      <c r="H362" s="143" t="inlineStr">
        <is>
          <t xml:space="preserve">Closed</t>
        </is>
      </c>
      <c r="I362" s="143" t="inlineStr">
        <is>
          <t xml:space="preserve">24-92</t>
        </is>
      </c>
      <c r="J362" s="143" t="inlineStr">
        <is>
          <t xml:space="preserve">INSPECTION</t>
        </is>
      </c>
    </row>
    <row r="363" spans="1:10">
      <c r="A363" s="143" t="inlineStr">
        <is>
          <t xml:space="preserve">28</t>
        </is>
      </c>
      <c r="B363" s="143" t="inlineStr">
        <is>
          <t xml:space="preserve">200413-03-1-001</t>
        </is>
      </c>
      <c r="C363" s="143" t="inlineStr">
        <is>
          <t xml:space="preserve">200413-03-1-001 (02) / NO.1 ENG PYLON UPR FWD (EWIS) INSP</t>
        </is>
      </c>
      <c r="D363" s="143">
        <v>1.0</v>
      </c>
      <c r="E363" s="143">
        <v>1.13</v>
      </c>
      <c r="F363" s="143">
        <v>5.75</v>
      </c>
      <c r="G363" s="143">
        <v>39.3</v>
      </c>
      <c r="H363" s="143" t="inlineStr">
        <is>
          <t xml:space="preserve">Closed</t>
        </is>
      </c>
      <c r="I363" s="143" t="inlineStr">
        <is>
          <t xml:space="preserve">24-92</t>
        </is>
      </c>
      <c r="J363" s="143" t="inlineStr">
        <is>
          <t xml:space="preserve">JOB-SETUP, INSPECTION, JOB-CLOSEUP</t>
        </is>
      </c>
    </row>
    <row r="364" spans="1:10">
      <c r="A364" s="143" t="inlineStr">
        <is>
          <t xml:space="preserve">29</t>
        </is>
      </c>
      <c r="B364" s="143" t="inlineStr">
        <is>
          <t xml:space="preserve">200413-03-1-002</t>
        </is>
      </c>
      <c r="C364" s="143" t="inlineStr">
        <is>
          <t xml:space="preserve">200413-03-1-002 (02) / NO.2 ENG PYLON UPR FWD (EWIS) INSP</t>
        </is>
      </c>
      <c r="D364" s="143">
        <v>1.0</v>
      </c>
      <c r="E364" s="143">
        <v>1.13</v>
      </c>
      <c r="F364" s="143">
        <v>2.33</v>
      </c>
      <c r="G364" s="143">
        <v>39.9</v>
      </c>
      <c r="H364" s="143" t="inlineStr">
        <is>
          <t xml:space="preserve">Closed</t>
        </is>
      </c>
      <c r="I364" s="143" t="inlineStr">
        <is>
          <t xml:space="preserve">24-92</t>
        </is>
      </c>
      <c r="J364" s="143" t="inlineStr">
        <is>
          <t xml:space="preserve">JOB-SETUP, INSPECTION, JOB-CLOSEUP</t>
        </is>
      </c>
    </row>
    <row r="365" spans="1:10">
      <c r="A365" s="143" t="inlineStr">
        <is>
          <t xml:space="preserve">30</t>
        </is>
      </c>
      <c r="B365" s="143" t="inlineStr">
        <is>
          <t xml:space="preserve">212100-03-1</t>
        </is>
      </c>
      <c r="C365" s="143" t="inlineStr">
        <is>
          <t xml:space="preserve">212100-03-1 (0) / AIR DISTRIBUTION AND RECIRCULATION</t>
        </is>
      </c>
      <c r="D365" s="143">
        <v>1.0</v>
      </c>
      <c r="E365" s="143">
        <v>1.0</v>
      </c>
      <c r="F365" s="143">
        <v>9.0</v>
      </c>
      <c r="G365" s="143">
        <v>2.8</v>
      </c>
      <c r="H365" s="143" t="inlineStr">
        <is>
          <t xml:space="preserve">Closed</t>
        </is>
      </c>
      <c r="I365" s="143">
        <v>21.0</v>
      </c>
      <c r="J365" s="143" t="inlineStr">
        <is>
          <t xml:space="preserve">--, INSPECTION, --</t>
        </is>
      </c>
    </row>
    <row r="366" spans="1:10">
      <c r="A366" s="143" t="inlineStr">
        <is>
          <t xml:space="preserve">31</t>
        </is>
      </c>
      <c r="B366" s="143" t="inlineStr">
        <is>
          <t xml:space="preserve">212600-09-1</t>
        </is>
      </c>
      <c r="C366" s="143" t="inlineStr">
        <is>
          <t xml:space="preserve">212600-09-1 (3) / AVIO EQUIP VENTILATION GRID CLEANING</t>
        </is>
      </c>
      <c r="D366" s="143">
        <v>1.0</v>
      </c>
      <c r="E366" s="143">
        <v>0.65</v>
      </c>
      <c r="F366" s="143">
        <v>8.0</v>
      </c>
      <c r="G366" s="143">
        <v>4.02</v>
      </c>
      <c r="H366" s="143" t="inlineStr">
        <is>
          <t xml:space="preserve">Closed</t>
        </is>
      </c>
      <c r="I366" s="143" t="inlineStr">
        <is>
          <t xml:space="preserve">21-26</t>
        </is>
      </c>
      <c r="J366" s="143" t="inlineStr">
        <is>
          <t xml:space="preserve">CLEAN-UP</t>
        </is>
      </c>
    </row>
    <row r="367" spans="1:10">
      <c r="A367" s="143" t="inlineStr">
        <is>
          <t xml:space="preserve">32</t>
        </is>
      </c>
      <c r="B367" s="143" t="inlineStr">
        <is>
          <t xml:space="preserve">25-11-00-18-0-SVA-001</t>
        </is>
      </c>
      <c r="C367" s="143" t="inlineStr">
        <is>
          <t xml:space="preserve">25-11-00-18-0-SVA-001 (04) / FOURTH OCCUPANT SEAT COVERS REPLCMNT</t>
        </is>
      </c>
      <c r="D367" s="143">
        <v>1.0</v>
      </c>
      <c r="E367" s="143">
        <v>2.0</v>
      </c>
      <c r="F367" s="143">
        <v>6.5</v>
      </c>
      <c r="G367" s="143">
        <v>6.5</v>
      </c>
      <c r="H367" s="143" t="inlineStr">
        <is>
          <t xml:space="preserve">Closed</t>
        </is>
      </c>
      <c r="I367" s="143" t="inlineStr">
        <is>
          <t xml:space="preserve">25-11</t>
        </is>
      </c>
      <c r="J367" s="143" t="inlineStr">
        <is>
          <t xml:space="preserve">TC/P</t>
        </is>
      </c>
    </row>
    <row r="368" spans="1:10">
      <c r="A368" s="143" t="inlineStr">
        <is>
          <t xml:space="preserve">33</t>
        </is>
      </c>
      <c r="B368" s="143" t="inlineStr">
        <is>
          <t xml:space="preserve">25-11-00-18-0-SVA-002</t>
        </is>
      </c>
      <c r="C368" s="143" t="inlineStr">
        <is>
          <t xml:space="preserve">25-11-00-18-0-SVA-002 (04) / THIRD OCCUPANT SEAT COVERS R/R</t>
        </is>
      </c>
      <c r="D368" s="143">
        <v>1.0</v>
      </c>
      <c r="E368" s="143">
        <v>2.0</v>
      </c>
      <c r="F368" s="143">
        <v>2.0</v>
      </c>
      <c r="G368" s="143">
        <v>2.0</v>
      </c>
      <c r="H368" s="143" t="inlineStr">
        <is>
          <t xml:space="preserve">Closed</t>
        </is>
      </c>
      <c r="I368" s="143" t="inlineStr">
        <is>
          <t xml:space="preserve">25-11</t>
        </is>
      </c>
      <c r="J368" s="143" t="inlineStr">
        <is>
          <t xml:space="preserve">TC/P</t>
        </is>
      </c>
    </row>
    <row r="369" spans="1:10">
      <c r="A369" s="143" t="inlineStr">
        <is>
          <t xml:space="preserve">34</t>
        </is>
      </c>
      <c r="B369" s="143" t="inlineStr">
        <is>
          <t xml:space="preserve">25-22-00-03-0-SVA-002</t>
        </is>
      </c>
      <c r="C369" s="143" t="inlineStr">
        <is>
          <t xml:space="preserve">25-22-00-03-0-SVA-002 (02) / CABIN ATTENDANT SEAT COVERS R&amp;R</t>
        </is>
      </c>
      <c r="D369" s="143">
        <v>1.0</v>
      </c>
      <c r="E369" s="143">
        <v>4.0</v>
      </c>
      <c r="F369" s="143">
        <v>22.0</v>
      </c>
      <c r="G369" s="143">
        <v>25.6</v>
      </c>
      <c r="H369" s="143" t="inlineStr">
        <is>
          <t xml:space="preserve">Closed</t>
        </is>
      </c>
      <c r="I369" s="143" t="inlineStr">
        <is>
          <t xml:space="preserve">25-22</t>
        </is>
      </c>
      <c r="J369" s="143" t="inlineStr">
        <is>
          <t xml:space="preserve">TC/P</t>
        </is>
      </c>
    </row>
    <row r="370" spans="1:10">
      <c r="A370" s="143" t="inlineStr">
        <is>
          <t xml:space="preserve">36</t>
        </is>
      </c>
      <c r="B370" s="143" t="inlineStr">
        <is>
          <t xml:space="preserve">254000-02-2</t>
        </is>
      </c>
      <c r="C370" s="143" t="inlineStr">
        <is>
          <t xml:space="preserve">254000-02-2 (2) / LAVATORIE’S ATTACHMENT POINTS INSP</t>
        </is>
      </c>
      <c r="D370" s="143">
        <v>1.0</v>
      </c>
      <c r="E370" s="143">
        <v>0.65</v>
      </c>
      <c r="F370" s="143">
        <v>15.0</v>
      </c>
      <c r="G370" s="143">
        <v>26.7</v>
      </c>
      <c r="H370" s="143" t="inlineStr">
        <is>
          <t xml:space="preserve">Closed</t>
        </is>
      </c>
      <c r="I370" s="143" t="inlineStr">
        <is>
          <t xml:space="preserve">25-40</t>
        </is>
      </c>
      <c r="J370" s="143" t="inlineStr">
        <is>
          <t xml:space="preserve">JOB-SETUP, INSPECTION, JOB-CLOSEUP</t>
        </is>
      </c>
    </row>
    <row r="371" spans="1:10">
      <c r="A371" s="143" t="inlineStr">
        <is>
          <t xml:space="preserve">37</t>
        </is>
      </c>
      <c r="B371" s="143" t="inlineStr">
        <is>
          <t xml:space="preserve">256141-01-1</t>
        </is>
      </c>
      <c r="C371" s="143" t="inlineStr">
        <is>
          <t xml:space="preserve">256141-01-1 (3) / CAPT AND F/O EMERGENCY DEVICE INSP</t>
        </is>
      </c>
      <c r="D371" s="143">
        <v>1.0</v>
      </c>
      <c r="E371" s="143">
        <v>0.43</v>
      </c>
      <c r="F371" s="143">
        <v>12.0</v>
      </c>
      <c r="G371" s="143">
        <v>2.78</v>
      </c>
      <c r="H371" s="143" t="inlineStr">
        <is>
          <t xml:space="preserve">Closed</t>
        </is>
      </c>
      <c r="I371" s="143" t="inlineStr">
        <is>
          <t xml:space="preserve">25-61</t>
        </is>
      </c>
      <c r="J371" s="143" t="inlineStr">
        <is>
          <t xml:space="preserve">TC/P, TC/P, TC/P, TC/P, TC/P</t>
        </is>
      </c>
    </row>
    <row r="372" spans="1:10">
      <c r="A372" s="143" t="inlineStr">
        <is>
          <t xml:space="preserve">38</t>
        </is>
      </c>
      <c r="B372" s="143" t="inlineStr">
        <is>
          <t xml:space="preserve">262541-01-1</t>
        </is>
      </c>
      <c r="C372" s="143" t="inlineStr">
        <is>
          <t xml:space="preserve">262541-01-1 (3) / LAVATORIES FIRE EXTINGUISHERS INSP</t>
        </is>
      </c>
      <c r="D372" s="143">
        <v>1.0</v>
      </c>
      <c r="E372" s="143">
        <v>0.22</v>
      </c>
      <c r="F372" s="143">
        <v>0.75</v>
      </c>
      <c r="G372" s="143">
        <v>0.75</v>
      </c>
      <c r="H372" s="143" t="inlineStr">
        <is>
          <t xml:space="preserve">Closed</t>
        </is>
      </c>
      <c r="I372" s="143" t="inlineStr">
        <is>
          <t xml:space="preserve">26-25</t>
        </is>
      </c>
      <c r="J372" s="143" t="inlineStr">
        <is>
          <t xml:space="preserve">INSPECTION</t>
        </is>
      </c>
    </row>
    <row r="373" spans="1:10">
      <c r="A373" s="143" t="inlineStr">
        <is>
          <t xml:space="preserve">39</t>
        </is>
      </c>
      <c r="B373" s="143" t="inlineStr">
        <is>
          <t xml:space="preserve">272100-13-1</t>
        </is>
      </c>
      <c r="C373" s="143" t="inlineStr">
        <is>
          <t xml:space="preserve">272100-13-1 (0) / RUDDER MECHANICAL CONTROL</t>
        </is>
      </c>
      <c r="D373" s="143">
        <v>1.0</v>
      </c>
      <c r="E373" s="143">
        <v>0.0</v>
      </c>
      <c r="F373" s="143">
        <v>4.0</v>
      </c>
      <c r="G373" s="143">
        <v>43.4</v>
      </c>
      <c r="H373" s="143" t="inlineStr">
        <is>
          <t xml:space="preserve">Closed</t>
        </is>
      </c>
      <c r="I373" s="143">
        <v>27.0</v>
      </c>
      <c r="J373" s="143"/>
    </row>
    <row r="374" spans="1:10">
      <c r="A374" s="143" t="inlineStr">
        <is>
          <t xml:space="preserve">40</t>
        </is>
      </c>
      <c r="B374" s="143" t="inlineStr">
        <is>
          <t xml:space="preserve">281800-02-1</t>
        </is>
      </c>
      <c r="C374" s="143" t="inlineStr">
        <is>
          <t xml:space="preserve">281800-02-1 (2) / CENTER TANK VAPOR SEAL INSPECTION</t>
        </is>
      </c>
      <c r="D374" s="143">
        <v>1.0</v>
      </c>
      <c r="E374" s="143">
        <v>1.75</v>
      </c>
      <c r="F374" s="143">
        <v>0.75</v>
      </c>
      <c r="G374" s="143">
        <v>0.75</v>
      </c>
      <c r="H374" s="143" t="inlineStr">
        <is>
          <t xml:space="preserve">Closed</t>
        </is>
      </c>
      <c r="I374" s="143" t="inlineStr">
        <is>
          <t xml:space="preserve">28-18</t>
        </is>
      </c>
      <c r="J374" s="143" t="inlineStr">
        <is>
          <t xml:space="preserve">INSPECTION</t>
        </is>
      </c>
    </row>
    <row r="375" spans="1:10">
      <c r="A375" s="143" t="inlineStr">
        <is>
          <t xml:space="preserve">41</t>
        </is>
      </c>
      <c r="B375" s="143" t="inlineStr">
        <is>
          <t xml:space="preserve">281800-05-1</t>
        </is>
      </c>
      <c r="C375" s="143" t="inlineStr">
        <is>
          <t xml:space="preserve">281800-05-1 (3) / CNTR TANK FWD BKHD INSULATION INSP</t>
        </is>
      </c>
      <c r="D375" s="143">
        <v>1.0</v>
      </c>
      <c r="E375" s="143">
        <v>0.22</v>
      </c>
      <c r="F375" s="143">
        <v>4.5</v>
      </c>
      <c r="G375" s="143">
        <v>2.75</v>
      </c>
      <c r="H375" s="143" t="inlineStr">
        <is>
          <t xml:space="preserve">Closed</t>
        </is>
      </c>
      <c r="I375" s="143" t="inlineStr">
        <is>
          <t xml:space="preserve">28-18</t>
        </is>
      </c>
      <c r="J375" s="143" t="inlineStr">
        <is>
          <t xml:space="preserve">INSPECTION</t>
        </is>
      </c>
    </row>
    <row r="376" spans="1:10">
      <c r="A376" s="143" t="inlineStr">
        <is>
          <t xml:space="preserve">46</t>
        </is>
      </c>
      <c r="B376" s="143" t="inlineStr">
        <is>
          <t xml:space="preserve">341300-13-1</t>
        </is>
      </c>
      <c r="C376" s="143" t="inlineStr">
        <is>
          <t xml:space="preserve">341300-13-1 (6) / ADM ACCURACY FUNCTIONAL TEST</t>
        </is>
      </c>
      <c r="D376" s="143">
        <v>1.0</v>
      </c>
      <c r="E376" s="143">
        <v>0.75</v>
      </c>
      <c r="F376" s="143">
        <v>16.0</v>
      </c>
      <c r="G376" s="143">
        <v>4.02</v>
      </c>
      <c r="H376" s="143" t="inlineStr">
        <is>
          <t xml:space="preserve">Closed</t>
        </is>
      </c>
      <c r="I376" s="143" t="inlineStr">
        <is>
          <t xml:space="preserve">34-13</t>
        </is>
      </c>
      <c r="J376" s="143" t="inlineStr">
        <is>
          <t xml:space="preserve">JOB-SETUP, OPS/LK, JOB-CLOSEUP</t>
        </is>
      </c>
    </row>
    <row r="377" spans="1:10">
      <c r="A377" s="143" t="inlineStr">
        <is>
          <t xml:space="preserve">47</t>
        </is>
      </c>
      <c r="B377" s="143" t="inlineStr">
        <is>
          <t xml:space="preserve">351351-01-1</t>
        </is>
      </c>
      <c r="C377" s="143" t="inlineStr">
        <is>
          <t xml:space="preserve">351351-01-1 (2) / CREW OXYGEN DISTRIBUTION FNC</t>
        </is>
      </c>
      <c r="D377" s="143">
        <v>1.0</v>
      </c>
      <c r="E377" s="143">
        <v>0.22</v>
      </c>
      <c r="F377" s="143">
        <v>5.0</v>
      </c>
      <c r="G377" s="143">
        <v>6.52</v>
      </c>
      <c r="H377" s="143" t="inlineStr">
        <is>
          <t xml:space="preserve">Closed</t>
        </is>
      </c>
      <c r="I377" s="143" t="inlineStr">
        <is>
          <t xml:space="preserve">35-12</t>
        </is>
      </c>
      <c r="J377" s="143" t="inlineStr">
        <is>
          <t xml:space="preserve">JOB-SETUP, OPS/LK, JOB-CLOSEUP</t>
        </is>
      </c>
    </row>
    <row r="378" spans="1:10">
      <c r="A378" s="143" t="inlineStr">
        <is>
          <t xml:space="preserve">48</t>
        </is>
      </c>
      <c r="B378" s="143" t="inlineStr">
        <is>
          <t xml:space="preserve">361200-01-1</t>
        </is>
      </c>
      <c r="C378" s="143" t="inlineStr">
        <is>
          <t xml:space="preserve">361200-01-1 (2) / CROSSBLEED VALVE MANUAL MODE OPS CHK</t>
        </is>
      </c>
      <c r="D378" s="143">
        <v>1.0</v>
      </c>
      <c r="E378" s="143">
        <v>0.22</v>
      </c>
      <c r="F378" s="143">
        <v>3.0</v>
      </c>
      <c r="G378" s="143">
        <v>1.5</v>
      </c>
      <c r="H378" s="143" t="inlineStr">
        <is>
          <t xml:space="preserve">Closed</t>
        </is>
      </c>
      <c r="I378" s="143" t="inlineStr">
        <is>
          <t xml:space="preserve">36-12</t>
        </is>
      </c>
      <c r="J378" s="143" t="inlineStr">
        <is>
          <t xml:space="preserve">JOB-SETUP, OPS/LK, JOB-CLOSEUP</t>
        </is>
      </c>
    </row>
    <row r="379" spans="1:10">
      <c r="A379" s="143" t="inlineStr">
        <is>
          <t xml:space="preserve">49</t>
        </is>
      </c>
      <c r="B379" s="143" t="inlineStr">
        <is>
          <t xml:space="preserve">524100-01-1</t>
        </is>
      </c>
      <c r="C379" s="143" t="inlineStr">
        <is>
          <t xml:space="preserve">524100-01-1 (4) / AVIONICS COMP. DOORS SEALS INSP</t>
        </is>
      </c>
      <c r="D379" s="143">
        <v>1.0</v>
      </c>
      <c r="E379" s="143">
        <v>0.43</v>
      </c>
      <c r="F379" s="143">
        <v>2.67</v>
      </c>
      <c r="G379" s="143">
        <v>22.37</v>
      </c>
      <c r="H379" s="143" t="inlineStr">
        <is>
          <t xml:space="preserve">Closed</t>
        </is>
      </c>
      <c r="I379" s="143" t="inlineStr">
        <is>
          <t xml:space="preserve">52-41</t>
        </is>
      </c>
      <c r="J379" s="143" t="inlineStr">
        <is>
          <t xml:space="preserve">JOB-SETUP, INSPECTION, JOB-CLOSEUP</t>
        </is>
      </c>
    </row>
    <row r="380" spans="1:10">
      <c r="A380" s="143" t="inlineStr">
        <is>
          <t xml:space="preserve">50</t>
        </is>
      </c>
      <c r="B380" s="143" t="inlineStr">
        <is>
          <t xml:space="preserve">530000-01-1</t>
        </is>
      </c>
      <c r="C380" s="143" t="inlineStr">
        <is>
          <t xml:space="preserve">530000-01-1 (4) / FUSELAGE DRAIN VALVE INSP</t>
        </is>
      </c>
      <c r="D380" s="143">
        <v>1.0</v>
      </c>
      <c r="E380" s="143">
        <v>0.87</v>
      </c>
      <c r="F380" s="143">
        <v>9.75</v>
      </c>
      <c r="G380" s="143">
        <v>204.3</v>
      </c>
      <c r="H380" s="143" t="inlineStr">
        <is>
          <t xml:space="preserve">Closed</t>
        </is>
      </c>
      <c r="I380" s="143" t="inlineStr">
        <is>
          <t xml:space="preserve">53-00</t>
        </is>
      </c>
      <c r="J380" s="143" t="inlineStr">
        <is>
          <t xml:space="preserve">JOB-SETUP, INSPECTION, JOB-CLOSEUP</t>
        </is>
      </c>
    </row>
    <row r="381" spans="1:10">
      <c r="A381" s="143" t="inlineStr">
        <is>
          <t xml:space="preserve">51</t>
        </is>
      </c>
      <c r="B381" s="143" t="inlineStr">
        <is>
          <t xml:space="preserve">531102-01-1</t>
        </is>
      </c>
      <c r="C381" s="143" t="inlineStr">
        <is>
          <t xml:space="preserve">531102-01-1 (5) / LH/RH FORWARD PASSENGER DOORS INSP</t>
        </is>
      </c>
      <c r="D381" s="143">
        <v>1.0</v>
      </c>
      <c r="E381" s="143">
        <v>0.65</v>
      </c>
      <c r="F381" s="143">
        <v>2.52</v>
      </c>
      <c r="G381" s="143">
        <v>74.5</v>
      </c>
      <c r="H381" s="143" t="inlineStr">
        <is>
          <t xml:space="preserve">Closed</t>
        </is>
      </c>
      <c r="I381" s="143" t="inlineStr">
        <is>
          <t xml:space="preserve">53-11</t>
        </is>
      </c>
      <c r="J381" s="143" t="inlineStr">
        <is>
          <t xml:space="preserve">CLEAN-UP, INSPECTION, INSPECTION</t>
        </is>
      </c>
    </row>
    <row r="382" spans="1:10">
      <c r="A382" s="143" t="inlineStr">
        <is>
          <t xml:space="preserve">54</t>
        </is>
      </c>
      <c r="B382" s="143" t="inlineStr">
        <is>
          <t xml:space="preserve">531171-01-1</t>
        </is>
      </c>
      <c r="C382" s="143" t="inlineStr">
        <is>
          <t xml:space="preserve">531171-01-1 (2) / NLG SECONDARY DOOR HINGE SUPPORTS</t>
        </is>
      </c>
      <c r="D382" s="143">
        <v>1.0</v>
      </c>
      <c r="E382" s="143">
        <v>0.87</v>
      </c>
      <c r="F382" s="143">
        <v>2.35</v>
      </c>
      <c r="G382" s="143">
        <v>702.9</v>
      </c>
      <c r="H382" s="143" t="inlineStr">
        <is>
          <t xml:space="preserve">Closed</t>
        </is>
      </c>
      <c r="I382" s="143" t="inlineStr">
        <is>
          <t xml:space="preserve">53-11</t>
        </is>
      </c>
      <c r="J382" s="143" t="inlineStr">
        <is>
          <t xml:space="preserve">INSPECTION, INSPECTION</t>
        </is>
      </c>
    </row>
    <row r="383" spans="1:10">
      <c r="A383" s="143" t="inlineStr">
        <is>
          <t xml:space="preserve">58</t>
        </is>
      </c>
      <c r="B383" s="143" t="inlineStr">
        <is>
          <t xml:space="preserve">532137-03-1</t>
        </is>
      </c>
      <c r="C383" s="143" t="inlineStr">
        <is>
          <t xml:space="preserve">532137-03-1 (1) / FWD CARGO DOOR CUTOUT PANELS DETAILED INSPECTION</t>
        </is>
      </c>
      <c r="D383" s="143">
        <v>1.0</v>
      </c>
      <c r="E383" s="143">
        <v>1.6</v>
      </c>
      <c r="F383" s="143">
        <v>4.5</v>
      </c>
      <c r="G383" s="143">
        <v>34.4</v>
      </c>
      <c r="H383" s="143" t="inlineStr">
        <is>
          <t xml:space="preserve">Closed</t>
        </is>
      </c>
      <c r="I383" s="143" t="inlineStr">
        <is>
          <t xml:space="preserve">53-21</t>
        </is>
      </c>
      <c r="J383" s="143" t="inlineStr">
        <is>
          <t xml:space="preserve">JOB-SETUP, INSPECTION, CLOSE-UP</t>
        </is>
      </c>
    </row>
    <row r="384" spans="1:10">
      <c r="A384" s="143" t="inlineStr">
        <is>
          <t xml:space="preserve">59</t>
        </is>
      </c>
      <c r="B384" s="143" t="inlineStr">
        <is>
          <t xml:space="preserve">533136-01-1</t>
        </is>
      </c>
      <c r="C384" s="143" t="inlineStr">
        <is>
          <t xml:space="preserve">533136-01-1 (3) / MLG BAY INCLUDING DOOR BAY INSP</t>
        </is>
      </c>
      <c r="D384" s="143">
        <v>1.0</v>
      </c>
      <c r="E384" s="143">
        <v>0.43</v>
      </c>
      <c r="F384" s="143">
        <v>15.83</v>
      </c>
      <c r="G384" s="143">
        <v>818.5</v>
      </c>
      <c r="H384" s="143" t="inlineStr">
        <is>
          <t xml:space="preserve">Closed</t>
        </is>
      </c>
      <c r="I384" s="143" t="inlineStr">
        <is>
          <t xml:space="preserve">53-31</t>
        </is>
      </c>
      <c r="J384" s="143" t="inlineStr">
        <is>
          <t xml:space="preserve">JOB-SETUP, CLEAN-UP, INSPECTION, INSPECTION, JOB-CLOSEUP</t>
        </is>
      </c>
    </row>
    <row r="385" spans="1:10">
      <c r="A385" s="143" t="inlineStr">
        <is>
          <t xml:space="preserve">60</t>
        </is>
      </c>
      <c r="B385" s="143" t="inlineStr">
        <is>
          <t xml:space="preserve">534132-02-1</t>
        </is>
      </c>
      <c r="C385" s="143" t="inlineStr">
        <is>
          <t xml:space="preserve">534132-02-1 (2) / DETAILED INSP OF AFT PASS/CREW DOOR CUTOUT, UPPER CORNERS</t>
        </is>
      </c>
      <c r="D385" s="143">
        <v>1.0</v>
      </c>
      <c r="E385" s="143">
        <v>0.75</v>
      </c>
      <c r="F385" s="143">
        <v>2.25</v>
      </c>
      <c r="G385" s="143">
        <v>72.3</v>
      </c>
      <c r="H385" s="143" t="inlineStr">
        <is>
          <t xml:space="preserve">Closed</t>
        </is>
      </c>
      <c r="I385" s="143" t="inlineStr">
        <is>
          <t xml:space="preserve">53-41</t>
        </is>
      </c>
      <c r="J385" s="143"/>
    </row>
    <row r="386" spans="1:10">
      <c r="A386" s="143" t="inlineStr">
        <is>
          <t xml:space="preserve">61</t>
        </is>
      </c>
      <c r="B386" s="143" t="inlineStr">
        <is>
          <t xml:space="preserve">534135-01-4</t>
        </is>
      </c>
      <c r="C386" s="143" t="inlineStr">
        <is>
          <t xml:space="preserve">534135-01-4 (03) / AFT PASSENGER/CREW DOOR CUTOUT INSP</t>
        </is>
      </c>
      <c r="D386" s="143">
        <v>1.0</v>
      </c>
      <c r="E386" s="143">
        <v>5.72</v>
      </c>
      <c r="F386" s="143">
        <v>40.5</v>
      </c>
      <c r="G386" s="143">
        <v>508.5</v>
      </c>
      <c r="H386" s="143" t="inlineStr">
        <is>
          <t xml:space="preserve">Closed</t>
        </is>
      </c>
      <c r="I386" s="143" t="inlineStr">
        <is>
          <t xml:space="preserve">53-41</t>
        </is>
      </c>
      <c r="J386" s="143" t="inlineStr">
        <is>
          <t xml:space="preserve">JOB-SETUP, INSPECTION, INSPECTION, INSPECTION, JOB-CLOSEUP</t>
        </is>
      </c>
    </row>
    <row r="387" spans="1:10">
      <c r="A387" s="143" t="inlineStr">
        <is>
          <t xml:space="preserve">63</t>
        </is>
      </c>
      <c r="B387" s="143" t="inlineStr">
        <is>
          <t xml:space="preserve">534148-01-1</t>
        </is>
      </c>
      <c r="C387" s="143" t="inlineStr">
        <is>
          <t xml:space="preserve">534148-01-1 (2) / FUSELAGE UNDER BELLY FAIRING INSP</t>
        </is>
      </c>
      <c r="D387" s="143">
        <v>1.0</v>
      </c>
      <c r="E387" s="143">
        <v>13.52</v>
      </c>
      <c r="F387" s="143">
        <v>10.08</v>
      </c>
      <c r="G387" s="143">
        <v>519.1</v>
      </c>
      <c r="H387" s="143" t="inlineStr">
        <is>
          <t xml:space="preserve">Closed</t>
        </is>
      </c>
      <c r="I387" s="143" t="inlineStr">
        <is>
          <t xml:space="preserve">53-41</t>
        </is>
      </c>
      <c r="J387" s="143" t="inlineStr">
        <is>
          <t xml:space="preserve">JOB-SETUP, CLEAN-UP, INSPECTION, INSPECTION, JOB-CLOSEUP</t>
        </is>
      </c>
    </row>
    <row r="388" spans="1:10">
      <c r="A388" s="143" t="inlineStr">
        <is>
          <t xml:space="preserve">64</t>
        </is>
      </c>
      <c r="B388" s="143" t="inlineStr">
        <is>
          <t xml:space="preserve">534159-02-1</t>
        </is>
      </c>
      <c r="C388" s="143" t="inlineStr">
        <is>
          <t xml:space="preserve">534159-02-1 (1) / DETAILED INSPECTION OF AFT CARGO DOOR CUTOUT UPPER AND LOWER CORNERS, EXTERNAL SURFACE.</t>
        </is>
      </c>
      <c r="D388" s="143">
        <v>1.0</v>
      </c>
      <c r="E388" s="143">
        <v>2.33</v>
      </c>
      <c r="F388" s="143">
        <v>7.5</v>
      </c>
      <c r="G388" s="143">
        <v>87.3</v>
      </c>
      <c r="H388" s="143" t="inlineStr">
        <is>
          <t xml:space="preserve">Closed</t>
        </is>
      </c>
      <c r="I388" s="143" t="inlineStr">
        <is>
          <t xml:space="preserve">53-41</t>
        </is>
      </c>
      <c r="J388" s="143"/>
    </row>
    <row r="389" spans="1:10">
      <c r="A389" s="143" t="inlineStr">
        <is>
          <t xml:space="preserve">65</t>
        </is>
      </c>
      <c r="B389" s="143" t="inlineStr">
        <is>
          <t xml:space="preserve">534171-02-1</t>
        </is>
      </c>
      <c r="C389" s="143" t="inlineStr">
        <is>
          <t xml:space="preserve">534171-02-1 (1) / DETAILED INSPECTION OF FUSELAGE SKIN OF BULK CARGO DOOR CUTOUT AT UPPER CORNERS</t>
        </is>
      </c>
      <c r="D389" s="143">
        <v>1.0</v>
      </c>
      <c r="E389" s="143">
        <v>0.5</v>
      </c>
      <c r="F389" s="143">
        <v>3.52</v>
      </c>
      <c r="G389" s="143">
        <v>12.57</v>
      </c>
      <c r="H389" s="143" t="inlineStr">
        <is>
          <t xml:space="preserve">Closed</t>
        </is>
      </c>
      <c r="I389" s="143" t="inlineStr">
        <is>
          <t xml:space="preserve">53-41</t>
        </is>
      </c>
      <c r="J389" s="143"/>
    </row>
    <row r="390" spans="1:10">
      <c r="A390" s="143" t="inlineStr">
        <is>
          <t xml:space="preserve">67</t>
        </is>
      </c>
      <c r="B390" s="143" t="inlineStr">
        <is>
          <t xml:space="preserve">534301-01-1</t>
        </is>
      </c>
      <c r="C390" s="143" t="inlineStr">
        <is>
          <t xml:space="preserve">534301-01-1 (0) / REAR FUSELAGE</t>
        </is>
      </c>
      <c r="D390" s="143">
        <v>1.0</v>
      </c>
      <c r="E390" s="143">
        <v>2.0</v>
      </c>
      <c r="F390" s="143">
        <v>5.52</v>
      </c>
      <c r="G390" s="143">
        <v>33.0</v>
      </c>
      <c r="H390" s="143" t="inlineStr">
        <is>
          <t xml:space="preserve">Closed</t>
        </is>
      </c>
      <c r="I390" s="143" t="inlineStr">
        <is>
          <t xml:space="preserve">53-51</t>
        </is>
      </c>
      <c r="J390" s="143" t="inlineStr">
        <is>
          <t xml:space="preserve">JOB-SETUP, CLEAN-UP, INSPECTION, JOB-CLOSEUP</t>
        </is>
      </c>
    </row>
    <row r="391" spans="1:10">
      <c r="A391" s="143" t="inlineStr">
        <is>
          <t xml:space="preserve">68</t>
        </is>
      </c>
      <c r="B391" s="143" t="inlineStr">
        <is>
          <t xml:space="preserve">535101-01-1</t>
        </is>
      </c>
      <c r="C391" s="143" t="inlineStr">
        <is>
          <t xml:space="preserve">535101-01-1 (2) / REAR PRESSURE BULKHEAD AFT FACE INSP</t>
        </is>
      </c>
      <c r="D391" s="143">
        <v>1.0</v>
      </c>
      <c r="E391" s="143">
        <v>5.5</v>
      </c>
      <c r="F391" s="143">
        <v>28.8</v>
      </c>
      <c r="G391" s="143">
        <v>700.5</v>
      </c>
      <c r="H391" s="143" t="inlineStr">
        <is>
          <t xml:space="preserve">Closed</t>
        </is>
      </c>
      <c r="I391" s="143" t="inlineStr">
        <is>
          <t xml:space="preserve">53-51</t>
        </is>
      </c>
      <c r="J391" s="143" t="inlineStr">
        <is>
          <t xml:space="preserve">JOB-SETUP, CLEAN-UP, INSPECTION, INSPECTION, INSPECTION, INSPECTION, JOB-CLOSEUP</t>
        </is>
      </c>
    </row>
    <row r="392" spans="1:10">
      <c r="A392" s="143" t="inlineStr">
        <is>
          <t xml:space="preserve">69</t>
        </is>
      </c>
      <c r="B392" s="143" t="inlineStr">
        <is>
          <t xml:space="preserve">551020-01-1</t>
        </is>
      </c>
      <c r="C392" s="143" t="inlineStr">
        <is>
          <t xml:space="preserve">551020-01-1 (3) / ELEVATOR HNG SUPPORTS AND FTNGS INSP</t>
        </is>
      </c>
      <c r="D392" s="143">
        <v>1.0</v>
      </c>
      <c r="E392" s="143">
        <v>3.3</v>
      </c>
      <c r="F392" s="143">
        <v>9.92</v>
      </c>
      <c r="G392" s="143">
        <v>395.8</v>
      </c>
      <c r="H392" s="143" t="inlineStr">
        <is>
          <t xml:space="preserve">Closed</t>
        </is>
      </c>
      <c r="I392" s="143" t="inlineStr">
        <is>
          <t xml:space="preserve">55-16</t>
        </is>
      </c>
      <c r="J392" s="143" t="inlineStr">
        <is>
          <t xml:space="preserve">JOB-SETUP, CLEAN-UP, INSPECTION, INSPECTION, JOB-CLOSEUP</t>
        </is>
      </c>
    </row>
    <row r="393" spans="1:10">
      <c r="A393" s="143" t="inlineStr">
        <is>
          <t xml:space="preserve">70</t>
        </is>
      </c>
      <c r="B393" s="143" t="inlineStr">
        <is>
          <t xml:space="preserve">552002-01-1</t>
        </is>
      </c>
      <c r="C393" s="143" t="inlineStr">
        <is>
          <t xml:space="preserve">552002-01-1 (2) / ELEVATOR HNG SUPPORT &amp; ACT FTG INSP</t>
        </is>
      </c>
      <c r="D393" s="143">
        <v>1.0</v>
      </c>
      <c r="E393" s="143">
        <v>3.3</v>
      </c>
      <c r="F393" s="143">
        <v>8.92</v>
      </c>
      <c r="G393" s="143">
        <v>394.9</v>
      </c>
      <c r="H393" s="143" t="inlineStr">
        <is>
          <t xml:space="preserve">Closed</t>
        </is>
      </c>
      <c r="I393" s="143" t="inlineStr">
        <is>
          <t xml:space="preserve">55-20</t>
        </is>
      </c>
      <c r="J393" s="143" t="inlineStr">
        <is>
          <t xml:space="preserve">JOB-SETUP, CLEAN-UP, INSPECTION, INSPECTION, JOB-CLOSEUP</t>
        </is>
      </c>
    </row>
    <row r="394" spans="1:10">
      <c r="A394" s="143" t="inlineStr">
        <is>
          <t xml:space="preserve">71</t>
        </is>
      </c>
      <c r="B394" s="143" t="inlineStr">
        <is>
          <t xml:space="preserve">553004-01-1</t>
        </is>
      </c>
      <c r="C394" s="143" t="inlineStr">
        <is>
          <t xml:space="preserve">553004-01-1 (2) / VERT STABILIZER ATTACH FITTINGS INSP</t>
        </is>
      </c>
      <c r="D394" s="143">
        <v>1.0</v>
      </c>
      <c r="E394" s="143">
        <v>0.65</v>
      </c>
      <c r="F394" s="143">
        <v>49.7</v>
      </c>
      <c r="G394" s="143">
        <v>692.0</v>
      </c>
      <c r="H394" s="143" t="inlineStr">
        <is>
          <t xml:space="preserve">Closed</t>
        </is>
      </c>
      <c r="I394" s="143" t="inlineStr">
        <is>
          <t xml:space="preserve">55-36</t>
        </is>
      </c>
      <c r="J394" s="143" t="inlineStr">
        <is>
          <t xml:space="preserve">JOB-SETUP, INSPECTION, JOB-CLOSEUP</t>
        </is>
      </c>
    </row>
    <row r="395" spans="1:10">
      <c r="A395" s="143" t="inlineStr">
        <is>
          <t xml:space="preserve">72</t>
        </is>
      </c>
      <c r="B395" s="143" t="inlineStr">
        <is>
          <t xml:space="preserve">553005-01-1</t>
        </is>
      </c>
      <c r="C395" s="143" t="inlineStr">
        <is>
          <t xml:space="preserve">553005-01-1 (2) / RUDDER HINGE ARMS AND ACTUATOR INSP</t>
        </is>
      </c>
      <c r="D395" s="143">
        <v>1.0</v>
      </c>
      <c r="E395" s="143">
        <v>0.43</v>
      </c>
      <c r="F395" s="143">
        <v>7.0</v>
      </c>
      <c r="G395" s="143">
        <v>413.4</v>
      </c>
      <c r="H395" s="143" t="inlineStr">
        <is>
          <t xml:space="preserve">Closed</t>
        </is>
      </c>
      <c r="I395" s="143" t="inlineStr">
        <is>
          <t xml:space="preserve">55-30</t>
        </is>
      </c>
      <c r="J395" s="143" t="inlineStr">
        <is>
          <t xml:space="preserve">JOB-SETUP, CLEAN-UP, INSPECTION, JOB-CLOSEUP, JOB-CLOSEUP</t>
        </is>
      </c>
    </row>
    <row r="396" spans="1:10">
      <c r="A396" s="143" t="inlineStr">
        <is>
          <t xml:space="preserve">73</t>
        </is>
      </c>
      <c r="B396" s="143" t="inlineStr">
        <is>
          <t xml:space="preserve">553006-01-2</t>
        </is>
      </c>
      <c r="C396" s="143" t="inlineStr">
        <is>
          <t xml:space="preserve">553006-01-2 (2) / RUDDER HINGE ARM 6 AND 7 INSPECTION</t>
        </is>
      </c>
      <c r="D396" s="143">
        <v>1.0</v>
      </c>
      <c r="E396" s="143">
        <v>0.32</v>
      </c>
      <c r="F396" s="143">
        <v>8.5</v>
      </c>
      <c r="G396" s="143">
        <v>412.4</v>
      </c>
      <c r="H396" s="143" t="inlineStr">
        <is>
          <t xml:space="preserve">Closed</t>
        </is>
      </c>
      <c r="I396" s="143" t="inlineStr">
        <is>
          <t xml:space="preserve">55-30</t>
        </is>
      </c>
      <c r="J396" s="143" t="inlineStr">
        <is>
          <t xml:space="preserve">JOB-SETUP, CLEAN-UP, INSPECTION, JOB-CLOSEUP, JOB-CLOSEUP</t>
        </is>
      </c>
    </row>
    <row r="397" spans="1:10">
      <c r="A397" s="143" t="inlineStr">
        <is>
          <t xml:space="preserve">74</t>
        </is>
      </c>
      <c r="B397" s="143" t="inlineStr">
        <is>
          <t xml:space="preserve">554003-01-1</t>
        </is>
      </c>
      <c r="C397" s="143" t="inlineStr">
        <is>
          <t xml:space="preserve">554003-01-1 (03) / RUDDER SIDE PANELS INSPECTION</t>
        </is>
      </c>
      <c r="D397" s="143">
        <v>1.0</v>
      </c>
      <c r="E397" s="143">
        <v>2.33</v>
      </c>
      <c r="F397" s="143">
        <v>11.5</v>
      </c>
      <c r="G397" s="143">
        <v>732.9</v>
      </c>
      <c r="H397" s="143" t="inlineStr">
        <is>
          <t xml:space="preserve">Closed</t>
        </is>
      </c>
      <c r="I397" s="143" t="inlineStr">
        <is>
          <t xml:space="preserve">55-40</t>
        </is>
      </c>
      <c r="J397" s="143" t="inlineStr">
        <is>
          <t xml:space="preserve">JOB-SETUP, CLEAN-UP, X-RAY / NDT, X-RAY / NDT, JOB-CLOSEUP</t>
        </is>
      </c>
    </row>
    <row r="398" spans="1:10">
      <c r="A398" s="143" t="inlineStr">
        <is>
          <t xml:space="preserve">75</t>
        </is>
      </c>
      <c r="B398" s="143" t="inlineStr">
        <is>
          <t xml:space="preserve">554005-01-1</t>
        </is>
      </c>
      <c r="C398" s="143" t="inlineStr">
        <is>
          <t xml:space="preserve">554005-01-1 (2) / RUDDER FTNG, ACT. ATTACH FTNG INSP</t>
        </is>
      </c>
      <c r="D398" s="143">
        <v>1.0</v>
      </c>
      <c r="E398" s="143">
        <v>0.43</v>
      </c>
      <c r="F398" s="143">
        <v>6.25</v>
      </c>
      <c r="G398" s="143">
        <v>413.4</v>
      </c>
      <c r="H398" s="143" t="inlineStr">
        <is>
          <t xml:space="preserve">Closed</t>
        </is>
      </c>
      <c r="I398" s="143" t="inlineStr">
        <is>
          <t xml:space="preserve">55-40</t>
        </is>
      </c>
      <c r="J398" s="143" t="inlineStr">
        <is>
          <t xml:space="preserve">JOB-SETUP, CLEAN-UP, INSPECTION, JOB-CLOSEUP, JOB-CLOSEUP</t>
        </is>
      </c>
    </row>
    <row r="399" spans="1:10">
      <c r="A399" s="143" t="inlineStr">
        <is>
          <t xml:space="preserve">76</t>
        </is>
      </c>
      <c r="B399" s="143" t="inlineStr">
        <is>
          <t xml:space="preserve">554006-01-1</t>
        </is>
      </c>
      <c r="C399" s="143" t="inlineStr">
        <is>
          <t xml:space="preserve">554006-01-1 (2) / RUDDER ATTACH FITTING 6 AND 7 INSP</t>
        </is>
      </c>
      <c r="D399" s="143">
        <v>1.0</v>
      </c>
      <c r="E399" s="143">
        <v>0.32</v>
      </c>
      <c r="F399" s="143">
        <v>7.75</v>
      </c>
      <c r="G399" s="143">
        <v>412.4</v>
      </c>
      <c r="H399" s="143" t="inlineStr">
        <is>
          <t xml:space="preserve">Closed</t>
        </is>
      </c>
      <c r="I399" s="143" t="inlineStr">
        <is>
          <t xml:space="preserve">55-40</t>
        </is>
      </c>
      <c r="J399" s="143" t="inlineStr">
        <is>
          <t xml:space="preserve">JOB-SETUP, CLEAN-UP, INSPECTION, JOB-CLOSEUP, JOB-CLOSEUP</t>
        </is>
      </c>
    </row>
    <row r="400" spans="1:10">
      <c r="A400" s="143" t="inlineStr">
        <is>
          <t xml:space="preserve">77</t>
        </is>
      </c>
      <c r="B400" s="143" t="inlineStr">
        <is>
          <t xml:space="preserve">554008-01-1</t>
        </is>
      </c>
      <c r="C400" s="143" t="inlineStr">
        <is>
          <t xml:space="preserve">554008-01-1 (3) / RUDDER L/H AND R/H SIDE PANELS INSP</t>
        </is>
      </c>
      <c r="D400" s="143">
        <v>1.0</v>
      </c>
      <c r="E400" s="143">
        <v>3.75</v>
      </c>
      <c r="F400" s="143">
        <v>32.5</v>
      </c>
      <c r="G400" s="143">
        <v>331.7</v>
      </c>
      <c r="H400" s="143" t="inlineStr">
        <is>
          <t xml:space="preserve">Closed</t>
        </is>
      </c>
      <c r="I400" s="143" t="inlineStr">
        <is>
          <t xml:space="preserve">55-40</t>
        </is>
      </c>
      <c r="J400" s="143" t="inlineStr">
        <is>
          <t xml:space="preserve">JOB-SETUP, JOB-SETUP, X-RAY / NDT, X-RAY / NDT, JOB-CLOSEUP</t>
        </is>
      </c>
    </row>
    <row r="401" spans="1:10">
      <c r="A401" s="143" t="inlineStr">
        <is>
          <t xml:space="preserve">78</t>
        </is>
      </c>
      <c r="B401" s="143" t="inlineStr">
        <is>
          <t xml:space="preserve">554009-01-1</t>
        </is>
      </c>
      <c r="C401" s="143" t="inlineStr">
        <is>
          <t xml:space="preserve">554009-01-1 (3) / RUDDER SIDE PNL (ELCH TEST) NDT INSP</t>
        </is>
      </c>
      <c r="D401" s="143">
        <v>1.0</v>
      </c>
      <c r="E401" s="143">
        <v>7.25</v>
      </c>
      <c r="F401" s="143">
        <v>34.5</v>
      </c>
      <c r="G401" s="143">
        <v>304.9</v>
      </c>
      <c r="H401" s="143" t="inlineStr">
        <is>
          <t xml:space="preserve">Closed</t>
        </is>
      </c>
      <c r="I401" s="143" t="inlineStr">
        <is>
          <t xml:space="preserve">55-40</t>
        </is>
      </c>
      <c r="J401" s="143" t="inlineStr">
        <is>
          <t xml:space="preserve">JOB-SETUP, JOB-SETUP, X-RAY / NDT, X-RAY / NDT, JOB-CLOSEUP</t>
        </is>
      </c>
    </row>
    <row r="402" spans="1:10">
      <c r="A402" s="143" t="inlineStr">
        <is>
          <t xml:space="preserve">79</t>
        </is>
      </c>
      <c r="B402" s="143" t="inlineStr">
        <is>
          <t xml:space="preserve">562101-01-1</t>
        </is>
      </c>
      <c r="C402" s="143" t="inlineStr">
        <is>
          <t xml:space="preserve">562101-01-1 (3) / CABIN AND DOOR WINDOW PANES INSP</t>
        </is>
      </c>
      <c r="D402" s="143">
        <v>1.0</v>
      </c>
      <c r="E402" s="143">
        <v>13.2</v>
      </c>
      <c r="F402" s="143">
        <v>212.0</v>
      </c>
      <c r="G402" s="143">
        <v>678.0</v>
      </c>
      <c r="H402" s="143" t="inlineStr">
        <is>
          <t xml:space="preserve">Closed</t>
        </is>
      </c>
      <c r="I402" s="143" t="inlineStr">
        <is>
          <t xml:space="preserve">56-21</t>
        </is>
      </c>
      <c r="J402" s="143" t="inlineStr">
        <is>
          <t xml:space="preserve">JOB-SETUP, JOB-SETUP, INSPECTION, INSPECTION, INSPECTION, JOB-CLOSEUP</t>
        </is>
      </c>
    </row>
    <row r="403" spans="1:10">
      <c r="A403" s="143" t="inlineStr">
        <is>
          <t xml:space="preserve">80</t>
        </is>
      </c>
      <c r="B403" s="143" t="inlineStr">
        <is>
          <t xml:space="preserve">571122-01-1</t>
        </is>
      </c>
      <c r="C403" s="143" t="inlineStr">
        <is>
          <t xml:space="preserve">571122-01-1 (2) / CENTER WING BOX REAR SPAR INSPECTION</t>
        </is>
      </c>
      <c r="D403" s="143">
        <v>1.0</v>
      </c>
      <c r="E403" s="143">
        <v>3.3</v>
      </c>
      <c r="F403" s="143">
        <v>14.42</v>
      </c>
      <c r="G403" s="143">
        <v>535.7</v>
      </c>
      <c r="H403" s="143" t="inlineStr">
        <is>
          <t xml:space="preserve">Closed</t>
        </is>
      </c>
      <c r="I403" s="143" t="inlineStr">
        <is>
          <t xml:space="preserve">57-10</t>
        </is>
      </c>
      <c r="J403" s="143" t="inlineStr">
        <is>
          <t xml:space="preserve">JOB-SETUP, JOB-SETUP, INSPECTION, JOB-CLOSEUP, JOB-CLOSEUP</t>
        </is>
      </c>
    </row>
    <row r="404" spans="1:10">
      <c r="A404" s="143" t="inlineStr">
        <is>
          <t xml:space="preserve">81</t>
        </is>
      </c>
      <c r="B404" s="143" t="inlineStr">
        <is>
          <t xml:space="preserve">571157-01-1</t>
        </is>
      </c>
      <c r="C404" s="143" t="inlineStr">
        <is>
          <t xml:space="preserve">571157-01-1 (3) / CENTER WING BOX UPPER SKIN INSP</t>
        </is>
      </c>
      <c r="D404" s="143">
        <v>1.0</v>
      </c>
      <c r="E404" s="143">
        <v>7.7</v>
      </c>
      <c r="F404" s="143">
        <v>8.73</v>
      </c>
      <c r="G404" s="143">
        <v>5.35</v>
      </c>
      <c r="H404" s="143" t="inlineStr">
        <is>
          <t xml:space="preserve">Closed</t>
        </is>
      </c>
      <c r="I404" s="143" t="inlineStr">
        <is>
          <t xml:space="preserve">57-10</t>
        </is>
      </c>
      <c r="J404" s="143" t="inlineStr">
        <is>
          <t xml:space="preserve">JOB-CLOSEUP, JOB-CLOSEUP, INSPECTION, JOB-SETUP</t>
        </is>
      </c>
    </row>
    <row r="405" spans="1:10">
      <c r="A405" s="143" t="inlineStr">
        <is>
          <t xml:space="preserve">82</t>
        </is>
      </c>
      <c r="B405" s="143" t="inlineStr">
        <is>
          <t xml:space="preserve">572049-01-3-001</t>
        </is>
      </c>
      <c r="C405" s="143" t="inlineStr">
        <is>
          <t xml:space="preserve">572049-01-3-001 (02) / L/H O/WNG BOTOM SKN DRAIN HOLES INSP</t>
        </is>
      </c>
      <c r="D405" s="143">
        <v>1.0</v>
      </c>
      <c r="E405" s="143">
        <v>0.43</v>
      </c>
      <c r="F405" s="143">
        <v>2.0</v>
      </c>
      <c r="G405" s="143">
        <v>16.73</v>
      </c>
      <c r="H405" s="143" t="inlineStr">
        <is>
          <t xml:space="preserve">Closed</t>
        </is>
      </c>
      <c r="I405" s="143" t="inlineStr">
        <is>
          <t xml:space="preserve">57-41</t>
        </is>
      </c>
      <c r="J405" s="143" t="inlineStr">
        <is>
          <t xml:space="preserve">JOB-SETUP, INSPECTION, JOB-CLOSEUP</t>
        </is>
      </c>
    </row>
    <row r="406" spans="1:10">
      <c r="A406" s="143" t="inlineStr">
        <is>
          <t xml:space="preserve">83</t>
        </is>
      </c>
      <c r="B406" s="143" t="inlineStr">
        <is>
          <t xml:space="preserve">572049-01-3-002</t>
        </is>
      </c>
      <c r="C406" s="143" t="inlineStr">
        <is>
          <t xml:space="preserve">572049-01-3-002 (02) / R/H O/WNG BOTOM SKN DRAIN HOLES INSP</t>
        </is>
      </c>
      <c r="D406" s="143">
        <v>1.0</v>
      </c>
      <c r="E406" s="143">
        <v>0.43</v>
      </c>
      <c r="F406" s="143">
        <v>1.5</v>
      </c>
      <c r="G406" s="143">
        <v>16.18</v>
      </c>
      <c r="H406" s="143" t="inlineStr">
        <is>
          <t xml:space="preserve">Closed</t>
        </is>
      </c>
      <c r="I406" s="143" t="inlineStr">
        <is>
          <t xml:space="preserve">57-41</t>
        </is>
      </c>
      <c r="J406" s="143" t="inlineStr">
        <is>
          <t xml:space="preserve">JOB-SETUP, INSPECTION, JOB-CLOSEUP</t>
        </is>
      </c>
    </row>
    <row r="407" spans="1:10">
      <c r="A407" s="143" t="inlineStr">
        <is>
          <t xml:space="preserve">84</t>
        </is>
      </c>
      <c r="B407" s="143" t="inlineStr">
        <is>
          <t xml:space="preserve">572065-01-1-001</t>
        </is>
      </c>
      <c r="C407" s="143" t="inlineStr">
        <is>
          <t xml:space="preserve">572065-01-1-001 (03) / L/H OUTER WING TOP SKIN LOWER SURFACE INSP</t>
        </is>
      </c>
      <c r="D407" s="143">
        <v>1.0</v>
      </c>
      <c r="E407" s="143">
        <v>2.33</v>
      </c>
      <c r="F407" s="143">
        <v>14.03</v>
      </c>
      <c r="G407" s="143">
        <v>714.0</v>
      </c>
      <c r="H407" s="143" t="inlineStr">
        <is>
          <t xml:space="preserve">Closed</t>
        </is>
      </c>
      <c r="I407" s="143" t="inlineStr">
        <is>
          <t xml:space="preserve">57-20</t>
        </is>
      </c>
      <c r="J407" s="143" t="inlineStr">
        <is>
          <t xml:space="preserve">JOB-SETUP, CLEAN-UP, INSPECTION, JOB-CLOSEUP, JOB-CLOSEUP</t>
        </is>
      </c>
    </row>
    <row r="408" spans="1:10">
      <c r="A408" s="143" t="inlineStr">
        <is>
          <t xml:space="preserve">85</t>
        </is>
      </c>
      <c r="B408" s="143" t="inlineStr">
        <is>
          <t xml:space="preserve">572065-01-1-002</t>
        </is>
      </c>
      <c r="C408" s="143" t="inlineStr">
        <is>
          <t xml:space="preserve">572065-01-1-002 (03) / R/H OUTER WING TOP SKIN LOWER SURFACE INSP</t>
        </is>
      </c>
      <c r="D408" s="143">
        <v>1.0</v>
      </c>
      <c r="E408" s="143">
        <v>2.33</v>
      </c>
      <c r="F408" s="143">
        <v>8.95</v>
      </c>
      <c r="G408" s="143">
        <v>733.8</v>
      </c>
      <c r="H408" s="143" t="inlineStr">
        <is>
          <t xml:space="preserve">Closed</t>
        </is>
      </c>
      <c r="I408" s="143" t="inlineStr">
        <is>
          <t xml:space="preserve">57-20</t>
        </is>
      </c>
      <c r="J408" s="143" t="inlineStr">
        <is>
          <t xml:space="preserve">JOB-SETUP, CLEAN-UP, INSPECTION, JOB-CLOSEUP, JOB-CLOSEUP</t>
        </is>
      </c>
    </row>
    <row r="409" spans="1:10">
      <c r="A409" s="143" t="inlineStr">
        <is>
          <t xml:space="preserve">86</t>
        </is>
      </c>
      <c r="B409" s="143" t="inlineStr">
        <is>
          <t xml:space="preserve">572153-01-1-001</t>
        </is>
      </c>
      <c r="C409" s="143" t="inlineStr">
        <is>
          <t xml:space="preserve">572153-01-1-001 (02) / L/H WING BOTTOM SKIN DRAIN HOLES INSP</t>
        </is>
      </c>
      <c r="D409" s="143">
        <v>1.0</v>
      </c>
      <c r="E409" s="143">
        <v>0.52</v>
      </c>
      <c r="F409" s="143">
        <v>1.5</v>
      </c>
      <c r="G409" s="143">
        <v>16.28</v>
      </c>
      <c r="H409" s="143" t="inlineStr">
        <is>
          <t xml:space="preserve">Closed</t>
        </is>
      </c>
      <c r="I409" s="143" t="inlineStr">
        <is>
          <t xml:space="preserve">57-20</t>
        </is>
      </c>
      <c r="J409" s="143" t="inlineStr">
        <is>
          <t xml:space="preserve">JOB-SETUP, CLEAN-UP, INSPECTION, JOB-CLOSEUP</t>
        </is>
      </c>
    </row>
    <row r="410" spans="1:10">
      <c r="A410" s="143" t="inlineStr">
        <is>
          <t xml:space="preserve">87</t>
        </is>
      </c>
      <c r="B410" s="143" t="inlineStr">
        <is>
          <t xml:space="preserve">572153-01-1-002</t>
        </is>
      </c>
      <c r="C410" s="143" t="inlineStr">
        <is>
          <t xml:space="preserve">572153-01-1-002 (02) / RH WING BOTTOM SKIN DRAIN HOLES INSP</t>
        </is>
      </c>
      <c r="D410" s="143">
        <v>1.0</v>
      </c>
      <c r="E410" s="143">
        <v>0.52</v>
      </c>
      <c r="F410" s="143">
        <v>1.5</v>
      </c>
      <c r="G410" s="143">
        <v>16.23</v>
      </c>
      <c r="H410" s="143" t="inlineStr">
        <is>
          <t xml:space="preserve">Closed</t>
        </is>
      </c>
      <c r="I410" s="143" t="inlineStr">
        <is>
          <t xml:space="preserve">57-20</t>
        </is>
      </c>
      <c r="J410" s="143" t="inlineStr">
        <is>
          <t xml:space="preserve">JOB-SETUP, CLEAN-UP, INSPECTION, JOB-CLOSEUP</t>
        </is>
      </c>
    </row>
    <row r="411" spans="1:10">
      <c r="A411" s="143" t="inlineStr">
        <is>
          <t xml:space="preserve">88</t>
        </is>
      </c>
      <c r="B411" s="143" t="inlineStr">
        <is>
          <t xml:space="preserve">572161-01-11-001</t>
        </is>
      </c>
      <c r="C411" s="143" t="inlineStr">
        <is>
          <t xml:space="preserve">572161-01-11-001 (04) / LH O/WING BTTM ACCSS (RIB13-27) INSP</t>
        </is>
      </c>
      <c r="D411" s="143">
        <v>1.0</v>
      </c>
      <c r="E411" s="143">
        <v>1.32</v>
      </c>
      <c r="F411" s="143">
        <v>13.0</v>
      </c>
      <c r="G411" s="143">
        <v>360.5</v>
      </c>
      <c r="H411" s="143" t="inlineStr">
        <is>
          <t xml:space="preserve">Closed</t>
        </is>
      </c>
      <c r="I411" s="143" t="inlineStr">
        <is>
          <t xml:space="preserve">57-21</t>
        </is>
      </c>
      <c r="J411" s="143" t="inlineStr">
        <is>
          <t xml:space="preserve">JOB-SETUP, CLEAN-UP, INSPECTION, INSPECTION, INSPECTION, JOB-CLOSEUP</t>
        </is>
      </c>
    </row>
    <row r="412" spans="1:10">
      <c r="A412" s="143" t="inlineStr">
        <is>
          <t xml:space="preserve">89</t>
        </is>
      </c>
      <c r="B412" s="143" t="inlineStr">
        <is>
          <t xml:space="preserve">572161-01-11-002</t>
        </is>
      </c>
      <c r="C412" s="143" t="inlineStr">
        <is>
          <t xml:space="preserve">572161-01-11-002 (04) / RH O/WING BTTM ACCSS (RIB13-27) INSP</t>
        </is>
      </c>
      <c r="D412" s="143">
        <v>1.0</v>
      </c>
      <c r="E412" s="143">
        <v>1.32</v>
      </c>
      <c r="F412" s="143">
        <v>15.5</v>
      </c>
      <c r="G412" s="143">
        <v>360.3</v>
      </c>
      <c r="H412" s="143" t="inlineStr">
        <is>
          <t xml:space="preserve">Closed</t>
        </is>
      </c>
      <c r="I412" s="143" t="inlineStr">
        <is>
          <t xml:space="preserve">57-21</t>
        </is>
      </c>
      <c r="J412" s="143" t="inlineStr">
        <is>
          <t xml:space="preserve">JOB-SETUP, CLEAN-UP, INSPECTION, INSPECTION, INSPECTION, JOB-CLOSEUP</t>
        </is>
      </c>
    </row>
    <row r="413" spans="1:10">
      <c r="A413" s="143" t="inlineStr">
        <is>
          <t xml:space="preserve">90</t>
        </is>
      </c>
      <c r="B413" s="143" t="inlineStr">
        <is>
          <t xml:space="preserve">572651-01-2-001</t>
        </is>
      </c>
      <c r="C413" s="143" t="inlineStr">
        <is>
          <t xml:space="preserve">572651-01-2-001 (02) / L/H OTR WING REAR SPAR JAK FTNG INSP</t>
        </is>
      </c>
      <c r="D413" s="143">
        <v>1.0</v>
      </c>
      <c r="E413" s="143">
        <v>0.43</v>
      </c>
      <c r="F413" s="143">
        <v>1.75</v>
      </c>
      <c r="G413" s="143">
        <v>29.1</v>
      </c>
      <c r="H413" s="143" t="inlineStr">
        <is>
          <t xml:space="preserve">Closed</t>
        </is>
      </c>
      <c r="I413" s="143" t="inlineStr">
        <is>
          <t xml:space="preserve">57-26</t>
        </is>
      </c>
      <c r="J413" s="143" t="inlineStr">
        <is>
          <t xml:space="preserve">JOB-SETUP, CLEAN-UP, INSPECTION, JOB-CLOSEUP</t>
        </is>
      </c>
    </row>
    <row r="414" spans="1:10">
      <c r="A414" s="143" t="inlineStr">
        <is>
          <t xml:space="preserve">91</t>
        </is>
      </c>
      <c r="B414" s="143" t="inlineStr">
        <is>
          <t xml:space="preserve">572651-01-2-002</t>
        </is>
      </c>
      <c r="C414" s="143" t="inlineStr">
        <is>
          <t xml:space="preserve">572651-01-2-002 (02) / R/H OUTR WING REAR SPAR JACK FITTING</t>
        </is>
      </c>
      <c r="D414" s="143">
        <v>1.0</v>
      </c>
      <c r="E414" s="143">
        <v>0.43</v>
      </c>
      <c r="F414" s="143">
        <v>3.5</v>
      </c>
      <c r="G414" s="143">
        <v>30.8</v>
      </c>
      <c r="H414" s="143" t="inlineStr">
        <is>
          <t xml:space="preserve">Closed</t>
        </is>
      </c>
      <c r="I414" s="143" t="inlineStr">
        <is>
          <t xml:space="preserve">57-26</t>
        </is>
      </c>
      <c r="J414" s="143" t="inlineStr">
        <is>
          <t xml:space="preserve">JOB-SETUP, CLEAN-UP, INSPECTION, JOB-CLOSEUP</t>
        </is>
      </c>
    </row>
    <row r="415" spans="1:10">
      <c r="A415" s="143" t="inlineStr">
        <is>
          <t xml:space="preserve">92</t>
        </is>
      </c>
      <c r="B415" s="143" t="inlineStr">
        <is>
          <t xml:space="preserve">574206-01-1</t>
        </is>
      </c>
      <c r="C415" s="143" t="inlineStr">
        <is>
          <t xml:space="preserve">574206-01-1 (1) / DETAILED INSPECTION OF SLAT 1, PINION AND RACK TEETH, LH/RH.</t>
        </is>
      </c>
      <c r="D415" s="143">
        <v>1.0</v>
      </c>
      <c r="E415" s="143">
        <v>2.0</v>
      </c>
      <c r="F415" s="143">
        <v>1.27</v>
      </c>
      <c r="G415" s="143">
        <v>44.7</v>
      </c>
      <c r="H415" s="143" t="inlineStr">
        <is>
          <t xml:space="preserve">Closed</t>
        </is>
      </c>
      <c r="I415" s="143" t="inlineStr">
        <is>
          <t xml:space="preserve">57-46</t>
        </is>
      </c>
      <c r="J415" s="143"/>
    </row>
    <row r="416" spans="1:10">
      <c r="A416" s="143" t="inlineStr">
        <is>
          <t xml:space="preserve">93</t>
        </is>
      </c>
      <c r="B416" s="143" t="inlineStr">
        <is>
          <t xml:space="preserve">574306-01-1-001</t>
        </is>
      </c>
      <c r="C416" s="143" t="inlineStr">
        <is>
          <t xml:space="preserve">574306-01-1-001 (01) / DETAILED INSPECTION OF L/H SLAT 2, PINION AND RACK TEETH.</t>
        </is>
      </c>
      <c r="D416" s="143">
        <v>1.0</v>
      </c>
      <c r="E416" s="143">
        <v>2.33</v>
      </c>
      <c r="F416" s="143">
        <v>2.5</v>
      </c>
      <c r="G416" s="143">
        <v>40.3</v>
      </c>
      <c r="H416" s="143" t="inlineStr">
        <is>
          <t xml:space="preserve">Closed</t>
        </is>
      </c>
      <c r="I416" s="143" t="inlineStr">
        <is>
          <t xml:space="preserve">57-46</t>
        </is>
      </c>
      <c r="J416" s="143"/>
    </row>
    <row r="417" spans="1:10">
      <c r="A417" s="143" t="inlineStr">
        <is>
          <t xml:space="preserve">94</t>
        </is>
      </c>
      <c r="B417" s="143" t="inlineStr">
        <is>
          <t xml:space="preserve">574306-01-1-002</t>
        </is>
      </c>
      <c r="C417" s="143" t="inlineStr">
        <is>
          <t xml:space="preserve">574306-01-1-002 (01) / DETAILED INSPECTION OF R/H SLAT 2, PINION AND RACK TEETH</t>
        </is>
      </c>
      <c r="D417" s="143">
        <v>1.0</v>
      </c>
      <c r="E417" s="143">
        <v>2.33</v>
      </c>
      <c r="F417" s="143">
        <v>1.17</v>
      </c>
      <c r="G417" s="143">
        <v>43.1</v>
      </c>
      <c r="H417" s="143" t="inlineStr">
        <is>
          <t xml:space="preserve">Closed</t>
        </is>
      </c>
      <c r="I417" s="143" t="inlineStr">
        <is>
          <t xml:space="preserve">57-46</t>
        </is>
      </c>
      <c r="J417" s="143"/>
    </row>
    <row r="418" spans="1:10">
      <c r="A418" s="143" t="inlineStr">
        <is>
          <t xml:space="preserve">95</t>
        </is>
      </c>
      <c r="B418" s="143" t="inlineStr">
        <is>
          <t xml:space="preserve">574406-01-1</t>
        </is>
      </c>
      <c r="C418" s="143" t="inlineStr">
        <is>
          <t xml:space="preserve">574406-01-1 (1) / DETAILED INSPECTION OF SLAT 3, PINION AND RACK TEETH, LH/RH.</t>
        </is>
      </c>
      <c r="D418" s="143">
        <v>1.0</v>
      </c>
      <c r="E418" s="143">
        <v>2.5</v>
      </c>
      <c r="F418" s="143">
        <v>3.58</v>
      </c>
      <c r="G418" s="143">
        <v>45.0</v>
      </c>
      <c r="H418" s="143" t="inlineStr">
        <is>
          <t xml:space="preserve">Closed</t>
        </is>
      </c>
      <c r="I418" s="143" t="inlineStr">
        <is>
          <t xml:space="preserve">57-46</t>
        </is>
      </c>
      <c r="J418" s="143" t="inlineStr">
        <is>
          <t xml:space="preserve">JOB-SETUP, INSPECTION, JOB-CLOSEUP</t>
        </is>
      </c>
    </row>
    <row r="419" spans="1:10">
      <c r="A419" s="143" t="inlineStr">
        <is>
          <t xml:space="preserve">96</t>
        </is>
      </c>
      <c r="B419" s="143" t="inlineStr">
        <is>
          <t xml:space="preserve">574506-01-1-001</t>
        </is>
      </c>
      <c r="C419" s="143" t="inlineStr">
        <is>
          <t xml:space="preserve">574506-01-1-001 (01) / DETAILED INSPECTION OF L/H SLAT 4, PINION AND RACK TEETH.</t>
        </is>
      </c>
      <c r="D419" s="143">
        <v>1.0</v>
      </c>
      <c r="E419" s="143">
        <v>2.33</v>
      </c>
      <c r="F419" s="143">
        <v>3.5</v>
      </c>
      <c r="G419" s="143">
        <v>40.3</v>
      </c>
      <c r="H419" s="143" t="inlineStr">
        <is>
          <t xml:space="preserve">Closed</t>
        </is>
      </c>
      <c r="I419" s="143" t="inlineStr">
        <is>
          <t xml:space="preserve">57-46</t>
        </is>
      </c>
      <c r="J419" s="143"/>
    </row>
    <row r="420" spans="1:10">
      <c r="A420" s="143" t="inlineStr">
        <is>
          <t xml:space="preserve">97</t>
        </is>
      </c>
      <c r="B420" s="143" t="inlineStr">
        <is>
          <t xml:space="preserve">574506-01-1-002</t>
        </is>
      </c>
      <c r="C420" s="143" t="inlineStr">
        <is>
          <t xml:space="preserve">574506-01-1-002 (01) / DETAILED INSPECTION OF R/H SLAT 4, PINION AND RACK TEETH</t>
        </is>
      </c>
      <c r="D420" s="143">
        <v>1.0</v>
      </c>
      <c r="E420" s="143">
        <v>2.33</v>
      </c>
      <c r="F420" s="143">
        <v>3.83</v>
      </c>
      <c r="G420" s="143">
        <v>45.1</v>
      </c>
      <c r="H420" s="143" t="inlineStr">
        <is>
          <t xml:space="preserve">Closed</t>
        </is>
      </c>
      <c r="I420" s="143" t="inlineStr">
        <is>
          <t xml:space="preserve">57-46</t>
        </is>
      </c>
      <c r="J420" s="143"/>
    </row>
    <row r="421" spans="1:10">
      <c r="A421" s="143" t="inlineStr">
        <is>
          <t xml:space="preserve">98</t>
        </is>
      </c>
      <c r="B421" s="143" t="inlineStr">
        <is>
          <t xml:space="preserve">574606-01-1</t>
        </is>
      </c>
      <c r="C421" s="143" t="inlineStr">
        <is>
          <t xml:space="preserve">574606-01-1 (1) / DETAILED INSPECTION OF SLAT 5, PINION AND RACK TEETH, LH/RH.</t>
        </is>
      </c>
      <c r="D421" s="143">
        <v>1.0</v>
      </c>
      <c r="E421" s="143">
        <v>2.0</v>
      </c>
      <c r="F421" s="143">
        <v>0.58</v>
      </c>
      <c r="G421" s="143">
        <v>44.3</v>
      </c>
      <c r="H421" s="143" t="inlineStr">
        <is>
          <t xml:space="preserve">Closed</t>
        </is>
      </c>
      <c r="I421" s="143" t="inlineStr">
        <is>
          <t xml:space="preserve">57-46</t>
        </is>
      </c>
      <c r="J421" s="143"/>
    </row>
    <row r="422" spans="1:10">
      <c r="A422" s="143" t="inlineStr">
        <is>
          <t xml:space="preserve">99</t>
        </is>
      </c>
      <c r="B422" s="143" t="inlineStr">
        <is>
          <t xml:space="preserve">575151-03-1</t>
        </is>
      </c>
      <c r="C422" s="143" t="inlineStr">
        <is>
          <t xml:space="preserve">575151-03-1 (0) / TRAILING EDGE</t>
        </is>
      </c>
      <c r="D422" s="143">
        <v>1.0</v>
      </c>
      <c r="E422" s="143">
        <v>2.0</v>
      </c>
      <c r="F422" s="143">
        <v>8.0</v>
      </c>
      <c r="G422" s="143">
        <v>715.0</v>
      </c>
      <c r="H422" s="143" t="inlineStr">
        <is>
          <t xml:space="preserve">Closed</t>
        </is>
      </c>
      <c r="I422" s="143" t="inlineStr">
        <is>
          <t xml:space="preserve">57-51</t>
        </is>
      </c>
      <c r="J422" s="143" t="inlineStr">
        <is>
          <t xml:space="preserve">JOB-SETUP, JOB-SETUP, INSPECTION, INSPECTION, JOB-CLOSEUP</t>
        </is>
      </c>
    </row>
    <row r="423" spans="1:10">
      <c r="A423" s="143" t="inlineStr">
        <is>
          <t xml:space="preserve">100</t>
        </is>
      </c>
      <c r="B423" s="143" t="inlineStr">
        <is>
          <t xml:space="preserve">575167-01-1-001</t>
        </is>
      </c>
      <c r="C423" s="143" t="inlineStr">
        <is>
          <t xml:space="preserve">575167-01-1-001 (02) / L/H OUTER WING BTOM SKN PNL NO3 INSP</t>
        </is>
      </c>
      <c r="D423" s="143">
        <v>1.0</v>
      </c>
      <c r="E423" s="143">
        <v>0.43</v>
      </c>
      <c r="F423" s="143">
        <v>14.03</v>
      </c>
      <c r="G423" s="143">
        <v>628.1</v>
      </c>
      <c r="H423" s="143" t="inlineStr">
        <is>
          <t xml:space="preserve">Closed</t>
        </is>
      </c>
      <c r="I423" s="143" t="inlineStr">
        <is>
          <t xml:space="preserve">57-51</t>
        </is>
      </c>
      <c r="J423" s="143" t="inlineStr">
        <is>
          <t xml:space="preserve">JOB-SETUP, INSPECTION, INSPECTION, INSPECTION, JOB-CLOSEUP</t>
        </is>
      </c>
    </row>
    <row r="424" spans="1:10">
      <c r="A424" s="143" t="inlineStr">
        <is>
          <t xml:space="preserve">101</t>
        </is>
      </c>
      <c r="B424" s="143" t="inlineStr">
        <is>
          <t xml:space="preserve">575167-01-1-002</t>
        </is>
      </c>
      <c r="C424" s="143" t="inlineStr">
        <is>
          <t xml:space="preserve">575167-01-1-002 (02) / R/H OUTER WING BTTM SKIN NO.3 INSP</t>
        </is>
      </c>
      <c r="D424" s="143">
        <v>1.0</v>
      </c>
      <c r="E424" s="143">
        <v>0.43</v>
      </c>
      <c r="F424" s="143">
        <v>13.25</v>
      </c>
      <c r="G424" s="143">
        <v>651.5</v>
      </c>
      <c r="H424" s="143" t="inlineStr">
        <is>
          <t xml:space="preserve">Closed</t>
        </is>
      </c>
      <c r="I424" s="143" t="inlineStr">
        <is>
          <t xml:space="preserve">57-51</t>
        </is>
      </c>
      <c r="J424" s="143" t="inlineStr">
        <is>
          <t xml:space="preserve">JOB-SETUP, INSPECTION, INSPECTION, INSPECTION, JOB-CLOSEUP</t>
        </is>
      </c>
    </row>
    <row r="425" spans="1:10">
      <c r="A425" s="143" t="inlineStr">
        <is>
          <t xml:space="preserve">102</t>
        </is>
      </c>
      <c r="B425" s="143" t="inlineStr">
        <is>
          <t xml:space="preserve">783210-01-1</t>
        </is>
      </c>
      <c r="C425" s="143" t="inlineStr">
        <is>
          <t xml:space="preserve">783210-01-1 (0) / THRUST REVERSER STRUCTURE</t>
        </is>
      </c>
      <c r="D425" s="143">
        <v>1.0</v>
      </c>
      <c r="E425" s="143">
        <v>1.0</v>
      </c>
      <c r="F425" s="143">
        <v>3.5</v>
      </c>
      <c r="G425" s="143">
        <v>40.4</v>
      </c>
      <c r="H425" s="143" t="inlineStr">
        <is>
          <t xml:space="preserve">Closed</t>
        </is>
      </c>
      <c r="I425" s="143" t="inlineStr">
        <is>
          <t xml:space="preserve">71-22</t>
        </is>
      </c>
      <c r="J425" s="143" t="inlineStr">
        <is>
          <t xml:space="preserve">JOB-SETUP, INSPECTION, JOB-CLOSEUP</t>
        </is>
      </c>
    </row>
    <row r="426" spans="1:10">
      <c r="A426" s="143" t="inlineStr">
        <is>
          <t xml:space="preserve">103</t>
        </is>
      </c>
      <c r="B426" s="143" t="inlineStr">
        <is>
          <t xml:space="preserve">ZL-110-01-1</t>
        </is>
      </c>
      <c r="C426" s="143" t="inlineStr">
        <is>
          <t xml:space="preserve">ZL-110-01-1 (3) / RADOME ZONAL INSPECTION</t>
        </is>
      </c>
      <c r="D426" s="143">
        <v>1.0</v>
      </c>
      <c r="E426" s="143">
        <v>0.22</v>
      </c>
      <c r="F426" s="143">
        <v>0.98</v>
      </c>
      <c r="G426" s="143">
        <v>0.98</v>
      </c>
      <c r="H426" s="143" t="inlineStr">
        <is>
          <t xml:space="preserve">Closed</t>
        </is>
      </c>
      <c r="I426" s="143" t="inlineStr">
        <is>
          <t xml:space="preserve">05-21</t>
        </is>
      </c>
      <c r="J426" s="143" t="inlineStr">
        <is>
          <t xml:space="preserve">PRE INSP</t>
        </is>
      </c>
    </row>
    <row r="427" spans="1:10">
      <c r="A427" s="143" t="inlineStr">
        <is>
          <t xml:space="preserve">104</t>
        </is>
      </c>
      <c r="B427" s="143" t="inlineStr">
        <is>
          <t xml:space="preserve">ZL-121-02-1</t>
        </is>
      </c>
      <c r="C427" s="143" t="inlineStr">
        <is>
          <t xml:space="preserve">ZL-121-02-1 (3) / AVIONIC COMPARTMENT ZONAL INSP</t>
        </is>
      </c>
      <c r="D427" s="143">
        <v>1.0</v>
      </c>
      <c r="E427" s="143">
        <v>1.68</v>
      </c>
      <c r="F427" s="143">
        <v>2.0</v>
      </c>
      <c r="G427" s="143">
        <v>1.0</v>
      </c>
      <c r="H427" s="143" t="inlineStr">
        <is>
          <t xml:space="preserve">Closed</t>
        </is>
      </c>
      <c r="I427" s="143" t="inlineStr">
        <is>
          <t xml:space="preserve">05-21</t>
        </is>
      </c>
      <c r="J427" s="143" t="inlineStr">
        <is>
          <t xml:space="preserve">INSPECTION</t>
        </is>
      </c>
    </row>
    <row r="428" spans="1:10">
      <c r="A428" s="143" t="inlineStr">
        <is>
          <t xml:space="preserve">106</t>
        </is>
      </c>
      <c r="B428" s="143" t="inlineStr">
        <is>
          <t xml:space="preserve">ZL-127-02-2</t>
        </is>
      </c>
      <c r="C428" s="143" t="inlineStr">
        <is>
          <t xml:space="preserve">ZL-127-02-2 (3) / REAR AVIONIC COMPARTMENT ZONAL INSP</t>
        </is>
      </c>
      <c r="D428" s="143">
        <v>1.0</v>
      </c>
      <c r="E428" s="143">
        <v>1.68</v>
      </c>
      <c r="F428" s="143">
        <v>5.5</v>
      </c>
      <c r="G428" s="143">
        <v>92.8</v>
      </c>
      <c r="H428" s="143" t="inlineStr">
        <is>
          <t xml:space="preserve">Closed</t>
        </is>
      </c>
      <c r="I428" s="143" t="inlineStr">
        <is>
          <t xml:space="preserve">05-21</t>
        </is>
      </c>
      <c r="J428" s="143" t="inlineStr">
        <is>
          <t xml:space="preserve">INSPECTION</t>
        </is>
      </c>
    </row>
    <row r="429" spans="1:10">
      <c r="A429" s="143" t="inlineStr">
        <is>
          <t xml:space="preserve">107</t>
        </is>
      </c>
      <c r="B429" s="143" t="inlineStr">
        <is>
          <t xml:space="preserve">ZL-131-02-1</t>
        </is>
      </c>
      <c r="C429" s="143" t="inlineStr">
        <is>
          <t xml:space="preserve">ZL-131-02-1 (2) / FORWARD CARGO COMPARTMENT INSPECTION</t>
        </is>
      </c>
      <c r="D429" s="143">
        <v>1.0</v>
      </c>
      <c r="E429" s="143">
        <v>38.3</v>
      </c>
      <c r="F429" s="143">
        <v>4.0</v>
      </c>
      <c r="G429" s="143">
        <v>12.17</v>
      </c>
      <c r="H429" s="143" t="inlineStr">
        <is>
          <t xml:space="preserve">Closed</t>
        </is>
      </c>
      <c r="I429" s="143" t="inlineStr">
        <is>
          <t xml:space="preserve">05-21</t>
        </is>
      </c>
      <c r="J429" s="143" t="inlineStr">
        <is>
          <t xml:space="preserve">INSPECTION</t>
        </is>
      </c>
    </row>
    <row r="430" spans="1:10">
      <c r="A430" s="143" t="inlineStr">
        <is>
          <t xml:space="preserve">108</t>
        </is>
      </c>
      <c r="B430" s="143" t="inlineStr">
        <is>
          <t xml:space="preserve">ZL-133-01-1</t>
        </is>
      </c>
      <c r="C430" s="143" t="inlineStr">
        <is>
          <t xml:space="preserve">ZL-133-01-1 (2) / FWD CARGO COMPAR UNDERFLOOR BAY INSP</t>
        </is>
      </c>
      <c r="D430" s="143">
        <v>1.0</v>
      </c>
      <c r="E430" s="143">
        <v>10.33</v>
      </c>
      <c r="F430" s="143">
        <v>33.3</v>
      </c>
      <c r="G430" s="143">
        <v>785.6</v>
      </c>
      <c r="H430" s="143" t="inlineStr">
        <is>
          <t xml:space="preserve">Closed</t>
        </is>
      </c>
      <c r="I430" s="143" t="inlineStr">
        <is>
          <t xml:space="preserve">05-21</t>
        </is>
      </c>
      <c r="J430" s="143" t="inlineStr">
        <is>
          <t xml:space="preserve">JOB-SETUP, INSPECTION, INSPECTION, JOB-CLOSEUP</t>
        </is>
      </c>
    </row>
    <row r="431" spans="1:10">
      <c r="A431" s="143" t="inlineStr">
        <is>
          <t xml:space="preserve">109</t>
        </is>
      </c>
      <c r="B431" s="143" t="inlineStr">
        <is>
          <t xml:space="preserve">ZL-145-01-1</t>
        </is>
      </c>
      <c r="C431" s="143" t="inlineStr">
        <is>
          <t xml:space="preserve">ZL-145-01-1 (2) / ZONE UNDER CABIN FLOOR INSPECTION</t>
        </is>
      </c>
      <c r="D431" s="143">
        <v>1.0</v>
      </c>
      <c r="E431" s="143">
        <v>11.5</v>
      </c>
      <c r="F431" s="143">
        <v>389.8</v>
      </c>
      <c r="G431" s="143">
        <v>517.5</v>
      </c>
      <c r="H431" s="143" t="inlineStr">
        <is>
          <t xml:space="preserve">Closed</t>
        </is>
      </c>
      <c r="I431" s="143" t="inlineStr">
        <is>
          <t xml:space="preserve">05-21</t>
        </is>
      </c>
      <c r="J431" s="143" t="inlineStr">
        <is>
          <t xml:space="preserve">JOB-SETUP, INSPECTION, INSPECTION, JOB-CLOSEUP, INSPECTION, JOB-CLOSEUP</t>
        </is>
      </c>
    </row>
    <row r="432" spans="1:10">
      <c r="A432" s="143" t="inlineStr">
        <is>
          <t xml:space="preserve">110</t>
        </is>
      </c>
      <c r="B432" s="143" t="inlineStr">
        <is>
          <t xml:space="preserve">ZL-147-03-1</t>
        </is>
      </c>
      <c r="C432" s="143" t="inlineStr">
        <is>
          <t xml:space="preserve">ZL-147-03-1 (3) / MLG-WELL AND HYD COMPARTMENT INSP</t>
        </is>
      </c>
      <c r="D432" s="143">
        <v>1.0</v>
      </c>
      <c r="E432" s="143">
        <v>0.87</v>
      </c>
      <c r="F432" s="143">
        <v>0.75</v>
      </c>
      <c r="G432" s="143">
        <v>0.75</v>
      </c>
      <c r="H432" s="143" t="inlineStr">
        <is>
          <t xml:space="preserve">Closed</t>
        </is>
      </c>
      <c r="I432" s="143" t="inlineStr">
        <is>
          <t xml:space="preserve">05-21</t>
        </is>
      </c>
      <c r="J432" s="143" t="inlineStr">
        <is>
          <t xml:space="preserve">INSPECTION</t>
        </is>
      </c>
    </row>
    <row r="433" spans="1:10">
      <c r="A433" s="143" t="inlineStr">
        <is>
          <t xml:space="preserve">113</t>
        </is>
      </c>
      <c r="B433" s="143" t="inlineStr">
        <is>
          <t xml:space="preserve">ZL-161-02-3</t>
        </is>
      </c>
      <c r="C433" s="143" t="inlineStr">
        <is>
          <t xml:space="preserve">ZL-161-02-3 (0) / BULK CARGO COMPARTMENT</t>
        </is>
      </c>
      <c r="D433" s="143">
        <v>1.0</v>
      </c>
      <c r="E433" s="143">
        <v>7.22</v>
      </c>
      <c r="F433" s="143">
        <v>2.02</v>
      </c>
      <c r="G433" s="143">
        <v>4.05</v>
      </c>
      <c r="H433" s="143" t="inlineStr">
        <is>
          <t xml:space="preserve">Closed</t>
        </is>
      </c>
      <c r="I433" s="143" t="inlineStr">
        <is>
          <t xml:space="preserve">05-21</t>
        </is>
      </c>
      <c r="J433" s="143" t="inlineStr">
        <is>
          <t xml:space="preserve">JOB-SETUP, CLEAN-UP, INSPECTION, JOB-CLOSEUP</t>
        </is>
      </c>
    </row>
    <row r="434" spans="1:10">
      <c r="A434" s="143" t="inlineStr">
        <is>
          <t xml:space="preserve">114</t>
        </is>
      </c>
      <c r="B434" s="143" t="inlineStr">
        <is>
          <t xml:space="preserve">ZL-163-01-1</t>
        </is>
      </c>
      <c r="C434" s="143" t="inlineStr">
        <is>
          <t xml:space="preserve">ZL-163-01-1 (01) / BULK CARGO COMPART UNDERFLOOR INSP</t>
        </is>
      </c>
      <c r="D434" s="143">
        <v>1.0</v>
      </c>
      <c r="E434" s="143">
        <v>9.9</v>
      </c>
      <c r="F434" s="143">
        <v>63.1</v>
      </c>
      <c r="G434" s="143">
        <v>597.2</v>
      </c>
      <c r="H434" s="143" t="inlineStr">
        <is>
          <t xml:space="preserve">Closed</t>
        </is>
      </c>
      <c r="I434" s="143" t="inlineStr">
        <is>
          <t xml:space="preserve">05-21</t>
        </is>
      </c>
      <c r="J434" s="143" t="inlineStr">
        <is>
          <t xml:space="preserve">JOB-SETUP, INSPECTION, INSPECTION, JOB-CLOSEUP</t>
        </is>
      </c>
    </row>
    <row r="435" spans="1:10">
      <c r="A435" s="143" t="inlineStr">
        <is>
          <t xml:space="preserve">115</t>
        </is>
      </c>
      <c r="B435" s="143" t="inlineStr">
        <is>
          <t xml:space="preserve">ZL-171-02-1</t>
        </is>
      </c>
      <c r="C435" s="143" t="inlineStr">
        <is>
          <t xml:space="preserve">ZL-171-02-1 (2) / AFT CABIN UNDERFLOOR COMPART INSP</t>
        </is>
      </c>
      <c r="D435" s="143">
        <v>1.0</v>
      </c>
      <c r="E435" s="143">
        <v>77.0</v>
      </c>
      <c r="F435" s="143">
        <v>2.5</v>
      </c>
      <c r="G435" s="143">
        <v>47.7</v>
      </c>
      <c r="H435" s="143" t="inlineStr">
        <is>
          <t xml:space="preserve">Closed</t>
        </is>
      </c>
      <c r="I435" s="143" t="inlineStr">
        <is>
          <t xml:space="preserve">05-21</t>
        </is>
      </c>
      <c r="J435" s="143" t="inlineStr">
        <is>
          <t xml:space="preserve">INSPECTION</t>
        </is>
      </c>
    </row>
    <row r="436" spans="1:10">
      <c r="A436" s="143" t="inlineStr">
        <is>
          <t xml:space="preserve">116</t>
        </is>
      </c>
      <c r="B436" s="143" t="inlineStr">
        <is>
          <t xml:space="preserve">ZL-191-02-1</t>
        </is>
      </c>
      <c r="C436" s="143" t="inlineStr">
        <is>
          <t xml:space="preserve">ZL-191-02-1 (02) / AIR CONDITIONING COMPART &amp; FRNG INSP</t>
        </is>
      </c>
      <c r="D436" s="143">
        <v>1.0</v>
      </c>
      <c r="E436" s="143">
        <v>2.2</v>
      </c>
      <c r="F436" s="143">
        <v>2.5</v>
      </c>
      <c r="G436" s="143">
        <v>1.87</v>
      </c>
      <c r="H436" s="143" t="inlineStr">
        <is>
          <t xml:space="preserve">Closed</t>
        </is>
      </c>
      <c r="I436" s="143" t="inlineStr">
        <is>
          <t xml:space="preserve">05-21</t>
        </is>
      </c>
      <c r="J436" s="143" t="inlineStr">
        <is>
          <t xml:space="preserve">INSPECTION</t>
        </is>
      </c>
    </row>
    <row r="437" spans="1:10">
      <c r="A437" s="143" t="inlineStr">
        <is>
          <t xml:space="preserve">117</t>
        </is>
      </c>
      <c r="B437" s="143" t="inlineStr">
        <is>
          <t xml:space="preserve">ZL-193-01-1</t>
        </is>
      </c>
      <c r="C437" s="143" t="inlineStr">
        <is>
          <t xml:space="preserve">ZL-193-01-1 (03) / UPPER WING FAIRING SLIDE STOWAGE AREA</t>
        </is>
      </c>
      <c r="D437" s="143">
        <v>1.0</v>
      </c>
      <c r="E437" s="143">
        <v>1.75</v>
      </c>
      <c r="F437" s="143">
        <v>55.5</v>
      </c>
      <c r="G437" s="143">
        <v>631.8</v>
      </c>
      <c r="H437" s="143" t="inlineStr">
        <is>
          <t xml:space="preserve">Closed</t>
        </is>
      </c>
      <c r="I437" s="143" t="inlineStr">
        <is>
          <t xml:space="preserve">05-21</t>
        </is>
      </c>
      <c r="J437" s="143" t="inlineStr">
        <is>
          <t xml:space="preserve">JOB-SETUP, INSPECTION, INSPECTION, JOB-CLOSEUP</t>
        </is>
      </c>
    </row>
    <row r="438" spans="1:10">
      <c r="A438" s="143" t="inlineStr">
        <is>
          <t xml:space="preserve">118</t>
        </is>
      </c>
      <c r="B438" s="143" t="inlineStr">
        <is>
          <t xml:space="preserve">ZL-195-01-1</t>
        </is>
      </c>
      <c r="C438" s="143" t="inlineStr">
        <is>
          <t xml:space="preserve">ZL-195-01-1 (4) / HYDRAULIC COMP &amp; FAIRINGS ZONAL INSP</t>
        </is>
      </c>
      <c r="D438" s="143">
        <v>1.0</v>
      </c>
      <c r="E438" s="143">
        <v>0.87</v>
      </c>
      <c r="F438" s="143">
        <v>0.67</v>
      </c>
      <c r="G438" s="143">
        <v>0.67</v>
      </c>
      <c r="H438" s="143" t="inlineStr">
        <is>
          <t xml:space="preserve">Closed</t>
        </is>
      </c>
      <c r="I438" s="143" t="inlineStr">
        <is>
          <t xml:space="preserve">05-21</t>
        </is>
      </c>
      <c r="J438" s="143" t="inlineStr">
        <is>
          <t xml:space="preserve">PRE INSP</t>
        </is>
      </c>
    </row>
    <row r="439" spans="1:10">
      <c r="A439" s="143" t="inlineStr">
        <is>
          <t xml:space="preserve">119</t>
        </is>
      </c>
      <c r="B439" s="143" t="inlineStr">
        <is>
          <t xml:space="preserve">ZL-197-01-1</t>
        </is>
      </c>
      <c r="C439" s="143" t="inlineStr">
        <is>
          <t xml:space="preserve">ZL-197-01-1 (01) / REAR FAIRING ZONAL INSPECTION</t>
        </is>
      </c>
      <c r="D439" s="143">
        <v>1.0</v>
      </c>
      <c r="E439" s="143">
        <v>1.32</v>
      </c>
      <c r="F439" s="143">
        <v>5.5</v>
      </c>
      <c r="G439" s="143">
        <v>2.82</v>
      </c>
      <c r="H439" s="143" t="inlineStr">
        <is>
          <t xml:space="preserve">Closed</t>
        </is>
      </c>
      <c r="I439" s="143" t="inlineStr">
        <is>
          <t xml:space="preserve">05-21</t>
        </is>
      </c>
      <c r="J439" s="143" t="inlineStr">
        <is>
          <t xml:space="preserve">INSPECTION</t>
        </is>
      </c>
    </row>
    <row r="440" spans="1:10">
      <c r="A440" s="143" t="inlineStr">
        <is>
          <t xml:space="preserve">120</t>
        </is>
      </c>
      <c r="B440" s="143" t="inlineStr">
        <is>
          <t xml:space="preserve">ZL-200-02-1</t>
        </is>
      </c>
      <c r="C440" s="143" t="inlineStr">
        <is>
          <t xml:space="preserve">ZL-200-02-1 (04) / UPPER HALF OF FUSELAGE ZON GVI</t>
        </is>
      </c>
      <c r="D440" s="143">
        <v>1.0</v>
      </c>
      <c r="E440" s="143">
        <v>18.47</v>
      </c>
      <c r="F440" s="143">
        <v>2.33</v>
      </c>
      <c r="G440" s="143">
        <v>2.43</v>
      </c>
      <c r="H440" s="143" t="inlineStr">
        <is>
          <t xml:space="preserve">Closed</t>
        </is>
      </c>
      <c r="I440" s="143" t="inlineStr">
        <is>
          <t xml:space="preserve">05-21</t>
        </is>
      </c>
      <c r="J440" s="143" t="inlineStr">
        <is>
          <t xml:space="preserve">PRE INSP</t>
        </is>
      </c>
    </row>
    <row r="441" spans="1:10">
      <c r="A441" s="143" t="inlineStr">
        <is>
          <t xml:space="preserve">121</t>
        </is>
      </c>
      <c r="B441" s="143" t="inlineStr">
        <is>
          <t xml:space="preserve">ZL-200-04-1</t>
        </is>
      </c>
      <c r="C441" s="143" t="inlineStr">
        <is>
          <t xml:space="preserve">ZL-200-04-1 (0) / UPPER HALF OF FUSELAGE</t>
        </is>
      </c>
      <c r="D441" s="143">
        <v>1.0</v>
      </c>
      <c r="E441" s="143">
        <v>12.6</v>
      </c>
      <c r="F441" s="143">
        <v>8.5</v>
      </c>
      <c r="G441" s="143">
        <v>6.5</v>
      </c>
      <c r="H441" s="143" t="inlineStr">
        <is>
          <t xml:space="preserve">Closed</t>
        </is>
      </c>
      <c r="I441" s="143" t="inlineStr">
        <is>
          <t xml:space="preserve">05-21</t>
        </is>
      </c>
      <c r="J441" s="143" t="inlineStr">
        <is>
          <t xml:space="preserve">JOB-SETUP, CLEAN-UP, INSPECTION, JOB-CLOSEUP</t>
        </is>
      </c>
    </row>
    <row r="442" spans="1:10">
      <c r="A442" s="143" t="inlineStr">
        <is>
          <t xml:space="preserve">122</t>
        </is>
      </c>
      <c r="B442" s="143" t="inlineStr">
        <is>
          <t xml:space="preserve">ZL-211-01-1</t>
        </is>
      </c>
      <c r="C442" s="143" t="inlineStr">
        <is>
          <t xml:space="preserve">ZL-211-01-1 (03) / COCKPIT ZONAL INSPECTION</t>
        </is>
      </c>
      <c r="D442" s="143">
        <v>1.0</v>
      </c>
      <c r="E442" s="143">
        <v>0.43</v>
      </c>
      <c r="F442" s="143">
        <v>21.0</v>
      </c>
      <c r="G442" s="143">
        <v>30.4</v>
      </c>
      <c r="H442" s="143" t="inlineStr">
        <is>
          <t xml:space="preserve">Closed</t>
        </is>
      </c>
      <c r="I442" s="143" t="inlineStr">
        <is>
          <t xml:space="preserve">05-22</t>
        </is>
      </c>
      <c r="J442" s="143" t="inlineStr">
        <is>
          <t xml:space="preserve">INSPECTION</t>
        </is>
      </c>
    </row>
    <row r="443" spans="1:10">
      <c r="A443" s="143" t="inlineStr">
        <is>
          <t xml:space="preserve">123</t>
        </is>
      </c>
      <c r="B443" s="143" t="inlineStr">
        <is>
          <t xml:space="preserve">ZL-311-01-1</t>
        </is>
      </c>
      <c r="C443" s="143" t="inlineStr">
        <is>
          <t xml:space="preserve">ZL-311-01-1 (04) / AFT FUSELAGE TAIL SECTION ZONAL INSP</t>
        </is>
      </c>
      <c r="D443" s="143">
        <v>1.0</v>
      </c>
      <c r="E443" s="143">
        <v>0.43</v>
      </c>
      <c r="F443" s="143">
        <v>0.75</v>
      </c>
      <c r="G443" s="143">
        <v>0.75</v>
      </c>
      <c r="H443" s="143" t="inlineStr">
        <is>
          <t xml:space="preserve">Closed</t>
        </is>
      </c>
      <c r="I443" s="143" t="inlineStr">
        <is>
          <t xml:space="preserve">05-23</t>
        </is>
      </c>
      <c r="J443" s="143" t="inlineStr">
        <is>
          <t xml:space="preserve">PRE INSP</t>
        </is>
      </c>
    </row>
    <row r="444" spans="1:10">
      <c r="A444" s="143" t="inlineStr">
        <is>
          <t xml:space="preserve">124</t>
        </is>
      </c>
      <c r="B444" s="143" t="inlineStr">
        <is>
          <t xml:space="preserve">ZL-313-01-1</t>
        </is>
      </c>
      <c r="C444" s="143" t="inlineStr">
        <is>
          <t xml:space="preserve">ZL-313-01-1 (4) / TAIL CONE APU AIR INTAKE AREA INSP</t>
        </is>
      </c>
      <c r="D444" s="143">
        <v>1.0</v>
      </c>
      <c r="E444" s="143">
        <v>0.22</v>
      </c>
      <c r="F444" s="143">
        <v>15.0</v>
      </c>
      <c r="G444" s="143">
        <v>9.03</v>
      </c>
      <c r="H444" s="143" t="inlineStr">
        <is>
          <t xml:space="preserve">Closed</t>
        </is>
      </c>
      <c r="I444" s="143" t="inlineStr">
        <is>
          <t xml:space="preserve">05-23</t>
        </is>
      </c>
      <c r="J444" s="143" t="inlineStr">
        <is>
          <t xml:space="preserve">PRE INSP</t>
        </is>
      </c>
    </row>
    <row r="445" spans="1:10">
      <c r="A445" s="143" t="inlineStr">
        <is>
          <t xml:space="preserve">125</t>
        </is>
      </c>
      <c r="B445" s="143" t="inlineStr">
        <is>
          <t xml:space="preserve">ZL-317-01-1</t>
        </is>
      </c>
      <c r="C445" s="143" t="inlineStr">
        <is>
          <t xml:space="preserve">ZL-317-01-1 (3) / TAIL CONE/APU EXHAUST AREA INSP</t>
        </is>
      </c>
      <c r="D445" s="143">
        <v>1.0</v>
      </c>
      <c r="E445" s="143">
        <v>0.22</v>
      </c>
      <c r="F445" s="143">
        <v>7.83</v>
      </c>
      <c r="G445" s="143">
        <v>7.05</v>
      </c>
      <c r="H445" s="143" t="inlineStr">
        <is>
          <t xml:space="preserve">Closed</t>
        </is>
      </c>
      <c r="I445" s="143" t="inlineStr">
        <is>
          <t xml:space="preserve">05-23</t>
        </is>
      </c>
      <c r="J445" s="143" t="inlineStr">
        <is>
          <t xml:space="preserve">INSPECTION</t>
        </is>
      </c>
    </row>
    <row r="446" spans="1:10">
      <c r="A446" s="143" t="inlineStr">
        <is>
          <t xml:space="preserve">126</t>
        </is>
      </c>
      <c r="B446" s="143" t="inlineStr">
        <is>
          <t xml:space="preserve">ZL-325-01-1</t>
        </is>
      </c>
      <c r="C446" s="143" t="inlineStr">
        <is>
          <t xml:space="preserve">ZL-325-01-1 (4) / VERT STAB TRAILING EDGE ZONAL INSP</t>
        </is>
      </c>
      <c r="D446" s="143">
        <v>1.0</v>
      </c>
      <c r="E446" s="143">
        <v>0.43</v>
      </c>
      <c r="F446" s="143">
        <v>13.0</v>
      </c>
      <c r="G446" s="143">
        <v>119.3</v>
      </c>
      <c r="H446" s="143" t="inlineStr">
        <is>
          <t xml:space="preserve">Closed</t>
        </is>
      </c>
      <c r="I446" s="143" t="inlineStr">
        <is>
          <t xml:space="preserve">05-23</t>
        </is>
      </c>
      <c r="J446" s="143" t="inlineStr">
        <is>
          <t xml:space="preserve">PRE INSP</t>
        </is>
      </c>
    </row>
    <row r="447" spans="1:10">
      <c r="A447" s="143" t="inlineStr">
        <is>
          <t xml:space="preserve">127</t>
        </is>
      </c>
      <c r="B447" s="143" t="inlineStr">
        <is>
          <t xml:space="preserve">ZL-334-02-1</t>
        </is>
      </c>
      <c r="C447" s="143" t="inlineStr">
        <is>
          <t xml:space="preserve">ZL-334-02-1 (2) / THS TRAILING EDGE ZONAL INSPECTION</t>
        </is>
      </c>
      <c r="D447" s="143">
        <v>1.0</v>
      </c>
      <c r="E447" s="143">
        <v>1.75</v>
      </c>
      <c r="F447" s="143">
        <v>1.83</v>
      </c>
      <c r="G447" s="143">
        <v>1.63</v>
      </c>
      <c r="H447" s="143" t="inlineStr">
        <is>
          <t xml:space="preserve">Closed</t>
        </is>
      </c>
      <c r="I447" s="143" t="inlineStr">
        <is>
          <t xml:space="preserve">05-23</t>
        </is>
      </c>
      <c r="J447" s="143" t="inlineStr">
        <is>
          <t xml:space="preserve">PRE INSP</t>
        </is>
      </c>
    </row>
    <row r="448" spans="1:10">
      <c r="A448" s="143" t="inlineStr">
        <is>
          <t xml:space="preserve">128</t>
        </is>
      </c>
      <c r="B448" s="143" t="inlineStr">
        <is>
          <t xml:space="preserve">ZL-415-01-1-001</t>
        </is>
      </c>
      <c r="C448" s="143" t="inlineStr">
        <is>
          <t xml:space="preserve">ZL-415-01-1-001 (03) / L/H ENGINE LOWER PYLON ZONAL INSP</t>
        </is>
      </c>
      <c r="D448" s="143">
        <v>1.0</v>
      </c>
      <c r="E448" s="143">
        <v>0.87</v>
      </c>
      <c r="F448" s="143">
        <v>8.33</v>
      </c>
      <c r="G448" s="143">
        <v>4.12</v>
      </c>
      <c r="H448" s="143" t="inlineStr">
        <is>
          <t xml:space="preserve">Closed</t>
        </is>
      </c>
      <c r="I448" s="143" t="inlineStr">
        <is>
          <t xml:space="preserve">05-24</t>
        </is>
      </c>
      <c r="J448" s="143" t="inlineStr">
        <is>
          <t xml:space="preserve">PRE INSP</t>
        </is>
      </c>
    </row>
    <row r="449" spans="1:10">
      <c r="A449" s="143" t="inlineStr">
        <is>
          <t xml:space="preserve">129</t>
        </is>
      </c>
      <c r="B449" s="143" t="inlineStr">
        <is>
          <t xml:space="preserve">ZL-415-01-1-002</t>
        </is>
      </c>
      <c r="C449" s="143" t="inlineStr">
        <is>
          <t xml:space="preserve">ZL-415-01-1-002 (03) / R/H ENGINE LOWER PYLON ZONAL INSP</t>
        </is>
      </c>
      <c r="D449" s="143">
        <v>1.0</v>
      </c>
      <c r="E449" s="143">
        <v>0.87</v>
      </c>
      <c r="F449" s="143">
        <v>0.83</v>
      </c>
      <c r="G449" s="143">
        <v>0.58</v>
      </c>
      <c r="H449" s="143" t="inlineStr">
        <is>
          <t xml:space="preserve">Closed</t>
        </is>
      </c>
      <c r="I449" s="143" t="inlineStr">
        <is>
          <t xml:space="preserve">05-24</t>
        </is>
      </c>
      <c r="J449" s="143" t="inlineStr">
        <is>
          <t xml:space="preserve">PRE INSP</t>
        </is>
      </c>
    </row>
    <row r="450" spans="1:10">
      <c r="A450" s="143" t="inlineStr">
        <is>
          <t xml:space="preserve">130</t>
        </is>
      </c>
      <c r="B450" s="143" t="inlineStr">
        <is>
          <t xml:space="preserve">ZL-433-01-1-001</t>
        </is>
      </c>
      <c r="C450" s="143" t="inlineStr">
        <is>
          <t xml:space="preserve">ZL-433-01-1-001 (02) / NO. 1 ENGINE AIR INTAKE LIP INSP</t>
        </is>
      </c>
      <c r="D450" s="143">
        <v>1.0</v>
      </c>
      <c r="E450" s="143">
        <v>1.32</v>
      </c>
      <c r="F450" s="143">
        <v>0.5</v>
      </c>
      <c r="G450" s="143">
        <v>0.5</v>
      </c>
      <c r="H450" s="143" t="inlineStr">
        <is>
          <t xml:space="preserve">Closed</t>
        </is>
      </c>
      <c r="I450" s="143" t="inlineStr">
        <is>
          <t xml:space="preserve">05-24</t>
        </is>
      </c>
      <c r="J450" s="143" t="inlineStr">
        <is>
          <t xml:space="preserve">PRE INSP</t>
        </is>
      </c>
    </row>
    <row r="451" spans="1:10">
      <c r="A451" s="143" t="inlineStr">
        <is>
          <t xml:space="preserve">131</t>
        </is>
      </c>
      <c r="B451" s="143" t="inlineStr">
        <is>
          <t xml:space="preserve">ZL-433-01-1-002</t>
        </is>
      </c>
      <c r="C451" s="143" t="inlineStr">
        <is>
          <t xml:space="preserve">ZL-433-01-1-002 (02) / NO. 2 ENGINE AIR INTAKE LIP INSP</t>
        </is>
      </c>
      <c r="D451" s="143">
        <v>1.0</v>
      </c>
      <c r="E451" s="143">
        <v>1.32</v>
      </c>
      <c r="F451" s="143">
        <v>0.5</v>
      </c>
      <c r="G451" s="143">
        <v>0.5</v>
      </c>
      <c r="H451" s="143" t="inlineStr">
        <is>
          <t xml:space="preserve">Closed</t>
        </is>
      </c>
      <c r="I451" s="143" t="inlineStr">
        <is>
          <t xml:space="preserve">05-24</t>
        </is>
      </c>
      <c r="J451" s="143" t="inlineStr">
        <is>
          <t xml:space="preserve">PRE INSP</t>
        </is>
      </c>
    </row>
    <row r="452" spans="1:10">
      <c r="A452" s="143" t="inlineStr">
        <is>
          <t xml:space="preserve">132</t>
        </is>
      </c>
      <c r="B452" s="143" t="inlineStr">
        <is>
          <t xml:space="preserve">ZL-500-03-1-001</t>
        </is>
      </c>
      <c r="C452" s="143" t="inlineStr">
        <is>
          <t xml:space="preserve">ZL-500-03-1-001 (03) / L/H WING UPPER SURFACE ZONAL INSP</t>
        </is>
      </c>
      <c r="D452" s="143">
        <v>1.0</v>
      </c>
      <c r="E452" s="143">
        <v>1.45</v>
      </c>
      <c r="F452" s="143">
        <v>1.83</v>
      </c>
      <c r="G452" s="143">
        <v>2.3</v>
      </c>
      <c r="H452" s="143" t="inlineStr">
        <is>
          <t xml:space="preserve">Closed</t>
        </is>
      </c>
      <c r="I452" s="143" t="inlineStr">
        <is>
          <t xml:space="preserve">05-25</t>
        </is>
      </c>
      <c r="J452" s="143" t="inlineStr">
        <is>
          <t xml:space="preserve">PRE INSP</t>
        </is>
      </c>
    </row>
    <row r="453" spans="1:10">
      <c r="A453" s="143" t="inlineStr">
        <is>
          <t xml:space="preserve">133</t>
        </is>
      </c>
      <c r="B453" s="143" t="inlineStr">
        <is>
          <t xml:space="preserve">ZL-500-03-1-002</t>
        </is>
      </c>
      <c r="C453" s="143" t="inlineStr">
        <is>
          <t xml:space="preserve">ZL-500-03-1-002 (03) / R/H WING UPPER SURFACE ZONAL INSP</t>
        </is>
      </c>
      <c r="D453" s="143">
        <v>1.0</v>
      </c>
      <c r="E453" s="143">
        <v>1.45</v>
      </c>
      <c r="F453" s="143">
        <v>1.83</v>
      </c>
      <c r="G453" s="143">
        <v>1.98</v>
      </c>
      <c r="H453" s="143" t="inlineStr">
        <is>
          <t xml:space="preserve">Closed</t>
        </is>
      </c>
      <c r="I453" s="143" t="inlineStr">
        <is>
          <t xml:space="preserve">05-25</t>
        </is>
      </c>
      <c r="J453" s="143" t="inlineStr">
        <is>
          <t xml:space="preserve">PRE INSP</t>
        </is>
      </c>
    </row>
    <row r="454" spans="1:10">
      <c r="A454" s="143" t="inlineStr">
        <is>
          <t xml:space="preserve">134</t>
        </is>
      </c>
      <c r="B454" s="143" t="inlineStr">
        <is>
          <t xml:space="preserve">ZL-521-01-1-001</t>
        </is>
      </c>
      <c r="C454" s="143" t="inlineStr">
        <is>
          <t xml:space="preserve">ZL-521-01-1-001 (03) / L/H INBOARD FIXED L/E STRUCTURE INSP</t>
        </is>
      </c>
      <c r="D454" s="143">
        <v>1.0</v>
      </c>
      <c r="E454" s="143">
        <v>0.92</v>
      </c>
      <c r="F454" s="143">
        <v>1.0</v>
      </c>
      <c r="G454" s="143">
        <v>0.85</v>
      </c>
      <c r="H454" s="143" t="inlineStr">
        <is>
          <t xml:space="preserve">Closed</t>
        </is>
      </c>
      <c r="I454" s="143" t="inlineStr">
        <is>
          <t xml:space="preserve">05-25</t>
        </is>
      </c>
      <c r="J454" s="143" t="inlineStr">
        <is>
          <t xml:space="preserve">INSPECTION</t>
        </is>
      </c>
    </row>
    <row r="455" spans="1:10">
      <c r="A455" s="143" t="inlineStr">
        <is>
          <t xml:space="preserve">135</t>
        </is>
      </c>
      <c r="B455" s="143" t="inlineStr">
        <is>
          <t xml:space="preserve">ZL-521-01-1-002</t>
        </is>
      </c>
      <c r="C455" s="143" t="inlineStr">
        <is>
          <t xml:space="preserve">ZL-521-01-1-002 (03) / R/H INBOARD FIXED L/E STRUCTURE INSP</t>
        </is>
      </c>
      <c r="D455" s="143">
        <v>1.0</v>
      </c>
      <c r="E455" s="143">
        <v>0.92</v>
      </c>
      <c r="F455" s="143">
        <v>0.5</v>
      </c>
      <c r="G455" s="143">
        <v>57.8</v>
      </c>
      <c r="H455" s="143" t="inlineStr">
        <is>
          <t xml:space="preserve">Closed</t>
        </is>
      </c>
      <c r="I455" s="143" t="inlineStr">
        <is>
          <t xml:space="preserve">05-25</t>
        </is>
      </c>
      <c r="J455" s="143" t="inlineStr">
        <is>
          <t xml:space="preserve">INSPECTION</t>
        </is>
      </c>
    </row>
    <row r="456" spans="1:10">
      <c r="A456" s="143" t="inlineStr">
        <is>
          <t xml:space="preserve">136</t>
        </is>
      </c>
      <c r="B456" s="143" t="inlineStr">
        <is>
          <t xml:space="preserve">ZL-522-01-1-001</t>
        </is>
      </c>
      <c r="C456" s="143" t="inlineStr">
        <is>
          <t xml:space="preserve">ZL-522-01-1-001 (03) / L/H WING O/B FIXED LEADING EDGE INSP</t>
        </is>
      </c>
      <c r="D456" s="143">
        <v>1.0</v>
      </c>
      <c r="E456" s="143">
        <v>0.92</v>
      </c>
      <c r="F456" s="143">
        <v>3.75</v>
      </c>
      <c r="G456" s="143">
        <v>25.5</v>
      </c>
      <c r="H456" s="143" t="inlineStr">
        <is>
          <t xml:space="preserve">Closed</t>
        </is>
      </c>
      <c r="I456" s="143" t="inlineStr">
        <is>
          <t xml:space="preserve">05-25</t>
        </is>
      </c>
      <c r="J456" s="143" t="inlineStr">
        <is>
          <t xml:space="preserve">INSPECTION</t>
        </is>
      </c>
    </row>
    <row r="457" spans="1:10">
      <c r="A457" s="143" t="inlineStr">
        <is>
          <t xml:space="preserve">137</t>
        </is>
      </c>
      <c r="B457" s="143" t="inlineStr">
        <is>
          <t xml:space="preserve">ZL-522-01-1-002</t>
        </is>
      </c>
      <c r="C457" s="143" t="inlineStr">
        <is>
          <t xml:space="preserve">ZL-522-01-1-002 (03) / R WING O/B FIXED LEADING EDGE INSP</t>
        </is>
      </c>
      <c r="D457" s="143">
        <v>1.0</v>
      </c>
      <c r="E457" s="143">
        <v>0.92</v>
      </c>
      <c r="F457" s="143">
        <v>3.0</v>
      </c>
      <c r="G457" s="143">
        <v>2.88</v>
      </c>
      <c r="H457" s="143" t="inlineStr">
        <is>
          <t xml:space="preserve">Closed</t>
        </is>
      </c>
      <c r="I457" s="143" t="inlineStr">
        <is>
          <t xml:space="preserve">05-25</t>
        </is>
      </c>
      <c r="J457" s="143" t="inlineStr">
        <is>
          <t xml:space="preserve">INSPECTION</t>
        </is>
      </c>
    </row>
    <row r="458" spans="1:10">
      <c r="A458" s="143" t="inlineStr">
        <is>
          <t xml:space="preserve">138</t>
        </is>
      </c>
      <c r="B458" s="143" t="inlineStr">
        <is>
          <t xml:space="preserve">ZL-531-02-1-001</t>
        </is>
      </c>
      <c r="C458" s="143" t="inlineStr">
        <is>
          <t xml:space="preserve">ZL-531-02-1-001 (02) / L/H FLAP TRACK NO 2 AND FAIRING INSP</t>
        </is>
      </c>
      <c r="D458" s="143">
        <v>1.0</v>
      </c>
      <c r="E458" s="143">
        <v>1.35</v>
      </c>
      <c r="F458" s="143">
        <v>2.0</v>
      </c>
      <c r="G458" s="143">
        <v>56.3</v>
      </c>
      <c r="H458" s="143" t="inlineStr">
        <is>
          <t xml:space="preserve">Closed</t>
        </is>
      </c>
      <c r="I458" s="143" t="inlineStr">
        <is>
          <t xml:space="preserve">05-25</t>
        </is>
      </c>
      <c r="J458" s="143" t="inlineStr">
        <is>
          <t xml:space="preserve">INSPECTION</t>
        </is>
      </c>
    </row>
    <row r="459" spans="1:10">
      <c r="A459" s="143" t="inlineStr">
        <is>
          <t xml:space="preserve">139</t>
        </is>
      </c>
      <c r="B459" s="143" t="inlineStr">
        <is>
          <t xml:space="preserve">ZL-531-02-1-002</t>
        </is>
      </c>
      <c r="C459" s="143" t="inlineStr">
        <is>
          <t xml:space="preserve">ZL-531-02-1-002 (02) / R/H FLAP TRACK NO 2 AND FAIRING</t>
        </is>
      </c>
      <c r="D459" s="143">
        <v>1.0</v>
      </c>
      <c r="E459" s="143">
        <v>1.35</v>
      </c>
      <c r="F459" s="143">
        <v>1.5</v>
      </c>
      <c r="G459" s="143">
        <v>56.3</v>
      </c>
      <c r="H459" s="143" t="inlineStr">
        <is>
          <t xml:space="preserve">Closed</t>
        </is>
      </c>
      <c r="I459" s="143" t="inlineStr">
        <is>
          <t xml:space="preserve">05-25</t>
        </is>
      </c>
      <c r="J459" s="143" t="inlineStr">
        <is>
          <t xml:space="preserve">INSPECTION</t>
        </is>
      </c>
    </row>
    <row r="460" spans="1:10">
      <c r="A460" s="143" t="inlineStr">
        <is>
          <t xml:space="preserve">140</t>
        </is>
      </c>
      <c r="B460" s="143" t="inlineStr">
        <is>
          <t xml:space="preserve">ZL-532-01-1-001</t>
        </is>
      </c>
      <c r="C460" s="143" t="inlineStr">
        <is>
          <t xml:space="preserve">ZL-532-01-1-001 (04) / L/H FLAP TRACK NO 3 AND FAIRING INSP</t>
        </is>
      </c>
      <c r="D460" s="143">
        <v>1.0</v>
      </c>
      <c r="E460" s="143">
        <v>0.48</v>
      </c>
      <c r="F460" s="143">
        <v>1.0</v>
      </c>
      <c r="G460" s="143">
        <v>1.0</v>
      </c>
      <c r="H460" s="143" t="inlineStr">
        <is>
          <t xml:space="preserve">Closed</t>
        </is>
      </c>
      <c r="I460" s="143" t="inlineStr">
        <is>
          <t xml:space="preserve">05-25</t>
        </is>
      </c>
      <c r="J460" s="143" t="inlineStr">
        <is>
          <t xml:space="preserve">INSPECTION</t>
        </is>
      </c>
    </row>
    <row r="461" spans="1:10">
      <c r="A461" s="143" t="inlineStr">
        <is>
          <t xml:space="preserve">141</t>
        </is>
      </c>
      <c r="B461" s="143" t="inlineStr">
        <is>
          <t xml:space="preserve">ZL-532-01-1-002</t>
        </is>
      </c>
      <c r="C461" s="143" t="inlineStr">
        <is>
          <t xml:space="preserve">ZL-532-01-1-002 (04) / R/H FLAP TRACK NO 3 AND FAIRING INSP</t>
        </is>
      </c>
      <c r="D461" s="143">
        <v>1.0</v>
      </c>
      <c r="E461" s="143">
        <v>0.48</v>
      </c>
      <c r="F461" s="143">
        <v>1.0</v>
      </c>
      <c r="G461" s="143">
        <v>56.3</v>
      </c>
      <c r="H461" s="143" t="inlineStr">
        <is>
          <t xml:space="preserve">Closed</t>
        </is>
      </c>
      <c r="I461" s="143" t="inlineStr">
        <is>
          <t xml:space="preserve">05-25</t>
        </is>
      </c>
      <c r="J461" s="143" t="inlineStr">
        <is>
          <t xml:space="preserve">INSPECTION</t>
        </is>
      </c>
    </row>
    <row r="462" spans="1:10">
      <c r="A462" s="143" t="inlineStr">
        <is>
          <t xml:space="preserve">142</t>
        </is>
      </c>
      <c r="B462" s="143" t="inlineStr">
        <is>
          <t xml:space="preserve">ZL-532-02-1-001</t>
        </is>
      </c>
      <c r="C462" s="143" t="inlineStr">
        <is>
          <t xml:space="preserve">ZL-532-02-1-001 (01) / L/H FLAP TRACK NO 3 AND FAIRING</t>
        </is>
      </c>
      <c r="D462" s="143">
        <v>1.0</v>
      </c>
      <c r="E462" s="143">
        <v>1.37</v>
      </c>
      <c r="F462" s="143">
        <v>1.0</v>
      </c>
      <c r="G462" s="143">
        <v>1.0</v>
      </c>
      <c r="H462" s="143" t="inlineStr">
        <is>
          <t xml:space="preserve">Closed</t>
        </is>
      </c>
      <c r="I462" s="143" t="inlineStr">
        <is>
          <t xml:space="preserve">05-25</t>
        </is>
      </c>
      <c r="J462" s="143" t="inlineStr">
        <is>
          <t xml:space="preserve">INSPECTION</t>
        </is>
      </c>
    </row>
    <row r="463" spans="1:10">
      <c r="A463" s="143" t="inlineStr">
        <is>
          <t xml:space="preserve">143</t>
        </is>
      </c>
      <c r="B463" s="143" t="inlineStr">
        <is>
          <t xml:space="preserve">ZL-532-02-1-002</t>
        </is>
      </c>
      <c r="C463" s="143" t="inlineStr">
        <is>
          <t xml:space="preserve">ZL-532-02-1-002 (01) / R/H FLAP TRACK NO 3 AND FAIRING</t>
        </is>
      </c>
      <c r="D463" s="143">
        <v>1.0</v>
      </c>
      <c r="E463" s="143">
        <v>1.37</v>
      </c>
      <c r="F463" s="143">
        <v>1.5</v>
      </c>
      <c r="G463" s="143">
        <v>56.3</v>
      </c>
      <c r="H463" s="143" t="inlineStr">
        <is>
          <t xml:space="preserve">Closed</t>
        </is>
      </c>
      <c r="I463" s="143" t="inlineStr">
        <is>
          <t xml:space="preserve">05-25</t>
        </is>
      </c>
      <c r="J463" s="143" t="inlineStr">
        <is>
          <t xml:space="preserve">INSPECTION</t>
        </is>
      </c>
    </row>
    <row r="464" spans="1:10">
      <c r="A464" s="143" t="inlineStr">
        <is>
          <t xml:space="preserve">144</t>
        </is>
      </c>
      <c r="B464" s="143" t="inlineStr">
        <is>
          <t xml:space="preserve">ZL-533-01-1-001</t>
        </is>
      </c>
      <c r="C464" s="143" t="inlineStr">
        <is>
          <t xml:space="preserve">ZL-533-01-1-001 (04) / L/H FLAP TRACK NO 4 AND FAIRING INSP</t>
        </is>
      </c>
      <c r="D464" s="143">
        <v>1.0</v>
      </c>
      <c r="E464" s="143">
        <v>0.48</v>
      </c>
      <c r="F464" s="143">
        <v>1.0</v>
      </c>
      <c r="G464" s="143">
        <v>1.0</v>
      </c>
      <c r="H464" s="143" t="inlineStr">
        <is>
          <t xml:space="preserve">Closed</t>
        </is>
      </c>
      <c r="I464" s="143" t="inlineStr">
        <is>
          <t xml:space="preserve">05-25</t>
        </is>
      </c>
      <c r="J464" s="143" t="inlineStr">
        <is>
          <t xml:space="preserve">INSPECTION</t>
        </is>
      </c>
    </row>
    <row r="465" spans="1:10">
      <c r="A465" s="143" t="inlineStr">
        <is>
          <t xml:space="preserve">145</t>
        </is>
      </c>
      <c r="B465" s="143" t="inlineStr">
        <is>
          <t xml:space="preserve">ZL-533-01-1-002</t>
        </is>
      </c>
      <c r="C465" s="143" t="inlineStr">
        <is>
          <t xml:space="preserve">ZL-533-01-1-002 (04) / R/H FLAP TRACK NO 4 AND FAIRING INSP</t>
        </is>
      </c>
      <c r="D465" s="143">
        <v>1.0</v>
      </c>
      <c r="E465" s="143">
        <v>0.48</v>
      </c>
      <c r="F465" s="143">
        <v>1.5</v>
      </c>
      <c r="G465" s="143">
        <v>56.2</v>
      </c>
      <c r="H465" s="143" t="inlineStr">
        <is>
          <t xml:space="preserve">Closed</t>
        </is>
      </c>
      <c r="I465" s="143" t="inlineStr">
        <is>
          <t xml:space="preserve">05-25</t>
        </is>
      </c>
      <c r="J465" s="143" t="inlineStr">
        <is>
          <t xml:space="preserve">INSPECTION</t>
        </is>
      </c>
    </row>
    <row r="466" spans="1:10">
      <c r="A466" s="143" t="inlineStr">
        <is>
          <t xml:space="preserve">146</t>
        </is>
      </c>
      <c r="B466" s="143" t="inlineStr">
        <is>
          <t xml:space="preserve">ZL-571-02-1-001</t>
        </is>
      </c>
      <c r="C466" s="143" t="inlineStr">
        <is>
          <t xml:space="preserve">ZL-571-02-1-001 (03) / LEFT MLG BAY ZONAL INSP</t>
        </is>
      </c>
      <c r="D466" s="143">
        <v>1.0</v>
      </c>
      <c r="E466" s="143">
        <v>0.87</v>
      </c>
      <c r="F466" s="143">
        <v>0.5</v>
      </c>
      <c r="G466" s="143">
        <v>0.5</v>
      </c>
      <c r="H466" s="143" t="inlineStr">
        <is>
          <t xml:space="preserve">Closed</t>
        </is>
      </c>
      <c r="I466" s="143" t="inlineStr">
        <is>
          <t xml:space="preserve">05-25</t>
        </is>
      </c>
      <c r="J466" s="143" t="inlineStr">
        <is>
          <t xml:space="preserve">INSPECTION</t>
        </is>
      </c>
    </row>
    <row r="467" spans="1:10">
      <c r="A467" s="143" t="inlineStr">
        <is>
          <t xml:space="preserve">147</t>
        </is>
      </c>
      <c r="B467" s="143" t="inlineStr">
        <is>
          <t xml:space="preserve">ZL-571-02-1-002</t>
        </is>
      </c>
      <c r="C467" s="143" t="inlineStr">
        <is>
          <t xml:space="preserve">ZL-571-02-1-002 (03) / RIGHT MLG BAY ZONAL INSP</t>
        </is>
      </c>
      <c r="D467" s="143">
        <v>1.0</v>
      </c>
      <c r="E467" s="143">
        <v>0.87</v>
      </c>
      <c r="F467" s="143">
        <v>0.5</v>
      </c>
      <c r="G467" s="143">
        <v>0.5</v>
      </c>
      <c r="H467" s="143" t="inlineStr">
        <is>
          <t xml:space="preserve">Closed</t>
        </is>
      </c>
      <c r="I467" s="143" t="inlineStr">
        <is>
          <t xml:space="preserve">05-25</t>
        </is>
      </c>
      <c r="J467" s="143" t="inlineStr">
        <is>
          <t xml:space="preserve">INSPECTION</t>
        </is>
      </c>
    </row>
    <row r="468" spans="1:10">
      <c r="A468" s="143" t="inlineStr">
        <is>
          <t xml:space="preserve">148</t>
        </is>
      </c>
      <c r="B468" s="143" t="inlineStr">
        <is>
          <t xml:space="preserve">ZL-573-01-1-001</t>
        </is>
      </c>
      <c r="C468" s="143" t="inlineStr">
        <is>
          <t xml:space="preserve">ZL-573-01-1-001 (04) / L/H INBOARD FIXED T/E STRUCTURE INSP</t>
        </is>
      </c>
      <c r="D468" s="143">
        <v>1.0</v>
      </c>
      <c r="E468" s="143">
        <v>0.52</v>
      </c>
      <c r="F468" s="143">
        <v>1.0</v>
      </c>
      <c r="G468" s="143">
        <v>1.0</v>
      </c>
      <c r="H468" s="143" t="inlineStr">
        <is>
          <t xml:space="preserve">Closed</t>
        </is>
      </c>
      <c r="I468" s="143" t="inlineStr">
        <is>
          <t xml:space="preserve">05-25</t>
        </is>
      </c>
      <c r="J468" s="143" t="inlineStr">
        <is>
          <t xml:space="preserve">PRE INSP</t>
        </is>
      </c>
    </row>
    <row r="469" spans="1:10">
      <c r="A469" s="143" t="inlineStr">
        <is>
          <t xml:space="preserve">149</t>
        </is>
      </c>
      <c r="B469" s="143" t="inlineStr">
        <is>
          <t xml:space="preserve">ZL-573-01-1-002</t>
        </is>
      </c>
      <c r="C469" s="143" t="inlineStr">
        <is>
          <t xml:space="preserve">ZL-573-01-1-002 (04) / R/H INBOARD FIXED T/E STRUCTURE INSP</t>
        </is>
      </c>
      <c r="D469" s="143">
        <v>1.0</v>
      </c>
      <c r="E469" s="143">
        <v>0.52</v>
      </c>
      <c r="F469" s="143">
        <v>1.0</v>
      </c>
      <c r="G469" s="143">
        <v>58.4</v>
      </c>
      <c r="H469" s="143" t="inlineStr">
        <is>
          <t xml:space="preserve">Closed</t>
        </is>
      </c>
      <c r="I469" s="143" t="inlineStr">
        <is>
          <t xml:space="preserve">05-25</t>
        </is>
      </c>
      <c r="J469" s="143" t="inlineStr">
        <is>
          <t xml:space="preserve">PRE INSP</t>
        </is>
      </c>
    </row>
    <row r="470" spans="1:10">
      <c r="A470" s="143" t="inlineStr">
        <is>
          <t xml:space="preserve">150</t>
        </is>
      </c>
      <c r="B470" s="143" t="inlineStr">
        <is>
          <t xml:space="preserve">ZL-574-01-1-001</t>
        </is>
      </c>
      <c r="C470" s="143" t="inlineStr">
        <is>
          <t xml:space="preserve">ZL-574-01-1-001 (04) / L/H WING FALSE SPAR BOX ZONAL INSP</t>
        </is>
      </c>
      <c r="D470" s="143">
        <v>1.0</v>
      </c>
      <c r="E470" s="143">
        <v>3.07</v>
      </c>
      <c r="F470" s="143">
        <v>13.0</v>
      </c>
      <c r="G470" s="143">
        <v>16.03</v>
      </c>
      <c r="H470" s="143" t="inlineStr">
        <is>
          <t xml:space="preserve">Closed</t>
        </is>
      </c>
      <c r="I470" s="143" t="inlineStr">
        <is>
          <t xml:space="preserve">05-25</t>
        </is>
      </c>
      <c r="J470" s="143" t="inlineStr">
        <is>
          <t xml:space="preserve">--, PRE INSP</t>
        </is>
      </c>
    </row>
    <row r="471" spans="1:10">
      <c r="A471" s="143" t="inlineStr">
        <is>
          <t xml:space="preserve">151</t>
        </is>
      </c>
      <c r="B471" s="143" t="inlineStr">
        <is>
          <t xml:space="preserve">ZL-574-01-1-002</t>
        </is>
      </c>
      <c r="C471" s="143" t="inlineStr">
        <is>
          <t xml:space="preserve">ZL-574-01-1-002 (04) / R/H WING FALSE SPAR BOX ZONAL INSP</t>
        </is>
      </c>
      <c r="D471" s="143">
        <v>1.0</v>
      </c>
      <c r="E471" s="143">
        <v>3.07</v>
      </c>
      <c r="F471" s="143">
        <v>13.0</v>
      </c>
      <c r="G471" s="143">
        <v>16.47</v>
      </c>
      <c r="H471" s="143" t="inlineStr">
        <is>
          <t xml:space="preserve">Closed</t>
        </is>
      </c>
      <c r="I471" s="143" t="inlineStr">
        <is>
          <t xml:space="preserve">05-25</t>
        </is>
      </c>
      <c r="J471" s="143" t="inlineStr">
        <is>
          <t xml:space="preserve">--, PRE INSP</t>
        </is>
      </c>
    </row>
    <row r="472" spans="1:10">
      <c r="A472" s="143" t="inlineStr">
        <is>
          <t xml:space="preserve">152</t>
        </is>
      </c>
      <c r="B472" s="143" t="inlineStr">
        <is>
          <t xml:space="preserve">ZL-590-01-1-001</t>
        </is>
      </c>
      <c r="C472" s="143" t="inlineStr">
        <is>
          <t xml:space="preserve">ZL-590-01-1-001 (03) / L/H WING AILERON INSPECTION</t>
        </is>
      </c>
      <c r="D472" s="143">
        <v>1.0</v>
      </c>
      <c r="E472" s="143">
        <v>0.43</v>
      </c>
      <c r="F472" s="143">
        <v>1.0</v>
      </c>
      <c r="G472" s="143">
        <v>1.0</v>
      </c>
      <c r="H472" s="143" t="inlineStr">
        <is>
          <t xml:space="preserve">Closed</t>
        </is>
      </c>
      <c r="I472" s="143" t="inlineStr">
        <is>
          <t xml:space="preserve">05-25</t>
        </is>
      </c>
      <c r="J472" s="143" t="inlineStr">
        <is>
          <t xml:space="preserve">INSPECTION</t>
        </is>
      </c>
    </row>
    <row r="473" spans="1:10">
      <c r="A473" s="143" t="inlineStr">
        <is>
          <t xml:space="preserve">153</t>
        </is>
      </c>
      <c r="B473" s="143" t="inlineStr">
        <is>
          <t xml:space="preserve">ZL-590-01-1-002</t>
        </is>
      </c>
      <c r="C473" s="143" t="inlineStr">
        <is>
          <t xml:space="preserve">ZL-590-01-1-002 (03) / R/H WING AILERON INSPECTION</t>
        </is>
      </c>
      <c r="D473" s="143">
        <v>1.0</v>
      </c>
      <c r="E473" s="143">
        <v>0.43</v>
      </c>
      <c r="F473" s="143">
        <v>1.0</v>
      </c>
      <c r="G473" s="143">
        <v>1.0</v>
      </c>
      <c r="H473" s="143" t="inlineStr">
        <is>
          <t xml:space="preserve">Closed</t>
        </is>
      </c>
      <c r="I473" s="143" t="inlineStr">
        <is>
          <t xml:space="preserve">05-25</t>
        </is>
      </c>
      <c r="J473" s="143" t="inlineStr">
        <is>
          <t xml:space="preserve">INSPECTION</t>
        </is>
      </c>
    </row>
    <row r="474" spans="1:10">
      <c r="A474" s="143" t="inlineStr">
        <is>
          <t xml:space="preserve">154</t>
        </is>
      </c>
      <c r="B474" s="143" t="inlineStr">
        <is>
          <t xml:space="preserve">ZL-811-01-1</t>
        </is>
      </c>
      <c r="C474" s="143" t="inlineStr">
        <is>
          <t xml:space="preserve">ZL-811-01-1 (03) / FWD AVIONICS COMP. DOOR ZONAL INSP</t>
        </is>
      </c>
      <c r="D474" s="143">
        <v>1.0</v>
      </c>
      <c r="E474" s="143">
        <v>0.22</v>
      </c>
      <c r="F474" s="143">
        <v>1.0</v>
      </c>
      <c r="G474" s="143">
        <v>1.0</v>
      </c>
      <c r="H474" s="143" t="inlineStr">
        <is>
          <t xml:space="preserve">Closed</t>
        </is>
      </c>
      <c r="I474" s="143" t="inlineStr">
        <is>
          <t xml:space="preserve">05-28</t>
        </is>
      </c>
      <c r="J474" s="143" t="inlineStr">
        <is>
          <t xml:space="preserve">PRE INSP</t>
        </is>
      </c>
    </row>
    <row r="475" spans="1:10">
      <c r="A475" s="143" t="inlineStr">
        <is>
          <t xml:space="preserve">155</t>
        </is>
      </c>
      <c r="B475" s="143" t="inlineStr">
        <is>
          <t xml:space="preserve">ZL-812-01-1</t>
        </is>
      </c>
      <c r="C475" s="143" t="inlineStr">
        <is>
          <t xml:space="preserve">ZL-812-01-1 (03) / LATERAL AVIONICS COMP. DOORS INSP</t>
        </is>
      </c>
      <c r="D475" s="143">
        <v>1.0</v>
      </c>
      <c r="E475" s="143">
        <v>0.43</v>
      </c>
      <c r="F475" s="143">
        <v>1.0</v>
      </c>
      <c r="G475" s="143">
        <v>1.0</v>
      </c>
      <c r="H475" s="143" t="inlineStr">
        <is>
          <t xml:space="preserve">Closed</t>
        </is>
      </c>
      <c r="I475" s="143" t="inlineStr">
        <is>
          <t xml:space="preserve">05-28</t>
        </is>
      </c>
      <c r="J475" s="143" t="inlineStr">
        <is>
          <t xml:space="preserve">PRE INSP</t>
        </is>
      </c>
    </row>
    <row r="476" spans="1:10">
      <c r="A476" s="143" t="inlineStr">
        <is>
          <t xml:space="preserve">156</t>
        </is>
      </c>
      <c r="B476" s="143" t="inlineStr">
        <is>
          <t xml:space="preserve">ZL-824-01-1</t>
        </is>
      </c>
      <c r="C476" s="143" t="inlineStr">
        <is>
          <t xml:space="preserve">ZL-824-01-1 (03) / REAR AVIONICS COMPARTMENT DOOR INSP</t>
        </is>
      </c>
      <c r="D476" s="143">
        <v>1.0</v>
      </c>
      <c r="E476" s="143">
        <v>0.22</v>
      </c>
      <c r="F476" s="143">
        <v>1.0</v>
      </c>
      <c r="G476" s="143">
        <v>1.0</v>
      </c>
      <c r="H476" s="143" t="inlineStr">
        <is>
          <t xml:space="preserve">Closed</t>
        </is>
      </c>
      <c r="I476" s="143" t="inlineStr">
        <is>
          <t xml:space="preserve">05-28</t>
        </is>
      </c>
      <c r="J476" s="143" t="inlineStr">
        <is>
          <t xml:space="preserve">PRE INSP</t>
        </is>
      </c>
    </row>
    <row r="477" spans="1:10">
      <c r="A477" s="143" t="inlineStr">
        <is>
          <t xml:space="preserve">157</t>
        </is>
      </c>
      <c r="B477" s="143" t="inlineStr">
        <is>
          <t xml:space="preserve">ZL-833-02-1</t>
        </is>
      </c>
      <c r="C477" s="143" t="inlineStr">
        <is>
          <t xml:space="preserve">ZL-833-02-1 (04) / FWD AND AFT EMERGENCY EXITS INSP</t>
        </is>
      </c>
      <c r="D477" s="143">
        <v>1.0</v>
      </c>
      <c r="E477" s="143">
        <v>1.97</v>
      </c>
      <c r="F477" s="143">
        <v>6.83</v>
      </c>
      <c r="G477" s="143">
        <v>323.4</v>
      </c>
      <c r="H477" s="143" t="inlineStr">
        <is>
          <t xml:space="preserve">Closed</t>
        </is>
      </c>
      <c r="I477" s="143" t="inlineStr">
        <is>
          <t xml:space="preserve">05-28</t>
        </is>
      </c>
      <c r="J477" s="143" t="inlineStr">
        <is>
          <t xml:space="preserve">PRE INSP, PRE INSP, PRE INSP, PRE INSP</t>
        </is>
      </c>
    </row>
    <row r="478" spans="1:10">
      <c r="A478" s="143" t="inlineStr">
        <is>
          <t xml:space="preserve">159</t>
        </is>
      </c>
      <c r="B478" s="143" t="inlineStr">
        <is>
          <t xml:space="preserve">05-SVA-01</t>
        </is>
      </c>
      <c r="C478" s="143" t="inlineStr">
        <is>
          <t xml:space="preserve">05-SVA-01 (00) / EMERGENCY EQUIPMENTS EXPIRY CHECK</t>
        </is>
      </c>
      <c r="D478" s="143">
        <v>1.0</v>
      </c>
      <c r="E478" s="143">
        <v>2.17</v>
      </c>
      <c r="F478" s="143">
        <v>8.0</v>
      </c>
      <c r="G478" s="143">
        <v>4.0</v>
      </c>
      <c r="H478" s="143" t="inlineStr">
        <is>
          <t xml:space="preserve">Closed</t>
        </is>
      </c>
      <c r="I478" s="143">
        <v>5.0</v>
      </c>
      <c r="J478" s="143"/>
    </row>
    <row r="479" spans="1:10">
      <c r="A479" s="143" t="inlineStr">
        <is>
          <t xml:space="preserve">161</t>
        </is>
      </c>
      <c r="B479" s="143" t="inlineStr">
        <is>
          <t xml:space="preserve">21-SVA-01</t>
        </is>
      </c>
      <c r="C479" s="143" t="inlineStr">
        <is>
          <t xml:space="preserve">21-SVA-01 (00) / AC-COMPRESSOR DISCHARGE TEMP. SENSOR (CDS) CLN</t>
        </is>
      </c>
      <c r="D479" s="143">
        <v>1.0</v>
      </c>
      <c r="E479" s="143">
        <v>3.0</v>
      </c>
      <c r="F479" s="143">
        <v>18.0</v>
      </c>
      <c r="G479" s="143">
        <v>6.03</v>
      </c>
      <c r="H479" s="143" t="inlineStr">
        <is>
          <t xml:space="preserve">Closed</t>
        </is>
      </c>
      <c r="I479" s="143" t="inlineStr">
        <is>
          <t xml:space="preserve">21-61</t>
        </is>
      </c>
      <c r="J479" s="143" t="inlineStr">
        <is>
          <t xml:space="preserve">JOB-SETUP, CLEAN-UP, JOB-CLOSEUP</t>
        </is>
      </c>
    </row>
    <row r="480" spans="1:10">
      <c r="A480" s="143" t="inlineStr">
        <is>
          <t xml:space="preserve">162</t>
        </is>
      </c>
      <c r="B480" s="143" t="inlineStr">
        <is>
          <t xml:space="preserve">212300-02-1</t>
        </is>
      </c>
      <c r="C480" s="143" t="inlineStr">
        <is>
          <t xml:space="preserve">212300-02-1 (4) / LAVATORY AIR EXTRACTION FLTR R/R</t>
        </is>
      </c>
      <c r="D480" s="143">
        <v>1.0</v>
      </c>
      <c r="E480" s="143">
        <v>0.43</v>
      </c>
      <c r="F480" s="143">
        <v>2.0</v>
      </c>
      <c r="G480" s="143">
        <v>1.0</v>
      </c>
      <c r="H480" s="143" t="inlineStr">
        <is>
          <t xml:space="preserve">Closed</t>
        </is>
      </c>
      <c r="I480" s="143" t="inlineStr">
        <is>
          <t xml:space="preserve">21-23</t>
        </is>
      </c>
      <c r="J480" s="143" t="inlineStr">
        <is>
          <t xml:space="preserve">TC/P, TC/P</t>
        </is>
      </c>
    </row>
    <row r="481" spans="1:10">
      <c r="A481" s="143" t="inlineStr">
        <is>
          <t xml:space="preserve">163</t>
        </is>
      </c>
      <c r="B481" s="143" t="inlineStr">
        <is>
          <t xml:space="preserve">212600-11-1</t>
        </is>
      </c>
      <c r="C481" s="143" t="inlineStr">
        <is>
          <t xml:space="preserve">212600-11-1 (4) / DEMISTER FLTER&amp;FILTER CARTRIDGE R&amp;R</t>
        </is>
      </c>
      <c r="D481" s="143">
        <v>1.0</v>
      </c>
      <c r="E481" s="143">
        <v>0.22</v>
      </c>
      <c r="F481" s="143">
        <v>52.0</v>
      </c>
      <c r="G481" s="143">
        <v>498.1</v>
      </c>
      <c r="H481" s="143" t="inlineStr">
        <is>
          <t xml:space="preserve">Closed</t>
        </is>
      </c>
      <c r="I481" s="143" t="inlineStr">
        <is>
          <t xml:space="preserve">21-26</t>
        </is>
      </c>
      <c r="J481" s="143" t="inlineStr">
        <is>
          <t xml:space="preserve">JOB-SETUP, TC/P, TC/P, JOB-CLOSEUP</t>
        </is>
      </c>
    </row>
    <row r="482" spans="1:10">
      <c r="A482" s="143" t="inlineStr">
        <is>
          <t xml:space="preserve">164</t>
        </is>
      </c>
      <c r="B482" s="143" t="inlineStr">
        <is>
          <t xml:space="preserve">242000-01-1</t>
        </is>
      </c>
      <c r="C482" s="143" t="inlineStr">
        <is>
          <t xml:space="preserve">242000-01-1 (3) / GAPCU OPERATIONAL TEST</t>
        </is>
      </c>
      <c r="D482" s="143">
        <v>1.0</v>
      </c>
      <c r="E482" s="143">
        <v>0.22</v>
      </c>
      <c r="F482" s="143">
        <v>4.0</v>
      </c>
      <c r="G482" s="143">
        <v>2.0</v>
      </c>
      <c r="H482" s="143" t="inlineStr">
        <is>
          <t xml:space="preserve">Closed</t>
        </is>
      </c>
      <c r="I482" s="143" t="inlineStr">
        <is>
          <t xml:space="preserve">24-41</t>
        </is>
      </c>
      <c r="J482" s="143" t="inlineStr">
        <is>
          <t xml:space="preserve">OPS/LK</t>
        </is>
      </c>
    </row>
    <row r="483" spans="1:10">
      <c r="A483" s="143" t="inlineStr">
        <is>
          <t xml:space="preserve">166</t>
        </is>
      </c>
      <c r="B483" s="143" t="inlineStr">
        <is>
          <t xml:space="preserve">242800-01-2</t>
        </is>
      </c>
      <c r="C483" s="143" t="inlineStr">
        <is>
          <t xml:space="preserve">242800-01-2 (4) / STATIC INVERTER OPERATIONAL CHECK</t>
        </is>
      </c>
      <c r="D483" s="143">
        <v>1.0</v>
      </c>
      <c r="E483" s="143">
        <v>0.22</v>
      </c>
      <c r="F483" s="143">
        <v>4.5</v>
      </c>
      <c r="G483" s="143">
        <v>2.78</v>
      </c>
      <c r="H483" s="143" t="inlineStr">
        <is>
          <t xml:space="preserve">Closed</t>
        </is>
      </c>
      <c r="I483" s="143" t="inlineStr">
        <is>
          <t xml:space="preserve">24-28</t>
        </is>
      </c>
      <c r="J483" s="143" t="inlineStr">
        <is>
          <t xml:space="preserve">OPS/LK</t>
        </is>
      </c>
    </row>
    <row r="484" spans="1:10">
      <c r="A484" s="143" t="inlineStr">
        <is>
          <t xml:space="preserve">167</t>
        </is>
      </c>
      <c r="B484" s="143" t="inlineStr">
        <is>
          <t xml:space="preserve">243800-01-1</t>
        </is>
      </c>
      <c r="C484" s="143" t="inlineStr">
        <is>
          <t xml:space="preserve">243800-01-1 (3) / BATT CHARGE LIMITER OPS CHECK</t>
        </is>
      </c>
      <c r="D484" s="143">
        <v>1.0</v>
      </c>
      <c r="E484" s="143">
        <v>0.22</v>
      </c>
      <c r="F484" s="143">
        <v>4.0</v>
      </c>
      <c r="G484" s="143">
        <v>2.0</v>
      </c>
      <c r="H484" s="143" t="inlineStr">
        <is>
          <t xml:space="preserve">Closed</t>
        </is>
      </c>
      <c r="I484" s="143" t="inlineStr">
        <is>
          <t xml:space="preserve">24-38</t>
        </is>
      </c>
      <c r="J484" s="143" t="inlineStr">
        <is>
          <t xml:space="preserve">OPS/LK</t>
        </is>
      </c>
    </row>
    <row r="485" spans="1:10">
      <c r="A485" s="143" t="inlineStr">
        <is>
          <t xml:space="preserve">168</t>
        </is>
      </c>
      <c r="B485" s="143" t="inlineStr">
        <is>
          <t xml:space="preserve">25-10-00-00-SVA</t>
        </is>
      </c>
      <c r="C485" s="143" t="inlineStr">
        <is>
          <t xml:space="preserve">25-10-00-00-SVA (00) / COCKPIT CHECK</t>
        </is>
      </c>
      <c r="D485" s="143">
        <v>1.0</v>
      </c>
      <c r="E485" s="143">
        <v>6.83</v>
      </c>
      <c r="F485" s="143">
        <v>53.0</v>
      </c>
      <c r="G485" s="143">
        <v>803.5</v>
      </c>
      <c r="H485" s="143" t="inlineStr">
        <is>
          <t xml:space="preserve">Closed</t>
        </is>
      </c>
      <c r="I485" s="143" t="inlineStr">
        <is>
          <t xml:space="preserve">25-10</t>
        </is>
      </c>
      <c r="J485" s="143"/>
    </row>
    <row r="486" spans="1:10">
      <c r="A486" s="143" t="inlineStr">
        <is>
          <t xml:space="preserve">169</t>
        </is>
      </c>
      <c r="B486" s="143" t="inlineStr">
        <is>
          <t xml:space="preserve">25-20-00-00-SVA</t>
        </is>
      </c>
      <c r="C486" s="143" t="inlineStr">
        <is>
          <t xml:space="preserve">25-20-00-00-SVA (01) / GENERAL CABIN DEEP INSP</t>
        </is>
      </c>
      <c r="D486" s="143">
        <v>1.0</v>
      </c>
      <c r="E486" s="143">
        <v>10.83</v>
      </c>
      <c r="F486" s="143">
        <v>51.0</v>
      </c>
      <c r="G486" s="143">
        <v>841.6</v>
      </c>
      <c r="H486" s="143" t="inlineStr">
        <is>
          <t xml:space="preserve">Closed</t>
        </is>
      </c>
      <c r="I486" s="143" t="inlineStr">
        <is>
          <t xml:space="preserve">25-10</t>
        </is>
      </c>
      <c r="J486" s="143"/>
    </row>
    <row r="487" spans="1:10">
      <c r="A487" s="143" t="inlineStr">
        <is>
          <t xml:space="preserve">172</t>
        </is>
      </c>
      <c r="B487" s="143" t="inlineStr">
        <is>
          <t xml:space="preserve">25-22-00-00-SVA</t>
        </is>
      </c>
      <c r="C487" s="143" t="inlineStr">
        <is>
          <t xml:space="preserve">25-22-00-00-SVA (01) / CABIN CREW SEAT DEEP INSP</t>
        </is>
      </c>
      <c r="D487" s="143">
        <v>1.0</v>
      </c>
      <c r="E487" s="143">
        <v>2.75</v>
      </c>
      <c r="F487" s="143">
        <v>20.5</v>
      </c>
      <c r="G487" s="143">
        <v>365.6</v>
      </c>
      <c r="H487" s="143" t="inlineStr">
        <is>
          <t xml:space="preserve">Closed</t>
        </is>
      </c>
      <c r="I487" s="143" t="inlineStr">
        <is>
          <t xml:space="preserve">25-10</t>
        </is>
      </c>
      <c r="J487" s="143"/>
    </row>
    <row r="488" spans="1:10">
      <c r="A488" s="143" t="inlineStr">
        <is>
          <t xml:space="preserve">178</t>
        </is>
      </c>
      <c r="B488" s="143" t="inlineStr">
        <is>
          <t xml:space="preserve">25-40-00-00-SVA</t>
        </is>
      </c>
      <c r="C488" s="143" t="inlineStr">
        <is>
          <t xml:space="preserve">25-40-00-00-SVA (01) / LAV CHECK</t>
        </is>
      </c>
      <c r="D488" s="143">
        <v>1.0</v>
      </c>
      <c r="E488" s="143">
        <v>7.42</v>
      </c>
      <c r="F488" s="143">
        <v>17.5</v>
      </c>
      <c r="G488" s="143">
        <v>809.8</v>
      </c>
      <c r="H488" s="143" t="inlineStr">
        <is>
          <t xml:space="preserve">Closed</t>
        </is>
      </c>
      <c r="I488" s="143" t="inlineStr">
        <is>
          <t xml:space="preserve">25-10</t>
        </is>
      </c>
      <c r="J488" s="143"/>
    </row>
    <row r="489" spans="1:10">
      <c r="A489" s="143" t="inlineStr">
        <is>
          <t xml:space="preserve">179</t>
        </is>
      </c>
      <c r="B489" s="143" t="inlineStr">
        <is>
          <t xml:space="preserve">25-60-00-03-0-SVA</t>
        </is>
      </c>
      <c r="C489" s="143" t="inlineStr">
        <is>
          <t xml:space="preserve">25-60-00-03-0-SVA (01) / EMERGENCY EQUIPMENT IN C/A SEAT STOWAGE INSPECTION</t>
        </is>
      </c>
      <c r="D489" s="143">
        <v>1.0</v>
      </c>
      <c r="E489" s="143">
        <v>2.0</v>
      </c>
      <c r="F489" s="143">
        <v>1.0</v>
      </c>
      <c r="G489" s="143">
        <v>1.0</v>
      </c>
      <c r="H489" s="143" t="inlineStr">
        <is>
          <t xml:space="preserve">Closed</t>
        </is>
      </c>
      <c r="I489" s="143" t="inlineStr">
        <is>
          <t xml:space="preserve">25-60</t>
        </is>
      </c>
      <c r="J489" s="143" t="inlineStr">
        <is>
          <t xml:space="preserve">PRE INSP</t>
        </is>
      </c>
    </row>
    <row r="490" spans="1:10">
      <c r="A490" s="143" t="inlineStr">
        <is>
          <t xml:space="preserve">180</t>
        </is>
      </c>
      <c r="B490" s="143" t="inlineStr">
        <is>
          <t xml:space="preserve">25-65-00-01-0-SVA</t>
        </is>
      </c>
      <c r="C490" s="143" t="inlineStr">
        <is>
          <t xml:space="preserve">25-65-00-01-0-SVA (02) / EMERGENCY EQUIP VALIDITY INSP</t>
        </is>
      </c>
      <c r="D490" s="143">
        <v>1.0</v>
      </c>
      <c r="E490" s="143">
        <v>2.0</v>
      </c>
      <c r="F490" s="143">
        <v>1.0</v>
      </c>
      <c r="G490" s="143">
        <v>1.0</v>
      </c>
      <c r="H490" s="143" t="inlineStr">
        <is>
          <t xml:space="preserve">Closed</t>
        </is>
      </c>
      <c r="I490" s="143" t="inlineStr">
        <is>
          <t xml:space="preserve">25-65</t>
        </is>
      </c>
      <c r="J490" s="143" t="inlineStr">
        <is>
          <t xml:space="preserve">PRE INSP</t>
        </is>
      </c>
    </row>
    <row r="491" spans="1:10">
      <c r="A491" s="143" t="inlineStr">
        <is>
          <t xml:space="preserve">181</t>
        </is>
      </c>
      <c r="B491" s="143" t="inlineStr">
        <is>
          <t xml:space="preserve">25-65-00-01-0-SVA-001</t>
        </is>
      </c>
      <c r="C491" s="143" t="inlineStr">
        <is>
          <t xml:space="preserve">25-65-00-01-0-SVA-001 (02) / FIRST AID MEDICAL SURVL KIT CHECK</t>
        </is>
      </c>
      <c r="D491" s="143">
        <v>1.0</v>
      </c>
      <c r="E491" s="143">
        <v>1.0</v>
      </c>
      <c r="F491" s="143">
        <v>1.0</v>
      </c>
      <c r="G491" s="143">
        <v>1.0</v>
      </c>
      <c r="H491" s="143" t="inlineStr">
        <is>
          <t xml:space="preserve">Closed</t>
        </is>
      </c>
      <c r="I491" s="143" t="inlineStr">
        <is>
          <t xml:space="preserve">25-65</t>
        </is>
      </c>
      <c r="J491" s="143" t="inlineStr">
        <is>
          <t xml:space="preserve">PRE INSP</t>
        </is>
      </c>
    </row>
    <row r="492" spans="1:10">
      <c r="A492" s="143" t="inlineStr">
        <is>
          <t xml:space="preserve">182</t>
        </is>
      </c>
      <c r="B492" s="143" t="inlineStr">
        <is>
          <t xml:space="preserve">253400-01-1.</t>
        </is>
      </c>
      <c r="C492" s="143" t="inlineStr">
        <is>
          <t xml:space="preserve">253400-01-1. (03) / GALLEY COOLING CLEANING</t>
        </is>
      </c>
      <c r="D492" s="143">
        <v>1.0</v>
      </c>
      <c r="E492" s="143">
        <v>0.33</v>
      </c>
      <c r="F492" s="143">
        <v>21.0</v>
      </c>
      <c r="G492" s="143">
        <v>61.5</v>
      </c>
      <c r="H492" s="143" t="inlineStr">
        <is>
          <t xml:space="preserve">Closed</t>
        </is>
      </c>
      <c r="I492" s="143" t="inlineStr">
        <is>
          <t xml:space="preserve">20-00</t>
        </is>
      </c>
      <c r="J492" s="143"/>
    </row>
    <row r="493" spans="1:10">
      <c r="A493" s="143" t="inlineStr">
        <is>
          <t xml:space="preserve">183</t>
        </is>
      </c>
      <c r="B493" s="143" t="inlineStr">
        <is>
          <t xml:space="preserve">253400-02-1</t>
        </is>
      </c>
      <c r="C493" s="143" t="inlineStr">
        <is>
          <t xml:space="preserve">253400-02-1 (3) / AIRCHILLER CONDENSER AIR FLTR CLEANING</t>
        </is>
      </c>
      <c r="D493" s="143">
        <v>1.0</v>
      </c>
      <c r="E493" s="143">
        <v>0.43</v>
      </c>
      <c r="F493" s="143">
        <v>34.5</v>
      </c>
      <c r="G493" s="143">
        <v>466.7</v>
      </c>
      <c r="H493" s="143" t="inlineStr">
        <is>
          <t xml:space="preserve">Closed</t>
        </is>
      </c>
      <c r="I493" s="143" t="inlineStr">
        <is>
          <t xml:space="preserve">25-34</t>
        </is>
      </c>
      <c r="J493" s="143" t="inlineStr">
        <is>
          <t xml:space="preserve">JOB-SETUP, JOB-SETUP, JOB-SETUP, CLEAN-UP, CLEAN-UP, JOB-CLOSEUP, JOB-CLOSEUP, JOB-CLOSEUP</t>
        </is>
      </c>
    </row>
    <row r="494" spans="1:10">
      <c r="A494" s="143" t="inlineStr">
        <is>
          <t xml:space="preserve">184</t>
        </is>
      </c>
      <c r="B494" s="143" t="inlineStr">
        <is>
          <t xml:space="preserve">255000-16-1-001</t>
        </is>
      </c>
      <c r="C494" s="143" t="inlineStr">
        <is>
          <t xml:space="preserve">255000-16-1-001 (03) / FWD CARGO COMP DIVIDER NETS INSP</t>
        </is>
      </c>
      <c r="D494" s="143">
        <v>1.0</v>
      </c>
      <c r="E494" s="143">
        <v>1.32</v>
      </c>
      <c r="F494" s="143">
        <v>0.25</v>
      </c>
      <c r="G494" s="143">
        <v>0.25</v>
      </c>
      <c r="H494" s="143" t="inlineStr">
        <is>
          <t xml:space="preserve">Closed</t>
        </is>
      </c>
      <c r="I494" s="143" t="inlineStr">
        <is>
          <t xml:space="preserve">25-50</t>
        </is>
      </c>
      <c r="J494" s="143" t="inlineStr">
        <is>
          <t xml:space="preserve">PRE INSP</t>
        </is>
      </c>
    </row>
    <row r="495" spans="1:10">
      <c r="A495" s="143" t="inlineStr">
        <is>
          <t xml:space="preserve">185</t>
        </is>
      </c>
      <c r="B495" s="143" t="inlineStr">
        <is>
          <t xml:space="preserve">255000-16-1-002</t>
        </is>
      </c>
      <c r="C495" s="143" t="inlineStr">
        <is>
          <t xml:space="preserve">255000-16-1-002 (03) / AFT AND BULK CARGO COMP NETS INSP</t>
        </is>
      </c>
      <c r="D495" s="143">
        <v>1.0</v>
      </c>
      <c r="E495" s="143">
        <v>1.32</v>
      </c>
      <c r="F495" s="143">
        <v>0.0</v>
      </c>
      <c r="G495" s="143">
        <v>0.0</v>
      </c>
      <c r="H495" s="143" t="inlineStr">
        <is>
          <t xml:space="preserve">Closed</t>
        </is>
      </c>
      <c r="I495" s="143" t="inlineStr">
        <is>
          <t xml:space="preserve">25-50</t>
        </is>
      </c>
      <c r="J495" s="143" t="inlineStr">
        <is>
          <t xml:space="preserve">PRE INSP</t>
        </is>
      </c>
    </row>
    <row r="496" spans="1:10">
      <c r="A496" s="143" t="inlineStr">
        <is>
          <t xml:space="preserve">186</t>
        </is>
      </c>
      <c r="B496" s="143" t="inlineStr">
        <is>
          <t xml:space="preserve">256241-05-1</t>
        </is>
      </c>
      <c r="C496" s="143" t="inlineStr">
        <is>
          <t xml:space="preserve">256241-05-1 (5) / CABN DOORS GIRT BAR FITT STOP CLEAN</t>
        </is>
      </c>
      <c r="D496" s="143">
        <v>1.0</v>
      </c>
      <c r="E496" s="143">
        <v>0.87</v>
      </c>
      <c r="F496" s="143">
        <v>10.0</v>
      </c>
      <c r="G496" s="143">
        <v>5.33</v>
      </c>
      <c r="H496" s="143" t="inlineStr">
        <is>
          <t xml:space="preserve">Closed</t>
        </is>
      </c>
      <c r="I496" s="143" t="inlineStr">
        <is>
          <t xml:space="preserve">25-62</t>
        </is>
      </c>
      <c r="J496" s="143" t="inlineStr">
        <is>
          <t xml:space="preserve">CLEAN-UP, CLEAN-UP, OPS/LK, OPS/LK</t>
        </is>
      </c>
    </row>
    <row r="497" spans="1:10">
      <c r="A497" s="143" t="inlineStr">
        <is>
          <t xml:space="preserve">187</t>
        </is>
      </c>
      <c r="B497" s="143" t="inlineStr">
        <is>
          <t xml:space="preserve">261200-01-1</t>
        </is>
      </c>
      <c r="C497" s="143" t="inlineStr">
        <is>
          <t xml:space="preserve">261200-01-1 (4) / ENG FIRE &amp; OVERHEAT DETECTION TEST</t>
        </is>
      </c>
      <c r="D497" s="143">
        <v>1.0</v>
      </c>
      <c r="E497" s="143">
        <v>0.22</v>
      </c>
      <c r="F497" s="143">
        <v>4.0</v>
      </c>
      <c r="G497" s="143">
        <v>2.0</v>
      </c>
      <c r="H497" s="143" t="inlineStr">
        <is>
          <t xml:space="preserve">Closed</t>
        </is>
      </c>
      <c r="I497" s="143" t="inlineStr">
        <is>
          <t xml:space="preserve">26-12</t>
        </is>
      </c>
      <c r="J497" s="143" t="inlineStr">
        <is>
          <t xml:space="preserve">OPS/LK</t>
        </is>
      </c>
    </row>
    <row r="498" spans="1:10">
      <c r="A498" s="143" t="inlineStr">
        <is>
          <t xml:space="preserve">188</t>
        </is>
      </c>
      <c r="B498" s="143" t="inlineStr">
        <is>
          <t xml:space="preserve">261600-06-1</t>
        </is>
      </c>
      <c r="C498" s="143" t="inlineStr">
        <is>
          <t xml:space="preserve">261600-06-1 (0) / CARGO COMPARTMENT SMOKE DETECTION</t>
        </is>
      </c>
      <c r="D498" s="143">
        <v>1.0</v>
      </c>
      <c r="E498" s="143">
        <v>0.5</v>
      </c>
      <c r="F498" s="143">
        <v>6.0</v>
      </c>
      <c r="G498" s="143">
        <v>1.0</v>
      </c>
      <c r="H498" s="143" t="inlineStr">
        <is>
          <t xml:space="preserve">Closed</t>
        </is>
      </c>
      <c r="I498" s="143">
        <v>24.0</v>
      </c>
      <c r="J498" s="143"/>
    </row>
    <row r="499" spans="1:10">
      <c r="A499" s="143" t="inlineStr">
        <is>
          <t xml:space="preserve">189</t>
        </is>
      </c>
      <c r="B499" s="143" t="inlineStr">
        <is>
          <t xml:space="preserve">261700-06-1</t>
        </is>
      </c>
      <c r="C499" s="143" t="inlineStr">
        <is>
          <t xml:space="preserve">261700-06-1 (0) / LAVATORY SMOKE DETECTION</t>
        </is>
      </c>
      <c r="D499" s="143">
        <v>1.0</v>
      </c>
      <c r="E499" s="143">
        <v>0.5</v>
      </c>
      <c r="F499" s="143">
        <v>6.0</v>
      </c>
      <c r="G499" s="143">
        <v>1.03</v>
      </c>
      <c r="H499" s="143" t="inlineStr">
        <is>
          <t xml:space="preserve">Closed</t>
        </is>
      </c>
      <c r="I499" s="143">
        <v>24.0</v>
      </c>
      <c r="J499" s="143"/>
    </row>
    <row r="500" spans="1:10">
      <c r="A500" s="143" t="inlineStr">
        <is>
          <t xml:space="preserve">191</t>
        </is>
      </c>
      <c r="B500" s="143" t="inlineStr">
        <is>
          <t xml:space="preserve">274000-02-1</t>
        </is>
      </c>
      <c r="C500" s="143" t="inlineStr">
        <is>
          <t xml:space="preserve">274000-02-1 (4) / THS ACT OPS CHK (CMR)</t>
        </is>
      </c>
      <c r="D500" s="143">
        <v>1.0</v>
      </c>
      <c r="E500" s="143">
        <v>0.22</v>
      </c>
      <c r="F500" s="143">
        <v>8.08</v>
      </c>
      <c r="G500" s="143">
        <v>2.57</v>
      </c>
      <c r="H500" s="143" t="inlineStr">
        <is>
          <t xml:space="preserve">Closed</t>
        </is>
      </c>
      <c r="I500" s="143" t="inlineStr">
        <is>
          <t xml:space="preserve">27-44</t>
        </is>
      </c>
      <c r="J500" s="143" t="inlineStr">
        <is>
          <t xml:space="preserve">OPS/LK</t>
        </is>
      </c>
    </row>
    <row r="501" spans="1:10">
      <c r="A501" s="143" t="inlineStr">
        <is>
          <t xml:space="preserve">192</t>
        </is>
      </c>
      <c r="B501" s="143" t="inlineStr">
        <is>
          <t xml:space="preserve">274451-01-1</t>
        </is>
      </c>
      <c r="C501" s="143" t="inlineStr">
        <is>
          <t xml:space="preserve">274451-01-1 (2) / THS BALL SCREW NUT LUBRICATION</t>
        </is>
      </c>
      <c r="D501" s="143">
        <v>1.0</v>
      </c>
      <c r="E501" s="143">
        <v>0.22</v>
      </c>
      <c r="F501" s="143">
        <v>3.0</v>
      </c>
      <c r="G501" s="143">
        <v>1.0</v>
      </c>
      <c r="H501" s="143" t="inlineStr">
        <is>
          <t xml:space="preserve">Closed</t>
        </is>
      </c>
      <c r="I501" s="143" t="inlineStr">
        <is>
          <t xml:space="preserve">12-22</t>
        </is>
      </c>
      <c r="J501" s="143" t="inlineStr">
        <is>
          <t xml:space="preserve">TC/P</t>
        </is>
      </c>
    </row>
    <row r="502" spans="1:10">
      <c r="A502" s="143" t="inlineStr">
        <is>
          <t xml:space="preserve">193</t>
        </is>
      </c>
      <c r="B502" s="143" t="inlineStr">
        <is>
          <t xml:space="preserve">274451-10-1</t>
        </is>
      </c>
      <c r="C502" s="143" t="inlineStr">
        <is>
          <t xml:space="preserve">274451-10-1 (5) / THSA LOWER ATTACHM FOR SECOND LOAD</t>
        </is>
      </c>
      <c r="D502" s="143">
        <v>1.0</v>
      </c>
      <c r="E502" s="143">
        <v>10.67</v>
      </c>
      <c r="F502" s="143">
        <v>8.0</v>
      </c>
      <c r="G502" s="143">
        <v>2.73</v>
      </c>
      <c r="H502" s="143" t="inlineStr">
        <is>
          <t xml:space="preserve">Closed</t>
        </is>
      </c>
      <c r="I502" s="143" t="inlineStr">
        <is>
          <t xml:space="preserve">27-44</t>
        </is>
      </c>
      <c r="J502" s="143" t="inlineStr">
        <is>
          <t xml:space="preserve">JOB-SETUP, TC/P, INSPECTION, INSPECTION, INSPECTION, JOB-CLOSEUP</t>
        </is>
      </c>
    </row>
    <row r="503" spans="1:10">
      <c r="A503" s="143" t="inlineStr">
        <is>
          <t xml:space="preserve">194</t>
        </is>
      </c>
      <c r="B503" s="143" t="inlineStr">
        <is>
          <t xml:space="preserve">274451-11-1</t>
        </is>
      </c>
      <c r="C503" s="143" t="inlineStr">
        <is>
          <t xml:space="preserve">274451-11-1 (5) / THS UPER ATTACH FOR SECOND LOAD INSP</t>
        </is>
      </c>
      <c r="D503" s="143">
        <v>1.0</v>
      </c>
      <c r="E503" s="143">
        <v>14.0</v>
      </c>
      <c r="F503" s="143">
        <v>20.33</v>
      </c>
      <c r="G503" s="143">
        <v>4.4</v>
      </c>
      <c r="H503" s="143" t="inlineStr">
        <is>
          <t xml:space="preserve">Closed</t>
        </is>
      </c>
      <c r="I503" s="143" t="inlineStr">
        <is>
          <t xml:space="preserve">27-44</t>
        </is>
      </c>
      <c r="J503" s="143" t="inlineStr">
        <is>
          <t xml:space="preserve">JOB-SETUP, INSPECTION, INSPECTION, INSPECTION, INSPECTION, JOB-CLOSEUP</t>
        </is>
      </c>
    </row>
    <row r="504" spans="1:10">
      <c r="A504" s="143" t="inlineStr">
        <is>
          <t xml:space="preserve">195</t>
        </is>
      </c>
      <c r="B504" s="143" t="inlineStr">
        <is>
          <t xml:space="preserve">275446-01-1-001</t>
        </is>
      </c>
      <c r="C504" s="143" t="inlineStr">
        <is>
          <t xml:space="preserve">275446-01-1-001 (03) / L/H FLAP TRACKS LUBRICATION</t>
        </is>
      </c>
      <c r="D504" s="143">
        <v>1.0</v>
      </c>
      <c r="E504" s="143">
        <v>1.83</v>
      </c>
      <c r="F504" s="143">
        <v>0.0</v>
      </c>
      <c r="G504" s="143">
        <v>0.0</v>
      </c>
      <c r="H504" s="143" t="inlineStr">
        <is>
          <t xml:space="preserve">Closed</t>
        </is>
      </c>
      <c r="I504" s="143" t="inlineStr">
        <is>
          <t xml:space="preserve">12-22</t>
        </is>
      </c>
      <c r="J504" s="143" t="inlineStr">
        <is>
          <t xml:space="preserve">TC/P, TC/P</t>
        </is>
      </c>
    </row>
    <row r="505" spans="1:10">
      <c r="A505" s="143" t="inlineStr">
        <is>
          <t xml:space="preserve">196</t>
        </is>
      </c>
      <c r="B505" s="143" t="inlineStr">
        <is>
          <t xml:space="preserve">275446-01-1-002</t>
        </is>
      </c>
      <c r="C505" s="143" t="inlineStr">
        <is>
          <t xml:space="preserve">275446-01-1-002 (03) / R/H FLAP TRACKS LUBRICATION</t>
        </is>
      </c>
      <c r="D505" s="143">
        <v>1.0</v>
      </c>
      <c r="E505" s="143">
        <v>1.83</v>
      </c>
      <c r="F505" s="143">
        <v>3.0</v>
      </c>
      <c r="G505" s="143">
        <v>1.0</v>
      </c>
      <c r="H505" s="143" t="inlineStr">
        <is>
          <t xml:space="preserve">Closed</t>
        </is>
      </c>
      <c r="I505" s="143" t="inlineStr">
        <is>
          <t xml:space="preserve">12-22</t>
        </is>
      </c>
      <c r="J505" s="143" t="inlineStr">
        <is>
          <t xml:space="preserve">TC/P, TC/P</t>
        </is>
      </c>
    </row>
    <row r="506" spans="1:10">
      <c r="A506" s="143" t="inlineStr">
        <is>
          <t xml:space="preserve">197</t>
        </is>
      </c>
      <c r="B506" s="143" t="inlineStr">
        <is>
          <t xml:space="preserve">278468-01-1-002</t>
        </is>
      </c>
      <c r="C506" s="143" t="inlineStr">
        <is>
          <t xml:space="preserve">278468-01-1-002 (02) / R/H WING SLAT TRACK LUBRICATION</t>
        </is>
      </c>
      <c r="D506" s="143">
        <v>1.0</v>
      </c>
      <c r="E506" s="143">
        <v>2.2</v>
      </c>
      <c r="F506" s="143">
        <v>2.0</v>
      </c>
      <c r="G506" s="143">
        <v>1.0</v>
      </c>
      <c r="H506" s="143" t="inlineStr">
        <is>
          <t xml:space="preserve">Closed</t>
        </is>
      </c>
      <c r="I506" s="143" t="inlineStr">
        <is>
          <t xml:space="preserve">12-22</t>
        </is>
      </c>
      <c r="J506" s="143" t="inlineStr">
        <is>
          <t xml:space="preserve">JOB-SETUP, TC/P, JOB-CLOSEUP</t>
        </is>
      </c>
    </row>
    <row r="507" spans="1:10">
      <c r="A507" s="143" t="inlineStr">
        <is>
          <t xml:space="preserve">198</t>
        </is>
      </c>
      <c r="B507" s="143" t="inlineStr">
        <is>
          <t xml:space="preserve">281100-02-1</t>
        </is>
      </c>
      <c r="C507" s="143" t="inlineStr">
        <is>
          <t xml:space="preserve">281100-02-1 (3) / TANKS WATER DRAIN</t>
        </is>
      </c>
      <c r="D507" s="143">
        <v>1.0</v>
      </c>
      <c r="E507" s="143">
        <v>0.1</v>
      </c>
      <c r="F507" s="143">
        <v>3.5</v>
      </c>
      <c r="G507" s="143">
        <v>3.02</v>
      </c>
      <c r="H507" s="143" t="inlineStr">
        <is>
          <t xml:space="preserve">Closed</t>
        </is>
      </c>
      <c r="I507" s="143" t="inlineStr">
        <is>
          <t xml:space="preserve">28-11</t>
        </is>
      </c>
      <c r="J507" s="143" t="inlineStr">
        <is>
          <t xml:space="preserve">OPS/LK</t>
        </is>
      </c>
    </row>
    <row r="508" spans="1:10">
      <c r="A508" s="143" t="inlineStr">
        <is>
          <t xml:space="preserve">203</t>
        </is>
      </c>
      <c r="B508" s="143" t="inlineStr">
        <is>
          <t xml:space="preserve">282800-09-1</t>
        </is>
      </c>
      <c r="C508" s="143" t="inlineStr">
        <is>
          <t xml:space="preserve">282800-09-1 (03) / ADDITIONAL CENTER TANK TRANSFER SYSTEM (GVI)</t>
        </is>
      </c>
      <c r="D508" s="143">
        <v>1.0</v>
      </c>
      <c r="E508" s="143">
        <v>0.35</v>
      </c>
      <c r="F508" s="143">
        <v>0.25</v>
      </c>
      <c r="G508" s="143">
        <v>0.25</v>
      </c>
      <c r="H508" s="143" t="inlineStr">
        <is>
          <t xml:space="preserve">Closed</t>
        </is>
      </c>
      <c r="I508" s="143" t="inlineStr">
        <is>
          <t xml:space="preserve">28-28</t>
        </is>
      </c>
      <c r="J508" s="143" t="inlineStr">
        <is>
          <t xml:space="preserve">PRE INSP</t>
        </is>
      </c>
    </row>
    <row r="509" spans="1:10">
      <c r="A509" s="143" t="inlineStr">
        <is>
          <t xml:space="preserve">204</t>
        </is>
      </c>
      <c r="B509" s="143" t="inlineStr">
        <is>
          <t xml:space="preserve">291000-01-1</t>
        </is>
      </c>
      <c r="C509" s="143" t="inlineStr">
        <is>
          <t xml:space="preserve">291000-01-1 (3) / HYD RESERVOIRS FLUID LEVEL CHECK</t>
        </is>
      </c>
      <c r="D509" s="143">
        <v>1.0</v>
      </c>
      <c r="E509" s="143">
        <v>0.22</v>
      </c>
      <c r="F509" s="143">
        <v>3.0</v>
      </c>
      <c r="G509" s="143">
        <v>1.12</v>
      </c>
      <c r="H509" s="143" t="inlineStr">
        <is>
          <t xml:space="preserve">Closed</t>
        </is>
      </c>
      <c r="I509" s="143" t="inlineStr">
        <is>
          <t xml:space="preserve">29-10</t>
        </is>
      </c>
      <c r="J509" s="143" t="inlineStr">
        <is>
          <t xml:space="preserve">TC/P</t>
        </is>
      </c>
    </row>
    <row r="510" spans="1:10">
      <c r="A510" s="143" t="inlineStr">
        <is>
          <t xml:space="preserve">205</t>
        </is>
      </c>
      <c r="B510" s="143" t="inlineStr">
        <is>
          <t xml:space="preserve">291000-18-1</t>
        </is>
      </c>
      <c r="C510" s="143" t="inlineStr">
        <is>
          <t xml:space="preserve">291000-18-1 (2) / HYDRAULIC RECOVERY TANK DRAINAGE</t>
        </is>
      </c>
      <c r="D510" s="143">
        <v>1.0</v>
      </c>
      <c r="E510" s="143">
        <v>0.65</v>
      </c>
      <c r="F510" s="143">
        <v>6.0</v>
      </c>
      <c r="G510" s="143">
        <v>4.23</v>
      </c>
      <c r="H510" s="143" t="inlineStr">
        <is>
          <t xml:space="preserve">Closed</t>
        </is>
      </c>
      <c r="I510" s="143" t="inlineStr">
        <is>
          <t xml:space="preserve">29-27</t>
        </is>
      </c>
      <c r="J510" s="143" t="inlineStr">
        <is>
          <t xml:space="preserve">TC/P</t>
        </is>
      </c>
    </row>
    <row r="511" spans="1:10">
      <c r="A511" s="143" t="inlineStr">
        <is>
          <t xml:space="preserve">206</t>
        </is>
      </c>
      <c r="B511" s="143" t="inlineStr">
        <is>
          <t xml:space="preserve">292251-02-1</t>
        </is>
      </c>
      <c r="C511" s="143" t="inlineStr">
        <is>
          <t xml:space="preserve">292251-02-1 (2) / RAT ASSEMBLY AND DOOR INSP</t>
        </is>
      </c>
      <c r="D511" s="143">
        <v>1.0</v>
      </c>
      <c r="E511" s="143">
        <v>0.72</v>
      </c>
      <c r="F511" s="143">
        <v>40.5</v>
      </c>
      <c r="G511" s="143">
        <v>28.2</v>
      </c>
      <c r="H511" s="143" t="inlineStr">
        <is>
          <t xml:space="preserve">Closed</t>
        </is>
      </c>
      <c r="I511" s="143" t="inlineStr">
        <is>
          <t xml:space="preserve">29-22</t>
        </is>
      </c>
      <c r="J511" s="143" t="inlineStr">
        <is>
          <t xml:space="preserve">TC/P</t>
        </is>
      </c>
    </row>
    <row r="512" spans="1:10">
      <c r="A512" s="143" t="inlineStr">
        <is>
          <t xml:space="preserve">207</t>
        </is>
      </c>
      <c r="B512" s="143" t="inlineStr">
        <is>
          <t xml:space="preserve">31-63-00-01-SVA-001</t>
        </is>
      </c>
      <c r="C512" s="143" t="inlineStr">
        <is>
          <t xml:space="preserve">31-63-00-01-SVA-001 (04) / COCKPIT AND AVIONICS COMPARTMENT AREA AND EQUIPMENT`S CLEANING.</t>
        </is>
      </c>
      <c r="D512" s="143">
        <v>1.0</v>
      </c>
      <c r="E512" s="143">
        <v>2.0</v>
      </c>
      <c r="F512" s="143">
        <v>21.0</v>
      </c>
      <c r="G512" s="143">
        <v>6.1</v>
      </c>
      <c r="H512" s="143" t="inlineStr">
        <is>
          <t xml:space="preserve">Closed</t>
        </is>
      </c>
      <c r="I512" s="143" t="inlineStr">
        <is>
          <t xml:space="preserve">31-63</t>
        </is>
      </c>
      <c r="J512" s="143" t="inlineStr">
        <is>
          <t xml:space="preserve">CLEAN-UP</t>
        </is>
      </c>
    </row>
    <row r="513" spans="1:10">
      <c r="A513" s="143" t="inlineStr">
        <is>
          <t xml:space="preserve">208</t>
        </is>
      </c>
      <c r="B513" s="143" t="inlineStr">
        <is>
          <t xml:space="preserve">313000-01-1</t>
        </is>
      </c>
      <c r="C513" s="143" t="inlineStr">
        <is>
          <t xml:space="preserve">313000-01-1 (5) / CLASS 3 FAULTS READING CHECK</t>
        </is>
      </c>
      <c r="D513" s="143">
        <v>1.0</v>
      </c>
      <c r="E513" s="143">
        <v>0.22</v>
      </c>
      <c r="F513" s="143">
        <v>4.0</v>
      </c>
      <c r="G513" s="143">
        <v>2.0</v>
      </c>
      <c r="H513" s="143" t="inlineStr">
        <is>
          <t xml:space="preserve">Closed</t>
        </is>
      </c>
      <c r="I513" s="143" t="inlineStr">
        <is>
          <t xml:space="preserve">31-30</t>
        </is>
      </c>
      <c r="J513" s="143" t="inlineStr">
        <is>
          <t xml:space="preserve">PRE HGR</t>
        </is>
      </c>
    </row>
    <row r="514" spans="1:10">
      <c r="A514" s="143" t="inlineStr">
        <is>
          <t xml:space="preserve">209</t>
        </is>
      </c>
      <c r="B514" s="143" t="inlineStr">
        <is>
          <t xml:space="preserve">313300-08-1</t>
        </is>
      </c>
      <c r="C514" s="143" t="inlineStr">
        <is>
          <t xml:space="preserve">313300-08-1 (3) / DFDR SYSTEM INTERCONNECTION</t>
        </is>
      </c>
      <c r="D514" s="143">
        <v>1.0</v>
      </c>
      <c r="E514" s="143">
        <v>2.5</v>
      </c>
      <c r="F514" s="143">
        <v>11.0</v>
      </c>
      <c r="G514" s="143">
        <v>3.02</v>
      </c>
      <c r="H514" s="143" t="inlineStr">
        <is>
          <t xml:space="preserve">Closed</t>
        </is>
      </c>
      <c r="I514" s="143" t="inlineStr">
        <is>
          <t xml:space="preserve">31-33</t>
        </is>
      </c>
      <c r="J514" s="143" t="inlineStr">
        <is>
          <t xml:space="preserve">JOB-SETUP, TC/P, JOB-CLOSEUP</t>
        </is>
      </c>
    </row>
    <row r="515" spans="1:10">
      <c r="A515" s="143" t="inlineStr">
        <is>
          <t xml:space="preserve">210</t>
        </is>
      </c>
      <c r="B515" s="143" t="inlineStr">
        <is>
          <t xml:space="preserve">323000-01-1-001</t>
        </is>
      </c>
      <c r="C515" s="143" t="inlineStr">
        <is>
          <t xml:space="preserve">323000-01-1-001 (4) / (NLG) DOWNLOCK SPRING &amp; ATTACHMENT</t>
        </is>
      </c>
      <c r="D515" s="143">
        <v>1.0</v>
      </c>
      <c r="E515" s="143">
        <v>0.12</v>
      </c>
      <c r="F515" s="143">
        <v>1.0</v>
      </c>
      <c r="G515" s="143">
        <v>1.0</v>
      </c>
      <c r="H515" s="143" t="inlineStr">
        <is>
          <t xml:space="preserve">Closed</t>
        </is>
      </c>
      <c r="I515" s="143" t="inlineStr">
        <is>
          <t xml:space="preserve">32-30</t>
        </is>
      </c>
      <c r="J515" s="143" t="inlineStr">
        <is>
          <t xml:space="preserve">PRE INSP</t>
        </is>
      </c>
    </row>
    <row r="516" spans="1:10">
      <c r="A516" s="143" t="inlineStr">
        <is>
          <t xml:space="preserve">211</t>
        </is>
      </c>
      <c r="B516" s="143" t="inlineStr">
        <is>
          <t xml:space="preserve">323000-01-1-002</t>
        </is>
      </c>
      <c r="C516" s="143" t="inlineStr">
        <is>
          <t xml:space="preserve">323000-01-1-002 (4) / LH(MLG)DOWINLOCK SPRING &amp; ATTACHMENT</t>
        </is>
      </c>
      <c r="D516" s="143">
        <v>1.0</v>
      </c>
      <c r="E516" s="143">
        <v>0.12</v>
      </c>
      <c r="F516" s="143">
        <v>0.25</v>
      </c>
      <c r="G516" s="143">
        <v>0.25</v>
      </c>
      <c r="H516" s="143" t="inlineStr">
        <is>
          <t xml:space="preserve">Closed</t>
        </is>
      </c>
      <c r="I516" s="143" t="inlineStr">
        <is>
          <t xml:space="preserve">32-30</t>
        </is>
      </c>
      <c r="J516" s="143" t="inlineStr">
        <is>
          <t xml:space="preserve">PRE INSP</t>
        </is>
      </c>
    </row>
    <row r="517" spans="1:10">
      <c r="A517" s="143" t="inlineStr">
        <is>
          <t xml:space="preserve">212</t>
        </is>
      </c>
      <c r="B517" s="143" t="inlineStr">
        <is>
          <t xml:space="preserve">323000-01-1-003</t>
        </is>
      </c>
      <c r="C517" s="143" t="inlineStr">
        <is>
          <t xml:space="preserve">323000-01-1-003 (4) / RH(MLG)DOWINLOCK SPRING &amp; ATTACHMENT</t>
        </is>
      </c>
      <c r="D517" s="143">
        <v>1.0</v>
      </c>
      <c r="E517" s="143">
        <v>0.12</v>
      </c>
      <c r="F517" s="143">
        <v>0.5</v>
      </c>
      <c r="G517" s="143">
        <v>0.5</v>
      </c>
      <c r="H517" s="143" t="inlineStr">
        <is>
          <t xml:space="preserve">Closed</t>
        </is>
      </c>
      <c r="I517" s="143" t="inlineStr">
        <is>
          <t xml:space="preserve">32-30</t>
        </is>
      </c>
      <c r="J517" s="143" t="inlineStr">
        <is>
          <t xml:space="preserve">PRE INSP</t>
        </is>
      </c>
    </row>
    <row r="518" spans="1:10">
      <c r="A518" s="143" t="inlineStr">
        <is>
          <t xml:space="preserve">213</t>
        </is>
      </c>
      <c r="B518" s="143" t="inlineStr">
        <is>
          <t xml:space="preserve">324411-01-2</t>
        </is>
      </c>
      <c r="C518" s="143" t="inlineStr">
        <is>
          <t xml:space="preserve">324411-01-2 (3) / BRAKE ACCUMULATOR</t>
        </is>
      </c>
      <c r="D518" s="143">
        <v>1.0</v>
      </c>
      <c r="E518" s="143">
        <v>0.08</v>
      </c>
      <c r="F518" s="143">
        <v>8.0</v>
      </c>
      <c r="G518" s="143">
        <v>2.02</v>
      </c>
      <c r="H518" s="143" t="inlineStr">
        <is>
          <t xml:space="preserve">Closed</t>
        </is>
      </c>
      <c r="I518" s="143" t="inlineStr">
        <is>
          <t xml:space="preserve">32-44</t>
        </is>
      </c>
      <c r="J518" s="143" t="inlineStr">
        <is>
          <t xml:space="preserve">TC/P</t>
        </is>
      </c>
    </row>
    <row r="519" spans="1:10">
      <c r="A519" s="143" t="inlineStr">
        <is>
          <t xml:space="preserve">214</t>
        </is>
      </c>
      <c r="B519" s="143" t="inlineStr">
        <is>
          <t xml:space="preserve">344200-03-1</t>
        </is>
      </c>
      <c r="C519" s="143" t="inlineStr">
        <is>
          <t xml:space="preserve">344200-03-1 (5) / RADIO ALTIMETER &amp; ANTENNA CLEANING</t>
        </is>
      </c>
      <c r="D519" s="143">
        <v>1.0</v>
      </c>
      <c r="E519" s="143">
        <v>1.0</v>
      </c>
      <c r="F519" s="143">
        <v>4.0</v>
      </c>
      <c r="G519" s="143">
        <v>2.02</v>
      </c>
      <c r="H519" s="143" t="inlineStr">
        <is>
          <t xml:space="preserve">Closed</t>
        </is>
      </c>
      <c r="I519" s="143" t="inlineStr">
        <is>
          <t xml:space="preserve">34-42</t>
        </is>
      </c>
      <c r="J519" s="143" t="inlineStr">
        <is>
          <t xml:space="preserve">CLEAN-UP</t>
        </is>
      </c>
    </row>
    <row r="520" spans="1:10">
      <c r="A520" s="143" t="inlineStr">
        <is>
          <t xml:space="preserve">215</t>
        </is>
      </c>
      <c r="B520" s="143" t="inlineStr">
        <is>
          <t xml:space="preserve">353000-01-1</t>
        </is>
      </c>
      <c r="C520" s="143" t="inlineStr">
        <is>
          <t xml:space="preserve">353000-01-1 (5) / PORTABLE OXYGEN CYLINDERS OPC</t>
        </is>
      </c>
      <c r="D520" s="143">
        <v>1.0</v>
      </c>
      <c r="E520" s="143">
        <v>0.37</v>
      </c>
      <c r="F520" s="143">
        <v>6.5</v>
      </c>
      <c r="G520" s="143">
        <v>5.17</v>
      </c>
      <c r="H520" s="143" t="inlineStr">
        <is>
          <t xml:space="preserve">Closed</t>
        </is>
      </c>
      <c r="I520" s="143" t="inlineStr">
        <is>
          <t xml:space="preserve">35-32</t>
        </is>
      </c>
      <c r="J520" s="143" t="inlineStr">
        <is>
          <t xml:space="preserve">JOB-SETUP, INSPECTION, JOB-CLOSEUP</t>
        </is>
      </c>
    </row>
    <row r="521" spans="1:10">
      <c r="A521" s="143" t="inlineStr">
        <is>
          <t xml:space="preserve">216</t>
        </is>
      </c>
      <c r="B521" s="143" t="inlineStr">
        <is>
          <t xml:space="preserve">353000-05-1</t>
        </is>
      </c>
      <c r="C521" s="143" t="inlineStr">
        <is>
          <t xml:space="preserve">353000-05-1 (5) / CABIN PBE INSP</t>
        </is>
      </c>
      <c r="D521" s="143">
        <v>1.0</v>
      </c>
      <c r="E521" s="143">
        <v>0.43</v>
      </c>
      <c r="F521" s="143">
        <v>2.75</v>
      </c>
      <c r="G521" s="143">
        <v>3.78</v>
      </c>
      <c r="H521" s="143" t="inlineStr">
        <is>
          <t xml:space="preserve">Closed</t>
        </is>
      </c>
      <c r="I521" s="143" t="inlineStr">
        <is>
          <t xml:space="preserve">35-30</t>
        </is>
      </c>
      <c r="J521" s="143" t="inlineStr">
        <is>
          <t xml:space="preserve">PRE INSP, PRE INSP, PRE INSP</t>
        </is>
      </c>
    </row>
    <row r="522" spans="1:10">
      <c r="A522" s="143" t="inlineStr">
        <is>
          <t xml:space="preserve">217</t>
        </is>
      </c>
      <c r="B522" s="143" t="inlineStr">
        <is>
          <t xml:space="preserve">361100-08-2-001-SVA</t>
        </is>
      </c>
      <c r="C522" s="143" t="inlineStr">
        <is>
          <t xml:space="preserve">361100-08-2-001-SVA (07) / NO. 1 ENGINE HIGH PRESSURE DUCT INSPECTION</t>
        </is>
      </c>
      <c r="D522" s="143">
        <v>1.0</v>
      </c>
      <c r="E522" s="143">
        <v>7.17</v>
      </c>
      <c r="F522" s="143">
        <v>20.75</v>
      </c>
      <c r="G522" s="143">
        <v>144.1</v>
      </c>
      <c r="H522" s="143" t="inlineStr">
        <is>
          <t xml:space="preserve">Closed</t>
        </is>
      </c>
      <c r="I522" s="143" t="inlineStr">
        <is>
          <t xml:space="preserve">36-11</t>
        </is>
      </c>
      <c r="J522" s="143" t="inlineStr">
        <is>
          <t xml:space="preserve">JOB-SETUP, INSPECTION, --, --, --, INSPECTION, JOB-CLOSEUP</t>
        </is>
      </c>
    </row>
    <row r="523" spans="1:10">
      <c r="A523" s="143" t="inlineStr">
        <is>
          <t xml:space="preserve">218</t>
        </is>
      </c>
      <c r="B523" s="143" t="inlineStr">
        <is>
          <t xml:space="preserve">361100-08-2-002-SVA</t>
        </is>
      </c>
      <c r="C523" s="143" t="inlineStr">
        <is>
          <t xml:space="preserve">361100-08-2-002-SVA (07) / NO. 2 ENGINE HIGH PRESSURE DUCT INSPECTION</t>
        </is>
      </c>
      <c r="D523" s="143">
        <v>1.0</v>
      </c>
      <c r="E523" s="143">
        <v>7.17</v>
      </c>
      <c r="F523" s="143">
        <v>11.08</v>
      </c>
      <c r="G523" s="143">
        <v>145.9</v>
      </c>
      <c r="H523" s="143" t="inlineStr">
        <is>
          <t xml:space="preserve">Closed</t>
        </is>
      </c>
      <c r="I523" s="143" t="inlineStr">
        <is>
          <t xml:space="preserve">36-11</t>
        </is>
      </c>
      <c r="J523" s="143" t="inlineStr">
        <is>
          <t xml:space="preserve">JOB-SETUP, INSPECTION, --, --, --, INSPECTION, JOB-CLOSEUP</t>
        </is>
      </c>
    </row>
    <row r="524" spans="1:10">
      <c r="A524" s="143" t="inlineStr">
        <is>
          <t xml:space="preserve">219</t>
        </is>
      </c>
      <c r="B524" s="143" t="inlineStr">
        <is>
          <t xml:space="preserve">383200-01-1</t>
        </is>
      </c>
      <c r="C524" s="143" t="inlineStr">
        <is>
          <t xml:space="preserve">383200-01-1 (3) / WASHBASIN FILTER ELEMENT CLEANING</t>
        </is>
      </c>
      <c r="D524" s="143">
        <v>1.0</v>
      </c>
      <c r="E524" s="143">
        <v>0.22</v>
      </c>
      <c r="F524" s="143">
        <v>3.0</v>
      </c>
      <c r="G524" s="143">
        <v>3.0</v>
      </c>
      <c r="H524" s="143" t="inlineStr">
        <is>
          <t xml:space="preserve">Closed</t>
        </is>
      </c>
      <c r="I524" s="143" t="inlineStr">
        <is>
          <t xml:space="preserve">38-32</t>
        </is>
      </c>
      <c r="J524" s="143" t="inlineStr">
        <is>
          <t xml:space="preserve">CLEAN-UP, CLEAN-UP, CLEAN-UP</t>
        </is>
      </c>
    </row>
    <row r="525" spans="1:10">
      <c r="A525" s="143" t="inlineStr">
        <is>
          <t xml:space="preserve">220</t>
        </is>
      </c>
      <c r="B525" s="143" t="inlineStr">
        <is>
          <t xml:space="preserve">49-90-00-01-1-SVA</t>
        </is>
      </c>
      <c r="C525" s="143" t="inlineStr">
        <is>
          <t xml:space="preserve">49-90-00-01-1-SVA (00) / APU OIL COOLER CLEANING</t>
        </is>
      </c>
      <c r="D525" s="143">
        <v>1.0</v>
      </c>
      <c r="E525" s="143">
        <v>1.83</v>
      </c>
      <c r="F525" s="143">
        <v>27.0</v>
      </c>
      <c r="G525" s="143">
        <v>9.23</v>
      </c>
      <c r="H525" s="143" t="inlineStr">
        <is>
          <t xml:space="preserve">Closed</t>
        </is>
      </c>
      <c r="I525" s="143" t="inlineStr">
        <is>
          <t xml:space="preserve">20-00</t>
        </is>
      </c>
      <c r="J525" s="143" t="inlineStr">
        <is>
          <t xml:space="preserve">JOB-SETUP, CLEAN-UP, JOB-CLOSEUP</t>
        </is>
      </c>
    </row>
    <row r="526" spans="1:10">
      <c r="A526" s="143" t="inlineStr">
        <is>
          <t xml:space="preserve">221</t>
        </is>
      </c>
      <c r="B526" s="143" t="inlineStr">
        <is>
          <t xml:space="preserve">52-31-00-01-0-SVA</t>
        </is>
      </c>
      <c r="C526" s="143" t="inlineStr">
        <is>
          <t xml:space="preserve">52-31-00-01-0-SVA (02) / FWD CARGO COMPARTMENT DOOR PROXIMITY (28WV &amp; 30WV) SWITCH AND TARGET CLEANING</t>
        </is>
      </c>
      <c r="D526" s="143">
        <v>1.0</v>
      </c>
      <c r="E526" s="143">
        <v>1.67</v>
      </c>
      <c r="F526" s="143">
        <v>35.0</v>
      </c>
      <c r="G526" s="143">
        <v>7.3</v>
      </c>
      <c r="H526" s="143" t="inlineStr">
        <is>
          <t xml:space="preserve">Closed</t>
        </is>
      </c>
      <c r="I526" s="143" t="inlineStr">
        <is>
          <t xml:space="preserve">52-71-00</t>
        </is>
      </c>
      <c r="J526" s="143" t="inlineStr">
        <is>
          <t xml:space="preserve">JOB-SETUP, --, --, --</t>
        </is>
      </c>
    </row>
    <row r="527" spans="1:10">
      <c r="A527" s="143" t="inlineStr">
        <is>
          <t xml:space="preserve">223</t>
        </is>
      </c>
      <c r="B527" s="143" t="inlineStr">
        <is>
          <t xml:space="preserve">525111-06-2</t>
        </is>
      </c>
      <c r="C527" s="143" t="inlineStr">
        <is>
          <t xml:space="preserve">525111-06-2 (2) / FUNCTIONAL CHECK OF THE CORRECT ADJUSTMENT OF THE COCKPIT DOOR, ELECTRICAL RELEASE STRIKES AND LATCH MECHANISM</t>
        </is>
      </c>
      <c r="D527" s="143">
        <v>1.0</v>
      </c>
      <c r="E527" s="143">
        <v>0.92</v>
      </c>
      <c r="F527" s="143">
        <v>7.75</v>
      </c>
      <c r="G527" s="143">
        <v>27.0</v>
      </c>
      <c r="H527" s="143" t="inlineStr">
        <is>
          <t xml:space="preserve">Closed</t>
        </is>
      </c>
      <c r="I527" s="143" t="inlineStr">
        <is>
          <t xml:space="preserve">52-51</t>
        </is>
      </c>
      <c r="J527" s="143" t="inlineStr">
        <is>
          <t xml:space="preserve">JOB-SETUP, OPS/LK, JOB-CLOSEUP</t>
        </is>
      </c>
    </row>
    <row r="528" spans="1:10">
      <c r="A528" s="143" t="inlineStr">
        <is>
          <t xml:space="preserve">224</t>
        </is>
      </c>
      <c r="B528" s="143" t="inlineStr">
        <is>
          <t xml:space="preserve">527100-02-1</t>
        </is>
      </c>
      <c r="C528" s="143" t="inlineStr">
        <is>
          <t xml:space="preserve">527100-02-1 (4) / MAIN ENTRY DR WARNING PRX SW ACTUAT</t>
        </is>
      </c>
      <c r="D528" s="143">
        <v>1.0</v>
      </c>
      <c r="E528" s="143">
        <v>0.43</v>
      </c>
      <c r="F528" s="143">
        <v>6.0</v>
      </c>
      <c r="G528" s="143">
        <v>299.1</v>
      </c>
      <c r="H528" s="143" t="inlineStr">
        <is>
          <t xml:space="preserve">Closed</t>
        </is>
      </c>
      <c r="I528" s="143" t="inlineStr">
        <is>
          <t xml:space="preserve">12-22</t>
        </is>
      </c>
      <c r="J528" s="143" t="inlineStr">
        <is>
          <t xml:space="preserve">TC/P, TC/P, TC/P, TC/P, TC/P</t>
        </is>
      </c>
    </row>
    <row r="529" spans="1:10">
      <c r="A529" s="143" t="inlineStr">
        <is>
          <t xml:space="preserve">227</t>
        </is>
      </c>
      <c r="B529" s="143" t="inlineStr">
        <is>
          <t xml:space="preserve">561000-01-1-SVA</t>
        </is>
      </c>
      <c r="C529" s="143" t="inlineStr">
        <is>
          <t xml:space="preserve">561000-01-1-SVA (04) / COCKPIT WINDOWS INSPECTION</t>
        </is>
      </c>
      <c r="D529" s="143">
        <v>1.0</v>
      </c>
      <c r="E529" s="143">
        <v>3.5</v>
      </c>
      <c r="F529" s="143">
        <v>15.0</v>
      </c>
      <c r="G529" s="143">
        <v>134.1</v>
      </c>
      <c r="H529" s="143" t="inlineStr">
        <is>
          <t xml:space="preserve">Closed</t>
        </is>
      </c>
      <c r="I529" s="143" t="inlineStr">
        <is>
          <t xml:space="preserve">56-10</t>
        </is>
      </c>
      <c r="J529" s="143" t="inlineStr">
        <is>
          <t xml:space="preserve">PRE HGR, INSPECTION, INSPECTION, JOB-CLOSEUP</t>
        </is>
      </c>
    </row>
    <row r="530" spans="1:10">
      <c r="A530" s="143" t="inlineStr">
        <is>
          <t xml:space="preserve">230</t>
        </is>
      </c>
      <c r="B530" s="143" t="inlineStr">
        <is>
          <t xml:space="preserve">801110-C3-1-001</t>
        </is>
      </c>
      <c r="C530" s="143" t="inlineStr">
        <is>
          <t xml:space="preserve">801110-C3-1-001 (01) / NO.1 ENGINE STARTER REPLENISHMENT</t>
        </is>
      </c>
      <c r="D530" s="143">
        <v>1.0</v>
      </c>
      <c r="E530" s="143">
        <v>0.67</v>
      </c>
      <c r="F530" s="143">
        <v>7.0</v>
      </c>
      <c r="G530" s="143">
        <v>7.0</v>
      </c>
      <c r="H530" s="143" t="inlineStr">
        <is>
          <t xml:space="preserve">Closed</t>
        </is>
      </c>
      <c r="I530" s="143" t="inlineStr">
        <is>
          <t xml:space="preserve">12-13</t>
        </is>
      </c>
      <c r="J530" s="143" t="inlineStr">
        <is>
          <t xml:space="preserve">JOB-SETUP, TC/P, JOB-CLOSEUP</t>
        </is>
      </c>
    </row>
    <row r="531" spans="1:10">
      <c r="A531" s="143" t="inlineStr">
        <is>
          <t xml:space="preserve">231</t>
        </is>
      </c>
      <c r="B531" s="143" t="inlineStr">
        <is>
          <t xml:space="preserve">801110-C3-1-002</t>
        </is>
      </c>
      <c r="C531" s="143" t="inlineStr">
        <is>
          <t xml:space="preserve">801110-C3-1-002 (01) / NO.2 ENGINE STARTER REPLENISHMENT</t>
        </is>
      </c>
      <c r="D531" s="143">
        <v>1.0</v>
      </c>
      <c r="E531" s="143">
        <v>0.67</v>
      </c>
      <c r="F531" s="143">
        <v>8.0</v>
      </c>
      <c r="G531" s="143">
        <v>148.5</v>
      </c>
      <c r="H531" s="143" t="inlineStr">
        <is>
          <t xml:space="preserve">Closed</t>
        </is>
      </c>
      <c r="I531" s="143" t="inlineStr">
        <is>
          <t xml:space="preserve">12-13</t>
        </is>
      </c>
      <c r="J531" s="143" t="inlineStr">
        <is>
          <t xml:space="preserve">JOB-SETUP, TC/P, JOB-CLOSEUP</t>
        </is>
      </c>
    </row>
    <row r="532" spans="1:10">
      <c r="A532" s="143" t="inlineStr">
        <is>
          <t xml:space="preserve">232</t>
        </is>
      </c>
      <c r="B532" s="143" t="inlineStr">
        <is>
          <t xml:space="preserve">FRSEO722061</t>
        </is>
      </c>
      <c r="C532" s="143" t="inlineStr">
        <is>
          <t xml:space="preserve">FRSEO722061 (02) / ACFT FAN FRAME ASSY-ON WING INSP</t>
        </is>
      </c>
      <c r="D532" s="143">
        <v>1.0</v>
      </c>
      <c r="E532" s="143">
        <v>5.67</v>
      </c>
      <c r="F532" s="143">
        <v>22.58</v>
      </c>
      <c r="G532" s="143">
        <v>285.5</v>
      </c>
      <c r="H532" s="143" t="inlineStr">
        <is>
          <t xml:space="preserve">Closed</t>
        </is>
      </c>
      <c r="I532" s="143" t="inlineStr">
        <is>
          <t xml:space="preserve">20-00</t>
        </is>
      </c>
      <c r="J532" s="143"/>
    </row>
    <row r="533" spans="1:10">
      <c r="A533" s="143" t="inlineStr">
        <is>
          <t xml:space="preserve">236</t>
        </is>
      </c>
      <c r="B533" s="143" t="inlineStr">
        <is>
          <t xml:space="preserve">200002-01-1</t>
        </is>
      </c>
      <c r="C533" s="143" t="inlineStr">
        <is>
          <t xml:space="preserve">200002-01-1 (2) / THS ELECTRICAL BONDING LEADS INSP</t>
        </is>
      </c>
      <c r="D533" s="143">
        <v>1.0</v>
      </c>
      <c r="E533" s="143">
        <v>0.65</v>
      </c>
      <c r="F533" s="143">
        <v>15.0</v>
      </c>
      <c r="G533" s="143">
        <v>17.33</v>
      </c>
      <c r="H533" s="143" t="inlineStr">
        <is>
          <t xml:space="preserve">Closed</t>
        </is>
      </c>
      <c r="I533" s="143" t="inlineStr">
        <is>
          <t xml:space="preserve">24-92</t>
        </is>
      </c>
      <c r="J533" s="143" t="inlineStr">
        <is>
          <t xml:space="preserve">INSPECTION</t>
        </is>
      </c>
    </row>
    <row r="534" spans="1:10">
      <c r="A534" s="143" t="inlineStr">
        <is>
          <t xml:space="preserve">237</t>
        </is>
      </c>
      <c r="B534" s="143" t="inlineStr">
        <is>
          <t xml:space="preserve">200435-01-1-001</t>
        </is>
      </c>
      <c r="C534" s="143" t="inlineStr">
        <is>
          <t xml:space="preserve">200435-01-1-001 (03) / NO.1 ENG FAN&amp;ACCESORY G/B WIRNG INSP</t>
        </is>
      </c>
      <c r="D534" s="143">
        <v>1.0</v>
      </c>
      <c r="E534" s="143">
        <v>1.13</v>
      </c>
      <c r="F534" s="143">
        <v>2.5</v>
      </c>
      <c r="G534" s="143">
        <v>16.18</v>
      </c>
      <c r="H534" s="143" t="inlineStr">
        <is>
          <t xml:space="preserve">Closed</t>
        </is>
      </c>
      <c r="I534" s="143" t="inlineStr">
        <is>
          <t xml:space="preserve">24-92</t>
        </is>
      </c>
      <c r="J534" s="143" t="inlineStr">
        <is>
          <t xml:space="preserve">JOB-SETUP, INSPECTION, JOB-CLOSEUP</t>
        </is>
      </c>
    </row>
    <row r="535" spans="1:10">
      <c r="A535" s="143" t="inlineStr">
        <is>
          <t xml:space="preserve">238</t>
        </is>
      </c>
      <c r="B535" s="143" t="inlineStr">
        <is>
          <t xml:space="preserve">200435-01-1-002</t>
        </is>
      </c>
      <c r="C535" s="143" t="inlineStr">
        <is>
          <t xml:space="preserve">200435-01-1-002 (03) / NO.2 ENG FAN &amp; ACCE G/B (EWIS) INSP</t>
        </is>
      </c>
      <c r="D535" s="143">
        <v>1.0</v>
      </c>
      <c r="E535" s="143">
        <v>1.13</v>
      </c>
      <c r="F535" s="143">
        <v>7.0</v>
      </c>
      <c r="G535" s="143">
        <v>5.22</v>
      </c>
      <c r="H535" s="143" t="inlineStr">
        <is>
          <t xml:space="preserve">Closed</t>
        </is>
      </c>
      <c r="I535" s="143" t="inlineStr">
        <is>
          <t xml:space="preserve">24-92</t>
        </is>
      </c>
      <c r="J535" s="143" t="inlineStr">
        <is>
          <t xml:space="preserve">JOB-SETUP, INSPECTION, JOB-CLOSEUP</t>
        </is>
      </c>
    </row>
    <row r="536" spans="1:10">
      <c r="A536" s="143" t="inlineStr">
        <is>
          <t xml:space="preserve">239</t>
        </is>
      </c>
      <c r="B536" s="143" t="inlineStr">
        <is>
          <t xml:space="preserve">200453-01-1-001</t>
        </is>
      </c>
      <c r="C536" s="143" t="inlineStr">
        <is>
          <t xml:space="preserve">200453-01-1-001 (05) / NO. 1 ENG HOT SECTION WIRING INSP</t>
        </is>
      </c>
      <c r="D536" s="143">
        <v>1.0</v>
      </c>
      <c r="E536" s="143">
        <v>1.13</v>
      </c>
      <c r="F536" s="143">
        <v>3.0</v>
      </c>
      <c r="G536" s="143">
        <v>40.1</v>
      </c>
      <c r="H536" s="143" t="inlineStr">
        <is>
          <t xml:space="preserve">Closed</t>
        </is>
      </c>
      <c r="I536" s="143" t="inlineStr">
        <is>
          <t xml:space="preserve">24-92</t>
        </is>
      </c>
      <c r="J536" s="143" t="inlineStr">
        <is>
          <t xml:space="preserve">JOB-SETUP, INSPECTION, JOB-CLOSEUP</t>
        </is>
      </c>
    </row>
    <row r="537" spans="1:10">
      <c r="A537" s="143" t="inlineStr">
        <is>
          <t xml:space="preserve">240</t>
        </is>
      </c>
      <c r="B537" s="143" t="inlineStr">
        <is>
          <t xml:space="preserve">200453-01-1-002</t>
        </is>
      </c>
      <c r="C537" s="143" t="inlineStr">
        <is>
          <t xml:space="preserve">200453-01-1-002 (05) / NO. 2 ENG HOT SECTION WIRING INSP</t>
        </is>
      </c>
      <c r="D537" s="143">
        <v>1.0</v>
      </c>
      <c r="E537" s="143">
        <v>0.53</v>
      </c>
      <c r="F537" s="143">
        <v>3.5</v>
      </c>
      <c r="G537" s="143">
        <v>41.2</v>
      </c>
      <c r="H537" s="143" t="inlineStr">
        <is>
          <t xml:space="preserve">Closed</t>
        </is>
      </c>
      <c r="I537" s="143" t="inlineStr">
        <is>
          <t xml:space="preserve">24-92</t>
        </is>
      </c>
      <c r="J537" s="143" t="inlineStr">
        <is>
          <t xml:space="preserve">JOB-SETUP, INSPECTION, JOB-CLOSEUP</t>
        </is>
      </c>
    </row>
    <row r="538" spans="1:10">
      <c r="A538" s="143" t="inlineStr">
        <is>
          <t xml:space="preserve">241</t>
        </is>
      </c>
      <c r="B538" s="143" t="inlineStr">
        <is>
          <t xml:space="preserve">212100-01-1</t>
        </is>
      </c>
      <c r="C538" s="143" t="inlineStr">
        <is>
          <t xml:space="preserve">212100-01-1 (05) / COKPT AIR SUPPLY DUCT GRID CLEANING</t>
        </is>
      </c>
      <c r="D538" s="143">
        <v>1.0</v>
      </c>
      <c r="E538" s="143">
        <v>0.43</v>
      </c>
      <c r="F538" s="143">
        <v>1.5</v>
      </c>
      <c r="G538" s="143">
        <v>5.72</v>
      </c>
      <c r="H538" s="143" t="inlineStr">
        <is>
          <t xml:space="preserve">Closed</t>
        </is>
      </c>
      <c r="I538" s="143" t="inlineStr">
        <is>
          <t xml:space="preserve">21-21</t>
        </is>
      </c>
      <c r="J538" s="143" t="inlineStr">
        <is>
          <t xml:space="preserve">TC/P</t>
        </is>
      </c>
    </row>
    <row r="539" spans="1:10">
      <c r="A539" s="143" t="inlineStr">
        <is>
          <t xml:space="preserve">242</t>
        </is>
      </c>
      <c r="B539" s="143" t="inlineStr">
        <is>
          <t xml:space="preserve">212600-03-1</t>
        </is>
      </c>
      <c r="C539" s="143" t="inlineStr">
        <is>
          <t xml:space="preserve">212600-03-1 (3) / SMOKE CONFIGURATION CTL CIRCUIT OPC</t>
        </is>
      </c>
      <c r="D539" s="143">
        <v>1.0</v>
      </c>
      <c r="E539" s="143">
        <v>0.22</v>
      </c>
      <c r="F539" s="143">
        <v>4.0</v>
      </c>
      <c r="G539" s="143">
        <v>2.0</v>
      </c>
      <c r="H539" s="143" t="inlineStr">
        <is>
          <t xml:space="preserve">Closed</t>
        </is>
      </c>
      <c r="I539" s="143" t="inlineStr">
        <is>
          <t xml:space="preserve">21-26</t>
        </is>
      </c>
      <c r="J539" s="143" t="inlineStr">
        <is>
          <t xml:space="preserve">OPS/LK</t>
        </is>
      </c>
    </row>
    <row r="540" spans="1:10">
      <c r="A540" s="143" t="inlineStr">
        <is>
          <t xml:space="preserve">243</t>
        </is>
      </c>
      <c r="B540" s="143" t="inlineStr">
        <is>
          <t xml:space="preserve">212600-04-1</t>
        </is>
      </c>
      <c r="C540" s="143" t="inlineStr">
        <is>
          <t xml:space="preserve">212600-04-1 (3) / DITCHING CONFIGURATION CONTROL OPC</t>
        </is>
      </c>
      <c r="D540" s="143">
        <v>1.0</v>
      </c>
      <c r="E540" s="143">
        <v>0.22</v>
      </c>
      <c r="F540" s="143">
        <v>6.0</v>
      </c>
      <c r="G540" s="143">
        <v>1.02</v>
      </c>
      <c r="H540" s="143" t="inlineStr">
        <is>
          <t xml:space="preserve">Closed</t>
        </is>
      </c>
      <c r="I540" s="143" t="inlineStr">
        <is>
          <t xml:space="preserve">21-26</t>
        </is>
      </c>
      <c r="J540" s="143" t="inlineStr">
        <is>
          <t xml:space="preserve">JOB-SETUP, OPS/LK, JOB-CLOSEUP</t>
        </is>
      </c>
    </row>
    <row r="541" spans="1:10">
      <c r="A541" s="143" t="inlineStr">
        <is>
          <t xml:space="preserve">244</t>
        </is>
      </c>
      <c r="B541" s="143" t="inlineStr">
        <is>
          <t xml:space="preserve">212600-08-1</t>
        </is>
      </c>
      <c r="C541" s="143" t="inlineStr">
        <is>
          <t xml:space="preserve">212600-08-1 (3) / AIR INLET CHECK VLV OPERATIONAL CHK</t>
        </is>
      </c>
      <c r="D541" s="143">
        <v>1.0</v>
      </c>
      <c r="E541" s="143">
        <v>0.22</v>
      </c>
      <c r="F541" s="143">
        <v>0.17</v>
      </c>
      <c r="G541" s="143">
        <v>0.17</v>
      </c>
      <c r="H541" s="143" t="inlineStr">
        <is>
          <t xml:space="preserve">Closed</t>
        </is>
      </c>
      <c r="I541" s="143" t="inlineStr">
        <is>
          <t xml:space="preserve">21-26</t>
        </is>
      </c>
      <c r="J541" s="143" t="inlineStr">
        <is>
          <t xml:space="preserve">OPS/LK</t>
        </is>
      </c>
    </row>
    <row r="542" spans="1:10">
      <c r="A542" s="143" t="inlineStr">
        <is>
          <t xml:space="preserve">245</t>
        </is>
      </c>
      <c r="B542" s="143" t="inlineStr">
        <is>
          <t xml:space="preserve">213100-01-1</t>
        </is>
      </c>
      <c r="C542" s="143" t="inlineStr">
        <is>
          <t xml:space="preserve">213100-01-1 (3) / PRESSURE CONTROL AND MONITORING OPC</t>
        </is>
      </c>
      <c r="D542" s="143">
        <v>1.0</v>
      </c>
      <c r="E542" s="143">
        <v>0.22</v>
      </c>
      <c r="F542" s="143">
        <v>9.0</v>
      </c>
      <c r="G542" s="143">
        <v>2.17</v>
      </c>
      <c r="H542" s="143" t="inlineStr">
        <is>
          <t xml:space="preserve">Closed</t>
        </is>
      </c>
      <c r="I542" s="143" t="inlineStr">
        <is>
          <t xml:space="preserve">21-31</t>
        </is>
      </c>
      <c r="J542" s="143" t="inlineStr">
        <is>
          <t xml:space="preserve">OPS/LK</t>
        </is>
      </c>
    </row>
    <row r="543" spans="1:10">
      <c r="A543" s="143" t="inlineStr">
        <is>
          <t xml:space="preserve">246</t>
        </is>
      </c>
      <c r="B543" s="143" t="inlineStr">
        <is>
          <t xml:space="preserve">213100-02-1</t>
        </is>
      </c>
      <c r="C543" s="143" t="inlineStr">
        <is>
          <t xml:space="preserve">213100-02-1 (4) / CABIN PRESSURE SYS MANUAL MODE OPC</t>
        </is>
      </c>
      <c r="D543" s="143">
        <v>1.0</v>
      </c>
      <c r="E543" s="143">
        <v>0.22</v>
      </c>
      <c r="F543" s="143">
        <v>4.0</v>
      </c>
      <c r="G543" s="143">
        <v>4.28</v>
      </c>
      <c r="H543" s="143" t="inlineStr">
        <is>
          <t xml:space="preserve">Closed</t>
        </is>
      </c>
      <c r="I543" s="143" t="inlineStr">
        <is>
          <t xml:space="preserve">21-31</t>
        </is>
      </c>
      <c r="J543" s="143" t="inlineStr">
        <is>
          <t xml:space="preserve">OPS/LK</t>
        </is>
      </c>
    </row>
    <row r="544" spans="1:10">
      <c r="A544" s="143" t="inlineStr">
        <is>
          <t xml:space="preserve">247</t>
        </is>
      </c>
      <c r="B544" s="143" t="inlineStr">
        <is>
          <t xml:space="preserve">213100-03-1</t>
        </is>
      </c>
      <c r="C544" s="143" t="inlineStr">
        <is>
          <t xml:space="preserve">213100-03-1 (3) / PRESSURE CONTROL AND MONITORING OPC</t>
        </is>
      </c>
      <c r="D544" s="143">
        <v>1.0</v>
      </c>
      <c r="E544" s="143">
        <v>0.22</v>
      </c>
      <c r="F544" s="143">
        <v>2.0</v>
      </c>
      <c r="G544" s="143">
        <v>2.0</v>
      </c>
      <c r="H544" s="143" t="inlineStr">
        <is>
          <t xml:space="preserve">Closed</t>
        </is>
      </c>
      <c r="I544" s="143" t="inlineStr">
        <is>
          <t xml:space="preserve">21-31</t>
        </is>
      </c>
      <c r="J544" s="143" t="inlineStr">
        <is>
          <t xml:space="preserve">OPS/LK</t>
        </is>
      </c>
    </row>
    <row r="545" spans="1:10">
      <c r="A545" s="143" t="inlineStr">
        <is>
          <t xml:space="preserve">249</t>
        </is>
      </c>
      <c r="B545" s="143" t="inlineStr">
        <is>
          <t xml:space="preserve">215000-03-2</t>
        </is>
      </c>
      <c r="C545" s="143" t="inlineStr">
        <is>
          <t xml:space="preserve">215000-03-2 (3) / PACK RAM AIR INLET INSPECTION</t>
        </is>
      </c>
      <c r="D545" s="143">
        <v>1.0</v>
      </c>
      <c r="E545" s="143">
        <v>2.2</v>
      </c>
      <c r="F545" s="143">
        <v>40.0</v>
      </c>
      <c r="G545" s="143">
        <v>8.82</v>
      </c>
      <c r="H545" s="143" t="inlineStr">
        <is>
          <t xml:space="preserve">Closed</t>
        </is>
      </c>
      <c r="I545" s="143" t="inlineStr">
        <is>
          <t xml:space="preserve">21-61</t>
        </is>
      </c>
      <c r="J545" s="143" t="inlineStr">
        <is>
          <t xml:space="preserve">PRE HGR</t>
        </is>
      </c>
    </row>
    <row r="546" spans="1:10">
      <c r="A546" s="143" t="inlineStr">
        <is>
          <t xml:space="preserve">250</t>
        </is>
      </c>
      <c r="B546" s="143" t="inlineStr">
        <is>
          <t xml:space="preserve">215000-08-1</t>
        </is>
      </c>
      <c r="C546" s="143" t="inlineStr">
        <is>
          <t xml:space="preserve">215000-08-1 (0) / AIR COOLING AND TEMPERATURE CONTROL</t>
        </is>
      </c>
      <c r="D546" s="143">
        <v>1.0</v>
      </c>
      <c r="E546" s="143">
        <v>0.5</v>
      </c>
      <c r="F546" s="143">
        <v>3.0</v>
      </c>
      <c r="G546" s="143">
        <v>45.0</v>
      </c>
      <c r="H546" s="143" t="inlineStr">
        <is>
          <t xml:space="preserve">Closed</t>
        </is>
      </c>
      <c r="I546" s="143">
        <v>21.0</v>
      </c>
      <c r="J546" s="143" t="inlineStr">
        <is>
          <t xml:space="preserve">--, INSPECTION, --</t>
        </is>
      </c>
    </row>
    <row r="547" spans="1:10">
      <c r="A547" s="143" t="inlineStr">
        <is>
          <t xml:space="preserve">251</t>
        </is>
      </c>
      <c r="B547" s="143" t="inlineStr">
        <is>
          <t xml:space="preserve">215000-09-1</t>
        </is>
      </c>
      <c r="C547" s="143" t="inlineStr">
        <is>
          <t xml:space="preserve">215000-09-1 (0) / AIR COOLING AND TEMPERATURE CONTROL</t>
        </is>
      </c>
      <c r="D547" s="143">
        <v>1.0</v>
      </c>
      <c r="E547" s="143">
        <v>0.5</v>
      </c>
      <c r="F547" s="143">
        <v>3.25</v>
      </c>
      <c r="G547" s="143">
        <v>6.02</v>
      </c>
      <c r="H547" s="143" t="inlineStr">
        <is>
          <t xml:space="preserve">Closed</t>
        </is>
      </c>
      <c r="I547" s="143">
        <v>21.0</v>
      </c>
      <c r="J547" s="143" t="inlineStr">
        <is>
          <t xml:space="preserve">--, INSPECTION, --</t>
        </is>
      </c>
    </row>
    <row r="548" spans="1:10">
      <c r="A548" s="143" t="inlineStr">
        <is>
          <t xml:space="preserve">252</t>
        </is>
      </c>
      <c r="B548" s="143" t="inlineStr">
        <is>
          <t xml:space="preserve">215222-01-1</t>
        </is>
      </c>
      <c r="C548" s="143" t="inlineStr">
        <is>
          <t xml:space="preserve">215222-01-1 (3) / AIR CYCLE MACHINE PLENUM INSP</t>
        </is>
      </c>
      <c r="D548" s="143">
        <v>1.0</v>
      </c>
      <c r="E548" s="143">
        <v>3.52</v>
      </c>
      <c r="F548" s="143">
        <v>24.5</v>
      </c>
      <c r="G548" s="143">
        <v>386.2</v>
      </c>
      <c r="H548" s="143" t="inlineStr">
        <is>
          <t xml:space="preserve">Closed</t>
        </is>
      </c>
      <c r="I548" s="143" t="inlineStr">
        <is>
          <t xml:space="preserve">21-52</t>
        </is>
      </c>
      <c r="J548" s="143" t="inlineStr">
        <is>
          <t xml:space="preserve">JOB-SETUP, INSPECTION, INSPECTION, INSPECTION, JOB-CLOSEUP</t>
        </is>
      </c>
    </row>
    <row r="549" spans="1:10">
      <c r="A549" s="143" t="inlineStr">
        <is>
          <t xml:space="preserve">253</t>
        </is>
      </c>
      <c r="B549" s="143" t="inlineStr">
        <is>
          <t xml:space="preserve">215500-01-1</t>
        </is>
      </c>
      <c r="C549" s="143" t="inlineStr">
        <is>
          <t xml:space="preserve">215500-01-1 (3) / EMERGENCY RAM AIR INLET SYSTEM OPC</t>
        </is>
      </c>
      <c r="D549" s="143">
        <v>1.0</v>
      </c>
      <c r="E549" s="143">
        <v>0.22</v>
      </c>
      <c r="F549" s="143">
        <v>8.0</v>
      </c>
      <c r="G549" s="143">
        <v>4.87</v>
      </c>
      <c r="H549" s="143" t="inlineStr">
        <is>
          <t xml:space="preserve">Closed</t>
        </is>
      </c>
      <c r="I549" s="143" t="inlineStr">
        <is>
          <t xml:space="preserve">21-55</t>
        </is>
      </c>
      <c r="J549" s="143" t="inlineStr">
        <is>
          <t xml:space="preserve">JOB-SETUP, OPS/LK, JOB-CLOSEUP</t>
        </is>
      </c>
    </row>
    <row r="550" spans="1:10">
      <c r="A550" s="143" t="inlineStr">
        <is>
          <t xml:space="preserve">254</t>
        </is>
      </c>
      <c r="B550" s="143" t="inlineStr">
        <is>
          <t xml:space="preserve">215500-02-1</t>
        </is>
      </c>
      <c r="C550" s="143" t="inlineStr">
        <is>
          <t xml:space="preserve">215500-02-1 (4) / EMERGENCY RAM AIR INLET AND FLOW OPC</t>
        </is>
      </c>
      <c r="D550" s="143">
        <v>1.0</v>
      </c>
      <c r="E550" s="143">
        <v>0.22</v>
      </c>
      <c r="F550" s="143">
        <v>7.0</v>
      </c>
      <c r="G550" s="143">
        <v>4.87</v>
      </c>
      <c r="H550" s="143" t="inlineStr">
        <is>
          <t xml:space="preserve">Closed</t>
        </is>
      </c>
      <c r="I550" s="143" t="inlineStr">
        <is>
          <t xml:space="preserve">21-55</t>
        </is>
      </c>
      <c r="J550" s="143" t="inlineStr">
        <is>
          <t xml:space="preserve">OPS/LK</t>
        </is>
      </c>
    </row>
    <row r="551" spans="1:10">
      <c r="A551" s="143" t="inlineStr">
        <is>
          <t xml:space="preserve">255</t>
        </is>
      </c>
      <c r="B551" s="143" t="inlineStr">
        <is>
          <t xml:space="preserve">216242-01-1</t>
        </is>
      </c>
      <c r="C551" s="143" t="inlineStr">
        <is>
          <t xml:space="preserve">216242-01-1 (5) / TRIM AIR CHECK VALVES FLAPPERS INSP</t>
        </is>
      </c>
      <c r="D551" s="143">
        <v>1.0</v>
      </c>
      <c r="E551" s="143">
        <v>2.63</v>
      </c>
      <c r="F551" s="143">
        <v>19.0</v>
      </c>
      <c r="G551" s="143">
        <v>329.3</v>
      </c>
      <c r="H551" s="143" t="inlineStr">
        <is>
          <t xml:space="preserve">Closed</t>
        </is>
      </c>
      <c r="I551" s="143" t="inlineStr">
        <is>
          <t xml:space="preserve">21-63</t>
        </is>
      </c>
      <c r="J551" s="143" t="inlineStr">
        <is>
          <t xml:space="preserve">JOB-SETUP, TC/P, TC/P, TC/P, OPS/LK</t>
        </is>
      </c>
    </row>
    <row r="552" spans="1:10">
      <c r="A552" s="143" t="inlineStr">
        <is>
          <t xml:space="preserve">256</t>
        </is>
      </c>
      <c r="B552" s="143" t="inlineStr">
        <is>
          <t xml:space="preserve">221000-01-1</t>
        </is>
      </c>
      <c r="C552" s="143" t="inlineStr">
        <is>
          <t xml:space="preserve">221000-01-1 (4) / AUTOPILOT (AP) DISENGAGEMENT OPC</t>
        </is>
      </c>
      <c r="D552" s="143">
        <v>1.0</v>
      </c>
      <c r="E552" s="143">
        <v>0.55</v>
      </c>
      <c r="F552" s="143">
        <v>4.0</v>
      </c>
      <c r="G552" s="143">
        <v>2.0</v>
      </c>
      <c r="H552" s="143" t="inlineStr">
        <is>
          <t xml:space="preserve">Closed</t>
        </is>
      </c>
      <c r="I552" s="143" t="inlineStr">
        <is>
          <t xml:space="preserve">22-10</t>
        </is>
      </c>
      <c r="J552" s="143" t="inlineStr">
        <is>
          <t xml:space="preserve">OPS/LK</t>
        </is>
      </c>
    </row>
    <row r="553" spans="1:10">
      <c r="A553" s="143" t="inlineStr">
        <is>
          <t xml:space="preserve">257</t>
        </is>
      </c>
      <c r="B553" s="143" t="inlineStr">
        <is>
          <t xml:space="preserve">23-73-00-01-0-SVA</t>
        </is>
      </c>
      <c r="C553" s="143" t="inlineStr">
        <is>
          <t xml:space="preserve">23-73-00-01-0-SVA (01) / CABIN SIGNS OPS CHK</t>
        </is>
      </c>
      <c r="D553" s="143">
        <v>1.0</v>
      </c>
      <c r="E553" s="143">
        <v>8.0</v>
      </c>
      <c r="F553" s="143">
        <v>4.0</v>
      </c>
      <c r="G553" s="143">
        <v>2.0</v>
      </c>
      <c r="H553" s="143" t="inlineStr">
        <is>
          <t xml:space="preserve">Closed</t>
        </is>
      </c>
      <c r="I553" s="143" t="inlineStr">
        <is>
          <t xml:space="preserve">23-73</t>
        </is>
      </c>
      <c r="J553" s="143" t="inlineStr">
        <is>
          <t xml:space="preserve">OPS/LK</t>
        </is>
      </c>
    </row>
    <row r="554" spans="1:10">
      <c r="A554" s="143" t="inlineStr">
        <is>
          <t xml:space="preserve">258</t>
        </is>
      </c>
      <c r="B554" s="143" t="inlineStr">
        <is>
          <t xml:space="preserve">233300-02-1</t>
        </is>
      </c>
      <c r="C554" s="143" t="inlineStr">
        <is>
          <t xml:space="preserve">233300-02-1 (4) / PASSENGER ENTERTAINMENT OPC</t>
        </is>
      </c>
      <c r="D554" s="143">
        <v>1.0</v>
      </c>
      <c r="E554" s="143">
        <v>0.87</v>
      </c>
      <c r="F554" s="143">
        <v>6.0</v>
      </c>
      <c r="G554" s="143">
        <v>2.07</v>
      </c>
      <c r="H554" s="143" t="inlineStr">
        <is>
          <t xml:space="preserve">Closed</t>
        </is>
      </c>
      <c r="I554" s="143" t="inlineStr">
        <is>
          <t xml:space="preserve">23-33</t>
        </is>
      </c>
      <c r="J554" s="143" t="inlineStr">
        <is>
          <t xml:space="preserve">OPS/LK</t>
        </is>
      </c>
    </row>
    <row r="555" spans="1:10">
      <c r="A555" s="143" t="inlineStr">
        <is>
          <t xml:space="preserve">259</t>
        </is>
      </c>
      <c r="B555" s="143" t="inlineStr">
        <is>
          <t xml:space="preserve">235100-01-1</t>
        </is>
      </c>
      <c r="C555" s="143" t="inlineStr">
        <is>
          <t xml:space="preserve">235100-01-1 (02) / CAPT AND F/O AUDIO CTL PANELS OPC</t>
        </is>
      </c>
      <c r="D555" s="143">
        <v>1.0</v>
      </c>
      <c r="E555" s="143">
        <v>0.22</v>
      </c>
      <c r="F555" s="143">
        <v>4.0</v>
      </c>
      <c r="G555" s="143">
        <v>1.02</v>
      </c>
      <c r="H555" s="143" t="inlineStr">
        <is>
          <t xml:space="preserve">Closed</t>
        </is>
      </c>
      <c r="I555" s="143" t="inlineStr">
        <is>
          <t xml:space="preserve">23-51</t>
        </is>
      </c>
      <c r="J555" s="143" t="inlineStr">
        <is>
          <t xml:space="preserve">OPS/LK, OPS/LK</t>
        </is>
      </c>
    </row>
    <row r="556" spans="1:10">
      <c r="A556" s="143" t="inlineStr">
        <is>
          <t xml:space="preserve">260</t>
        </is>
      </c>
      <c r="B556" s="143" t="inlineStr">
        <is>
          <t xml:space="preserve">237100-02-1</t>
        </is>
      </c>
      <c r="C556" s="143" t="inlineStr">
        <is>
          <t xml:space="preserve">237100-02-1 (02) / COCKPIT VOICE RECORDER (CVR) OPC</t>
        </is>
      </c>
      <c r="D556" s="143">
        <v>1.0</v>
      </c>
      <c r="E556" s="143">
        <v>1.1</v>
      </c>
      <c r="F556" s="143">
        <v>4.0</v>
      </c>
      <c r="G556" s="143">
        <v>2.0</v>
      </c>
      <c r="H556" s="143" t="inlineStr">
        <is>
          <t xml:space="preserve">Closed</t>
        </is>
      </c>
      <c r="I556" s="143" t="inlineStr">
        <is>
          <t xml:space="preserve">23-71</t>
        </is>
      </c>
      <c r="J556" s="143" t="inlineStr">
        <is>
          <t xml:space="preserve">OPS/LK</t>
        </is>
      </c>
    </row>
    <row r="557" spans="1:10">
      <c r="A557" s="143" t="inlineStr">
        <is>
          <t xml:space="preserve">261</t>
        </is>
      </c>
      <c r="B557" s="143" t="inlineStr">
        <is>
          <t xml:space="preserve">237135-02-1</t>
        </is>
      </c>
      <c r="C557" s="143" t="inlineStr">
        <is>
          <t xml:space="preserve">237135-02-1 (05) / UNDERWATER LOCATOR BEACON OPC</t>
        </is>
      </c>
      <c r="D557" s="143">
        <v>1.0</v>
      </c>
      <c r="E557" s="143">
        <v>0.35</v>
      </c>
      <c r="F557" s="143">
        <v>9.0</v>
      </c>
      <c r="G557" s="143">
        <v>2.4</v>
      </c>
      <c r="H557" s="143" t="inlineStr">
        <is>
          <t xml:space="preserve">Closed</t>
        </is>
      </c>
      <c r="I557" s="143" t="inlineStr">
        <is>
          <t xml:space="preserve">23-71</t>
        </is>
      </c>
      <c r="J557" s="143" t="inlineStr">
        <is>
          <t xml:space="preserve">JOB-SETUP, OPS/LK, JOB-CLOSEUP</t>
        </is>
      </c>
    </row>
    <row r="558" spans="1:10">
      <c r="A558" s="143" t="inlineStr">
        <is>
          <t xml:space="preserve">262</t>
        </is>
      </c>
      <c r="B558" s="143" t="inlineStr">
        <is>
          <t xml:space="preserve">242200-01-1</t>
        </is>
      </c>
      <c r="C558" s="143" t="inlineStr">
        <is>
          <t xml:space="preserve">242200-01-1 (4) / ELECTRICAL TRANS INHIBITION OPC</t>
        </is>
      </c>
      <c r="D558" s="143">
        <v>1.0</v>
      </c>
      <c r="E558" s="143">
        <v>0.22</v>
      </c>
      <c r="F558" s="143">
        <v>4.0</v>
      </c>
      <c r="G558" s="143">
        <v>2.0</v>
      </c>
      <c r="H558" s="143" t="inlineStr">
        <is>
          <t xml:space="preserve">Closed</t>
        </is>
      </c>
      <c r="I558" s="143" t="inlineStr">
        <is>
          <t xml:space="preserve">24-22</t>
        </is>
      </c>
      <c r="J558" s="143" t="inlineStr">
        <is>
          <t xml:space="preserve">OPS/LK</t>
        </is>
      </c>
    </row>
    <row r="559" spans="1:10">
      <c r="A559" s="143" t="inlineStr">
        <is>
          <t xml:space="preserve">263</t>
        </is>
      </c>
      <c r="B559" s="143" t="inlineStr">
        <is>
          <t xml:space="preserve">242400-02-1</t>
        </is>
      </c>
      <c r="C559" s="143" t="inlineStr">
        <is>
          <t xml:space="preserve">242400-02-1 (3) / EMERGENCY GENERATOR CONTROL UNIT OPC</t>
        </is>
      </c>
      <c r="D559" s="143">
        <v>1.0</v>
      </c>
      <c r="E559" s="143">
        <v>0.22</v>
      </c>
      <c r="F559" s="143">
        <v>4.0</v>
      </c>
      <c r="G559" s="143">
        <v>2.0</v>
      </c>
      <c r="H559" s="143" t="inlineStr">
        <is>
          <t xml:space="preserve">Closed</t>
        </is>
      </c>
      <c r="I559" s="143" t="inlineStr">
        <is>
          <t xml:space="preserve">24-24</t>
        </is>
      </c>
      <c r="J559" s="143" t="inlineStr">
        <is>
          <t xml:space="preserve">OPS/LK</t>
        </is>
      </c>
    </row>
    <row r="560" spans="1:10">
      <c r="A560" s="143" t="inlineStr">
        <is>
          <t xml:space="preserve">264</t>
        </is>
      </c>
      <c r="B560" s="143" t="inlineStr">
        <is>
          <t xml:space="preserve">242500-01-1</t>
        </is>
      </c>
      <c r="C560" s="143" t="inlineStr">
        <is>
          <t xml:space="preserve">242500-01-1 (7) / AC ESSENTIAL GENRATION SWITCHING OPC</t>
        </is>
      </c>
      <c r="D560" s="143">
        <v>1.0</v>
      </c>
      <c r="E560" s="143">
        <v>0.22</v>
      </c>
      <c r="F560" s="143">
        <v>3.0</v>
      </c>
      <c r="G560" s="143">
        <v>2.0</v>
      </c>
      <c r="H560" s="143" t="inlineStr">
        <is>
          <t xml:space="preserve">Closed</t>
        </is>
      </c>
      <c r="I560" s="143" t="inlineStr">
        <is>
          <t xml:space="preserve">24-25</t>
        </is>
      </c>
      <c r="J560" s="143" t="inlineStr">
        <is>
          <t xml:space="preserve">OPS/LK</t>
        </is>
      </c>
    </row>
    <row r="561" spans="1:10">
      <c r="A561" s="143" t="inlineStr">
        <is>
          <t xml:space="preserve">265</t>
        </is>
      </c>
      <c r="B561" s="143" t="inlineStr">
        <is>
          <t xml:space="preserve">242600-02-1</t>
        </is>
      </c>
      <c r="C561" s="143" t="inlineStr">
        <is>
          <t xml:space="preserve">242600-02-1 (3) / MANUAL/AUTO GALLEY &amp; BUS SHEDING OPC</t>
        </is>
      </c>
      <c r="D561" s="143">
        <v>1.0</v>
      </c>
      <c r="E561" s="143">
        <v>0.22</v>
      </c>
      <c r="F561" s="143">
        <v>4.0</v>
      </c>
      <c r="G561" s="143">
        <v>2.0</v>
      </c>
      <c r="H561" s="143" t="inlineStr">
        <is>
          <t xml:space="preserve">Closed</t>
        </is>
      </c>
      <c r="I561" s="143" t="inlineStr">
        <is>
          <t xml:space="preserve">24-26</t>
        </is>
      </c>
      <c r="J561" s="143" t="inlineStr">
        <is>
          <t xml:space="preserve">OPS/LK</t>
        </is>
      </c>
    </row>
    <row r="562" spans="1:10">
      <c r="A562" s="143" t="inlineStr">
        <is>
          <t xml:space="preserve">266</t>
        </is>
      </c>
      <c r="B562" s="143" t="inlineStr">
        <is>
          <t xml:space="preserve">243000-13-1</t>
        </is>
      </c>
      <c r="C562" s="143" t="inlineStr">
        <is>
          <t xml:space="preserve">243000-13-1 (01) / DC GENERATION</t>
        </is>
      </c>
      <c r="D562" s="143">
        <v>1.0</v>
      </c>
      <c r="E562" s="143">
        <v>0.1</v>
      </c>
      <c r="F562" s="143">
        <v>6.0</v>
      </c>
      <c r="G562" s="143">
        <v>1.03</v>
      </c>
      <c r="H562" s="143" t="inlineStr">
        <is>
          <t xml:space="preserve">Closed</t>
        </is>
      </c>
      <c r="I562" s="143" t="inlineStr">
        <is>
          <t xml:space="preserve">53-31</t>
        </is>
      </c>
      <c r="J562" s="143" t="inlineStr">
        <is>
          <t xml:space="preserve">JOB-SETUP, CLEAN-UP, JOB-CLOSEUP</t>
        </is>
      </c>
    </row>
    <row r="563" spans="1:10">
      <c r="A563" s="143" t="inlineStr">
        <is>
          <t xml:space="preserve">267</t>
        </is>
      </c>
      <c r="B563" s="143" t="inlineStr">
        <is>
          <t xml:space="preserve">243000-14-1</t>
        </is>
      </c>
      <c r="C563" s="143" t="inlineStr">
        <is>
          <t xml:space="preserve">243000-14-1 (01) / DC GENERATION</t>
        </is>
      </c>
      <c r="D563" s="143">
        <v>1.0</v>
      </c>
      <c r="E563" s="143">
        <v>0.05</v>
      </c>
      <c r="F563" s="143">
        <v>6.0</v>
      </c>
      <c r="G563" s="143">
        <v>1.03</v>
      </c>
      <c r="H563" s="143" t="inlineStr">
        <is>
          <t xml:space="preserve">Closed</t>
        </is>
      </c>
      <c r="I563" s="143" t="inlineStr">
        <is>
          <t xml:space="preserve">24-30</t>
        </is>
      </c>
      <c r="J563" s="143" t="inlineStr">
        <is>
          <t xml:space="preserve">JOB-SETUP, CLEAN-UP, JOB-CLOSEUP</t>
        </is>
      </c>
    </row>
    <row r="564" spans="1:10">
      <c r="A564" s="143" t="inlineStr">
        <is>
          <t xml:space="preserve">268</t>
        </is>
      </c>
      <c r="B564" s="143" t="inlineStr">
        <is>
          <t xml:space="preserve">243200-01-1</t>
        </is>
      </c>
      <c r="C564" s="143" t="inlineStr">
        <is>
          <t xml:space="preserve">243200-01-1 (6) / DC GENERATION SWITCHING OPC</t>
        </is>
      </c>
      <c r="D564" s="143">
        <v>1.0</v>
      </c>
      <c r="E564" s="143">
        <v>0.32</v>
      </c>
      <c r="F564" s="143">
        <v>3.0</v>
      </c>
      <c r="G564" s="143">
        <v>1.02</v>
      </c>
      <c r="H564" s="143" t="inlineStr">
        <is>
          <t xml:space="preserve">Closed</t>
        </is>
      </c>
      <c r="I564" s="143" t="inlineStr">
        <is>
          <t xml:space="preserve">24-32</t>
        </is>
      </c>
      <c r="J564" s="143" t="inlineStr">
        <is>
          <t xml:space="preserve">OPS/LK</t>
        </is>
      </c>
    </row>
    <row r="565" spans="1:10">
      <c r="A565" s="143" t="inlineStr">
        <is>
          <t xml:space="preserve">269</t>
        </is>
      </c>
      <c r="B565" s="143" t="inlineStr">
        <is>
          <t xml:space="preserve">243400-01-1</t>
        </is>
      </c>
      <c r="C565" s="143" t="inlineStr">
        <is>
          <t xml:space="preserve">243400-01-1 (4) / DC EMERGY CONFIGURATION CAUTION OPC</t>
        </is>
      </c>
      <c r="D565" s="143">
        <v>1.0</v>
      </c>
      <c r="E565" s="143">
        <v>0.32</v>
      </c>
      <c r="F565" s="143">
        <v>4.0</v>
      </c>
      <c r="G565" s="143">
        <v>2.0</v>
      </c>
      <c r="H565" s="143" t="inlineStr">
        <is>
          <t xml:space="preserve">Closed</t>
        </is>
      </c>
      <c r="I565" s="143" t="inlineStr">
        <is>
          <t xml:space="preserve">24-34</t>
        </is>
      </c>
      <c r="J565" s="143" t="inlineStr">
        <is>
          <t xml:space="preserve">OPS/LK</t>
        </is>
      </c>
    </row>
    <row r="566" spans="1:10">
      <c r="A566" s="143" t="inlineStr">
        <is>
          <t xml:space="preserve">270</t>
        </is>
      </c>
      <c r="B566" s="143" t="inlineStr">
        <is>
          <t xml:space="preserve">245100-01-1</t>
        </is>
      </c>
      <c r="C566" s="143" t="inlineStr">
        <is>
          <t xml:space="preserve">245100-01-1 (3) / GENERATOR LINE CONTACTOR OPENING OPC</t>
        </is>
      </c>
      <c r="D566" s="143">
        <v>1.0</v>
      </c>
      <c r="E566" s="143">
        <v>0.65</v>
      </c>
      <c r="F566" s="143">
        <v>4.0</v>
      </c>
      <c r="G566" s="143">
        <v>2.0</v>
      </c>
      <c r="H566" s="143" t="inlineStr">
        <is>
          <t xml:space="preserve">Closed</t>
        </is>
      </c>
      <c r="I566" s="143" t="inlineStr">
        <is>
          <t xml:space="preserve">24-51</t>
        </is>
      </c>
      <c r="J566" s="143" t="inlineStr">
        <is>
          <t xml:space="preserve">OPS/LK</t>
        </is>
      </c>
    </row>
    <row r="567" spans="1:10">
      <c r="A567" s="143" t="inlineStr">
        <is>
          <t xml:space="preserve">271</t>
        </is>
      </c>
      <c r="B567" s="143" t="inlineStr">
        <is>
          <t xml:space="preserve">245100-02-1</t>
        </is>
      </c>
      <c r="C567" s="143" t="inlineStr">
        <is>
          <t xml:space="preserve">245100-02-1 (3) / COMMERCIAL ELEC LOAD SHEDDING OPC</t>
        </is>
      </c>
      <c r="D567" s="143">
        <v>1.0</v>
      </c>
      <c r="E567" s="143">
        <v>0.22</v>
      </c>
      <c r="F567" s="143">
        <v>4.0</v>
      </c>
      <c r="G567" s="143">
        <v>2.02</v>
      </c>
      <c r="H567" s="143" t="inlineStr">
        <is>
          <t xml:space="preserve">Closed</t>
        </is>
      </c>
      <c r="I567" s="143" t="inlineStr">
        <is>
          <t xml:space="preserve">24-51</t>
        </is>
      </c>
      <c r="J567" s="143" t="inlineStr">
        <is>
          <t xml:space="preserve">OPS/LK</t>
        </is>
      </c>
    </row>
    <row r="568" spans="1:10">
      <c r="A568" s="143" t="inlineStr">
        <is>
          <t xml:space="preserve">272</t>
        </is>
      </c>
      <c r="B568" s="143" t="inlineStr">
        <is>
          <t xml:space="preserve">25-11-00-03-0-SVA-001</t>
        </is>
      </c>
      <c r="C568" s="143" t="inlineStr">
        <is>
          <t xml:space="preserve">25-11-00-03-0-SVA-001 (02) / THIRD OCCUPANT SEAT BOTTOM CUSHION REPLACMENT</t>
        </is>
      </c>
      <c r="D568" s="143">
        <v>1.0</v>
      </c>
      <c r="E568" s="143">
        <v>0.5</v>
      </c>
      <c r="F568" s="143">
        <v>1.0</v>
      </c>
      <c r="G568" s="143">
        <v>1.0</v>
      </c>
      <c r="H568" s="143" t="inlineStr">
        <is>
          <t xml:space="preserve">Closed</t>
        </is>
      </c>
      <c r="I568" s="143" t="inlineStr">
        <is>
          <t xml:space="preserve">25-11</t>
        </is>
      </c>
      <c r="J568" s="143"/>
    </row>
    <row r="569" spans="1:10">
      <c r="A569" s="143" t="inlineStr">
        <is>
          <t xml:space="preserve">273</t>
        </is>
      </c>
      <c r="B569" s="143" t="inlineStr">
        <is>
          <t xml:space="preserve">25-11-00-08-0-SVA</t>
        </is>
      </c>
      <c r="C569" s="143" t="inlineStr">
        <is>
          <t xml:space="preserve">25-11-00-08-0-SVA (03) / CAPTAIN AND F/O SEATS BOTTOM REPLACMENT</t>
        </is>
      </c>
      <c r="D569" s="143">
        <v>1.0</v>
      </c>
      <c r="E569" s="143">
        <v>1.0</v>
      </c>
      <c r="F569" s="143">
        <v>1.0</v>
      </c>
      <c r="G569" s="143">
        <v>1.0</v>
      </c>
      <c r="H569" s="143" t="inlineStr">
        <is>
          <t xml:space="preserve">Closed</t>
        </is>
      </c>
      <c r="I569" s="143" t="inlineStr">
        <is>
          <t xml:space="preserve">25-11</t>
        </is>
      </c>
      <c r="J569" s="143" t="inlineStr">
        <is>
          <t xml:space="preserve">INSPECTION, --</t>
        </is>
      </c>
    </row>
    <row r="570" spans="1:10">
      <c r="A570" s="143" t="inlineStr">
        <is>
          <t xml:space="preserve">274</t>
        </is>
      </c>
      <c r="B570" s="143" t="inlineStr">
        <is>
          <t xml:space="preserve">25-11-00-09-0-SVA</t>
        </is>
      </c>
      <c r="C570" s="143" t="inlineStr">
        <is>
          <t xml:space="preserve">25-11-00-09-0-SVA (04) / CAPTAIN &amp; F/O SEATS COVERS REPLACMENT</t>
        </is>
      </c>
      <c r="D570" s="143">
        <v>1.0</v>
      </c>
      <c r="E570" s="143">
        <v>4.0</v>
      </c>
      <c r="F570" s="143">
        <v>1.0</v>
      </c>
      <c r="G570" s="143">
        <v>0.52</v>
      </c>
      <c r="H570" s="143" t="inlineStr">
        <is>
          <t xml:space="preserve">Closed</t>
        </is>
      </c>
      <c r="I570" s="143" t="inlineStr">
        <is>
          <t xml:space="preserve">25-11</t>
        </is>
      </c>
      <c r="J570" s="143" t="inlineStr">
        <is>
          <t xml:space="preserve">TC/P, TC/P</t>
        </is>
      </c>
    </row>
    <row r="571" spans="1:10">
      <c r="A571" s="143" t="inlineStr">
        <is>
          <t xml:space="preserve">275</t>
        </is>
      </c>
      <c r="B571" s="143" t="inlineStr">
        <is>
          <t xml:space="preserve">25-11-00-17-0-SVA-002</t>
        </is>
      </c>
      <c r="C571" s="143" t="inlineStr">
        <is>
          <t xml:space="preserve">25-11-00-17-0-SVA-002 (03) / FOURTH OCCUPANT SEAT BOTTOM CUSHION REPLACMENT</t>
        </is>
      </c>
      <c r="D571" s="143">
        <v>1.0</v>
      </c>
      <c r="E571" s="143">
        <v>0.5</v>
      </c>
      <c r="F571" s="143">
        <v>1.5</v>
      </c>
      <c r="G571" s="143">
        <v>1.0</v>
      </c>
      <c r="H571" s="143" t="inlineStr">
        <is>
          <t xml:space="preserve">Closed</t>
        </is>
      </c>
      <c r="I571" s="143" t="inlineStr">
        <is>
          <t xml:space="preserve">25-11</t>
        </is>
      </c>
      <c r="J571" s="143" t="inlineStr">
        <is>
          <t xml:space="preserve">PRE INSP, --</t>
        </is>
      </c>
    </row>
    <row r="572" spans="1:10">
      <c r="A572" s="143" t="inlineStr">
        <is>
          <t xml:space="preserve">277</t>
        </is>
      </c>
      <c r="B572" s="143" t="inlineStr">
        <is>
          <t xml:space="preserve">25-28-00-04-0-SVA-002</t>
        </is>
      </c>
      <c r="C572" s="143" t="inlineStr">
        <is>
          <t xml:space="preserve">25-28-00-04-0-SVA-002 (03) / COCKPIT COMPARTMENT CARPETS REPLCMNT</t>
        </is>
      </c>
      <c r="D572" s="143">
        <v>1.0</v>
      </c>
      <c r="E572" s="143">
        <v>6.0</v>
      </c>
      <c r="F572" s="143">
        <v>15.0</v>
      </c>
      <c r="G572" s="143">
        <v>6.5</v>
      </c>
      <c r="H572" s="143" t="inlineStr">
        <is>
          <t xml:space="preserve">Closed</t>
        </is>
      </c>
      <c r="I572" s="143" t="inlineStr">
        <is>
          <t xml:space="preserve">25-28</t>
        </is>
      </c>
      <c r="J572" s="143" t="inlineStr">
        <is>
          <t xml:space="preserve">TC/P</t>
        </is>
      </c>
    </row>
    <row r="573" spans="1:10">
      <c r="A573" s="143" t="inlineStr">
        <is>
          <t xml:space="preserve">278</t>
        </is>
      </c>
      <c r="B573" s="143" t="inlineStr">
        <is>
          <t xml:space="preserve">25-SVA-01</t>
        </is>
      </c>
      <c r="C573" s="143" t="inlineStr">
        <is>
          <t xml:space="preserve">25-SVA-01 (01) / COCKPIT CHECK</t>
        </is>
      </c>
      <c r="D573" s="143">
        <v>1.0</v>
      </c>
      <c r="E573" s="143">
        <v>3.5</v>
      </c>
      <c r="F573" s="143">
        <v>52.5</v>
      </c>
      <c r="G573" s="143">
        <v>850.2</v>
      </c>
      <c r="H573" s="143" t="inlineStr">
        <is>
          <t xml:space="preserve">Closed</t>
        </is>
      </c>
      <c r="I573" s="143">
        <v>25.0</v>
      </c>
      <c r="J573" s="143"/>
    </row>
    <row r="574" spans="1:10">
      <c r="A574" s="143" t="inlineStr">
        <is>
          <t xml:space="preserve">279</t>
        </is>
      </c>
      <c r="B574" s="143" t="inlineStr">
        <is>
          <t xml:space="preserve">25-SVA-02</t>
        </is>
      </c>
      <c r="C574" s="143" t="inlineStr">
        <is>
          <t xml:space="preserve">25-SVA-02 (01) / GENERAL CABIN ITEMS C-CHK</t>
        </is>
      </c>
      <c r="D574" s="143">
        <v>1.0</v>
      </c>
      <c r="E574" s="143">
        <v>16.67</v>
      </c>
      <c r="F574" s="143">
        <v>9.0</v>
      </c>
      <c r="G574" s="143">
        <v>817.4</v>
      </c>
      <c r="H574" s="143" t="inlineStr">
        <is>
          <t xml:space="preserve">Closed</t>
        </is>
      </c>
      <c r="I574" s="143">
        <v>25.0</v>
      </c>
      <c r="J574" s="143"/>
    </row>
    <row r="575" spans="1:10">
      <c r="A575" s="143" t="inlineStr">
        <is>
          <t xml:space="preserve">283</t>
        </is>
      </c>
      <c r="B575" s="143" t="inlineStr">
        <is>
          <t xml:space="preserve">25-SVA-06</t>
        </is>
      </c>
      <c r="C575" s="143" t="inlineStr">
        <is>
          <t xml:space="preserve">25-SVA-06 (01) / GALLEY REFRESH</t>
        </is>
      </c>
      <c r="D575" s="143">
        <v>1.0</v>
      </c>
      <c r="E575" s="143">
        <v>2.0</v>
      </c>
      <c r="F575" s="143">
        <v>44.0</v>
      </c>
      <c r="G575" s="143">
        <v>526.0</v>
      </c>
      <c r="H575" s="143" t="inlineStr">
        <is>
          <t xml:space="preserve">Closed</t>
        </is>
      </c>
      <c r="I575" s="143">
        <v>25.0</v>
      </c>
      <c r="J575" s="143"/>
    </row>
    <row r="576" spans="1:10">
      <c r="A576" s="143" t="inlineStr">
        <is>
          <t xml:space="preserve">284</t>
        </is>
      </c>
      <c r="B576" s="143" t="inlineStr">
        <is>
          <t xml:space="preserve">25-SVA-07</t>
        </is>
      </c>
      <c r="C576" s="143" t="inlineStr">
        <is>
          <t xml:space="preserve">25-SVA-07 (01) / LAV REFRESH</t>
        </is>
      </c>
      <c r="D576" s="143">
        <v>1.0</v>
      </c>
      <c r="E576" s="143">
        <v>2.0</v>
      </c>
      <c r="F576" s="143">
        <v>12.5</v>
      </c>
      <c r="G576" s="143">
        <v>786.6</v>
      </c>
      <c r="H576" s="143" t="inlineStr">
        <is>
          <t xml:space="preserve">Closed</t>
        </is>
      </c>
      <c r="I576" s="143">
        <v>25.0</v>
      </c>
      <c r="J576" s="143"/>
    </row>
    <row r="577" spans="1:10">
      <c r="A577" s="143" t="inlineStr">
        <is>
          <t xml:space="preserve">285</t>
        </is>
      </c>
      <c r="B577" s="143" t="inlineStr">
        <is>
          <t xml:space="preserve">25-SVA-08</t>
        </is>
      </c>
      <c r="C577" s="143" t="inlineStr">
        <is>
          <t xml:space="preserve">25-SVA-08 (01) / CABIN CREW SEAT DEEP INSP</t>
        </is>
      </c>
      <c r="D577" s="143">
        <v>1.0</v>
      </c>
      <c r="E577" s="143">
        <v>3.0</v>
      </c>
      <c r="F577" s="143">
        <v>1.0</v>
      </c>
      <c r="G577" s="143">
        <v>1.0</v>
      </c>
      <c r="H577" s="143" t="inlineStr">
        <is>
          <t xml:space="preserve">Closed</t>
        </is>
      </c>
      <c r="I577" s="143">
        <v>25.0</v>
      </c>
      <c r="J577" s="143"/>
    </row>
    <row r="578" spans="1:10">
      <c r="A578" s="143" t="inlineStr">
        <is>
          <t xml:space="preserve">287</t>
        </is>
      </c>
      <c r="B578" s="143" t="inlineStr">
        <is>
          <t xml:space="preserve">25-SVA-10</t>
        </is>
      </c>
      <c r="C578" s="143" t="inlineStr">
        <is>
          <t xml:space="preserve">25-SVA-10 (02) / G/C PAX SEATS CUSHION R/R</t>
        </is>
      </c>
      <c r="D578" s="143">
        <v>1.0</v>
      </c>
      <c r="E578" s="143">
        <v>0.5</v>
      </c>
      <c r="F578" s="143">
        <v>210.0</v>
      </c>
      <c r="G578" s="143">
        <v>699.5</v>
      </c>
      <c r="H578" s="143" t="inlineStr">
        <is>
          <t xml:space="preserve">Closed</t>
        </is>
      </c>
      <c r="I578" s="143">
        <v>25.0</v>
      </c>
      <c r="J578" s="143"/>
    </row>
    <row r="579" spans="1:10">
      <c r="A579" s="143" t="inlineStr">
        <is>
          <t xml:space="preserve">288</t>
        </is>
      </c>
      <c r="B579" s="143" t="inlineStr">
        <is>
          <t xml:space="preserve">252100-01-0-SVA-002</t>
        </is>
      </c>
      <c r="C579" s="143" t="inlineStr">
        <is>
          <t xml:space="preserve">252100-01-0-SVA-002 (02) / A320 AIRCRAFT HZ-ASA THRU HZ-ASG PASSENGER SEATS COVERS R/R</t>
        </is>
      </c>
      <c r="D579" s="143">
        <v>1.0</v>
      </c>
      <c r="E579" s="143">
        <v>38.0</v>
      </c>
      <c r="F579" s="143">
        <v>255.0</v>
      </c>
      <c r="G579" s="143">
        <v>865.9</v>
      </c>
      <c r="H579" s="143" t="inlineStr">
        <is>
          <t xml:space="preserve">Closed</t>
        </is>
      </c>
      <c r="I579" s="143" t="inlineStr">
        <is>
          <t xml:space="preserve">25-21</t>
        </is>
      </c>
      <c r="J579" s="143" t="inlineStr">
        <is>
          <t xml:space="preserve">TC/P, TC/P</t>
        </is>
      </c>
    </row>
    <row r="580" spans="1:10">
      <c r="A580" s="143" t="inlineStr">
        <is>
          <t xml:space="preserve">291</t>
        </is>
      </c>
      <c r="B580" s="143" t="inlineStr">
        <is>
          <t xml:space="preserve">2521000103-002</t>
        </is>
      </c>
      <c r="C580" s="143" t="inlineStr">
        <is>
          <t xml:space="preserve">2521000103-002 (06) / PASS COMPARTMENT SEAT BELTS CLEANING G/C</t>
        </is>
      </c>
      <c r="D580" s="143">
        <v>1.0</v>
      </c>
      <c r="E580" s="143">
        <v>15.0</v>
      </c>
      <c r="F580" s="143">
        <v>8.0</v>
      </c>
      <c r="G580" s="143">
        <v>795.7</v>
      </c>
      <c r="H580" s="143" t="inlineStr">
        <is>
          <t xml:space="preserve">Closed</t>
        </is>
      </c>
      <c r="I580" s="143" t="inlineStr">
        <is>
          <t xml:space="preserve">25-21</t>
        </is>
      </c>
      <c r="J580" s="143" t="inlineStr">
        <is>
          <t xml:space="preserve">TC/P, TC/P, TC/P, TC/P</t>
        </is>
      </c>
    </row>
    <row r="581" spans="1:10">
      <c r="A581" s="143" t="inlineStr">
        <is>
          <t xml:space="preserve">293</t>
        </is>
      </c>
      <c r="B581" s="143" t="inlineStr">
        <is>
          <t xml:space="preserve">252200-03-1</t>
        </is>
      </c>
      <c r="C581" s="143" t="inlineStr">
        <is>
          <t xml:space="preserve">252200-03-1 (4) / CABIN ATTENDANT SEATS BELTS INSP</t>
        </is>
      </c>
      <c r="D581" s="143">
        <v>1.0</v>
      </c>
      <c r="E581" s="143">
        <v>0.02</v>
      </c>
      <c r="F581" s="143">
        <v>0.75</v>
      </c>
      <c r="G581" s="143">
        <v>0.75</v>
      </c>
      <c r="H581" s="143" t="inlineStr">
        <is>
          <t xml:space="preserve">Closed</t>
        </is>
      </c>
      <c r="I581" s="143" t="inlineStr">
        <is>
          <t xml:space="preserve">25-22</t>
        </is>
      </c>
      <c r="J581" s="143" t="inlineStr">
        <is>
          <t xml:space="preserve">PRE INSP</t>
        </is>
      </c>
    </row>
    <row r="582" spans="1:10">
      <c r="A582" s="143" t="inlineStr">
        <is>
          <t xml:space="preserve">294</t>
        </is>
      </c>
      <c r="B582" s="143" t="inlineStr">
        <is>
          <t xml:space="preserve">254000-04-2</t>
        </is>
      </c>
      <c r="C582" s="143" t="inlineStr">
        <is>
          <t xml:space="preserve">254000-04-2 (4) / LAVATORIES FLOOR PANELS INSPECTION</t>
        </is>
      </c>
      <c r="D582" s="143">
        <v>1.0</v>
      </c>
      <c r="E582" s="143">
        <v>3.3</v>
      </c>
      <c r="F582" s="143">
        <v>0.75</v>
      </c>
      <c r="G582" s="143">
        <v>0.75</v>
      </c>
      <c r="H582" s="143" t="inlineStr">
        <is>
          <t xml:space="preserve">Closed</t>
        </is>
      </c>
      <c r="I582" s="143" t="inlineStr">
        <is>
          <t xml:space="preserve">25-40</t>
        </is>
      </c>
      <c r="J582" s="143" t="inlineStr">
        <is>
          <t xml:space="preserve">PRE INSP</t>
        </is>
      </c>
    </row>
    <row r="583" spans="1:10">
      <c r="A583" s="143" t="inlineStr">
        <is>
          <t xml:space="preserve">295</t>
        </is>
      </c>
      <c r="B583" s="143" t="inlineStr">
        <is>
          <t xml:space="preserve">255000-08-1</t>
        </is>
      </c>
      <c r="C583" s="143" t="inlineStr">
        <is>
          <t xml:space="preserve">255000-08-1 (02) / AFT CGO XZ &amp; YZ ENDSTOPS INSP</t>
        </is>
      </c>
      <c r="D583" s="143">
        <v>1.0</v>
      </c>
      <c r="E583" s="143">
        <v>38.5</v>
      </c>
      <c r="F583" s="143">
        <v>8.25</v>
      </c>
      <c r="G583" s="143">
        <v>27.9</v>
      </c>
      <c r="H583" s="143" t="inlineStr">
        <is>
          <t xml:space="preserve">Closed</t>
        </is>
      </c>
      <c r="I583" s="143" t="inlineStr">
        <is>
          <t xml:space="preserve">25-50</t>
        </is>
      </c>
      <c r="J583" s="143" t="inlineStr">
        <is>
          <t xml:space="preserve">INSPECTION</t>
        </is>
      </c>
    </row>
    <row r="584" spans="1:10">
      <c r="A584" s="143" t="inlineStr">
        <is>
          <t xml:space="preserve">297</t>
        </is>
      </c>
      <c r="B584" s="143" t="inlineStr">
        <is>
          <t xml:space="preserve">256535-01-1</t>
        </is>
      </c>
      <c r="C584" s="143" t="inlineStr">
        <is>
          <t xml:space="preserve">256535-01-1 (02) / EMERGENCY LOCATOR TRANSMITTER OPC</t>
        </is>
      </c>
      <c r="D584" s="143">
        <v>1.0</v>
      </c>
      <c r="E584" s="143">
        <v>0.22</v>
      </c>
      <c r="F584" s="143">
        <v>2.0</v>
      </c>
      <c r="G584" s="143">
        <v>1.0</v>
      </c>
      <c r="H584" s="143" t="inlineStr">
        <is>
          <t xml:space="preserve">Closed</t>
        </is>
      </c>
      <c r="I584" s="143" t="inlineStr">
        <is>
          <t xml:space="preserve">25-65</t>
        </is>
      </c>
      <c r="J584" s="143" t="inlineStr">
        <is>
          <t xml:space="preserve">OPS/LK</t>
        </is>
      </c>
    </row>
    <row r="585" spans="1:10">
      <c r="A585" s="143" t="inlineStr">
        <is>
          <t xml:space="preserve">298</t>
        </is>
      </c>
      <c r="B585" s="143" t="inlineStr">
        <is>
          <t xml:space="preserve">256535-04-1</t>
        </is>
      </c>
      <c r="C585" s="143" t="inlineStr">
        <is>
          <t xml:space="preserve">256535-04-1 (00) / EXTERNAL FIX ELT ANTENNA INSPECTION</t>
        </is>
      </c>
      <c r="D585" s="143">
        <v>1.0</v>
      </c>
      <c r="E585" s="143">
        <v>1.25</v>
      </c>
      <c r="F585" s="143">
        <v>15.5</v>
      </c>
      <c r="G585" s="143">
        <v>393.3</v>
      </c>
      <c r="H585" s="143" t="inlineStr">
        <is>
          <t xml:space="preserve">Closed</t>
        </is>
      </c>
      <c r="I585" s="143">
        <v>25.0</v>
      </c>
      <c r="J585" s="143" t="inlineStr">
        <is>
          <t xml:space="preserve">JOB-SETUP, CLEAN-UP, INSPECTION, JOB-CLOSEUP</t>
        </is>
      </c>
    </row>
    <row r="586" spans="1:10">
      <c r="A586" s="143" t="inlineStr">
        <is>
          <t xml:space="preserve">299</t>
        </is>
      </c>
      <c r="B586" s="143" t="inlineStr">
        <is>
          <t xml:space="preserve">256652-01-1-SVA</t>
        </is>
      </c>
      <c r="C586" s="143" t="inlineStr">
        <is>
          <t xml:space="preserve">256652-01-1-SVA (01) / LIFE VEST RESTORATION PERIODIC CHECK FOR EXPIRATION</t>
        </is>
      </c>
      <c r="D586" s="143">
        <v>1.0</v>
      </c>
      <c r="E586" s="143">
        <v>3.25</v>
      </c>
      <c r="F586" s="143">
        <v>54.5</v>
      </c>
      <c r="G586" s="143">
        <v>874.8</v>
      </c>
      <c r="H586" s="143" t="inlineStr">
        <is>
          <t xml:space="preserve">Closed</t>
        </is>
      </c>
      <c r="I586" s="143" t="inlineStr">
        <is>
          <t xml:space="preserve">25-11</t>
        </is>
      </c>
      <c r="J586" s="143" t="inlineStr">
        <is>
          <t xml:space="preserve">JOB-SETUP, INSPECTION, --, JOB-CLOSEUP</t>
        </is>
      </c>
    </row>
    <row r="587" spans="1:10">
      <c r="A587" s="143" t="inlineStr">
        <is>
          <t xml:space="preserve">300</t>
        </is>
      </c>
      <c r="B587" s="143" t="inlineStr">
        <is>
          <t xml:space="preserve">261500-03-1</t>
        </is>
      </c>
      <c r="C587" s="143" t="inlineStr">
        <is>
          <t xml:space="preserve">261500-03-1 (3) / AVIONICS COMPARTMENT SMOKE DETECTION CLEAN TUBES</t>
        </is>
      </c>
      <c r="D587" s="143">
        <v>1.0</v>
      </c>
      <c r="E587" s="143">
        <v>0.22</v>
      </c>
      <c r="F587" s="143">
        <v>16.0</v>
      </c>
      <c r="G587" s="143">
        <v>266.6</v>
      </c>
      <c r="H587" s="143" t="inlineStr">
        <is>
          <t xml:space="preserve">Closed</t>
        </is>
      </c>
      <c r="I587" s="143" t="inlineStr">
        <is>
          <t xml:space="preserve">26-15</t>
        </is>
      </c>
      <c r="J587" s="143" t="inlineStr">
        <is>
          <t xml:space="preserve">JOB-SETUP, CLEAN-UP, TC/P, OPS/LK, JOB-CLOSEUP</t>
        </is>
      </c>
    </row>
    <row r="588" spans="1:10">
      <c r="A588" s="143" t="inlineStr">
        <is>
          <t xml:space="preserve">301</t>
        </is>
      </c>
      <c r="B588" s="143" t="inlineStr">
        <is>
          <t xml:space="preserve">262100-02-1-001</t>
        </is>
      </c>
      <c r="C588" s="143" t="inlineStr">
        <is>
          <t xml:space="preserve">262100-02-1-001 (04) / NO. 1 ENG FIRE EXT BOTTLE LOW PRESS INDICATING CIRCUIT OPS CHK</t>
        </is>
      </c>
      <c r="D588" s="143">
        <v>1.0</v>
      </c>
      <c r="E588" s="143">
        <v>0.43</v>
      </c>
      <c r="F588" s="143">
        <v>5.0</v>
      </c>
      <c r="G588" s="143">
        <v>2.93</v>
      </c>
      <c r="H588" s="143" t="inlineStr">
        <is>
          <t xml:space="preserve">Closed</t>
        </is>
      </c>
      <c r="I588" s="143" t="inlineStr">
        <is>
          <t xml:space="preserve">26-21</t>
        </is>
      </c>
      <c r="J588" s="143" t="inlineStr">
        <is>
          <t xml:space="preserve">OPS/LK</t>
        </is>
      </c>
    </row>
    <row r="589" spans="1:10">
      <c r="A589" s="143" t="inlineStr">
        <is>
          <t xml:space="preserve">302</t>
        </is>
      </c>
      <c r="B589" s="143" t="inlineStr">
        <is>
          <t xml:space="preserve">262100-02-1-002</t>
        </is>
      </c>
      <c r="C589" s="143" t="inlineStr">
        <is>
          <t xml:space="preserve">262100-02-1-002 (04) / NO. 2 ENG FIRE EXT BOTTLE LOW PRESS INDICATING CIRCUIT OPS CHK</t>
        </is>
      </c>
      <c r="D589" s="143">
        <v>1.0</v>
      </c>
      <c r="E589" s="143">
        <v>0.43</v>
      </c>
      <c r="F589" s="143">
        <v>5.0</v>
      </c>
      <c r="G589" s="143">
        <v>2.92</v>
      </c>
      <c r="H589" s="143" t="inlineStr">
        <is>
          <t xml:space="preserve">Closed</t>
        </is>
      </c>
      <c r="I589" s="143" t="inlineStr">
        <is>
          <t xml:space="preserve">26-21</t>
        </is>
      </c>
      <c r="J589" s="143" t="inlineStr">
        <is>
          <t xml:space="preserve">OPS/LK</t>
        </is>
      </c>
    </row>
    <row r="590" spans="1:10">
      <c r="A590" s="143" t="inlineStr">
        <is>
          <t xml:space="preserve">303</t>
        </is>
      </c>
      <c r="B590" s="143" t="inlineStr">
        <is>
          <t xml:space="preserve">262100-03-1-001</t>
        </is>
      </c>
      <c r="C590" s="143" t="inlineStr">
        <is>
          <t xml:space="preserve">262100-03-1-001 (04) / NO.1 ENG FIRE EXTIG CONTINUTY CHK</t>
        </is>
      </c>
      <c r="D590" s="143">
        <v>1.0</v>
      </c>
      <c r="E590" s="143">
        <v>0.87</v>
      </c>
      <c r="F590" s="143">
        <v>7.0</v>
      </c>
      <c r="G590" s="143">
        <v>1.92</v>
      </c>
      <c r="H590" s="143" t="inlineStr">
        <is>
          <t xml:space="preserve">Closed</t>
        </is>
      </c>
      <c r="I590" s="143" t="inlineStr">
        <is>
          <t xml:space="preserve">26-21</t>
        </is>
      </c>
      <c r="J590" s="143" t="inlineStr">
        <is>
          <t xml:space="preserve">TC/P, TC/P, TC/P</t>
        </is>
      </c>
    </row>
    <row r="591" spans="1:10">
      <c r="A591" s="143" t="inlineStr">
        <is>
          <t xml:space="preserve">304</t>
        </is>
      </c>
      <c r="B591" s="143" t="inlineStr">
        <is>
          <t xml:space="preserve">262100-03-1-002</t>
        </is>
      </c>
      <c r="C591" s="143" t="inlineStr">
        <is>
          <t xml:space="preserve">262100-03-1-002 (04) / NO.2 ENG FIRE EXTIG CONTINUTY CHK</t>
        </is>
      </c>
      <c r="D591" s="143">
        <v>1.0</v>
      </c>
      <c r="E591" s="143">
        <v>0.87</v>
      </c>
      <c r="F591" s="143">
        <v>7.0</v>
      </c>
      <c r="G591" s="143">
        <v>1.85</v>
      </c>
      <c r="H591" s="143" t="inlineStr">
        <is>
          <t xml:space="preserve">Closed</t>
        </is>
      </c>
      <c r="I591" s="143" t="inlineStr">
        <is>
          <t xml:space="preserve">26-21</t>
        </is>
      </c>
      <c r="J591" s="143" t="inlineStr">
        <is>
          <t xml:space="preserve">TC/P, TC/P, TC/P</t>
        </is>
      </c>
    </row>
    <row r="592" spans="1:10">
      <c r="A592" s="143" t="inlineStr">
        <is>
          <t xml:space="preserve">306</t>
        </is>
      </c>
      <c r="B592" s="143" t="inlineStr">
        <is>
          <t xml:space="preserve">262200-03-1</t>
        </is>
      </c>
      <c r="C592" s="143" t="inlineStr">
        <is>
          <t xml:space="preserve">262200-03-1 (4) / APU FIRE EXTINGUISHING FIRING CHK</t>
        </is>
      </c>
      <c r="D592" s="143">
        <v>1.0</v>
      </c>
      <c r="E592" s="143">
        <v>0.72</v>
      </c>
      <c r="F592" s="143">
        <v>8.5</v>
      </c>
      <c r="G592" s="143">
        <v>2.18</v>
      </c>
      <c r="H592" s="143" t="inlineStr">
        <is>
          <t xml:space="preserve">Closed</t>
        </is>
      </c>
      <c r="I592" s="143" t="inlineStr">
        <is>
          <t xml:space="preserve">26-22</t>
        </is>
      </c>
      <c r="J592" s="143" t="inlineStr">
        <is>
          <t xml:space="preserve">JOB-SETUP, TC/P, TC/P, JOB-CLOSEUP</t>
        </is>
      </c>
    </row>
    <row r="593" spans="1:10">
      <c r="A593" s="143" t="inlineStr">
        <is>
          <t xml:space="preserve">307</t>
        </is>
      </c>
      <c r="B593" s="143" t="inlineStr">
        <is>
          <t xml:space="preserve">262200-04-1</t>
        </is>
      </c>
      <c r="C593" s="143" t="inlineStr">
        <is>
          <t xml:space="preserve">262200-04-1 (4) / APU FIRE EXTINGUISHING DISTRIBUTION PIPING INSP &amp; DISCHARGE NOZZLE</t>
        </is>
      </c>
      <c r="D593" s="143">
        <v>1.0</v>
      </c>
      <c r="E593" s="143">
        <v>0.43</v>
      </c>
      <c r="F593" s="143">
        <v>0.83</v>
      </c>
      <c r="G593" s="143">
        <v>0.83</v>
      </c>
      <c r="H593" s="143" t="inlineStr">
        <is>
          <t xml:space="preserve">Closed</t>
        </is>
      </c>
      <c r="I593" s="143" t="inlineStr">
        <is>
          <t xml:space="preserve">26-22</t>
        </is>
      </c>
      <c r="J593" s="143" t="inlineStr">
        <is>
          <t xml:space="preserve">INSPECTION</t>
        </is>
      </c>
    </row>
    <row r="594" spans="1:10">
      <c r="A594" s="143" t="inlineStr">
        <is>
          <t xml:space="preserve">308</t>
        </is>
      </c>
      <c r="B594" s="143" t="inlineStr">
        <is>
          <t xml:space="preserve">262200-05-1</t>
        </is>
      </c>
      <c r="C594" s="143" t="inlineStr">
        <is>
          <t xml:space="preserve">262200-05-1 (3) / APU FIRE EXTINGUISHING LOW PRESS OPC</t>
        </is>
      </c>
      <c r="D594" s="143">
        <v>1.0</v>
      </c>
      <c r="E594" s="143">
        <v>0.43</v>
      </c>
      <c r="F594" s="143">
        <v>6.5</v>
      </c>
      <c r="G594" s="143">
        <v>2.13</v>
      </c>
      <c r="H594" s="143" t="inlineStr">
        <is>
          <t xml:space="preserve">Closed</t>
        </is>
      </c>
      <c r="I594" s="143" t="inlineStr">
        <is>
          <t xml:space="preserve">26-22</t>
        </is>
      </c>
      <c r="J594" s="143" t="inlineStr">
        <is>
          <t xml:space="preserve">JOB-SETUP, OPS/LK, JOB-CLOSEUP</t>
        </is>
      </c>
    </row>
    <row r="595" spans="1:10">
      <c r="A595" s="143" t="inlineStr">
        <is>
          <t xml:space="preserve">309</t>
        </is>
      </c>
      <c r="B595" s="143" t="inlineStr">
        <is>
          <t xml:space="preserve">262200-06-1</t>
        </is>
      </c>
      <c r="C595" s="143" t="inlineStr">
        <is>
          <t xml:space="preserve">262200-06-1 (5) / APU FIRE PUSH BUTTON &amp; LP FUEL VLV</t>
        </is>
      </c>
      <c r="D595" s="143">
        <v>1.0</v>
      </c>
      <c r="E595" s="143">
        <v>0.65</v>
      </c>
      <c r="F595" s="143">
        <v>6.5</v>
      </c>
      <c r="G595" s="143">
        <v>4.8</v>
      </c>
      <c r="H595" s="143" t="inlineStr">
        <is>
          <t xml:space="preserve">Closed</t>
        </is>
      </c>
      <c r="I595" s="143" t="inlineStr">
        <is>
          <t xml:space="preserve">26-22</t>
        </is>
      </c>
      <c r="J595" s="143" t="inlineStr">
        <is>
          <t xml:space="preserve">OPS/LK</t>
        </is>
      </c>
    </row>
    <row r="596" spans="1:10">
      <c r="A596" s="143" t="inlineStr">
        <is>
          <t xml:space="preserve">310</t>
        </is>
      </c>
      <c r="B596" s="143" t="inlineStr">
        <is>
          <t xml:space="preserve">262300-02-1</t>
        </is>
      </c>
      <c r="C596" s="143" t="inlineStr">
        <is>
          <t xml:space="preserve">262300-02-1 (05) / CARGO COMP FIRNG CIRCT CONTU CHK</t>
        </is>
      </c>
      <c r="D596" s="143">
        <v>1.0</v>
      </c>
      <c r="E596" s="143">
        <v>1.32</v>
      </c>
      <c r="F596" s="143">
        <v>11.0</v>
      </c>
      <c r="G596" s="143">
        <v>3.43</v>
      </c>
      <c r="H596" s="143" t="inlineStr">
        <is>
          <t xml:space="preserve">Closed</t>
        </is>
      </c>
      <c r="I596" s="143" t="inlineStr">
        <is>
          <t xml:space="preserve">26-23</t>
        </is>
      </c>
      <c r="J596" s="143" t="inlineStr">
        <is>
          <t xml:space="preserve">JOB-SETUP, OPS/LK, OPS/LK, JOB-CLOSEUP</t>
        </is>
      </c>
    </row>
    <row r="597" spans="1:10">
      <c r="A597" s="143" t="inlineStr">
        <is>
          <t xml:space="preserve">311</t>
        </is>
      </c>
      <c r="B597" s="143" t="inlineStr">
        <is>
          <t xml:space="preserve">262300-03-1</t>
        </is>
      </c>
      <c r="C597" s="143" t="inlineStr">
        <is>
          <t xml:space="preserve">262300-03-1 (05) / FIRE EXTINGUISHING LINES LEAKAGE CHK</t>
        </is>
      </c>
      <c r="D597" s="143">
        <v>1.0</v>
      </c>
      <c r="E597" s="143">
        <v>4.4</v>
      </c>
      <c r="F597" s="143">
        <v>76.2</v>
      </c>
      <c r="G597" s="143">
        <v>90.0</v>
      </c>
      <c r="H597" s="143" t="inlineStr">
        <is>
          <t xml:space="preserve">Closed</t>
        </is>
      </c>
      <c r="I597" s="143" t="inlineStr">
        <is>
          <t xml:space="preserve">26-23</t>
        </is>
      </c>
      <c r="J597" s="143" t="inlineStr">
        <is>
          <t xml:space="preserve">JOB-SETUP, OPS/LK, OPS/LK, JOB-CLOSEUP</t>
        </is>
      </c>
    </row>
    <row r="598" spans="1:10">
      <c r="A598" s="143" t="inlineStr">
        <is>
          <t xml:space="preserve">312</t>
        </is>
      </c>
      <c r="B598" s="143" t="inlineStr">
        <is>
          <t xml:space="preserve">262541-04-1</t>
        </is>
      </c>
      <c r="C598" s="143" t="inlineStr">
        <is>
          <t xml:space="preserve">262541-04-1 (3) / LAVATORY FIRE EXTG PRESS READING CHK</t>
        </is>
      </c>
      <c r="D598" s="143">
        <v>1.0</v>
      </c>
      <c r="E598" s="143">
        <v>0.22</v>
      </c>
      <c r="F598" s="143">
        <v>0.75</v>
      </c>
      <c r="G598" s="143">
        <v>0.75</v>
      </c>
      <c r="H598" s="143" t="inlineStr">
        <is>
          <t xml:space="preserve">Closed</t>
        </is>
      </c>
      <c r="I598" s="143" t="inlineStr">
        <is>
          <t xml:space="preserve">26-25</t>
        </is>
      </c>
      <c r="J598" s="143" t="inlineStr">
        <is>
          <t xml:space="preserve">INSPECTION</t>
        </is>
      </c>
    </row>
    <row r="599" spans="1:10">
      <c r="A599" s="143" t="inlineStr">
        <is>
          <t xml:space="preserve">313</t>
        </is>
      </c>
      <c r="B599" s="143" t="inlineStr">
        <is>
          <t xml:space="preserve">271400-01-1</t>
        </is>
      </c>
      <c r="C599" s="143" t="inlineStr">
        <is>
          <t xml:space="preserve">271400-01-1 (3) / AILERON DAMPING MEASUREMENT OPS TEST</t>
        </is>
      </c>
      <c r="D599" s="143">
        <v>1.0</v>
      </c>
      <c r="E599" s="143">
        <v>0.22</v>
      </c>
      <c r="F599" s="143">
        <v>3.0</v>
      </c>
      <c r="G599" s="143">
        <v>1.52</v>
      </c>
      <c r="H599" s="143" t="inlineStr">
        <is>
          <t xml:space="preserve">Closed</t>
        </is>
      </c>
      <c r="I599" s="143" t="inlineStr">
        <is>
          <t xml:space="preserve">27-14</t>
        </is>
      </c>
      <c r="J599" s="143" t="inlineStr">
        <is>
          <t xml:space="preserve">JOB-SETUP, OPS/LK, JOB-CLOSEUP</t>
        </is>
      </c>
    </row>
    <row r="600" spans="1:10">
      <c r="A600" s="143" t="inlineStr">
        <is>
          <t xml:space="preserve">314</t>
        </is>
      </c>
      <c r="B600" s="143" t="inlineStr">
        <is>
          <t xml:space="preserve">271400-02-2-001</t>
        </is>
      </c>
      <c r="C600" s="143" t="inlineStr">
        <is>
          <t xml:space="preserve">271400-02-2-001 (04) / L/H AILERON SERVO EXCESSIVE PLAY CHK</t>
        </is>
      </c>
      <c r="D600" s="143">
        <v>1.0</v>
      </c>
      <c r="E600" s="143">
        <v>4.4</v>
      </c>
      <c r="F600" s="143">
        <v>13.17</v>
      </c>
      <c r="G600" s="143">
        <v>139.7</v>
      </c>
      <c r="H600" s="143" t="inlineStr">
        <is>
          <t xml:space="preserve">Closed</t>
        </is>
      </c>
      <c r="I600" s="143" t="inlineStr">
        <is>
          <t xml:space="preserve">27-14</t>
        </is>
      </c>
      <c r="J600" s="143" t="inlineStr">
        <is>
          <t xml:space="preserve">PRE HGR, PRE HGR, PRE HGR, PRE HGR</t>
        </is>
      </c>
    </row>
    <row r="601" spans="1:10">
      <c r="A601" s="143" t="inlineStr">
        <is>
          <t xml:space="preserve">315</t>
        </is>
      </c>
      <c r="B601" s="143" t="inlineStr">
        <is>
          <t xml:space="preserve">271400-02-2-002</t>
        </is>
      </c>
      <c r="C601" s="143" t="inlineStr">
        <is>
          <t xml:space="preserve">271400-02-2-002 (04) / RH AIL SERVO EXCESSIVE PLAY CHK</t>
        </is>
      </c>
      <c r="D601" s="143">
        <v>1.0</v>
      </c>
      <c r="E601" s="143">
        <v>4.4</v>
      </c>
      <c r="F601" s="143">
        <v>7.67</v>
      </c>
      <c r="G601" s="143">
        <v>137.3</v>
      </c>
      <c r="H601" s="143" t="inlineStr">
        <is>
          <t xml:space="preserve">Closed</t>
        </is>
      </c>
      <c r="I601" s="143" t="inlineStr">
        <is>
          <t xml:space="preserve">27-14</t>
        </is>
      </c>
      <c r="J601" s="143" t="inlineStr">
        <is>
          <t xml:space="preserve">PRE HGR, PRE HGR, PRE HGR, PRE HGR</t>
        </is>
      </c>
    </row>
    <row r="602" spans="1:10">
      <c r="A602" s="143" t="inlineStr">
        <is>
          <t xml:space="preserve">319</t>
        </is>
      </c>
      <c r="B602" s="143" t="inlineStr">
        <is>
          <t xml:space="preserve">272100-04-1</t>
        </is>
      </c>
      <c r="C602" s="143" t="inlineStr">
        <is>
          <t xml:space="preserve">272100-04-1 (02) / RUDDER MECHANICAL CONTROL CHK</t>
        </is>
      </c>
      <c r="D602" s="143">
        <v>1.0</v>
      </c>
      <c r="E602" s="143">
        <v>0.43</v>
      </c>
      <c r="F602" s="143">
        <v>26.1</v>
      </c>
      <c r="G602" s="143">
        <v>675.4</v>
      </c>
      <c r="H602" s="143" t="inlineStr">
        <is>
          <t xml:space="preserve">Closed</t>
        </is>
      </c>
      <c r="I602" s="143" t="inlineStr">
        <is>
          <t xml:space="preserve">27-26</t>
        </is>
      </c>
      <c r="J602" s="143" t="inlineStr">
        <is>
          <t xml:space="preserve">JOB-SETUP, JOB-SETUP, INSPECTION, JOB-CLOSEUP</t>
        </is>
      </c>
    </row>
    <row r="603" spans="1:10">
      <c r="A603" s="143" t="inlineStr">
        <is>
          <t xml:space="preserve">320</t>
        </is>
      </c>
      <c r="B603" s="143" t="inlineStr">
        <is>
          <t xml:space="preserve">272100-05-1</t>
        </is>
      </c>
      <c r="C603" s="143" t="inlineStr">
        <is>
          <t xml:space="preserve">272100-05-1 (02) / RUDDER CENTERING SPRING-ROD</t>
        </is>
      </c>
      <c r="D603" s="143">
        <v>1.0</v>
      </c>
      <c r="E603" s="143">
        <v>0.87</v>
      </c>
      <c r="F603" s="143">
        <v>36.0</v>
      </c>
      <c r="G603" s="143">
        <v>764.2</v>
      </c>
      <c r="H603" s="143" t="inlineStr">
        <is>
          <t xml:space="preserve">Closed</t>
        </is>
      </c>
      <c r="I603" s="143" t="inlineStr">
        <is>
          <t xml:space="preserve">27-21</t>
        </is>
      </c>
      <c r="J603" s="143" t="inlineStr">
        <is>
          <t xml:space="preserve">JOB-SETUP, OPS/LK, JOB-CLOSEUP</t>
        </is>
      </c>
    </row>
    <row r="604" spans="1:10">
      <c r="A604" s="143" t="inlineStr">
        <is>
          <t xml:space="preserve">321</t>
        </is>
      </c>
      <c r="B604" s="143" t="inlineStr">
        <is>
          <t xml:space="preserve">272100-07-1</t>
        </is>
      </c>
      <c r="C604" s="143" t="inlineStr">
        <is>
          <t xml:space="preserve">272100-07-1 (02) / RUDDER MECHANICAL CONTROL LINKAGE</t>
        </is>
      </c>
      <c r="D604" s="143">
        <v>1.0</v>
      </c>
      <c r="E604" s="143">
        <v>0.22</v>
      </c>
      <c r="F604" s="143">
        <v>37.0</v>
      </c>
      <c r="G604" s="143">
        <v>148.4</v>
      </c>
      <c r="H604" s="143" t="inlineStr">
        <is>
          <t xml:space="preserve">Closed</t>
        </is>
      </c>
      <c r="I604" s="143" t="inlineStr">
        <is>
          <t xml:space="preserve">27-21</t>
        </is>
      </c>
      <c r="J604" s="143" t="inlineStr">
        <is>
          <t xml:space="preserve">INSPECTION</t>
        </is>
      </c>
    </row>
    <row r="605" spans="1:10">
      <c r="A605" s="143" t="inlineStr">
        <is>
          <t xml:space="preserve">322</t>
        </is>
      </c>
      <c r="B605" s="143" t="inlineStr">
        <is>
          <t xml:space="preserve">272100-12-1</t>
        </is>
      </c>
      <c r="C605" s="143" t="inlineStr">
        <is>
          <t xml:space="preserve">272100-12-1 (00) / LUBRICATION OF RUDDER CONTROL CABLES IN REAR PART (ZONE 310).</t>
        </is>
      </c>
      <c r="D605" s="143">
        <v>1.0</v>
      </c>
      <c r="E605" s="143">
        <v>1.32</v>
      </c>
      <c r="F605" s="143">
        <v>19.0</v>
      </c>
      <c r="G605" s="143">
        <v>76.4</v>
      </c>
      <c r="H605" s="143" t="inlineStr">
        <is>
          <t xml:space="preserve">Closed</t>
        </is>
      </c>
      <c r="I605" s="143" t="inlineStr">
        <is>
          <t xml:space="preserve">27-21</t>
        </is>
      </c>
      <c r="J605" s="143" t="inlineStr">
        <is>
          <t xml:space="preserve">JOB-SETUP, --, --</t>
        </is>
      </c>
    </row>
    <row r="606" spans="1:10">
      <c r="A606" s="143" t="inlineStr">
        <is>
          <t xml:space="preserve">323</t>
        </is>
      </c>
      <c r="B606" s="143" t="inlineStr">
        <is>
          <t xml:space="preserve">272145-01-1</t>
        </is>
      </c>
      <c r="C606" s="143" t="inlineStr">
        <is>
          <t xml:space="preserve">272145-01-1 (02) / RUDDER CABLE TENTION REGULATOR CHECK</t>
        </is>
      </c>
      <c r="D606" s="143">
        <v>1.0</v>
      </c>
      <c r="E606" s="143">
        <v>0.72</v>
      </c>
      <c r="F606" s="143">
        <v>5.08</v>
      </c>
      <c r="G606" s="143">
        <v>2.67</v>
      </c>
      <c r="H606" s="143" t="inlineStr">
        <is>
          <t xml:space="preserve">Closed</t>
        </is>
      </c>
      <c r="I606" s="143" t="inlineStr">
        <is>
          <t xml:space="preserve">27-21</t>
        </is>
      </c>
      <c r="J606" s="143" t="inlineStr">
        <is>
          <t xml:space="preserve">TC/P</t>
        </is>
      </c>
    </row>
    <row r="607" spans="1:10">
      <c r="A607" s="143" t="inlineStr">
        <is>
          <t xml:space="preserve">324</t>
        </is>
      </c>
      <c r="B607" s="143" t="inlineStr">
        <is>
          <t xml:space="preserve">272400-02-1</t>
        </is>
      </c>
      <c r="C607" s="143" t="inlineStr">
        <is>
          <t xml:space="preserve">272400-02-1 (04) / FUNCTIONAL CHK OF RUDDER HYDRAULIC ACTUATION</t>
        </is>
      </c>
      <c r="D607" s="143">
        <v>1.0</v>
      </c>
      <c r="E607" s="143">
        <v>2.2</v>
      </c>
      <c r="F607" s="143">
        <v>40.6</v>
      </c>
      <c r="G607" s="143">
        <v>7.4</v>
      </c>
      <c r="H607" s="143" t="inlineStr">
        <is>
          <t xml:space="preserve">Closed</t>
        </is>
      </c>
      <c r="I607" s="143" t="inlineStr">
        <is>
          <t xml:space="preserve">27-24</t>
        </is>
      </c>
      <c r="J607" s="143" t="inlineStr">
        <is>
          <t xml:space="preserve">PRE HGR, PRE HGR, PRE HGR, PRE HGR, PRE HGR, PRE HGR, PRE HGR, PRE HGR</t>
        </is>
      </c>
    </row>
    <row r="608" spans="1:10">
      <c r="A608" s="143" t="inlineStr">
        <is>
          <t xml:space="preserve">325</t>
        </is>
      </c>
      <c r="B608" s="143" t="inlineStr">
        <is>
          <t xml:space="preserve">273400-02-1</t>
        </is>
      </c>
      <c r="C608" s="143" t="inlineStr">
        <is>
          <t xml:space="preserve">273400-02-1 (04) / FUNCTIONAL CHECK OF ELEV SERVO CONT &amp; HINGE BEARING PLAY</t>
        </is>
      </c>
      <c r="D608" s="143">
        <v>1.0</v>
      </c>
      <c r="E608" s="143">
        <v>5.5</v>
      </c>
      <c r="F608" s="143">
        <v>36.8</v>
      </c>
      <c r="G608" s="143">
        <v>9.23</v>
      </c>
      <c r="H608" s="143" t="inlineStr">
        <is>
          <t xml:space="preserve">Closed</t>
        </is>
      </c>
      <c r="I608" s="143" t="inlineStr">
        <is>
          <t xml:space="preserve">27-34</t>
        </is>
      </c>
      <c r="J608" s="143" t="inlineStr">
        <is>
          <t xml:space="preserve">PRE HGR, PRE HGR, PRE HGR, PRE HGR</t>
        </is>
      </c>
    </row>
    <row r="609" spans="1:10">
      <c r="A609" s="143" t="inlineStr">
        <is>
          <t xml:space="preserve">326</t>
        </is>
      </c>
      <c r="B609" s="143" t="inlineStr">
        <is>
          <t xml:space="preserve">273400-03-1</t>
        </is>
      </c>
      <c r="C609" s="143" t="inlineStr">
        <is>
          <t xml:space="preserve">273400-03-1 (3) / ELEVATOR SERVO CONTROL FLUID-RESERVE</t>
        </is>
      </c>
      <c r="D609" s="143">
        <v>1.0</v>
      </c>
      <c r="E609" s="143">
        <v>1.03</v>
      </c>
      <c r="F609" s="143">
        <v>18.25</v>
      </c>
      <c r="G609" s="143">
        <v>4.45</v>
      </c>
      <c r="H609" s="143" t="inlineStr">
        <is>
          <t xml:space="preserve">Closed</t>
        </is>
      </c>
      <c r="I609" s="143" t="inlineStr">
        <is>
          <t xml:space="preserve">27-34</t>
        </is>
      </c>
      <c r="J609" s="143" t="inlineStr">
        <is>
          <t xml:space="preserve">JOB-SETUP, TC/P, JOB-CLOSEUP</t>
        </is>
      </c>
    </row>
    <row r="610" spans="1:10">
      <c r="A610" s="143" t="inlineStr">
        <is>
          <t xml:space="preserve">327</t>
        </is>
      </c>
      <c r="B610" s="143" t="inlineStr">
        <is>
          <t xml:space="preserve">274000-04-1</t>
        </is>
      </c>
      <c r="C610" s="143" t="inlineStr">
        <is>
          <t xml:space="preserve">274000-04-1 (3) / THS ACTUATOR WITH ELECTRIC MOTOR OPC</t>
        </is>
      </c>
      <c r="D610" s="143">
        <v>1.0</v>
      </c>
      <c r="E610" s="143">
        <v>0.22</v>
      </c>
      <c r="F610" s="143">
        <v>21.0</v>
      </c>
      <c r="G610" s="143">
        <v>8.75</v>
      </c>
      <c r="H610" s="143" t="inlineStr">
        <is>
          <t xml:space="preserve">Closed</t>
        </is>
      </c>
      <c r="I610" s="143" t="inlineStr">
        <is>
          <t xml:space="preserve">27-96</t>
        </is>
      </c>
      <c r="J610" s="143" t="inlineStr">
        <is>
          <t xml:space="preserve">PRE HGR, PRE HGR, PRE HGR</t>
        </is>
      </c>
    </row>
    <row r="611" spans="1:10">
      <c r="A611" s="143" t="inlineStr">
        <is>
          <t xml:space="preserve">328</t>
        </is>
      </c>
      <c r="B611" s="143" t="inlineStr">
        <is>
          <t xml:space="preserve">274000-24-1</t>
        </is>
      </c>
      <c r="C611" s="143" t="inlineStr">
        <is>
          <t xml:space="preserve">274000-24-1 (1) / OPERATIONAL CHECK OF THS ACTUATOR OVERRIDE MECHANISM.</t>
        </is>
      </c>
      <c r="D611" s="143">
        <v>1.0</v>
      </c>
      <c r="E611" s="143">
        <v>0.5</v>
      </c>
      <c r="F611" s="143">
        <v>4.0</v>
      </c>
      <c r="G611" s="143">
        <v>1.0</v>
      </c>
      <c r="H611" s="143" t="inlineStr">
        <is>
          <t xml:space="preserve">Closed</t>
        </is>
      </c>
      <c r="I611" s="143" t="inlineStr">
        <is>
          <t xml:space="preserve">27-44</t>
        </is>
      </c>
      <c r="J611" s="143" t="inlineStr">
        <is>
          <t xml:space="preserve">TC/P</t>
        </is>
      </c>
    </row>
    <row r="612" spans="1:10">
      <c r="A612" s="143" t="inlineStr">
        <is>
          <t xml:space="preserve">329</t>
        </is>
      </c>
      <c r="B612" s="143" t="inlineStr">
        <is>
          <t xml:space="preserve">274142-01-1</t>
        </is>
      </c>
      <c r="C612" s="143" t="inlineStr">
        <is>
          <t xml:space="preserve">274142-01-1 (3) / THS TRIM CTL TENSION REG CABLE CHK</t>
        </is>
      </c>
      <c r="D612" s="143">
        <v>1.0</v>
      </c>
      <c r="E612" s="143">
        <v>0.1</v>
      </c>
      <c r="F612" s="143">
        <v>12.08</v>
      </c>
      <c r="G612" s="143">
        <v>3.43</v>
      </c>
      <c r="H612" s="143" t="inlineStr">
        <is>
          <t xml:space="preserve">Closed</t>
        </is>
      </c>
      <c r="I612" s="143" t="inlineStr">
        <is>
          <t xml:space="preserve">27-41</t>
        </is>
      </c>
      <c r="J612" s="143" t="inlineStr">
        <is>
          <t xml:space="preserve">JOB-SETUP, TC/P, JOB-CLOSEUP</t>
        </is>
      </c>
    </row>
    <row r="613" spans="1:10">
      <c r="A613" s="143" t="inlineStr">
        <is>
          <t xml:space="preserve">331</t>
        </is>
      </c>
      <c r="B613" s="143" t="inlineStr">
        <is>
          <t xml:space="preserve">274451-04-1</t>
        </is>
      </c>
      <c r="C613" s="143" t="inlineStr">
        <is>
          <t xml:space="preserve">274451-04-1 (3) / THS ACT NUT, SCREW &amp; CLAW STOPS</t>
        </is>
      </c>
      <c r="D613" s="143">
        <v>1.0</v>
      </c>
      <c r="E613" s="143">
        <v>0.32</v>
      </c>
      <c r="F613" s="143">
        <v>4.0</v>
      </c>
      <c r="G613" s="143">
        <v>20.55</v>
      </c>
      <c r="H613" s="143" t="inlineStr">
        <is>
          <t xml:space="preserve">Closed</t>
        </is>
      </c>
      <c r="I613" s="143" t="inlineStr">
        <is>
          <t xml:space="preserve">27-44</t>
        </is>
      </c>
      <c r="J613" s="143" t="inlineStr">
        <is>
          <t xml:space="preserve">INSPECTION, INSPECTION</t>
        </is>
      </c>
    </row>
    <row r="614" spans="1:10">
      <c r="A614" s="143" t="inlineStr">
        <is>
          <t xml:space="preserve">332</t>
        </is>
      </c>
      <c r="B614" s="143" t="inlineStr">
        <is>
          <t xml:space="preserve">274451-05-1</t>
        </is>
      </c>
      <c r="C614" s="143" t="inlineStr">
        <is>
          <t xml:space="preserve">274451-05-1 (4) / THSA UPPER &amp; LOWER ATTACHMENTS INSP</t>
        </is>
      </c>
      <c r="D614" s="143">
        <v>1.0</v>
      </c>
      <c r="E614" s="143">
        <v>0.32</v>
      </c>
      <c r="F614" s="143">
        <v>5.0</v>
      </c>
      <c r="G614" s="143">
        <v>5.1</v>
      </c>
      <c r="H614" s="143" t="inlineStr">
        <is>
          <t xml:space="preserve">Closed</t>
        </is>
      </c>
      <c r="I614" s="143" t="inlineStr">
        <is>
          <t xml:space="preserve">27-44</t>
        </is>
      </c>
      <c r="J614" s="143" t="inlineStr">
        <is>
          <t xml:space="preserve">JOB-SETUP, INSPECTION, JOB-CLOSEUP</t>
        </is>
      </c>
    </row>
    <row r="615" spans="1:10">
      <c r="A615" s="143" t="inlineStr">
        <is>
          <t xml:space="preserve">333</t>
        </is>
      </c>
      <c r="B615" s="143" t="inlineStr">
        <is>
          <t xml:space="preserve">274451-06-1</t>
        </is>
      </c>
      <c r="C615" s="143" t="inlineStr">
        <is>
          <t xml:space="preserve">274451-06-1 (3) / THS ACT THREADED NUT INSPECTION</t>
        </is>
      </c>
      <c r="D615" s="143">
        <v>1.0</v>
      </c>
      <c r="E615" s="143">
        <v>0.1</v>
      </c>
      <c r="F615" s="143">
        <v>0.5</v>
      </c>
      <c r="G615" s="143">
        <v>0.5</v>
      </c>
      <c r="H615" s="143" t="inlineStr">
        <is>
          <t xml:space="preserve">Closed</t>
        </is>
      </c>
      <c r="I615" s="143" t="inlineStr">
        <is>
          <t xml:space="preserve">27-44</t>
        </is>
      </c>
      <c r="J615" s="143" t="inlineStr">
        <is>
          <t xml:space="preserve">PRE INSP</t>
        </is>
      </c>
    </row>
    <row r="616" spans="1:10">
      <c r="A616" s="143" t="inlineStr">
        <is>
          <t xml:space="preserve">334</t>
        </is>
      </c>
      <c r="B616" s="143" t="inlineStr">
        <is>
          <t xml:space="preserve">274451-08-1</t>
        </is>
      </c>
      <c r="C616" s="143" t="inlineStr">
        <is>
          <t xml:space="preserve">274451-08-1 (3) / THS BALL SCREW SHAFT INTEGRITY FNC</t>
        </is>
      </c>
      <c r="D616" s="143">
        <v>1.0</v>
      </c>
      <c r="E616" s="143">
        <v>0.87</v>
      </c>
      <c r="F616" s="143">
        <v>56.1</v>
      </c>
      <c r="G616" s="143">
        <v>26.4</v>
      </c>
      <c r="H616" s="143" t="inlineStr">
        <is>
          <t xml:space="preserve">Closed</t>
        </is>
      </c>
      <c r="I616" s="143" t="inlineStr">
        <is>
          <t xml:space="preserve">27-44</t>
        </is>
      </c>
      <c r="J616" s="143" t="inlineStr">
        <is>
          <t xml:space="preserve">OPS/LK, OPS/LK</t>
        </is>
      </c>
    </row>
    <row r="617" spans="1:10">
      <c r="A617" s="143" t="inlineStr">
        <is>
          <t xml:space="preserve">335</t>
        </is>
      </c>
      <c r="B617" s="143" t="inlineStr">
        <is>
          <t xml:space="preserve">274451-09-1</t>
        </is>
      </c>
      <c r="C617" s="143" t="inlineStr">
        <is>
          <t xml:space="preserve">274451-09-1 (4) / THS ACTUATOR GEARBOX SERVICING</t>
        </is>
      </c>
      <c r="D617" s="143">
        <v>1.0</v>
      </c>
      <c r="E617" s="143">
        <v>1.1</v>
      </c>
      <c r="F617" s="143">
        <v>8.5</v>
      </c>
      <c r="G617" s="143">
        <v>25.1</v>
      </c>
      <c r="H617" s="143" t="inlineStr">
        <is>
          <t xml:space="preserve">Closed</t>
        </is>
      </c>
      <c r="I617" s="143" t="inlineStr">
        <is>
          <t xml:space="preserve">27-44</t>
        </is>
      </c>
      <c r="J617" s="143" t="inlineStr">
        <is>
          <t xml:space="preserve">TC/P, TC/P</t>
        </is>
      </c>
    </row>
    <row r="618" spans="1:10">
      <c r="A618" s="143" t="inlineStr">
        <is>
          <t xml:space="preserve">336</t>
        </is>
      </c>
      <c r="B618" s="143" t="inlineStr">
        <is>
          <t xml:space="preserve">274451-14-1</t>
        </is>
      </c>
      <c r="C618" s="143" t="inlineStr">
        <is>
          <t xml:space="preserve">274451-14-1 (4) / THS ACTUATOR ELECTRICAL LOAD OPC</t>
        </is>
      </c>
      <c r="D618" s="143">
        <v>1.0</v>
      </c>
      <c r="E618" s="143">
        <v>0.72</v>
      </c>
      <c r="F618" s="143">
        <v>8.0</v>
      </c>
      <c r="G618" s="143">
        <v>4.32</v>
      </c>
      <c r="H618" s="143" t="inlineStr">
        <is>
          <t xml:space="preserve">Closed</t>
        </is>
      </c>
      <c r="I618" s="143" t="inlineStr">
        <is>
          <t xml:space="preserve">27-44</t>
        </is>
      </c>
      <c r="J618" s="143" t="inlineStr">
        <is>
          <t xml:space="preserve">OPS/LK</t>
        </is>
      </c>
    </row>
    <row r="619" spans="1:10">
      <c r="A619" s="143" t="inlineStr">
        <is>
          <t xml:space="preserve">337</t>
        </is>
      </c>
      <c r="B619" s="143" t="inlineStr">
        <is>
          <t xml:space="preserve">275100-01-2</t>
        </is>
      </c>
      <c r="C619" s="143" t="inlineStr">
        <is>
          <t xml:space="preserve">275100-01-2 (4) / FLAP SYSTEM WING TIP BRAKE OPC</t>
        </is>
      </c>
      <c r="D619" s="143">
        <v>1.0</v>
      </c>
      <c r="E619" s="143">
        <v>0.65</v>
      </c>
      <c r="F619" s="143">
        <v>9.0</v>
      </c>
      <c r="G619" s="143">
        <v>4.05</v>
      </c>
      <c r="H619" s="143" t="inlineStr">
        <is>
          <t xml:space="preserve">Closed</t>
        </is>
      </c>
      <c r="I619" s="143" t="inlineStr">
        <is>
          <t xml:space="preserve">27-51</t>
        </is>
      </c>
      <c r="J619" s="143" t="inlineStr">
        <is>
          <t xml:space="preserve">PRE HGR, PRE HGR, PRE HGR</t>
        </is>
      </c>
    </row>
    <row r="620" spans="1:10">
      <c r="A620" s="143" t="inlineStr">
        <is>
          <t xml:space="preserve">338</t>
        </is>
      </c>
      <c r="B620" s="143" t="inlineStr">
        <is>
          <t xml:space="preserve">275100-02-1-001</t>
        </is>
      </c>
      <c r="C620" s="143" t="inlineStr">
        <is>
          <t xml:space="preserve">275100-02-1-001 (03) / L/H WING FLAP INTERCONNECTING STRUT</t>
        </is>
      </c>
      <c r="D620" s="143">
        <v>1.0</v>
      </c>
      <c r="E620" s="143">
        <v>0.22</v>
      </c>
      <c r="F620" s="143">
        <v>20.0</v>
      </c>
      <c r="G620" s="143">
        <v>37.8</v>
      </c>
      <c r="H620" s="143" t="inlineStr">
        <is>
          <t xml:space="preserve">Closed</t>
        </is>
      </c>
      <c r="I620" s="143" t="inlineStr">
        <is>
          <t xml:space="preserve">27-51</t>
        </is>
      </c>
      <c r="J620" s="143" t="inlineStr">
        <is>
          <t xml:space="preserve">PRE HGR, PRE HGR, PRE HGR</t>
        </is>
      </c>
    </row>
    <row r="621" spans="1:10">
      <c r="A621" s="143" t="inlineStr">
        <is>
          <t xml:space="preserve">339</t>
        </is>
      </c>
      <c r="B621" s="143" t="inlineStr">
        <is>
          <t xml:space="preserve">275100-02-1-002</t>
        </is>
      </c>
      <c r="C621" s="143" t="inlineStr">
        <is>
          <t xml:space="preserve">275100-02-1-002 (03) / R/H WING FLAP INTERCONNECTING STRUT</t>
        </is>
      </c>
      <c r="D621" s="143">
        <v>1.0</v>
      </c>
      <c r="E621" s="143">
        <v>0.22</v>
      </c>
      <c r="F621" s="143">
        <v>14.75</v>
      </c>
      <c r="G621" s="143">
        <v>37.8</v>
      </c>
      <c r="H621" s="143" t="inlineStr">
        <is>
          <t xml:space="preserve">Closed</t>
        </is>
      </c>
      <c r="I621" s="143" t="inlineStr">
        <is>
          <t xml:space="preserve">27-51</t>
        </is>
      </c>
      <c r="J621" s="143" t="inlineStr">
        <is>
          <t xml:space="preserve">PRE HGR, PRE HGR, PRE HGR</t>
        </is>
      </c>
    </row>
    <row r="622" spans="1:10">
      <c r="A622" s="143" t="inlineStr">
        <is>
          <t xml:space="preserve">340</t>
        </is>
      </c>
      <c r="B622" s="143" t="inlineStr">
        <is>
          <t xml:space="preserve">275100-03-1-001</t>
        </is>
      </c>
      <c r="C622" s="143" t="inlineStr">
        <is>
          <t xml:space="preserve">275100-03-1-001 (05) / L/H WING FLAP TRANSMISSION SYS CHK</t>
        </is>
      </c>
      <c r="D622" s="143">
        <v>1.0</v>
      </c>
      <c r="E622" s="143">
        <v>1.8</v>
      </c>
      <c r="F622" s="143">
        <v>0.67</v>
      </c>
      <c r="G622" s="143">
        <v>52.6</v>
      </c>
      <c r="H622" s="143" t="inlineStr">
        <is>
          <t xml:space="preserve">Closed</t>
        </is>
      </c>
      <c r="I622" s="143" t="inlineStr">
        <is>
          <t xml:space="preserve">27-54</t>
        </is>
      </c>
      <c r="J622" s="143" t="inlineStr">
        <is>
          <t xml:space="preserve">JOB-SETUP, INSPECTION, JOB-CLOSEUP</t>
        </is>
      </c>
    </row>
    <row r="623" spans="1:10">
      <c r="A623" s="143" t="inlineStr">
        <is>
          <t xml:space="preserve">341</t>
        </is>
      </c>
      <c r="B623" s="143" t="inlineStr">
        <is>
          <t xml:space="preserve">275100-03-1-002</t>
        </is>
      </c>
      <c r="C623" s="143" t="inlineStr">
        <is>
          <t xml:space="preserve">275100-03-1-002 (05) / R/H WING FLAP TRANSMISSION SYS CHK</t>
        </is>
      </c>
      <c r="D623" s="143">
        <v>1.0</v>
      </c>
      <c r="E623" s="143">
        <v>1.8</v>
      </c>
      <c r="F623" s="143">
        <v>0.58</v>
      </c>
      <c r="G623" s="143">
        <v>42.8</v>
      </c>
      <c r="H623" s="143" t="inlineStr">
        <is>
          <t xml:space="preserve">Closed</t>
        </is>
      </c>
      <c r="I623" s="143" t="inlineStr">
        <is>
          <t xml:space="preserve">27-54</t>
        </is>
      </c>
      <c r="J623" s="143" t="inlineStr">
        <is>
          <t xml:space="preserve">JOB-SETUP, INSPECTION, JOB-CLOSEUP</t>
        </is>
      </c>
    </row>
    <row r="624" spans="1:10">
      <c r="A624" s="143" t="inlineStr">
        <is>
          <t xml:space="preserve">342</t>
        </is>
      </c>
      <c r="B624" s="143" t="inlineStr">
        <is>
          <t xml:space="preserve">275144-01-1-001</t>
        </is>
      </c>
      <c r="C624" s="143" t="inlineStr">
        <is>
          <t xml:space="preserve">275144-01-1-001 (03) / L/H WING FLAP INTERCONNECTING STRUT</t>
        </is>
      </c>
      <c r="D624" s="143">
        <v>1.0</v>
      </c>
      <c r="E624" s="143">
        <v>1.4</v>
      </c>
      <c r="F624" s="143">
        <v>11.0</v>
      </c>
      <c r="G624" s="143">
        <v>37.7</v>
      </c>
      <c r="H624" s="143" t="inlineStr">
        <is>
          <t xml:space="preserve">Closed</t>
        </is>
      </c>
      <c r="I624" s="143" t="inlineStr">
        <is>
          <t xml:space="preserve">27-51</t>
        </is>
      </c>
      <c r="J624" s="143" t="inlineStr">
        <is>
          <t xml:space="preserve">JOB-SETUP, INSPECTION, OPS/LK, JOB-CLOSEUP</t>
        </is>
      </c>
    </row>
    <row r="625" spans="1:10">
      <c r="A625" s="143" t="inlineStr">
        <is>
          <t xml:space="preserve">343</t>
        </is>
      </c>
      <c r="B625" s="143" t="inlineStr">
        <is>
          <t xml:space="preserve">275144-01-1-002</t>
        </is>
      </c>
      <c r="C625" s="143" t="inlineStr">
        <is>
          <t xml:space="preserve">275144-01-1-002 (03) / R/H WING FLAP INTERCONNECTING STRUT</t>
        </is>
      </c>
      <c r="D625" s="143">
        <v>1.0</v>
      </c>
      <c r="E625" s="143">
        <v>1.4</v>
      </c>
      <c r="F625" s="143">
        <v>10.75</v>
      </c>
      <c r="G625" s="143">
        <v>37.7</v>
      </c>
      <c r="H625" s="143" t="inlineStr">
        <is>
          <t xml:space="preserve">Closed</t>
        </is>
      </c>
      <c r="I625" s="143" t="inlineStr">
        <is>
          <t xml:space="preserve">27-51</t>
        </is>
      </c>
      <c r="J625" s="143" t="inlineStr">
        <is>
          <t xml:space="preserve">JOB-SETUP, INSPECTION, OPS/LK, JOB-CLOSEUP</t>
        </is>
      </c>
    </row>
    <row r="626" spans="1:10">
      <c r="A626" s="143" t="inlineStr">
        <is>
          <t xml:space="preserve">344</t>
        </is>
      </c>
      <c r="B626" s="143" t="inlineStr">
        <is>
          <t xml:space="preserve">275400-01-1-001</t>
        </is>
      </c>
      <c r="C626" s="143" t="inlineStr">
        <is>
          <t xml:space="preserve">275400-01-1-001 (02) / L/H FLAP TRANSMISSION ASSEMBLY INSP</t>
        </is>
      </c>
      <c r="D626" s="143">
        <v>1.0</v>
      </c>
      <c r="E626" s="143">
        <v>4.48</v>
      </c>
      <c r="F626" s="143">
        <v>9.0</v>
      </c>
      <c r="G626" s="143">
        <v>2.6</v>
      </c>
      <c r="H626" s="143" t="inlineStr">
        <is>
          <t xml:space="preserve">Closed</t>
        </is>
      </c>
      <c r="I626" s="143" t="inlineStr">
        <is>
          <t xml:space="preserve">27-54</t>
        </is>
      </c>
      <c r="J626" s="143" t="inlineStr">
        <is>
          <t xml:space="preserve">INSPECTION</t>
        </is>
      </c>
    </row>
    <row r="627" spans="1:10">
      <c r="A627" s="143" t="inlineStr">
        <is>
          <t xml:space="preserve">345</t>
        </is>
      </c>
      <c r="B627" s="143" t="inlineStr">
        <is>
          <t xml:space="preserve">275400-01-1-002</t>
        </is>
      </c>
      <c r="C627" s="143" t="inlineStr">
        <is>
          <t xml:space="preserve">275400-01-1-002 (02) / R/H FLAP TRANSMISSION ASSEMBLY INSP</t>
        </is>
      </c>
      <c r="D627" s="143">
        <v>1.0</v>
      </c>
      <c r="E627" s="143">
        <v>4.48</v>
      </c>
      <c r="F627" s="143">
        <v>13.0</v>
      </c>
      <c r="G627" s="143">
        <v>3.33</v>
      </c>
      <c r="H627" s="143" t="inlineStr">
        <is>
          <t xml:space="preserve">Closed</t>
        </is>
      </c>
      <c r="I627" s="143" t="inlineStr">
        <is>
          <t xml:space="preserve">27-54</t>
        </is>
      </c>
      <c r="J627" s="143" t="inlineStr">
        <is>
          <t xml:space="preserve">INSPECTION</t>
        </is>
      </c>
    </row>
    <row r="628" spans="1:10">
      <c r="A628" s="143" t="inlineStr">
        <is>
          <t xml:space="preserve">346</t>
        </is>
      </c>
      <c r="B628" s="143" t="inlineStr">
        <is>
          <t xml:space="preserve">275446-02-1-001</t>
        </is>
      </c>
      <c r="C628" s="143" t="inlineStr">
        <is>
          <t xml:space="preserve">275446-02-1-001 (03) / L/H FLAP TRACKS, ROLLERS BERNG INSP</t>
        </is>
      </c>
      <c r="D628" s="143">
        <v>1.0</v>
      </c>
      <c r="E628" s="143">
        <v>1.4</v>
      </c>
      <c r="F628" s="143">
        <v>6.92</v>
      </c>
      <c r="G628" s="143">
        <v>389.2</v>
      </c>
      <c r="H628" s="143" t="inlineStr">
        <is>
          <t xml:space="preserve">Closed</t>
        </is>
      </c>
      <c r="I628" s="143" t="inlineStr">
        <is>
          <t xml:space="preserve">27-54</t>
        </is>
      </c>
      <c r="J628" s="143" t="inlineStr">
        <is>
          <t xml:space="preserve">JOB-SETUP, CLEAN-UP, INSPECTION, INSPECTION, JOB-CLOSEUP</t>
        </is>
      </c>
    </row>
    <row r="629" spans="1:10">
      <c r="A629" s="143" t="inlineStr">
        <is>
          <t xml:space="preserve">347</t>
        </is>
      </c>
      <c r="B629" s="143" t="inlineStr">
        <is>
          <t xml:space="preserve">275446-02-1-002</t>
        </is>
      </c>
      <c r="C629" s="143" t="inlineStr">
        <is>
          <t xml:space="preserve">275446-02-1-002 (03) / R/H FLAP TRACKS, ROLLERS BERNG INSP</t>
        </is>
      </c>
      <c r="D629" s="143">
        <v>1.0</v>
      </c>
      <c r="E629" s="143">
        <v>1.4</v>
      </c>
      <c r="F629" s="143">
        <v>11.25</v>
      </c>
      <c r="G629" s="143">
        <v>412.2</v>
      </c>
      <c r="H629" s="143" t="inlineStr">
        <is>
          <t xml:space="preserve">Closed</t>
        </is>
      </c>
      <c r="I629" s="143" t="inlineStr">
        <is>
          <t xml:space="preserve">27-54</t>
        </is>
      </c>
      <c r="J629" s="143" t="inlineStr">
        <is>
          <t xml:space="preserve">JOB-SETUP, CLEAN-UP, INSPECTION, INSPECTION, JOB-CLOSEUP</t>
        </is>
      </c>
    </row>
    <row r="630" spans="1:10">
      <c r="A630" s="143" t="inlineStr">
        <is>
          <t xml:space="preserve">348</t>
        </is>
      </c>
      <c r="B630" s="143" t="inlineStr">
        <is>
          <t xml:space="preserve">275449-06-1-001</t>
        </is>
      </c>
      <c r="C630" s="143" t="inlineStr">
        <is>
          <t xml:space="preserve">275449-06-1-001 (03) / L/H FLAP ACTUATOR ASSEMBLIES SVS</t>
        </is>
      </c>
      <c r="D630" s="143">
        <v>1.0</v>
      </c>
      <c r="E630" s="143">
        <v>17.6</v>
      </c>
      <c r="F630" s="143">
        <v>7.0</v>
      </c>
      <c r="G630" s="143">
        <v>99.2</v>
      </c>
      <c r="H630" s="143" t="inlineStr">
        <is>
          <t xml:space="preserve">Closed</t>
        </is>
      </c>
      <c r="I630" s="143" t="inlineStr">
        <is>
          <t xml:space="preserve">12-13</t>
        </is>
      </c>
      <c r="J630" s="143" t="inlineStr">
        <is>
          <t xml:space="preserve">TC/P</t>
        </is>
      </c>
    </row>
    <row r="631" spans="1:10">
      <c r="A631" s="143" t="inlineStr">
        <is>
          <t xml:space="preserve">349</t>
        </is>
      </c>
      <c r="B631" s="143" t="inlineStr">
        <is>
          <t xml:space="preserve">275449-06-1-002</t>
        </is>
      </c>
      <c r="C631" s="143" t="inlineStr">
        <is>
          <t xml:space="preserve">275449-06-1-002 (03) / R/H FLAP ACTUATOR ASSEMBLIES</t>
        </is>
      </c>
      <c r="D631" s="143">
        <v>1.0</v>
      </c>
      <c r="E631" s="143">
        <v>17.6</v>
      </c>
      <c r="F631" s="143">
        <v>7.0</v>
      </c>
      <c r="G631" s="143">
        <v>97.2</v>
      </c>
      <c r="H631" s="143" t="inlineStr">
        <is>
          <t xml:space="preserve">Closed</t>
        </is>
      </c>
      <c r="I631" s="143" t="inlineStr">
        <is>
          <t xml:space="preserve">12-13</t>
        </is>
      </c>
      <c r="J631" s="143" t="inlineStr">
        <is>
          <t xml:space="preserve">TC/P</t>
        </is>
      </c>
    </row>
    <row r="632" spans="1:10">
      <c r="A632" s="143" t="inlineStr">
        <is>
          <t xml:space="preserve">350</t>
        </is>
      </c>
      <c r="B632" s="143" t="inlineStr">
        <is>
          <t xml:space="preserve">275451-01-1</t>
        </is>
      </c>
      <c r="C632" s="143" t="inlineStr">
        <is>
          <t xml:space="preserve">275451-01-1 (2) / FLAP PCU GEARBOX OIL REPLENISHMENT</t>
        </is>
      </c>
      <c r="D632" s="143">
        <v>1.0</v>
      </c>
      <c r="E632" s="143">
        <v>0.22</v>
      </c>
      <c r="F632" s="143">
        <v>9.2</v>
      </c>
      <c r="G632" s="143">
        <v>4.42</v>
      </c>
      <c r="H632" s="143" t="inlineStr">
        <is>
          <t xml:space="preserve">Closed</t>
        </is>
      </c>
      <c r="I632" s="143" t="inlineStr">
        <is>
          <t xml:space="preserve">12-13</t>
        </is>
      </c>
      <c r="J632" s="143" t="inlineStr">
        <is>
          <t xml:space="preserve">JOB-SETUP, TC/P, TC/P, JOB-CLOSEUP</t>
        </is>
      </c>
    </row>
    <row r="633" spans="1:10">
      <c r="A633" s="143" t="inlineStr">
        <is>
          <t xml:space="preserve">351</t>
        </is>
      </c>
      <c r="B633" s="143" t="inlineStr">
        <is>
          <t xml:space="preserve">276400-02-1-001</t>
        </is>
      </c>
      <c r="C633" s="143" t="inlineStr">
        <is>
          <t xml:space="preserve">276400-02-1-001 (05) / L/H SPOILER AND HYDRAULIC ACTUATION</t>
        </is>
      </c>
      <c r="D633" s="143">
        <v>1.0</v>
      </c>
      <c r="E633" s="143">
        <v>6.23</v>
      </c>
      <c r="F633" s="143">
        <v>10.67</v>
      </c>
      <c r="G633" s="143">
        <v>13.75</v>
      </c>
      <c r="H633" s="143" t="inlineStr">
        <is>
          <t xml:space="preserve">Closed</t>
        </is>
      </c>
      <c r="I633" s="143" t="inlineStr">
        <is>
          <t xml:space="preserve">27-64</t>
        </is>
      </c>
      <c r="J633" s="143" t="inlineStr">
        <is>
          <t xml:space="preserve">JOB-SETUP, INSPECTION, INSPECTION, INSPECTION, INSPECTION, INSPECTION, JOB-CLOSEUP</t>
        </is>
      </c>
    </row>
    <row r="634" spans="1:10">
      <c r="A634" s="143" t="inlineStr">
        <is>
          <t xml:space="preserve">352</t>
        </is>
      </c>
      <c r="B634" s="143" t="inlineStr">
        <is>
          <t xml:space="preserve">276400-02-1-002</t>
        </is>
      </c>
      <c r="C634" s="143" t="inlineStr">
        <is>
          <t xml:space="preserve">276400-02-1-002 (05) / RH SPOILER AND HYDRAULIC ACTUATION</t>
        </is>
      </c>
      <c r="D634" s="143">
        <v>1.0</v>
      </c>
      <c r="E634" s="143">
        <v>6.23</v>
      </c>
      <c r="F634" s="143">
        <v>8.67</v>
      </c>
      <c r="G634" s="143">
        <v>13.73</v>
      </c>
      <c r="H634" s="143" t="inlineStr">
        <is>
          <t xml:space="preserve">Closed</t>
        </is>
      </c>
      <c r="I634" s="143" t="inlineStr">
        <is>
          <t xml:space="preserve">27-64</t>
        </is>
      </c>
      <c r="J634" s="143" t="inlineStr">
        <is>
          <t xml:space="preserve">JOB-SETUP, INSPECTION, INSPECTION, INSPECTION, INSPECTION, INSPECTION, JOB-CLOSEUP</t>
        </is>
      </c>
    </row>
    <row r="635" spans="1:10">
      <c r="A635" s="143" t="inlineStr">
        <is>
          <t xml:space="preserve">354</t>
        </is>
      </c>
      <c r="B635" s="143" t="inlineStr">
        <is>
          <t xml:space="preserve">278100-04-1-001</t>
        </is>
      </c>
      <c r="C635" s="143" t="inlineStr">
        <is>
          <t xml:space="preserve">278100-04-1-001 (03) / L/H SLAT XMISION INSPECTION</t>
        </is>
      </c>
      <c r="D635" s="143">
        <v>1.0</v>
      </c>
      <c r="E635" s="143">
        <v>0.43</v>
      </c>
      <c r="F635" s="143">
        <v>3.0</v>
      </c>
      <c r="G635" s="143">
        <v>42.0</v>
      </c>
      <c r="H635" s="143" t="inlineStr">
        <is>
          <t xml:space="preserve">Closed</t>
        </is>
      </c>
      <c r="I635" s="143" t="inlineStr">
        <is>
          <t xml:space="preserve">27-84</t>
        </is>
      </c>
      <c r="J635" s="143" t="inlineStr">
        <is>
          <t xml:space="preserve">JOB-SETUP, INSPECTION, JOB-CLOSEUP</t>
        </is>
      </c>
    </row>
    <row r="636" spans="1:10">
      <c r="A636" s="143" t="inlineStr">
        <is>
          <t xml:space="preserve">355</t>
        </is>
      </c>
      <c r="B636" s="143" t="inlineStr">
        <is>
          <t xml:space="preserve">278100-04-1-002</t>
        </is>
      </c>
      <c r="C636" s="143" t="inlineStr">
        <is>
          <t xml:space="preserve">278100-04-1-002 (03) / R/H SLAT XMISION INSPECTION</t>
        </is>
      </c>
      <c r="D636" s="143">
        <v>1.0</v>
      </c>
      <c r="E636" s="143">
        <v>0.43</v>
      </c>
      <c r="F636" s="143">
        <v>1.83</v>
      </c>
      <c r="G636" s="143">
        <v>43.3</v>
      </c>
      <c r="H636" s="143" t="inlineStr">
        <is>
          <t xml:space="preserve">Closed</t>
        </is>
      </c>
      <c r="I636" s="143" t="inlineStr">
        <is>
          <t xml:space="preserve">27-84</t>
        </is>
      </c>
      <c r="J636" s="143" t="inlineStr">
        <is>
          <t xml:space="preserve">JOB-SETUP, INSPECTION, JOB-CLOSEUP</t>
        </is>
      </c>
    </row>
    <row r="637" spans="1:10">
      <c r="A637" s="143" t="inlineStr">
        <is>
          <t xml:space="preserve">358</t>
        </is>
      </c>
      <c r="B637" s="143" t="inlineStr">
        <is>
          <t xml:space="preserve">278451-01-1</t>
        </is>
      </c>
      <c r="C637" s="143" t="inlineStr">
        <is>
          <t xml:space="preserve">278451-01-1 (2) / SLAT PCU GEARBOX OIL REPLENISHMENT</t>
        </is>
      </c>
      <c r="D637" s="143">
        <v>1.0</v>
      </c>
      <c r="E637" s="143">
        <v>0.22</v>
      </c>
      <c r="F637" s="143">
        <v>9.0</v>
      </c>
      <c r="G637" s="143">
        <v>4.33</v>
      </c>
      <c r="H637" s="143" t="inlineStr">
        <is>
          <t xml:space="preserve">Closed</t>
        </is>
      </c>
      <c r="I637" s="143" t="inlineStr">
        <is>
          <t xml:space="preserve">12-13</t>
        </is>
      </c>
      <c r="J637" s="143" t="inlineStr">
        <is>
          <t xml:space="preserve">JOB-SETUP, TC/P, TC/P, JOB-CLOSEUP</t>
        </is>
      </c>
    </row>
    <row r="638" spans="1:10">
      <c r="A638" s="143" t="inlineStr">
        <is>
          <t xml:space="preserve">359</t>
        </is>
      </c>
      <c r="B638" s="143" t="inlineStr">
        <is>
          <t xml:space="preserve">278468-02-1-001</t>
        </is>
      </c>
      <c r="C638" s="143" t="inlineStr">
        <is>
          <t xml:space="preserve">278468-02-1-001 (05) / L/H SLAT TRACKS INSPECTION</t>
        </is>
      </c>
      <c r="D638" s="143">
        <v>1.0</v>
      </c>
      <c r="E638" s="143">
        <v>4.48</v>
      </c>
      <c r="F638" s="143">
        <v>3.0</v>
      </c>
      <c r="G638" s="143">
        <v>388.9</v>
      </c>
      <c r="H638" s="143" t="inlineStr">
        <is>
          <t xml:space="preserve">Closed</t>
        </is>
      </c>
      <c r="I638" s="143" t="inlineStr">
        <is>
          <t xml:space="preserve">27-84</t>
        </is>
      </c>
      <c r="J638" s="143" t="inlineStr">
        <is>
          <t xml:space="preserve">JOB-SETUP, CLEAN-UP, INSPECTION, INSPECTION, JOB-CLOSEUP</t>
        </is>
      </c>
    </row>
    <row r="639" spans="1:10">
      <c r="A639" s="143" t="inlineStr">
        <is>
          <t xml:space="preserve">360</t>
        </is>
      </c>
      <c r="B639" s="143" t="inlineStr">
        <is>
          <t xml:space="preserve">278468-02-1-002</t>
        </is>
      </c>
      <c r="C639" s="143" t="inlineStr">
        <is>
          <t xml:space="preserve">278468-02-1-002 (04) / R/H SLAT TRACKS INSPECTION</t>
        </is>
      </c>
      <c r="D639" s="143">
        <v>1.0</v>
      </c>
      <c r="E639" s="143">
        <v>4.48</v>
      </c>
      <c r="F639" s="143">
        <v>4.08</v>
      </c>
      <c r="G639" s="143">
        <v>389.9</v>
      </c>
      <c r="H639" s="143" t="inlineStr">
        <is>
          <t xml:space="preserve">Closed</t>
        </is>
      </c>
      <c r="I639" s="143" t="inlineStr">
        <is>
          <t xml:space="preserve">27-84</t>
        </is>
      </c>
      <c r="J639" s="143" t="inlineStr">
        <is>
          <t xml:space="preserve">JOB-SETUP, CLEAN-UP, INSPECTION, INSPECTION, JOB-CLOSEUP</t>
        </is>
      </c>
    </row>
    <row r="640" spans="1:10">
      <c r="A640" s="143" t="inlineStr">
        <is>
          <t xml:space="preserve">361</t>
        </is>
      </c>
      <c r="B640" s="143" t="inlineStr">
        <is>
          <t xml:space="preserve">281247-01-1-001</t>
        </is>
      </c>
      <c r="C640" s="143" t="inlineStr">
        <is>
          <t xml:space="preserve">281247-01-1-001 (02) / L/H NACA INTAKE FOR SIGN OF BLOCLAGE</t>
        </is>
      </c>
      <c r="D640" s="143">
        <v>1.0</v>
      </c>
      <c r="E640" s="143">
        <v>0.08</v>
      </c>
      <c r="F640" s="143">
        <v>0.92</v>
      </c>
      <c r="G640" s="143">
        <v>0.92</v>
      </c>
      <c r="H640" s="143" t="inlineStr">
        <is>
          <t xml:space="preserve">Closed</t>
        </is>
      </c>
      <c r="I640" s="143" t="inlineStr">
        <is>
          <t xml:space="preserve">28-12</t>
        </is>
      </c>
      <c r="J640" s="143" t="inlineStr">
        <is>
          <t xml:space="preserve">PRE INSP</t>
        </is>
      </c>
    </row>
    <row r="641" spans="1:10">
      <c r="A641" s="143" t="inlineStr">
        <is>
          <t xml:space="preserve">362</t>
        </is>
      </c>
      <c r="B641" s="143" t="inlineStr">
        <is>
          <t xml:space="preserve">281247-01-1-002</t>
        </is>
      </c>
      <c r="C641" s="143" t="inlineStr">
        <is>
          <t xml:space="preserve">281247-01-1-002 (02) / R/H NACA INTAKE FOR SIGN OF BLOCKAGE</t>
        </is>
      </c>
      <c r="D641" s="143">
        <v>1.0</v>
      </c>
      <c r="E641" s="143">
        <v>0.08</v>
      </c>
      <c r="F641" s="143">
        <v>1.0</v>
      </c>
      <c r="G641" s="143">
        <v>1.0</v>
      </c>
      <c r="H641" s="143" t="inlineStr">
        <is>
          <t xml:space="preserve">Closed</t>
        </is>
      </c>
      <c r="I641" s="143" t="inlineStr">
        <is>
          <t xml:space="preserve">28-12</t>
        </is>
      </c>
      <c r="J641" s="143" t="inlineStr">
        <is>
          <t xml:space="preserve">PRE INSP</t>
        </is>
      </c>
    </row>
    <row r="642" spans="1:10">
      <c r="A642" s="143" t="inlineStr">
        <is>
          <t xml:space="preserve">365</t>
        </is>
      </c>
      <c r="B642" s="143" t="inlineStr">
        <is>
          <t xml:space="preserve">281800-01-1</t>
        </is>
      </c>
      <c r="C642" s="143" t="inlineStr">
        <is>
          <t xml:space="preserve">281800-01-1 (2) / CTR TANK VAPOR SEAL DRAIN SYS FNC CK</t>
        </is>
      </c>
      <c r="D642" s="143">
        <v>1.0</v>
      </c>
      <c r="E642" s="143">
        <v>4.4</v>
      </c>
      <c r="F642" s="143">
        <v>2.5</v>
      </c>
      <c r="G642" s="143">
        <v>238.1</v>
      </c>
      <c r="H642" s="143" t="inlineStr">
        <is>
          <t xml:space="preserve">Closed</t>
        </is>
      </c>
      <c r="I642" s="143" t="inlineStr">
        <is>
          <t xml:space="preserve">28-18</t>
        </is>
      </c>
      <c r="J642" s="143" t="inlineStr">
        <is>
          <t xml:space="preserve">JOB-SETUP, OPS/LK, JOB-CLOSEUP</t>
        </is>
      </c>
    </row>
    <row r="643" spans="1:10">
      <c r="A643" s="143" t="inlineStr">
        <is>
          <t xml:space="preserve">366</t>
        </is>
      </c>
      <c r="B643" s="143" t="inlineStr">
        <is>
          <t xml:space="preserve">282100-02-1</t>
        </is>
      </c>
      <c r="C643" s="143" t="inlineStr">
        <is>
          <t xml:space="preserve">282100-02-1 (03) / CTR TANK PUMP CANISTER VALVES OPC</t>
        </is>
      </c>
      <c r="D643" s="143">
        <v>1.0</v>
      </c>
      <c r="E643" s="143">
        <v>0.22</v>
      </c>
      <c r="F643" s="143">
        <v>6.0</v>
      </c>
      <c r="G643" s="143">
        <v>6.0</v>
      </c>
      <c r="H643" s="143" t="inlineStr">
        <is>
          <t xml:space="preserve">Closed</t>
        </is>
      </c>
      <c r="I643" s="143" t="inlineStr">
        <is>
          <t xml:space="preserve">28-21</t>
        </is>
      </c>
      <c r="J643" s="143" t="inlineStr">
        <is>
          <t xml:space="preserve">JOB-SETUP, OPS/LK, OPS/LK, JOB-CLOSEUP</t>
        </is>
      </c>
    </row>
    <row r="644" spans="1:10">
      <c r="A644" s="143" t="inlineStr">
        <is>
          <t xml:space="preserve">367</t>
        </is>
      </c>
      <c r="B644" s="143" t="inlineStr">
        <is>
          <t xml:space="preserve">282100-05-1-001</t>
        </is>
      </c>
      <c r="C644" s="143" t="inlineStr">
        <is>
          <t xml:space="preserve">282100-05-1-001 (03) / NO. 1 ENGINE PIPES, COUPLINGS INSP</t>
        </is>
      </c>
      <c r="D644" s="143">
        <v>1.0</v>
      </c>
      <c r="E644" s="143">
        <v>0.43</v>
      </c>
      <c r="F644" s="143">
        <v>6.0</v>
      </c>
      <c r="G644" s="143">
        <v>3.85</v>
      </c>
      <c r="H644" s="143" t="inlineStr">
        <is>
          <t xml:space="preserve">Closed</t>
        </is>
      </c>
      <c r="I644" s="143" t="inlineStr">
        <is>
          <t xml:space="preserve">28-21</t>
        </is>
      </c>
      <c r="J644" s="143" t="inlineStr">
        <is>
          <t xml:space="preserve">JOB-SETUP, INSPECTION, JOB-CLOSEUP</t>
        </is>
      </c>
    </row>
    <row r="645" spans="1:10">
      <c r="A645" s="143" t="inlineStr">
        <is>
          <t xml:space="preserve">368</t>
        </is>
      </c>
      <c r="B645" s="143" t="inlineStr">
        <is>
          <t xml:space="preserve">282100-05-1-002</t>
        </is>
      </c>
      <c r="C645" s="143" t="inlineStr">
        <is>
          <t xml:space="preserve">282100-05-1-002 (03) / NO. 2 ENGINE PIPES, COUPLINGS INSP</t>
        </is>
      </c>
      <c r="D645" s="143">
        <v>1.0</v>
      </c>
      <c r="E645" s="143">
        <v>0.43</v>
      </c>
      <c r="F645" s="143">
        <v>5.0</v>
      </c>
      <c r="G645" s="143">
        <v>3.83</v>
      </c>
      <c r="H645" s="143" t="inlineStr">
        <is>
          <t xml:space="preserve">Closed</t>
        </is>
      </c>
      <c r="I645" s="143" t="inlineStr">
        <is>
          <t xml:space="preserve">28-21</t>
        </is>
      </c>
      <c r="J645" s="143" t="inlineStr">
        <is>
          <t xml:space="preserve">JOB-SETUP, INSPECTION, JOB-CLOSEUP</t>
        </is>
      </c>
    </row>
    <row r="646" spans="1:10">
      <c r="A646" s="143" t="inlineStr">
        <is>
          <t xml:space="preserve">369</t>
        </is>
      </c>
      <c r="B646" s="143" t="inlineStr">
        <is>
          <t xml:space="preserve">282300-01-2</t>
        </is>
      </c>
      <c r="C646" s="143" t="inlineStr">
        <is>
          <t xml:space="preserve">282300-01-2 (04) / FUEL CROSSFEED VALVE OPERATIONAL</t>
        </is>
      </c>
      <c r="D646" s="143">
        <v>1.0</v>
      </c>
      <c r="E646" s="143">
        <v>0.22</v>
      </c>
      <c r="F646" s="143">
        <v>10.0</v>
      </c>
      <c r="G646" s="143">
        <v>3.0</v>
      </c>
      <c r="H646" s="143" t="inlineStr">
        <is>
          <t xml:space="preserve">Closed</t>
        </is>
      </c>
      <c r="I646" s="143" t="inlineStr">
        <is>
          <t xml:space="preserve">28-23</t>
        </is>
      </c>
      <c r="J646" s="143" t="inlineStr">
        <is>
          <t xml:space="preserve">PRE HGR, PRE HGR, JOB-CLOSEUP</t>
        </is>
      </c>
    </row>
    <row r="647" spans="1:10">
      <c r="A647" s="143" t="inlineStr">
        <is>
          <t xml:space="preserve">370</t>
        </is>
      </c>
      <c r="B647" s="143" t="inlineStr">
        <is>
          <t xml:space="preserve">282541-01-1-001</t>
        </is>
      </c>
      <c r="C647" s="143" t="inlineStr">
        <is>
          <t xml:space="preserve">282541-01-1-001 (04) / L/H REFUEL DEFUEL COUPLING DET INSP</t>
        </is>
      </c>
      <c r="D647" s="143">
        <v>1.0</v>
      </c>
      <c r="E647" s="143">
        <v>0.43</v>
      </c>
      <c r="F647" s="143">
        <v>2.5</v>
      </c>
      <c r="G647" s="143">
        <v>8.22</v>
      </c>
      <c r="H647" s="143" t="inlineStr">
        <is>
          <t xml:space="preserve">Closed</t>
        </is>
      </c>
      <c r="I647" s="143" t="inlineStr">
        <is>
          <t xml:space="preserve">28-25</t>
        </is>
      </c>
      <c r="J647" s="143" t="inlineStr">
        <is>
          <t xml:space="preserve">JOB-SETUP, INSPECTION, JOB-CLOSEUP</t>
        </is>
      </c>
    </row>
    <row r="648" spans="1:10">
      <c r="A648" s="143" t="inlineStr">
        <is>
          <t xml:space="preserve">371</t>
        </is>
      </c>
      <c r="B648" s="143" t="inlineStr">
        <is>
          <t xml:space="preserve">282541-01-1-002</t>
        </is>
      </c>
      <c r="C648" s="143" t="inlineStr">
        <is>
          <t xml:space="preserve">282541-01-1-002 (04) / R/H REFUEL DEFUEL COUPLING DET INSP</t>
        </is>
      </c>
      <c r="D648" s="143">
        <v>1.0</v>
      </c>
      <c r="E648" s="143">
        <v>0.43</v>
      </c>
      <c r="F648" s="143">
        <v>4.25</v>
      </c>
      <c r="G648" s="143">
        <v>8.15</v>
      </c>
      <c r="H648" s="143" t="inlineStr">
        <is>
          <t xml:space="preserve">Closed</t>
        </is>
      </c>
      <c r="I648" s="143" t="inlineStr">
        <is>
          <t xml:space="preserve">28-25</t>
        </is>
      </c>
      <c r="J648" s="143" t="inlineStr">
        <is>
          <t xml:space="preserve">JOB-SETUP, INSPECTION, JOB-CLOSEUP</t>
        </is>
      </c>
    </row>
    <row r="649" spans="1:10">
      <c r="A649" s="143" t="inlineStr">
        <is>
          <t xml:space="preserve">373</t>
        </is>
      </c>
      <c r="B649" s="143" t="inlineStr">
        <is>
          <t xml:space="preserve">282800-05-2</t>
        </is>
      </c>
      <c r="C649" s="143" t="inlineStr">
        <is>
          <t xml:space="preserve">282800-05-2 (3) / ADD CTR TANK MANL TRX OPC</t>
        </is>
      </c>
      <c r="D649" s="143">
        <v>1.0</v>
      </c>
      <c r="E649" s="143">
        <v>0.87</v>
      </c>
      <c r="F649" s="143">
        <v>6.0</v>
      </c>
      <c r="G649" s="143">
        <v>3.02</v>
      </c>
      <c r="H649" s="143" t="inlineStr">
        <is>
          <t xml:space="preserve">Closed</t>
        </is>
      </c>
      <c r="I649" s="143" t="inlineStr">
        <is>
          <t xml:space="preserve">28-28</t>
        </is>
      </c>
      <c r="J649" s="143" t="inlineStr">
        <is>
          <t xml:space="preserve">OPS/LK</t>
        </is>
      </c>
    </row>
    <row r="650" spans="1:10">
      <c r="A650" s="143" t="inlineStr">
        <is>
          <t xml:space="preserve">374</t>
        </is>
      </c>
      <c r="B650" s="143" t="inlineStr">
        <is>
          <t xml:space="preserve">282800-06-1</t>
        </is>
      </c>
      <c r="C650" s="143" t="inlineStr">
        <is>
          <t xml:space="preserve">282800-06-1 (02) / (ACT) AIR INLET FILTER REPLACEMENT</t>
        </is>
      </c>
      <c r="D650" s="143">
        <v>1.0</v>
      </c>
      <c r="E650" s="143">
        <v>0.55</v>
      </c>
      <c r="F650" s="143">
        <v>7.5</v>
      </c>
      <c r="G650" s="143">
        <v>4.8</v>
      </c>
      <c r="H650" s="143" t="inlineStr">
        <is>
          <t xml:space="preserve">Closed</t>
        </is>
      </c>
      <c r="I650" s="143" t="inlineStr">
        <is>
          <t xml:space="preserve">28-28</t>
        </is>
      </c>
      <c r="J650" s="143" t="inlineStr">
        <is>
          <t xml:space="preserve">JOB-SETUP, TC/P, INSPECTION, JOB-CLOSEUP</t>
        </is>
      </c>
    </row>
    <row r="651" spans="1:10">
      <c r="A651" s="143" t="inlineStr">
        <is>
          <t xml:space="preserve">376</t>
        </is>
      </c>
      <c r="B651" s="143" t="inlineStr">
        <is>
          <t xml:space="preserve">291000-04-1</t>
        </is>
      </c>
      <c r="C651" s="143" t="inlineStr">
        <is>
          <t xml:space="preserve">291000-04-1 (3) / MAIN HYDRAULIC POWER FUNCTIONAL CHK</t>
        </is>
      </c>
      <c r="D651" s="143">
        <v>1.0</v>
      </c>
      <c r="E651" s="143">
        <v>0.22</v>
      </c>
      <c r="F651" s="143">
        <v>7.0</v>
      </c>
      <c r="G651" s="143">
        <v>2.12</v>
      </c>
      <c r="H651" s="143" t="inlineStr">
        <is>
          <t xml:space="preserve">Closed</t>
        </is>
      </c>
      <c r="I651" s="143" t="inlineStr">
        <is>
          <t xml:space="preserve">29-23</t>
        </is>
      </c>
      <c r="J651" s="143" t="inlineStr">
        <is>
          <t xml:space="preserve">OPS/LK</t>
        </is>
      </c>
    </row>
    <row r="652" spans="1:10">
      <c r="A652" s="143" t="inlineStr">
        <is>
          <t xml:space="preserve">377</t>
        </is>
      </c>
      <c r="B652" s="143" t="inlineStr">
        <is>
          <t xml:space="preserve">291000-06-1</t>
        </is>
      </c>
      <c r="C652" s="143" t="inlineStr">
        <is>
          <t xml:space="preserve">291000-06-1 (3) / PTU YELLOW TO GREEN FUNCTIONAL CHECK</t>
        </is>
      </c>
      <c r="D652" s="143">
        <v>1.0</v>
      </c>
      <c r="E652" s="143">
        <v>0.22</v>
      </c>
      <c r="F652" s="143">
        <v>4.0</v>
      </c>
      <c r="G652" s="143">
        <v>2.0</v>
      </c>
      <c r="H652" s="143" t="inlineStr">
        <is>
          <t xml:space="preserve">Closed</t>
        </is>
      </c>
      <c r="I652" s="143" t="inlineStr">
        <is>
          <t xml:space="preserve">29-23</t>
        </is>
      </c>
      <c r="J652" s="143" t="inlineStr">
        <is>
          <t xml:space="preserve">OPS/LK</t>
        </is>
      </c>
    </row>
    <row r="653" spans="1:10">
      <c r="A653" s="143" t="inlineStr">
        <is>
          <t xml:space="preserve">378</t>
        </is>
      </c>
      <c r="B653" s="143" t="inlineStr">
        <is>
          <t xml:space="preserve">291000-09-1</t>
        </is>
      </c>
      <c r="C653" s="143" t="inlineStr">
        <is>
          <t xml:space="preserve">291000-09-1 (4) / HYDRAULIC FIRE SHUT OFF VALVES OPC</t>
        </is>
      </c>
      <c r="D653" s="143">
        <v>1.0</v>
      </c>
      <c r="E653" s="143">
        <v>0.43</v>
      </c>
      <c r="F653" s="143">
        <v>4.0</v>
      </c>
      <c r="G653" s="143">
        <v>2.0</v>
      </c>
      <c r="H653" s="143" t="inlineStr">
        <is>
          <t xml:space="preserve">Closed</t>
        </is>
      </c>
      <c r="I653" s="143" t="inlineStr">
        <is>
          <t xml:space="preserve">29-10</t>
        </is>
      </c>
      <c r="J653" s="143" t="inlineStr">
        <is>
          <t xml:space="preserve">OPS/LK</t>
        </is>
      </c>
    </row>
    <row r="654" spans="1:10">
      <c r="A654" s="143" t="inlineStr">
        <is>
          <t xml:space="preserve">379</t>
        </is>
      </c>
      <c r="B654" s="143" t="inlineStr">
        <is>
          <t xml:space="preserve">291000-10-1</t>
        </is>
      </c>
      <c r="C654" s="143" t="inlineStr">
        <is>
          <t xml:space="preserve">291000-10-1 (03) / HYDRAULIC FIRE SHUTOFF VALVES FUNCTIONAL CHECK</t>
        </is>
      </c>
      <c r="D654" s="143">
        <v>1.0</v>
      </c>
      <c r="E654" s="143">
        <v>0.45</v>
      </c>
      <c r="F654" s="143">
        <v>6.0</v>
      </c>
      <c r="G654" s="143">
        <v>6.0</v>
      </c>
      <c r="H654" s="143" t="inlineStr">
        <is>
          <t xml:space="preserve">Closed</t>
        </is>
      </c>
      <c r="I654" s="143" t="inlineStr">
        <is>
          <t xml:space="preserve">29-10</t>
        </is>
      </c>
      <c r="J654" s="143" t="inlineStr">
        <is>
          <t xml:space="preserve">JOB-SETUP, OPS/LK, OPS/LK, JOB-CLOSEUP</t>
        </is>
      </c>
    </row>
    <row r="655" spans="1:10">
      <c r="A655" s="143" t="inlineStr">
        <is>
          <t xml:space="preserve">380</t>
        </is>
      </c>
      <c r="B655" s="143" t="inlineStr">
        <is>
          <t xml:space="preserve">291000-19-1</t>
        </is>
      </c>
      <c r="C655" s="143" t="inlineStr">
        <is>
          <t xml:space="preserve">291000-19-1 (4) / PTU INHIBITION LOGIC OPERATION CHECK</t>
        </is>
      </c>
      <c r="D655" s="143">
        <v>1.0</v>
      </c>
      <c r="E655" s="143">
        <v>1.65</v>
      </c>
      <c r="F655" s="143">
        <v>8.0</v>
      </c>
      <c r="G655" s="143">
        <v>2.02</v>
      </c>
      <c r="H655" s="143" t="inlineStr">
        <is>
          <t xml:space="preserve">Closed</t>
        </is>
      </c>
      <c r="I655" s="143" t="inlineStr">
        <is>
          <t xml:space="preserve">29-23</t>
        </is>
      </c>
      <c r="J655" s="143" t="inlineStr">
        <is>
          <t xml:space="preserve">OPS/LK, OPS/LK</t>
        </is>
      </c>
    </row>
    <row r="656" spans="1:10">
      <c r="A656" s="143" t="inlineStr">
        <is>
          <t xml:space="preserve">381</t>
        </is>
      </c>
      <c r="B656" s="143" t="inlineStr">
        <is>
          <t xml:space="preserve">291000-20-1</t>
        </is>
      </c>
      <c r="C656" s="143" t="inlineStr">
        <is>
          <t xml:space="preserve">291000-20-1 (2) / ENG DRIVEN PUMP (EDP) DE-PRESS OPS</t>
        </is>
      </c>
      <c r="D656" s="143">
        <v>1.0</v>
      </c>
      <c r="E656" s="143">
        <v>0.55</v>
      </c>
      <c r="F656" s="143">
        <v>2.0</v>
      </c>
      <c r="G656" s="143">
        <v>2.0</v>
      </c>
      <c r="H656" s="143" t="inlineStr">
        <is>
          <t xml:space="preserve">Closed</t>
        </is>
      </c>
      <c r="I656" s="143" t="inlineStr">
        <is>
          <t xml:space="preserve">29-10</t>
        </is>
      </c>
      <c r="J656" s="143" t="inlineStr">
        <is>
          <t xml:space="preserve">OPS/LK</t>
        </is>
      </c>
    </row>
    <row r="657" spans="1:10">
      <c r="A657" s="143" t="inlineStr">
        <is>
          <t xml:space="preserve">382</t>
        </is>
      </c>
      <c r="B657" s="143" t="inlineStr">
        <is>
          <t xml:space="preserve">291000-25-1</t>
        </is>
      </c>
      <c r="C657" s="143" t="inlineStr">
        <is>
          <t xml:space="preserve">291000-25-1 (1) / MAIN AND AUXILIARY HYDRAULIC POWER</t>
        </is>
      </c>
      <c r="D657" s="143">
        <v>1.0</v>
      </c>
      <c r="E657" s="143">
        <v>0.55</v>
      </c>
      <c r="F657" s="143">
        <v>3.0</v>
      </c>
      <c r="G657" s="143">
        <v>3.0</v>
      </c>
      <c r="H657" s="143" t="inlineStr">
        <is>
          <t xml:space="preserve">Closed</t>
        </is>
      </c>
      <c r="I657" s="143">
        <v>29.0</v>
      </c>
      <c r="J657" s="143" t="inlineStr">
        <is>
          <t xml:space="preserve">OPS/LK</t>
        </is>
      </c>
    </row>
    <row r="658" spans="1:10">
      <c r="A658" s="143" t="inlineStr">
        <is>
          <t xml:space="preserve">383</t>
        </is>
      </c>
      <c r="B658" s="143" t="inlineStr">
        <is>
          <t xml:space="preserve">291000-26-1</t>
        </is>
      </c>
      <c r="C658" s="143" t="inlineStr">
        <is>
          <t xml:space="preserve">291000-26-1 (01) / MAIN AND AUXILIARY HYDRAULIC POWER</t>
        </is>
      </c>
      <c r="D658" s="143">
        <v>1.0</v>
      </c>
      <c r="E658" s="143">
        <v>0.6</v>
      </c>
      <c r="F658" s="143">
        <v>7.0</v>
      </c>
      <c r="G658" s="143">
        <v>4.0</v>
      </c>
      <c r="H658" s="143" t="inlineStr">
        <is>
          <t xml:space="preserve">Closed</t>
        </is>
      </c>
      <c r="I658" s="143">
        <v>29.0</v>
      </c>
      <c r="J658" s="143" t="inlineStr">
        <is>
          <t xml:space="preserve">JOB-SETUP, --, JOB-CLOSEUP</t>
        </is>
      </c>
    </row>
    <row r="659" spans="1:10">
      <c r="A659" s="143" t="inlineStr">
        <is>
          <t xml:space="preserve">384</t>
        </is>
      </c>
      <c r="B659" s="143" t="inlineStr">
        <is>
          <t xml:space="preserve">291900-02-1</t>
        </is>
      </c>
      <c r="C659" s="143" t="inlineStr">
        <is>
          <t xml:space="preserve">291900-02-1 (3) / INTERNAL LEAK RATE BLUE HYD FUN CHK</t>
        </is>
      </c>
      <c r="D659" s="143">
        <v>1.0</v>
      </c>
      <c r="E659" s="143">
        <v>0.65</v>
      </c>
      <c r="F659" s="143">
        <v>40.0</v>
      </c>
      <c r="G659" s="143">
        <v>8.05</v>
      </c>
      <c r="H659" s="143" t="inlineStr">
        <is>
          <t xml:space="preserve">Closed</t>
        </is>
      </c>
      <c r="I659" s="143" t="inlineStr">
        <is>
          <t xml:space="preserve">29-10</t>
        </is>
      </c>
      <c r="J659" s="143" t="inlineStr">
        <is>
          <t xml:space="preserve">JOB-SETUP, OPS/LK, JOB-CLOSEUP</t>
        </is>
      </c>
    </row>
    <row r="660" spans="1:10">
      <c r="A660" s="143" t="inlineStr">
        <is>
          <t xml:space="preserve">385</t>
        </is>
      </c>
      <c r="B660" s="143" t="inlineStr">
        <is>
          <t xml:space="preserve">293400-01-1</t>
        </is>
      </c>
      <c r="C660" s="143" t="inlineStr">
        <is>
          <t xml:space="preserve">293400-01-1 (2) / RESERVOIR PRESSURIZATION INDICATING</t>
        </is>
      </c>
      <c r="D660" s="143">
        <v>1.0</v>
      </c>
      <c r="E660" s="143">
        <v>0.22</v>
      </c>
      <c r="F660" s="143">
        <v>1.0</v>
      </c>
      <c r="G660" s="143">
        <v>1.0</v>
      </c>
      <c r="H660" s="143" t="inlineStr">
        <is>
          <t xml:space="preserve">Closed</t>
        </is>
      </c>
      <c r="I660" s="143" t="inlineStr">
        <is>
          <t xml:space="preserve">29-34</t>
        </is>
      </c>
      <c r="J660" s="143" t="inlineStr">
        <is>
          <t xml:space="preserve">JOB-SETUP, OPS/LK, JOB-CLOSEUP</t>
        </is>
      </c>
    </row>
    <row r="661" spans="1:10">
      <c r="A661" s="143" t="inlineStr">
        <is>
          <t xml:space="preserve">386</t>
        </is>
      </c>
      <c r="B661" s="143" t="inlineStr">
        <is>
          <t xml:space="preserve">302149-C1-1-001</t>
        </is>
      </c>
      <c r="C661" s="143" t="inlineStr">
        <is>
          <t xml:space="preserve">302149-C1-1-001 (02) / NO.1 ENG INTAKE ANTI-ICE DUCT INSP</t>
        </is>
      </c>
      <c r="D661" s="143">
        <v>1.0</v>
      </c>
      <c r="E661" s="143">
        <v>0.87</v>
      </c>
      <c r="F661" s="143">
        <v>2.5</v>
      </c>
      <c r="G661" s="143">
        <v>16.27</v>
      </c>
      <c r="H661" s="143" t="inlineStr">
        <is>
          <t xml:space="preserve">Closed</t>
        </is>
      </c>
      <c r="I661" s="143" t="inlineStr">
        <is>
          <t xml:space="preserve">30-21</t>
        </is>
      </c>
      <c r="J661" s="143" t="inlineStr">
        <is>
          <t xml:space="preserve">JOB-SETUP, INSPECTION, JOB-CLOSEUP</t>
        </is>
      </c>
    </row>
    <row r="662" spans="1:10">
      <c r="A662" s="143" t="inlineStr">
        <is>
          <t xml:space="preserve">387</t>
        </is>
      </c>
      <c r="B662" s="143" t="inlineStr">
        <is>
          <t xml:space="preserve">302149-C1-1-002</t>
        </is>
      </c>
      <c r="C662" s="143" t="inlineStr">
        <is>
          <t xml:space="preserve">302149-C1-1-002 (02) / NO.2 ENG INTAKE ANTI-ICE DUCT INSP</t>
        </is>
      </c>
      <c r="D662" s="143">
        <v>1.0</v>
      </c>
      <c r="E662" s="143">
        <v>0.87</v>
      </c>
      <c r="F662" s="143">
        <v>6.5</v>
      </c>
      <c r="G662" s="143">
        <v>5.62</v>
      </c>
      <c r="H662" s="143" t="inlineStr">
        <is>
          <t xml:space="preserve">Closed</t>
        </is>
      </c>
      <c r="I662" s="143" t="inlineStr">
        <is>
          <t xml:space="preserve">30-21</t>
        </is>
      </c>
      <c r="J662" s="143" t="inlineStr">
        <is>
          <t xml:space="preserve">JOB-SETUP, INSPECTION, JOB-CLOSEUP</t>
        </is>
      </c>
    </row>
    <row r="663" spans="1:10">
      <c r="A663" s="143" t="inlineStr">
        <is>
          <t xml:space="preserve">388</t>
        </is>
      </c>
      <c r="B663" s="143" t="inlineStr">
        <is>
          <t xml:space="preserve">303100-01-1</t>
        </is>
      </c>
      <c r="C663" s="143" t="inlineStr">
        <is>
          <t xml:space="preserve">303100-01-1 (3) / PITOT PROBE HETR INSULATION RES FNC</t>
        </is>
      </c>
      <c r="D663" s="143">
        <v>1.0</v>
      </c>
      <c r="E663" s="143">
        <v>0.55</v>
      </c>
      <c r="F663" s="143">
        <v>9.0</v>
      </c>
      <c r="G663" s="143">
        <v>2.07</v>
      </c>
      <c r="H663" s="143" t="inlineStr">
        <is>
          <t xml:space="preserve">Closed</t>
        </is>
      </c>
      <c r="I663" s="143" t="inlineStr">
        <is>
          <t xml:space="preserve">30-31</t>
        </is>
      </c>
      <c r="J663" s="143" t="inlineStr">
        <is>
          <t xml:space="preserve">JOB-SETUP, OPS/LK, JOB-CLOSEUP</t>
        </is>
      </c>
    </row>
    <row r="664" spans="1:10">
      <c r="A664" s="143" t="inlineStr">
        <is>
          <t xml:space="preserve">389</t>
        </is>
      </c>
      <c r="B664" s="143" t="inlineStr">
        <is>
          <t xml:space="preserve">313300-03-1</t>
        </is>
      </c>
      <c r="C664" s="143" t="inlineStr">
        <is>
          <t xml:space="preserve">313300-03-1 (05) / DFDR SYSTEM INTERCONNECTION OPC</t>
        </is>
      </c>
      <c r="D664" s="143">
        <v>1.0</v>
      </c>
      <c r="E664" s="143">
        <v>0.32</v>
      </c>
      <c r="F664" s="143">
        <v>4.0</v>
      </c>
      <c r="G664" s="143">
        <v>2.0</v>
      </c>
      <c r="H664" s="143" t="inlineStr">
        <is>
          <t xml:space="preserve">Closed</t>
        </is>
      </c>
      <c r="I664" s="143" t="inlineStr">
        <is>
          <t xml:space="preserve">31-33</t>
        </is>
      </c>
      <c r="J664" s="143" t="inlineStr">
        <is>
          <t xml:space="preserve">OPS/LK</t>
        </is>
      </c>
    </row>
    <row r="665" spans="1:10">
      <c r="A665" s="143" t="inlineStr">
        <is>
          <t xml:space="preserve">390</t>
        </is>
      </c>
      <c r="B665" s="143" t="inlineStr">
        <is>
          <t xml:space="preserve">313300-07-1</t>
        </is>
      </c>
      <c r="C665" s="143" t="inlineStr">
        <is>
          <t xml:space="preserve">313300-07-1 (02) / DFDR SYSTEM INTERCONNECTION</t>
        </is>
      </c>
      <c r="D665" s="143">
        <v>1.0</v>
      </c>
      <c r="E665" s="143">
        <v>1.27</v>
      </c>
      <c r="F665" s="143">
        <v>4.0</v>
      </c>
      <c r="G665" s="143">
        <v>2.0</v>
      </c>
      <c r="H665" s="143" t="inlineStr">
        <is>
          <t xml:space="preserve">Closed</t>
        </is>
      </c>
      <c r="I665" s="143" t="inlineStr">
        <is>
          <t xml:space="preserve">31-33</t>
        </is>
      </c>
      <c r="J665" s="143" t="inlineStr">
        <is>
          <t xml:space="preserve">OPS/LK</t>
        </is>
      </c>
    </row>
    <row r="666" spans="1:10">
      <c r="A666" s="143" t="inlineStr">
        <is>
          <t xml:space="preserve">391</t>
        </is>
      </c>
      <c r="B666" s="143" t="inlineStr">
        <is>
          <t xml:space="preserve">315000-01-1</t>
        </is>
      </c>
      <c r="C666" s="143" t="inlineStr">
        <is>
          <t xml:space="preserve">315000-01-1 (3) / PFD-ND AND ECAM-ND MANUAL TRANS OPC</t>
        </is>
      </c>
      <c r="D666" s="143">
        <v>1.0</v>
      </c>
      <c r="E666" s="143">
        <v>0.43</v>
      </c>
      <c r="F666" s="143">
        <v>4.0</v>
      </c>
      <c r="G666" s="143">
        <v>2.0</v>
      </c>
      <c r="H666" s="143" t="inlineStr">
        <is>
          <t xml:space="preserve">Closed</t>
        </is>
      </c>
      <c r="I666" s="143" t="inlineStr">
        <is>
          <t xml:space="preserve">31-50</t>
        </is>
      </c>
      <c r="J666" s="143" t="inlineStr">
        <is>
          <t xml:space="preserve">OPS/LK</t>
        </is>
      </c>
    </row>
    <row r="667" spans="1:10">
      <c r="A667" s="143" t="inlineStr">
        <is>
          <t xml:space="preserve">392</t>
        </is>
      </c>
      <c r="B667" s="143" t="inlineStr">
        <is>
          <t xml:space="preserve">315000-02-1</t>
        </is>
      </c>
      <c r="C667" s="143" t="inlineStr">
        <is>
          <t xml:space="preserve">315000-02-1 (4) / EFIS &amp; ECAM DMC OPS CHK</t>
        </is>
      </c>
      <c r="D667" s="143">
        <v>1.0</v>
      </c>
      <c r="E667" s="143">
        <v>0.87</v>
      </c>
      <c r="F667" s="143">
        <v>4.0</v>
      </c>
      <c r="G667" s="143">
        <v>1.02</v>
      </c>
      <c r="H667" s="143" t="inlineStr">
        <is>
          <t xml:space="preserve">Closed</t>
        </is>
      </c>
      <c r="I667" s="143" t="inlineStr">
        <is>
          <t xml:space="preserve">31-60</t>
        </is>
      </c>
      <c r="J667" s="143" t="inlineStr">
        <is>
          <t xml:space="preserve">JOB-SETUP, OPS/LK</t>
        </is>
      </c>
    </row>
    <row r="668" spans="1:10">
      <c r="A668" s="143" t="inlineStr">
        <is>
          <t xml:space="preserve">393</t>
        </is>
      </c>
      <c r="B668" s="143" t="inlineStr">
        <is>
          <t xml:space="preserve">315000-04-1</t>
        </is>
      </c>
      <c r="C668" s="143" t="inlineStr">
        <is>
          <t xml:space="preserve">315000-04-1 (4) / DMC3 POWER SUPPLY TRASF OPS CHK</t>
        </is>
      </c>
      <c r="D668" s="143">
        <v>1.0</v>
      </c>
      <c r="E668" s="143">
        <v>0.43</v>
      </c>
      <c r="F668" s="143">
        <v>4.0</v>
      </c>
      <c r="G668" s="143">
        <v>1.02</v>
      </c>
      <c r="H668" s="143" t="inlineStr">
        <is>
          <t xml:space="preserve">Closed</t>
        </is>
      </c>
      <c r="I668" s="143" t="inlineStr">
        <is>
          <t xml:space="preserve">31-60</t>
        </is>
      </c>
      <c r="J668" s="143" t="inlineStr">
        <is>
          <t xml:space="preserve">JOB-SETUP, OPS/LK</t>
        </is>
      </c>
    </row>
    <row r="669" spans="1:10">
      <c r="A669" s="143" t="inlineStr">
        <is>
          <t xml:space="preserve">394</t>
        </is>
      </c>
      <c r="B669" s="143" t="inlineStr">
        <is>
          <t xml:space="preserve">321113-03-1-001</t>
        </is>
      </c>
      <c r="C669" s="143" t="inlineStr">
        <is>
          <t xml:space="preserve">321113-03-1-001 (03) / LH MLG SHOCK ABSORBER FLUID LEVL CHK</t>
        </is>
      </c>
      <c r="D669" s="143">
        <v>1.0</v>
      </c>
      <c r="E669" s="143">
        <v>13.63</v>
      </c>
      <c r="F669" s="143">
        <v>4.5</v>
      </c>
      <c r="G669" s="143">
        <v>1.52</v>
      </c>
      <c r="H669" s="143" t="inlineStr">
        <is>
          <t xml:space="preserve">Closed</t>
        </is>
      </c>
      <c r="I669" s="143" t="inlineStr">
        <is>
          <t xml:space="preserve">12-12</t>
        </is>
      </c>
      <c r="J669" s="143" t="inlineStr">
        <is>
          <t xml:space="preserve">JOB-SETUP, TC/P, JOB-CLOSEUP</t>
        </is>
      </c>
    </row>
    <row r="670" spans="1:10">
      <c r="A670" s="143" t="inlineStr">
        <is>
          <t xml:space="preserve">395</t>
        </is>
      </c>
      <c r="B670" s="143" t="inlineStr">
        <is>
          <t xml:space="preserve">321113-03-1-002</t>
        </is>
      </c>
      <c r="C670" s="143" t="inlineStr">
        <is>
          <t xml:space="preserve">321113-03-1-002 (03) / RH MLG SHOCK ABSORBER FLUID LEVL CHK</t>
        </is>
      </c>
      <c r="D670" s="143">
        <v>1.0</v>
      </c>
      <c r="E670" s="143">
        <v>13.63</v>
      </c>
      <c r="F670" s="143">
        <v>5.0</v>
      </c>
      <c r="G670" s="143">
        <v>72.7</v>
      </c>
      <c r="H670" s="143" t="inlineStr">
        <is>
          <t xml:space="preserve">Closed</t>
        </is>
      </c>
      <c r="I670" s="143" t="inlineStr">
        <is>
          <t xml:space="preserve">12-12</t>
        </is>
      </c>
      <c r="J670" s="143" t="inlineStr">
        <is>
          <t xml:space="preserve">JOB-SETUP, TC/P, JOB-CLOSEUP</t>
        </is>
      </c>
    </row>
    <row r="671" spans="1:10">
      <c r="A671" s="143" t="inlineStr">
        <is>
          <t xml:space="preserve">396</t>
        </is>
      </c>
      <c r="B671" s="143" t="inlineStr">
        <is>
          <t xml:space="preserve">321113-04-1-001</t>
        </is>
      </c>
      <c r="C671" s="143" t="inlineStr">
        <is>
          <t xml:space="preserve">321113-04-1-001 (03) / L/H MLG SHOCK ABSORBER PRESS CHK</t>
        </is>
      </c>
      <c r="D671" s="143">
        <v>1.0</v>
      </c>
      <c r="E671" s="143">
        <v>1.75</v>
      </c>
      <c r="F671" s="143">
        <v>13.0</v>
      </c>
      <c r="G671" s="143">
        <v>8.0</v>
      </c>
      <c r="H671" s="143" t="inlineStr">
        <is>
          <t xml:space="preserve">Closed</t>
        </is>
      </c>
      <c r="I671" s="143" t="inlineStr">
        <is>
          <t xml:space="preserve">12-14</t>
        </is>
      </c>
      <c r="J671" s="143" t="inlineStr">
        <is>
          <t xml:space="preserve">OPS/LK</t>
        </is>
      </c>
    </row>
    <row r="672" spans="1:10">
      <c r="A672" s="143" t="inlineStr">
        <is>
          <t xml:space="preserve">397</t>
        </is>
      </c>
      <c r="B672" s="143" t="inlineStr">
        <is>
          <t xml:space="preserve">321113-04-1-002</t>
        </is>
      </c>
      <c r="C672" s="143" t="inlineStr">
        <is>
          <t xml:space="preserve">321113-04-1-002 (03) / R/H MLG SHOCK ABSORBER PRESS CHK</t>
        </is>
      </c>
      <c r="D672" s="143">
        <v>1.0</v>
      </c>
      <c r="E672" s="143">
        <v>1.75</v>
      </c>
      <c r="F672" s="143">
        <v>7.0</v>
      </c>
      <c r="G672" s="143">
        <v>2.0</v>
      </c>
      <c r="H672" s="143" t="inlineStr">
        <is>
          <t xml:space="preserve">Closed</t>
        </is>
      </c>
      <c r="I672" s="143" t="inlineStr">
        <is>
          <t xml:space="preserve">12-14</t>
        </is>
      </c>
      <c r="J672" s="143" t="inlineStr">
        <is>
          <t xml:space="preserve">OPS/LK</t>
        </is>
      </c>
    </row>
    <row r="673" spans="1:10">
      <c r="A673" s="143" t="inlineStr">
        <is>
          <t xml:space="preserve">398</t>
        </is>
      </c>
      <c r="B673" s="143" t="inlineStr">
        <is>
          <t xml:space="preserve">321127-01-1-001</t>
        </is>
      </c>
      <c r="C673" s="143" t="inlineStr">
        <is>
          <t xml:space="preserve">321127-01-1-001 (04) / LH MLG TORQUE LINK EXCESIVE PLAY CHK</t>
        </is>
      </c>
      <c r="D673" s="143">
        <v>1.0</v>
      </c>
      <c r="E673" s="143">
        <v>38.7</v>
      </c>
      <c r="F673" s="143">
        <v>84.0</v>
      </c>
      <c r="G673" s="143">
        <v>121.6</v>
      </c>
      <c r="H673" s="143" t="inlineStr">
        <is>
          <t xml:space="preserve">Closed</t>
        </is>
      </c>
      <c r="I673" s="143" t="inlineStr">
        <is>
          <t xml:space="preserve">32-11</t>
        </is>
      </c>
      <c r="J673" s="143" t="inlineStr">
        <is>
          <t xml:space="preserve">JOB-SETUP, TC/P, TC/P, TC/P, INSPECTION, JOB-CLOSEUP, JOB-CLOSEUP</t>
        </is>
      </c>
    </row>
    <row r="674" spans="1:10">
      <c r="A674" s="143" t="inlineStr">
        <is>
          <t xml:space="preserve">399</t>
        </is>
      </c>
      <c r="B674" s="143" t="inlineStr">
        <is>
          <t xml:space="preserve">321127-01-1-002</t>
        </is>
      </c>
      <c r="C674" s="143" t="inlineStr">
        <is>
          <t xml:space="preserve">321127-01-1-002 (04) / RH MLG TORQUE LINK EXCESIVE PLAY CHK</t>
        </is>
      </c>
      <c r="D674" s="143">
        <v>1.0</v>
      </c>
      <c r="E674" s="143">
        <v>38.7</v>
      </c>
      <c r="F674" s="143">
        <v>106.1</v>
      </c>
      <c r="G674" s="143">
        <v>53.3</v>
      </c>
      <c r="H674" s="143" t="inlineStr">
        <is>
          <t xml:space="preserve">Closed</t>
        </is>
      </c>
      <c r="I674" s="143" t="inlineStr">
        <is>
          <t xml:space="preserve">32-11</t>
        </is>
      </c>
      <c r="J674" s="143" t="inlineStr">
        <is>
          <t xml:space="preserve">JOB-SETUP, TC/P, TC/P, TC/P, INSPECTION, JOB-CLOSEUP, JOB-CLOSEUP</t>
        </is>
      </c>
    </row>
    <row r="675" spans="1:10">
      <c r="A675" s="143" t="inlineStr">
        <is>
          <t xml:space="preserve">400</t>
        </is>
      </c>
      <c r="B675" s="143" t="inlineStr">
        <is>
          <t xml:space="preserve">322113-01-1</t>
        </is>
      </c>
      <c r="C675" s="143" t="inlineStr">
        <is>
          <t xml:space="preserve">322113-01-1 (4) / NLG SHOCK ABSORBR CHARGE PRSS CHK</t>
        </is>
      </c>
      <c r="D675" s="143">
        <v>1.0</v>
      </c>
      <c r="E675" s="143">
        <v>0.87</v>
      </c>
      <c r="F675" s="143">
        <v>3.0</v>
      </c>
      <c r="G675" s="143">
        <v>1.03</v>
      </c>
      <c r="H675" s="143" t="inlineStr">
        <is>
          <t xml:space="preserve">Closed</t>
        </is>
      </c>
      <c r="I675" s="143" t="inlineStr">
        <is>
          <t xml:space="preserve">12-12</t>
        </is>
      </c>
      <c r="J675" s="143" t="inlineStr">
        <is>
          <t xml:space="preserve">OPS/LK</t>
        </is>
      </c>
    </row>
    <row r="676" spans="1:10">
      <c r="A676" s="143" t="inlineStr">
        <is>
          <t xml:space="preserve">401</t>
        </is>
      </c>
      <c r="B676" s="143" t="inlineStr">
        <is>
          <t xml:space="preserve">323000-17-1</t>
        </is>
      </c>
      <c r="C676" s="143" t="inlineStr">
        <is>
          <t xml:space="preserve">323000-17-1 (5) / LGCIU POWER SUPPLY RELAYS FUNC CHK</t>
        </is>
      </c>
      <c r="D676" s="143">
        <v>1.0</v>
      </c>
      <c r="E676" s="143">
        <v>0.38</v>
      </c>
      <c r="F676" s="143">
        <v>4.5</v>
      </c>
      <c r="G676" s="143">
        <v>2.8</v>
      </c>
      <c r="H676" s="143" t="inlineStr">
        <is>
          <t xml:space="preserve">Closed</t>
        </is>
      </c>
      <c r="I676" s="143" t="inlineStr">
        <is>
          <t xml:space="preserve">32-31</t>
        </is>
      </c>
      <c r="J676" s="143" t="inlineStr">
        <is>
          <t xml:space="preserve">OPS/LK</t>
        </is>
      </c>
    </row>
    <row r="677" spans="1:10">
      <c r="A677" s="143" t="inlineStr">
        <is>
          <t xml:space="preserve">403</t>
        </is>
      </c>
      <c r="B677" s="143" t="inlineStr">
        <is>
          <t xml:space="preserve">323100-05-1</t>
        </is>
      </c>
      <c r="C677" s="143" t="inlineStr">
        <is>
          <t xml:space="preserve">323100-05-1 (2) / NLG DOOR OPERATING MECHANISM INSP</t>
        </is>
      </c>
      <c r="D677" s="143">
        <v>1.0</v>
      </c>
      <c r="E677" s="143">
        <v>0.65</v>
      </c>
      <c r="F677" s="143">
        <v>1.0</v>
      </c>
      <c r="G677" s="143">
        <v>1.0</v>
      </c>
      <c r="H677" s="143" t="inlineStr">
        <is>
          <t xml:space="preserve">Closed</t>
        </is>
      </c>
      <c r="I677" s="143" t="inlineStr">
        <is>
          <t xml:space="preserve">32-30</t>
        </is>
      </c>
      <c r="J677" s="143" t="inlineStr">
        <is>
          <t xml:space="preserve">PRE INSP</t>
        </is>
      </c>
    </row>
    <row r="678" spans="1:10">
      <c r="A678" s="143" t="inlineStr">
        <is>
          <t xml:space="preserve">404</t>
        </is>
      </c>
      <c r="B678" s="143" t="inlineStr">
        <is>
          <t xml:space="preserve">323100-06-1</t>
        </is>
      </c>
      <c r="C678" s="143" t="inlineStr">
        <is>
          <t xml:space="preserve">323100-06-1 (3) / GEAR NOT DOWN WARNINGS BITE CHK</t>
        </is>
      </c>
      <c r="D678" s="143">
        <v>1.0</v>
      </c>
      <c r="E678" s="143">
        <v>0.22</v>
      </c>
      <c r="F678" s="143">
        <v>3.0</v>
      </c>
      <c r="G678" s="143">
        <v>3.0</v>
      </c>
      <c r="H678" s="143" t="inlineStr">
        <is>
          <t xml:space="preserve">Closed</t>
        </is>
      </c>
      <c r="I678" s="143" t="inlineStr">
        <is>
          <t xml:space="preserve">32-61</t>
        </is>
      </c>
      <c r="J678" s="143" t="inlineStr">
        <is>
          <t xml:space="preserve">OPS/LK</t>
        </is>
      </c>
    </row>
    <row r="679" spans="1:10">
      <c r="A679" s="143" t="inlineStr">
        <is>
          <t xml:space="preserve">405</t>
        </is>
      </c>
      <c r="B679" s="143" t="inlineStr">
        <is>
          <t xml:space="preserve">323105-04-1</t>
        </is>
      </c>
      <c r="C679" s="143" t="inlineStr">
        <is>
          <t xml:space="preserve">323105-04-1 (4) / NORMAL EXTENSION AND RETRACTION</t>
        </is>
      </c>
      <c r="D679" s="143">
        <v>1.0</v>
      </c>
      <c r="E679" s="143">
        <v>2.2</v>
      </c>
      <c r="F679" s="143">
        <v>2.0</v>
      </c>
      <c r="G679" s="143">
        <v>2.0</v>
      </c>
      <c r="H679" s="143" t="inlineStr">
        <is>
          <t xml:space="preserve">Closed</t>
        </is>
      </c>
      <c r="I679" s="143" t="inlineStr">
        <is>
          <t xml:space="preserve">32-31</t>
        </is>
      </c>
      <c r="J679" s="143" t="inlineStr">
        <is>
          <t xml:space="preserve">OPS/LK</t>
        </is>
      </c>
    </row>
    <row r="680" spans="1:10">
      <c r="A680" s="143" t="inlineStr">
        <is>
          <t xml:space="preserve">406</t>
        </is>
      </c>
      <c r="B680" s="143" t="inlineStr">
        <is>
          <t xml:space="preserve">323105-05-1</t>
        </is>
      </c>
      <c r="C680" s="143" t="inlineStr">
        <is>
          <t xml:space="preserve">323105-05-1 (3) / NORMAL EXTENSION AND RETRACTION</t>
        </is>
      </c>
      <c r="D680" s="143">
        <v>1.0</v>
      </c>
      <c r="E680" s="143">
        <v>1.1</v>
      </c>
      <c r="F680" s="143">
        <v>3.0</v>
      </c>
      <c r="G680" s="143">
        <v>3.0</v>
      </c>
      <c r="H680" s="143" t="inlineStr">
        <is>
          <t xml:space="preserve">Closed</t>
        </is>
      </c>
      <c r="I680" s="143" t="inlineStr">
        <is>
          <t xml:space="preserve">32-31</t>
        </is>
      </c>
      <c r="J680" s="143" t="inlineStr">
        <is>
          <t xml:space="preserve">OPS/LK</t>
        </is>
      </c>
    </row>
    <row r="681" spans="1:10">
      <c r="A681" s="143" t="inlineStr">
        <is>
          <t xml:space="preserve">407</t>
        </is>
      </c>
      <c r="B681" s="143" t="inlineStr">
        <is>
          <t xml:space="preserve">323173-00-SVA</t>
        </is>
      </c>
      <c r="C681" s="143" t="inlineStr">
        <is>
          <t xml:space="preserve">323173-00-SVA (01) / MLG &amp; NLG PROXIMITY SENS. CLN &amp; NLG CLEARANCE CHK</t>
        </is>
      </c>
      <c r="D681" s="143">
        <v>1.0</v>
      </c>
      <c r="E681" s="143">
        <v>8.92</v>
      </c>
      <c r="F681" s="143">
        <v>25.5</v>
      </c>
      <c r="G681" s="143">
        <v>463.6</v>
      </c>
      <c r="H681" s="143" t="inlineStr">
        <is>
          <t xml:space="preserve">Closed</t>
        </is>
      </c>
      <c r="I681" s="143" t="inlineStr">
        <is>
          <t xml:space="preserve">32-31</t>
        </is>
      </c>
      <c r="J681" s="143" t="inlineStr">
        <is>
          <t xml:space="preserve">JOB-SETUP, TC/P, TC/P, CLOSE-UP</t>
        </is>
      </c>
    </row>
    <row r="682" spans="1:10">
      <c r="A682" s="143" t="inlineStr">
        <is>
          <t xml:space="preserve">408</t>
        </is>
      </c>
      <c r="B682" s="143" t="inlineStr">
        <is>
          <t xml:space="preserve">324000-14-1</t>
        </is>
      </c>
      <c r="C682" s="143" t="inlineStr">
        <is>
          <t xml:space="preserve">324000-14-1 (2) / NORML BRAKE MODE AUTO REACT FUN CHK</t>
        </is>
      </c>
      <c r="D682" s="143">
        <v>1.0</v>
      </c>
      <c r="E682" s="143">
        <v>10.12</v>
      </c>
      <c r="F682" s="143">
        <v>2.0</v>
      </c>
      <c r="G682" s="143">
        <v>2.0</v>
      </c>
      <c r="H682" s="143" t="inlineStr">
        <is>
          <t xml:space="preserve">Closed</t>
        </is>
      </c>
      <c r="I682" s="143" t="inlineStr">
        <is>
          <t xml:space="preserve">32-42</t>
        </is>
      </c>
      <c r="J682" s="143" t="inlineStr">
        <is>
          <t xml:space="preserve">OPS/LK</t>
        </is>
      </c>
    </row>
    <row r="683" spans="1:10">
      <c r="A683" s="143" t="inlineStr">
        <is>
          <t xml:space="preserve">409</t>
        </is>
      </c>
      <c r="B683" s="143" t="inlineStr">
        <is>
          <t xml:space="preserve">324000-17-1</t>
        </is>
      </c>
      <c r="C683" s="143" t="inlineStr">
        <is>
          <t xml:space="preserve">324000-17-1 (5) / BRAKE ACCOMULATOR SYSTEM FUN CHK</t>
        </is>
      </c>
      <c r="D683" s="143">
        <v>1.0</v>
      </c>
      <c r="E683" s="143">
        <v>2.17</v>
      </c>
      <c r="F683" s="143">
        <v>7.0</v>
      </c>
      <c r="G683" s="143">
        <v>3.0</v>
      </c>
      <c r="H683" s="143" t="inlineStr">
        <is>
          <t xml:space="preserve">Closed</t>
        </is>
      </c>
      <c r="I683" s="143" t="inlineStr">
        <is>
          <t xml:space="preserve">32-41</t>
        </is>
      </c>
      <c r="J683" s="143" t="inlineStr">
        <is>
          <t xml:space="preserve">JOB-SETUP, OPS/LK, JOB-CLOSEUP</t>
        </is>
      </c>
    </row>
    <row r="684" spans="1:10">
      <c r="A684" s="143" t="inlineStr">
        <is>
          <t xml:space="preserve">410</t>
        </is>
      </c>
      <c r="B684" s="143" t="inlineStr">
        <is>
          <t xml:space="preserve">324300-01-3</t>
        </is>
      </c>
      <c r="C684" s="143" t="inlineStr">
        <is>
          <t xml:space="preserve">324300-01-3 (3) / ALTERNATE BRAKING SYS OPS CHK</t>
        </is>
      </c>
      <c r="D684" s="143">
        <v>1.0</v>
      </c>
      <c r="E684" s="143">
        <v>1.32</v>
      </c>
      <c r="F684" s="143">
        <v>2.0</v>
      </c>
      <c r="G684" s="143">
        <v>2.0</v>
      </c>
      <c r="H684" s="143" t="inlineStr">
        <is>
          <t xml:space="preserve">Closed</t>
        </is>
      </c>
      <c r="I684" s="143" t="inlineStr">
        <is>
          <t xml:space="preserve">32-43</t>
        </is>
      </c>
      <c r="J684" s="143" t="inlineStr">
        <is>
          <t xml:space="preserve">OPS/LK</t>
        </is>
      </c>
    </row>
    <row r="685" spans="1:10">
      <c r="A685" s="143" t="inlineStr">
        <is>
          <t xml:space="preserve">411</t>
        </is>
      </c>
      <c r="B685" s="143" t="inlineStr">
        <is>
          <t xml:space="preserve">324300-02-1</t>
        </is>
      </c>
      <c r="C685" s="143" t="inlineStr">
        <is>
          <t xml:space="preserve">324300-02-1 (5) / OPERATIONAL CHECK OF ANTISKID INHIBITION</t>
        </is>
      </c>
      <c r="D685" s="143">
        <v>1.0</v>
      </c>
      <c r="E685" s="143">
        <v>0.22</v>
      </c>
      <c r="F685" s="143">
        <v>8.0</v>
      </c>
      <c r="G685" s="143">
        <v>3.0</v>
      </c>
      <c r="H685" s="143" t="inlineStr">
        <is>
          <t xml:space="preserve">Closed</t>
        </is>
      </c>
      <c r="I685" s="143" t="inlineStr">
        <is>
          <t xml:space="preserve">32-42</t>
        </is>
      </c>
      <c r="J685" s="143" t="inlineStr">
        <is>
          <t xml:space="preserve">JOB-SETUP, OPS/LK, JOB-CLOSEUP</t>
        </is>
      </c>
    </row>
    <row r="686" spans="1:10">
      <c r="A686" s="143" t="inlineStr">
        <is>
          <t xml:space="preserve">412</t>
        </is>
      </c>
      <c r="B686" s="143" t="inlineStr">
        <is>
          <t xml:space="preserve">324500-01-2</t>
        </is>
      </c>
      <c r="C686" s="143" t="inlineStr">
        <is>
          <t xml:space="preserve">324500-01-2 (4) / PARKING BRAKE SYSTEM OPS CHK</t>
        </is>
      </c>
      <c r="D686" s="143">
        <v>1.0</v>
      </c>
      <c r="E686" s="143">
        <v>1.75</v>
      </c>
      <c r="F686" s="143">
        <v>10.0</v>
      </c>
      <c r="G686" s="143">
        <v>3.02</v>
      </c>
      <c r="H686" s="143" t="inlineStr">
        <is>
          <t xml:space="preserve">Closed</t>
        </is>
      </c>
      <c r="I686" s="143" t="inlineStr">
        <is>
          <t xml:space="preserve">32-45</t>
        </is>
      </c>
      <c r="J686" s="143" t="inlineStr">
        <is>
          <t xml:space="preserve">JOB-SETUP, OPS/LK</t>
        </is>
      </c>
    </row>
    <row r="687" spans="1:10">
      <c r="A687" s="143" t="inlineStr">
        <is>
          <t xml:space="preserve">413</t>
        </is>
      </c>
      <c r="B687" s="143" t="inlineStr">
        <is>
          <t xml:space="preserve">335100-11-1</t>
        </is>
      </c>
      <c r="C687" s="143" t="inlineStr">
        <is>
          <t xml:space="preserve">335100-11-1 (1) / CABIN EMERGENCY LIGHTING</t>
        </is>
      </c>
      <c r="D687" s="143">
        <v>1.0</v>
      </c>
      <c r="E687" s="143">
        <v>0.22</v>
      </c>
      <c r="F687" s="143">
        <v>9.0</v>
      </c>
      <c r="G687" s="143">
        <v>3.08</v>
      </c>
      <c r="H687" s="143" t="inlineStr">
        <is>
          <t xml:space="preserve">Closed</t>
        </is>
      </c>
      <c r="I687" s="143" t="inlineStr">
        <is>
          <t xml:space="preserve">33-51</t>
        </is>
      </c>
      <c r="J687" s="143" t="inlineStr">
        <is>
          <t xml:space="preserve">JOB-SETUP, OPS/LK, JOB-CLOSEUP</t>
        </is>
      </c>
    </row>
    <row r="688" spans="1:10">
      <c r="A688" s="143" t="inlineStr">
        <is>
          <t xml:space="preserve">414</t>
        </is>
      </c>
      <c r="B688" s="143" t="inlineStr">
        <is>
          <t xml:space="preserve">34-55-00-03-A</t>
        </is>
      </c>
      <c r="C688" s="143" t="inlineStr">
        <is>
          <t xml:space="preserve">34-55-00-03-A (04) / VOR SYSTEM TEST</t>
        </is>
      </c>
      <c r="D688" s="143">
        <v>1.0</v>
      </c>
      <c r="E688" s="143">
        <v>1.0</v>
      </c>
      <c r="F688" s="143">
        <v>6.5</v>
      </c>
      <c r="G688" s="143">
        <v>2.6</v>
      </c>
      <c r="H688" s="143" t="inlineStr">
        <is>
          <t xml:space="preserve">Closed</t>
        </is>
      </c>
      <c r="I688" s="143" t="inlineStr">
        <is>
          <t xml:space="preserve">34-55</t>
        </is>
      </c>
      <c r="J688" s="143" t="inlineStr">
        <is>
          <t xml:space="preserve">JOB-SETUP, OPS/LK, JOB-CLOSEUP</t>
        </is>
      </c>
    </row>
    <row r="689" spans="1:10">
      <c r="A689" s="143" t="inlineStr">
        <is>
          <t xml:space="preserve">415</t>
        </is>
      </c>
      <c r="B689" s="143" t="inlineStr">
        <is>
          <t xml:space="preserve">341300-01-1</t>
        </is>
      </c>
      <c r="C689" s="143" t="inlineStr">
        <is>
          <t xml:space="preserve">341300-01-1 (3) / VMO/MMO OVERSPEED WARNING OPC</t>
        </is>
      </c>
      <c r="D689" s="143">
        <v>1.0</v>
      </c>
      <c r="E689" s="143">
        <v>0.43</v>
      </c>
      <c r="F689" s="143">
        <v>8.0</v>
      </c>
      <c r="G689" s="143">
        <v>1.02</v>
      </c>
      <c r="H689" s="143" t="inlineStr">
        <is>
          <t xml:space="preserve">Closed</t>
        </is>
      </c>
      <c r="I689" s="143" t="inlineStr">
        <is>
          <t xml:space="preserve">34-13</t>
        </is>
      </c>
      <c r="J689" s="143" t="inlineStr">
        <is>
          <t xml:space="preserve">JOB-SETUP, OPS/LK, OPS/LK, JOB-CLOSEUP</t>
        </is>
      </c>
    </row>
    <row r="690" spans="1:10">
      <c r="A690" s="143" t="inlineStr">
        <is>
          <t xml:space="preserve">416</t>
        </is>
      </c>
      <c r="B690" s="143" t="inlineStr">
        <is>
          <t xml:space="preserve">341300-02-1</t>
        </is>
      </c>
      <c r="C690" s="143" t="inlineStr">
        <is>
          <t xml:space="preserve">341300-02-1 (3) / AIR DATA SWITCHING FUNCTION OPC</t>
        </is>
      </c>
      <c r="D690" s="143">
        <v>1.0</v>
      </c>
      <c r="E690" s="143">
        <v>0.22</v>
      </c>
      <c r="F690" s="143">
        <v>6.0</v>
      </c>
      <c r="G690" s="143">
        <v>1.03</v>
      </c>
      <c r="H690" s="143" t="inlineStr">
        <is>
          <t xml:space="preserve">Closed</t>
        </is>
      </c>
      <c r="I690" s="143" t="inlineStr">
        <is>
          <t xml:space="preserve">34-13</t>
        </is>
      </c>
      <c r="J690" s="143" t="inlineStr">
        <is>
          <t xml:space="preserve">JOB-SETUP, OPS/LK, JOB-CLOSEUP</t>
        </is>
      </c>
    </row>
    <row r="691" spans="1:10">
      <c r="A691" s="143" t="inlineStr">
        <is>
          <t xml:space="preserve">417</t>
        </is>
      </c>
      <c r="B691" s="143" t="inlineStr">
        <is>
          <t xml:space="preserve">341300-03-1</t>
        </is>
      </c>
      <c r="C691" s="143" t="inlineStr">
        <is>
          <t xml:space="preserve">341300-03-1 (3) / OVERSPEED WARNINGS (VFE/VLE) OPC</t>
        </is>
      </c>
      <c r="D691" s="143">
        <v>1.0</v>
      </c>
      <c r="E691" s="143">
        <v>0.43</v>
      </c>
      <c r="F691" s="143">
        <v>8.0</v>
      </c>
      <c r="G691" s="143">
        <v>1.02</v>
      </c>
      <c r="H691" s="143" t="inlineStr">
        <is>
          <t xml:space="preserve">Closed</t>
        </is>
      </c>
      <c r="I691" s="143" t="inlineStr">
        <is>
          <t xml:space="preserve">34-13</t>
        </is>
      </c>
      <c r="J691" s="143" t="inlineStr">
        <is>
          <t xml:space="preserve">JOB-SETUP, OPS/LK, OPS/LK, JOB-CLOSEUP</t>
        </is>
      </c>
    </row>
    <row r="692" spans="1:10">
      <c r="A692" s="143" t="inlineStr">
        <is>
          <t xml:space="preserve">418</t>
        </is>
      </c>
      <c r="B692" s="143" t="inlineStr">
        <is>
          <t xml:space="preserve">341300-05-1</t>
        </is>
      </c>
      <c r="C692" s="143" t="inlineStr">
        <is>
          <t xml:space="preserve">341300-05-1 (4) / ADIRU 5-MINUTE TIME DELAY OPC</t>
        </is>
      </c>
      <c r="D692" s="143">
        <v>1.0</v>
      </c>
      <c r="E692" s="143">
        <v>0.43</v>
      </c>
      <c r="F692" s="143">
        <v>4.0</v>
      </c>
      <c r="G692" s="143">
        <v>2.0</v>
      </c>
      <c r="H692" s="143" t="inlineStr">
        <is>
          <t xml:space="preserve">Closed</t>
        </is>
      </c>
      <c r="I692" s="143" t="inlineStr">
        <is>
          <t xml:space="preserve">34-13</t>
        </is>
      </c>
      <c r="J692" s="143" t="inlineStr">
        <is>
          <t xml:space="preserve">OPS/LK</t>
        </is>
      </c>
    </row>
    <row r="693" spans="1:10">
      <c r="A693" s="143" t="inlineStr">
        <is>
          <t xml:space="preserve">419</t>
        </is>
      </c>
      <c r="B693" s="143" t="inlineStr">
        <is>
          <t xml:space="preserve">341300-09-1</t>
        </is>
      </c>
      <c r="C693" s="143" t="inlineStr">
        <is>
          <t xml:space="preserve">341300-09-1 (3) / BACK-UP SPEED &amp; ALTTITUDE SCALES OPC</t>
        </is>
      </c>
      <c r="D693" s="143">
        <v>1.0</v>
      </c>
      <c r="E693" s="143">
        <v>0.43</v>
      </c>
      <c r="F693" s="143">
        <v>4.0</v>
      </c>
      <c r="G693" s="143">
        <v>2.0</v>
      </c>
      <c r="H693" s="143" t="inlineStr">
        <is>
          <t xml:space="preserve">Closed</t>
        </is>
      </c>
      <c r="I693" s="143" t="inlineStr">
        <is>
          <t xml:space="preserve">34-13</t>
        </is>
      </c>
      <c r="J693" s="143" t="inlineStr">
        <is>
          <t xml:space="preserve">OPS/LK</t>
        </is>
      </c>
    </row>
    <row r="694" spans="1:10">
      <c r="A694" s="143" t="inlineStr">
        <is>
          <t xml:space="preserve">420</t>
        </is>
      </c>
      <c r="B694" s="143" t="inlineStr">
        <is>
          <t xml:space="preserve">342000-03-1</t>
        </is>
      </c>
      <c r="C694" s="143" t="inlineStr">
        <is>
          <t xml:space="preserve">342000-03-1 (3) / (ISIS) DC HOT BUS SUPPLY OPS CHK</t>
        </is>
      </c>
      <c r="D694" s="143">
        <v>1.0</v>
      </c>
      <c r="E694" s="143">
        <v>0.65</v>
      </c>
      <c r="F694" s="143">
        <v>4.0</v>
      </c>
      <c r="G694" s="143">
        <v>2.0</v>
      </c>
      <c r="H694" s="143" t="inlineStr">
        <is>
          <t xml:space="preserve">Closed</t>
        </is>
      </c>
      <c r="I694" s="143" t="inlineStr">
        <is>
          <t xml:space="preserve">34-20</t>
        </is>
      </c>
      <c r="J694" s="143" t="inlineStr">
        <is>
          <t xml:space="preserve">OPS/LK</t>
        </is>
      </c>
    </row>
    <row r="695" spans="1:10">
      <c r="A695" s="143" t="inlineStr">
        <is>
          <t xml:space="preserve">421</t>
        </is>
      </c>
      <c r="B695" s="143" t="inlineStr">
        <is>
          <t xml:space="preserve">342200-01-1</t>
        </is>
      </c>
      <c r="C695" s="143" t="inlineStr">
        <is>
          <t xml:space="preserve">342200-01-1 (5) / STANDBY COMPASS OPS CHK &amp; GVI</t>
        </is>
      </c>
      <c r="D695" s="143">
        <v>1.0</v>
      </c>
      <c r="E695" s="143">
        <v>0.22</v>
      </c>
      <c r="F695" s="143">
        <v>4.5</v>
      </c>
      <c r="G695" s="143">
        <v>1.37</v>
      </c>
      <c r="H695" s="143" t="inlineStr">
        <is>
          <t xml:space="preserve">Closed</t>
        </is>
      </c>
      <c r="I695" s="143" t="inlineStr">
        <is>
          <t xml:space="preserve">34-22</t>
        </is>
      </c>
      <c r="J695" s="143" t="inlineStr">
        <is>
          <t xml:space="preserve">JOB-SETUP, OPS/LK, OPS/LK, JOB-CLOSEUP</t>
        </is>
      </c>
    </row>
    <row r="696" spans="1:10">
      <c r="A696" s="143" t="inlineStr">
        <is>
          <t xml:space="preserve">422</t>
        </is>
      </c>
      <c r="B696" s="143" t="inlineStr">
        <is>
          <t xml:space="preserve">342200-05-1</t>
        </is>
      </c>
      <c r="C696" s="143" t="inlineStr">
        <is>
          <t xml:space="preserve">342200-05-1 (3) / STBY PNEM CIRCUT LOW RANG LEAK TEST</t>
        </is>
      </c>
      <c r="D696" s="143">
        <v>1.0</v>
      </c>
      <c r="E696" s="143">
        <v>0.92</v>
      </c>
      <c r="F696" s="143">
        <v>13.0</v>
      </c>
      <c r="G696" s="143">
        <v>2.17</v>
      </c>
      <c r="H696" s="143" t="inlineStr">
        <is>
          <t xml:space="preserve">Closed</t>
        </is>
      </c>
      <c r="I696" s="143" t="inlineStr">
        <is>
          <t xml:space="preserve">34-22</t>
        </is>
      </c>
      <c r="J696" s="143" t="inlineStr">
        <is>
          <t xml:space="preserve">JOB-SETUP, OPS/LK, JOB-CLOSEUP</t>
        </is>
      </c>
    </row>
    <row r="697" spans="1:10">
      <c r="A697" s="143" t="inlineStr">
        <is>
          <t xml:space="preserve">423</t>
        </is>
      </c>
      <c r="B697" s="143" t="inlineStr">
        <is>
          <t xml:space="preserve">344800-03-1</t>
        </is>
      </c>
      <c r="C697" s="143" t="inlineStr">
        <is>
          <t xml:space="preserve">344800-03-1 (04) / TERRAIN AWARENESS WARNING SYSTEM RA OPC</t>
        </is>
      </c>
      <c r="D697" s="143">
        <v>1.0</v>
      </c>
      <c r="E697" s="143">
        <v>0.43</v>
      </c>
      <c r="F697" s="143">
        <v>4.0</v>
      </c>
      <c r="G697" s="143">
        <v>2.0</v>
      </c>
      <c r="H697" s="143" t="inlineStr">
        <is>
          <t xml:space="preserve">Closed</t>
        </is>
      </c>
      <c r="I697" s="143" t="inlineStr">
        <is>
          <t xml:space="preserve">34-48</t>
        </is>
      </c>
      <c r="J697" s="143" t="inlineStr">
        <is>
          <t xml:space="preserve">TC/P</t>
        </is>
      </c>
    </row>
    <row r="698" spans="1:10">
      <c r="A698" s="143" t="inlineStr">
        <is>
          <t xml:space="preserve">424</t>
        </is>
      </c>
      <c r="B698" s="143" t="inlineStr">
        <is>
          <t xml:space="preserve">345200-02-1</t>
        </is>
      </c>
      <c r="C698" s="143" t="inlineStr">
        <is>
          <t xml:space="preserve">345200-02-1 (3) / ATC ANTENNAS FUNCTIONAL CHECK</t>
        </is>
      </c>
      <c r="D698" s="143">
        <v>1.0</v>
      </c>
      <c r="E698" s="143">
        <v>0.22</v>
      </c>
      <c r="F698" s="143">
        <v>8.0</v>
      </c>
      <c r="G698" s="143">
        <v>1.02</v>
      </c>
      <c r="H698" s="143" t="inlineStr">
        <is>
          <t xml:space="preserve">Closed</t>
        </is>
      </c>
      <c r="I698" s="143" t="inlineStr">
        <is>
          <t xml:space="preserve">34-52</t>
        </is>
      </c>
      <c r="J698" s="143" t="inlineStr">
        <is>
          <t xml:space="preserve">JOB-SETUP, OPS/LK, OPS/LK, JOB-CLOSEUP</t>
        </is>
      </c>
    </row>
    <row r="699" spans="1:10">
      <c r="A699" s="143" t="inlineStr">
        <is>
          <t xml:space="preserve">425</t>
        </is>
      </c>
      <c r="B699" s="143" t="inlineStr">
        <is>
          <t xml:space="preserve">351000-01-1</t>
        </is>
      </c>
      <c r="C699" s="143" t="inlineStr">
        <is>
          <t xml:space="preserve">351000-01-1 (3) / FULL FACE/QUICK OXYGEN MASKS OPC</t>
        </is>
      </c>
      <c r="D699" s="143">
        <v>1.0</v>
      </c>
      <c r="E699" s="143">
        <v>0.22</v>
      </c>
      <c r="F699" s="143">
        <v>1.0</v>
      </c>
      <c r="G699" s="143">
        <v>1.0</v>
      </c>
      <c r="H699" s="143" t="inlineStr">
        <is>
          <t xml:space="preserve">Closed</t>
        </is>
      </c>
      <c r="I699" s="143" t="inlineStr">
        <is>
          <t xml:space="preserve">35-12</t>
        </is>
      </c>
      <c r="J699" s="143" t="inlineStr">
        <is>
          <t xml:space="preserve">OPS/LK</t>
        </is>
      </c>
    </row>
    <row r="700" spans="1:10">
      <c r="A700" s="143" t="inlineStr">
        <is>
          <t xml:space="preserve">426</t>
        </is>
      </c>
      <c r="B700" s="143" t="inlineStr">
        <is>
          <t xml:space="preserve">351241-01-1</t>
        </is>
      </c>
      <c r="C700" s="143" t="inlineStr">
        <is>
          <t xml:space="preserve">351241-01-1 (3) / CREW OXYGEN MASKS INSPECTION</t>
        </is>
      </c>
      <c r="D700" s="143">
        <v>1.0</v>
      </c>
      <c r="E700" s="143">
        <v>0.55</v>
      </c>
      <c r="F700" s="143">
        <v>10.0</v>
      </c>
      <c r="G700" s="143">
        <v>4.37</v>
      </c>
      <c r="H700" s="143" t="inlineStr">
        <is>
          <t xml:space="preserve">Closed</t>
        </is>
      </c>
      <c r="I700" s="143" t="inlineStr">
        <is>
          <t xml:space="preserve">35-12</t>
        </is>
      </c>
      <c r="J700" s="143" t="inlineStr">
        <is>
          <t xml:space="preserve">JOB-SETUP, INSPECTION, JOB-CLOSEUP</t>
        </is>
      </c>
    </row>
    <row r="701" spans="1:10">
      <c r="A701" s="143" t="inlineStr">
        <is>
          <t xml:space="preserve">429</t>
        </is>
      </c>
      <c r="B701" s="143" t="inlineStr">
        <is>
          <t xml:space="preserve">353000-06-1-SVA</t>
        </is>
      </c>
      <c r="C701" s="143" t="inlineStr">
        <is>
          <t xml:space="preserve">353000-06-1-SVA (03) / COCKPIT (PBE) INSPECTION</t>
        </is>
      </c>
      <c r="D701" s="143">
        <v>1.0</v>
      </c>
      <c r="E701" s="143">
        <v>2.25</v>
      </c>
      <c r="F701" s="143">
        <v>3.5</v>
      </c>
      <c r="G701" s="143">
        <v>1.65</v>
      </c>
      <c r="H701" s="143" t="inlineStr">
        <is>
          <t xml:space="preserve">Closed</t>
        </is>
      </c>
      <c r="I701" s="143" t="inlineStr">
        <is>
          <t xml:space="preserve">25-64</t>
        </is>
      </c>
      <c r="J701" s="143" t="inlineStr">
        <is>
          <t xml:space="preserve">JOB-SETUP, INSPECTION, JOB-CLOSEUP</t>
        </is>
      </c>
    </row>
    <row r="702" spans="1:10">
      <c r="A702" s="143" t="inlineStr">
        <is>
          <t xml:space="preserve">430</t>
        </is>
      </c>
      <c r="B702" s="143" t="inlineStr">
        <is>
          <t xml:space="preserve">353000-07-1</t>
        </is>
      </c>
      <c r="C702" s="143" t="inlineStr">
        <is>
          <t xml:space="preserve">353000-07-1 (4) / PORTABLE OXYGEN MASKS INSPECTION</t>
        </is>
      </c>
      <c r="D702" s="143">
        <v>1.0</v>
      </c>
      <c r="E702" s="143">
        <v>0.43</v>
      </c>
      <c r="F702" s="143">
        <v>3.5</v>
      </c>
      <c r="G702" s="143">
        <v>3.27</v>
      </c>
      <c r="H702" s="143" t="inlineStr">
        <is>
          <t xml:space="preserve">Closed</t>
        </is>
      </c>
      <c r="I702" s="143" t="inlineStr">
        <is>
          <t xml:space="preserve">35-30</t>
        </is>
      </c>
      <c r="J702" s="143" t="inlineStr">
        <is>
          <t xml:space="preserve">JOB-SETUP, INSPECTION, JOB-CLOSEUP</t>
        </is>
      </c>
    </row>
    <row r="703" spans="1:10">
      <c r="A703" s="143" t="inlineStr">
        <is>
          <t xml:space="preserve">431</t>
        </is>
      </c>
      <c r="B703" s="143" t="inlineStr">
        <is>
          <t xml:space="preserve">361100-01-1-001</t>
        </is>
      </c>
      <c r="C703" s="143" t="inlineStr">
        <is>
          <t xml:space="preserve">361100-01-1-001 (02) / NO. 1 ENGINE OVERPRESS VALVE FUNCTIONAL TEST</t>
        </is>
      </c>
      <c r="D703" s="143">
        <v>1.0</v>
      </c>
      <c r="E703" s="143">
        <v>0.43</v>
      </c>
      <c r="F703" s="143">
        <v>9.5</v>
      </c>
      <c r="G703" s="143">
        <v>4.8</v>
      </c>
      <c r="H703" s="143" t="inlineStr">
        <is>
          <t xml:space="preserve">Closed</t>
        </is>
      </c>
      <c r="I703" s="143" t="inlineStr">
        <is>
          <t xml:space="preserve">36-11</t>
        </is>
      </c>
      <c r="J703" s="143" t="inlineStr">
        <is>
          <t xml:space="preserve">JOB-SETUP, OPS/LK, JOB-CLOSEUP</t>
        </is>
      </c>
    </row>
    <row r="704" spans="1:10">
      <c r="A704" s="143" t="inlineStr">
        <is>
          <t xml:space="preserve">432</t>
        </is>
      </c>
      <c r="B704" s="143" t="inlineStr">
        <is>
          <t xml:space="preserve">361100-01-1-002</t>
        </is>
      </c>
      <c r="C704" s="143" t="inlineStr">
        <is>
          <t xml:space="preserve">361100-01-1-002 (02) / NO. 2 ENGINE OVERPRESS VALVE FUNCTIONAL TEST</t>
        </is>
      </c>
      <c r="D704" s="143">
        <v>1.0</v>
      </c>
      <c r="E704" s="143">
        <v>0.43</v>
      </c>
      <c r="F704" s="143">
        <v>9.5</v>
      </c>
      <c r="G704" s="143">
        <v>4.77</v>
      </c>
      <c r="H704" s="143" t="inlineStr">
        <is>
          <t xml:space="preserve">Closed</t>
        </is>
      </c>
      <c r="I704" s="143" t="inlineStr">
        <is>
          <t xml:space="preserve">36-11</t>
        </is>
      </c>
      <c r="J704" s="143" t="inlineStr">
        <is>
          <t xml:space="preserve">JOB-SETUP, OPS/LK, JOB-CLOSEUP</t>
        </is>
      </c>
    </row>
    <row r="705" spans="1:10">
      <c r="A705" s="143" t="inlineStr">
        <is>
          <t xml:space="preserve">434</t>
        </is>
      </c>
      <c r="B705" s="143" t="inlineStr">
        <is>
          <t xml:space="preserve">361148-01-1-001</t>
        </is>
      </c>
      <c r="C705" s="143" t="inlineStr">
        <is>
          <t xml:space="preserve">361148-01-1-001 (04) / L/H WING APU BLEED AIR DUCT LEAK CHK</t>
        </is>
      </c>
      <c r="D705" s="143">
        <v>1.0</v>
      </c>
      <c r="E705" s="143">
        <v>2.2</v>
      </c>
      <c r="F705" s="143">
        <v>12.0</v>
      </c>
      <c r="G705" s="143">
        <v>6.42</v>
      </c>
      <c r="H705" s="143" t="inlineStr">
        <is>
          <t xml:space="preserve">Closed</t>
        </is>
      </c>
      <c r="I705" s="143" t="inlineStr">
        <is>
          <t xml:space="preserve">36-11</t>
        </is>
      </c>
      <c r="J705" s="143" t="inlineStr">
        <is>
          <t xml:space="preserve">JOB-SETUP, OPS/LK, JOB-CLOSEUP</t>
        </is>
      </c>
    </row>
    <row r="706" spans="1:10">
      <c r="A706" s="143" t="inlineStr">
        <is>
          <t xml:space="preserve">435</t>
        </is>
      </c>
      <c r="B706" s="143" t="inlineStr">
        <is>
          <t xml:space="preserve">361148-01-1-002</t>
        </is>
      </c>
      <c r="C706" s="143" t="inlineStr">
        <is>
          <t xml:space="preserve">361148-01-1-002 (04) / R/H WING APU BLEED AIR DUCT LEAK CHK</t>
        </is>
      </c>
      <c r="D706" s="143">
        <v>1.0</v>
      </c>
      <c r="E706" s="143">
        <v>2.2</v>
      </c>
      <c r="F706" s="143">
        <v>12.0</v>
      </c>
      <c r="G706" s="143">
        <v>6.4</v>
      </c>
      <c r="H706" s="143" t="inlineStr">
        <is>
          <t xml:space="preserve">Closed</t>
        </is>
      </c>
      <c r="I706" s="143" t="inlineStr">
        <is>
          <t xml:space="preserve">36-11</t>
        </is>
      </c>
      <c r="J706" s="143" t="inlineStr">
        <is>
          <t xml:space="preserve">JOB-SETUP, OPS/LK, JOB-CLOSEUP</t>
        </is>
      </c>
    </row>
    <row r="707" spans="1:10">
      <c r="A707" s="143" t="inlineStr">
        <is>
          <t xml:space="preserve">436</t>
        </is>
      </c>
      <c r="B707" s="143" t="inlineStr">
        <is>
          <t xml:space="preserve">361200-02-1</t>
        </is>
      </c>
      <c r="C707" s="143" t="inlineStr">
        <is>
          <t xml:space="preserve">361200-02-1 (3) / APU BLEED AIR SUPPLY &amp; CROSSBLEED</t>
        </is>
      </c>
      <c r="D707" s="143">
        <v>1.0</v>
      </c>
      <c r="E707" s="143">
        <v>4.4</v>
      </c>
      <c r="F707" s="143">
        <v>42.7</v>
      </c>
      <c r="G707" s="143">
        <v>22.27</v>
      </c>
      <c r="H707" s="143" t="inlineStr">
        <is>
          <t xml:space="preserve">Closed</t>
        </is>
      </c>
      <c r="I707" s="143" t="inlineStr">
        <is>
          <t xml:space="preserve">36-12</t>
        </is>
      </c>
      <c r="J707" s="143" t="inlineStr">
        <is>
          <t xml:space="preserve">JOB-SETUP, OPS/LK, JOB-CLOSEUP</t>
        </is>
      </c>
    </row>
    <row r="708" spans="1:10">
      <c r="A708" s="143" t="inlineStr">
        <is>
          <t xml:space="preserve">437</t>
        </is>
      </c>
      <c r="B708" s="143" t="inlineStr">
        <is>
          <t xml:space="preserve">361200-03-1</t>
        </is>
      </c>
      <c r="C708" s="143" t="inlineStr">
        <is>
          <t xml:space="preserve">361200-03-1 (3) / APU BLEED AIR SUPPLY &amp; CROSSBLEED LEAK CHECK</t>
        </is>
      </c>
      <c r="D708" s="143">
        <v>1.0</v>
      </c>
      <c r="E708" s="143">
        <v>2.2</v>
      </c>
      <c r="F708" s="143">
        <v>41.3</v>
      </c>
      <c r="G708" s="143">
        <v>20.33</v>
      </c>
      <c r="H708" s="143" t="inlineStr">
        <is>
          <t xml:space="preserve">Closed</t>
        </is>
      </c>
      <c r="I708" s="143" t="inlineStr">
        <is>
          <t xml:space="preserve">36-12</t>
        </is>
      </c>
      <c r="J708" s="143" t="inlineStr">
        <is>
          <t xml:space="preserve">JOB-SETUP, OPS/LK, JOB-CLOSEUP</t>
        </is>
      </c>
    </row>
    <row r="709" spans="1:10">
      <c r="A709" s="143" t="inlineStr">
        <is>
          <t xml:space="preserve">439</t>
        </is>
      </c>
      <c r="B709" s="143" t="inlineStr">
        <is>
          <t xml:space="preserve">383100-07-1</t>
        </is>
      </c>
      <c r="C709" s="143" t="inlineStr">
        <is>
          <t xml:space="preserve">383100-07-1 (07) / VACUUM TOILET SYSTEM CLEANING</t>
        </is>
      </c>
      <c r="D709" s="143">
        <v>1.0</v>
      </c>
      <c r="E709" s="143">
        <v>10.0</v>
      </c>
      <c r="F709" s="143">
        <v>3.0</v>
      </c>
      <c r="G709" s="143">
        <v>216.4</v>
      </c>
      <c r="H709" s="143" t="inlineStr">
        <is>
          <t xml:space="preserve">Closed</t>
        </is>
      </c>
      <c r="I709" s="143" t="inlineStr">
        <is>
          <t xml:space="preserve">38-31</t>
        </is>
      </c>
      <c r="J709" s="143" t="inlineStr">
        <is>
          <t xml:space="preserve">CLEAN-UP</t>
        </is>
      </c>
    </row>
    <row r="710" spans="1:10">
      <c r="A710" s="143" t="inlineStr">
        <is>
          <t xml:space="preserve">441</t>
        </is>
      </c>
      <c r="B710" s="143" t="inlineStr">
        <is>
          <t xml:space="preserve">384241-01-1</t>
        </is>
      </c>
      <c r="C710" s="143" t="inlineStr">
        <is>
          <t xml:space="preserve">384241-01-1 (4) / AIR SUPPLY COMPSSOR INLET FLTER INSP</t>
        </is>
      </c>
      <c r="D710" s="143">
        <v>1.0</v>
      </c>
      <c r="E710" s="143">
        <v>0.22</v>
      </c>
      <c r="F710" s="143">
        <v>15.0</v>
      </c>
      <c r="G710" s="143">
        <v>3.02</v>
      </c>
      <c r="H710" s="143" t="inlineStr">
        <is>
          <t xml:space="preserve">Closed</t>
        </is>
      </c>
      <c r="I710" s="143" t="inlineStr">
        <is>
          <t xml:space="preserve">38-42</t>
        </is>
      </c>
      <c r="J710" s="143" t="inlineStr">
        <is>
          <t xml:space="preserve">JOB-SETUP, TC/P, JOB-CLOSEUP</t>
        </is>
      </c>
    </row>
    <row r="711" spans="1:10">
      <c r="A711" s="143" t="inlineStr">
        <is>
          <t xml:space="preserve">442</t>
        </is>
      </c>
      <c r="B711" s="143" t="inlineStr">
        <is>
          <t xml:space="preserve">384242-01-1</t>
        </is>
      </c>
      <c r="C711" s="143" t="inlineStr">
        <is>
          <t xml:space="preserve">384242-01-1 (01) / WATER COMPRESSOR AIR FILTER R&amp;R</t>
        </is>
      </c>
      <c r="D711" s="143">
        <v>1.0</v>
      </c>
      <c r="E711" s="143">
        <v>0.65</v>
      </c>
      <c r="F711" s="143">
        <v>4.5</v>
      </c>
      <c r="G711" s="143">
        <v>4.0</v>
      </c>
      <c r="H711" s="143" t="inlineStr">
        <is>
          <t xml:space="preserve">Closed</t>
        </is>
      </c>
      <c r="I711" s="143" t="inlineStr">
        <is>
          <t xml:space="preserve">38-42</t>
        </is>
      </c>
      <c r="J711" s="143" t="inlineStr">
        <is>
          <t xml:space="preserve">TC/P, OPS/LK</t>
        </is>
      </c>
    </row>
    <row r="712" spans="1:10">
      <c r="A712" s="143" t="inlineStr">
        <is>
          <t xml:space="preserve">443</t>
        </is>
      </c>
      <c r="B712" s="143" t="inlineStr">
        <is>
          <t xml:space="preserve">491300-B1-1</t>
        </is>
      </c>
      <c r="C712" s="143" t="inlineStr">
        <is>
          <t xml:space="preserve">491300-B1-1 (02) / GENERAL VISUAL INSPECTION OF ALL APU COMPARTMENT FIRE WALLS AND SEALS.</t>
        </is>
      </c>
      <c r="D712" s="143">
        <v>1.0</v>
      </c>
      <c r="E712" s="143">
        <v>3.12</v>
      </c>
      <c r="F712" s="143">
        <v>3.5</v>
      </c>
      <c r="G712" s="143">
        <v>36.7</v>
      </c>
      <c r="H712" s="143" t="inlineStr">
        <is>
          <t xml:space="preserve">Closed</t>
        </is>
      </c>
      <c r="I712" s="143" t="inlineStr">
        <is>
          <t xml:space="preserve">49-13</t>
        </is>
      </c>
      <c r="J712" s="143" t="inlineStr">
        <is>
          <t xml:space="preserve">JOB-SETUP, INSPECTION, JOB-CLOSEUP</t>
        </is>
      </c>
    </row>
    <row r="713" spans="1:10">
      <c r="A713" s="143" t="inlineStr">
        <is>
          <t xml:space="preserve">444</t>
        </is>
      </c>
      <c r="B713" s="143" t="inlineStr">
        <is>
          <t xml:space="preserve">491600-B1-1</t>
        </is>
      </c>
      <c r="C713" s="143" t="inlineStr">
        <is>
          <t xml:space="preserve">491600-B1-1 (02) / DETAILED INSPECTION OF APU AIR INTAKE, DIFFUSER ELBOW, SEALS AND FELT METAL</t>
        </is>
      </c>
      <c r="D713" s="143">
        <v>1.0</v>
      </c>
      <c r="E713" s="143">
        <v>0.28</v>
      </c>
      <c r="F713" s="143">
        <v>6.0</v>
      </c>
      <c r="G713" s="143">
        <v>34.0</v>
      </c>
      <c r="H713" s="143" t="inlineStr">
        <is>
          <t xml:space="preserve">Closed</t>
        </is>
      </c>
      <c r="I713" s="143" t="inlineStr">
        <is>
          <t xml:space="preserve">49-16</t>
        </is>
      </c>
      <c r="J713" s="143" t="inlineStr">
        <is>
          <t xml:space="preserve">JOB-SETUP, INSPECTION, JOB-CLOSEUP</t>
        </is>
      </c>
    </row>
    <row r="714" spans="1:10">
      <c r="A714" s="143" t="inlineStr">
        <is>
          <t xml:space="preserve">445</t>
        </is>
      </c>
      <c r="B714" s="143" t="inlineStr">
        <is>
          <t xml:space="preserve">498000-B1-1</t>
        </is>
      </c>
      <c r="C714" s="143" t="inlineStr">
        <is>
          <t xml:space="preserve">498000-B1-1 (02) / GENERAL VISUAL INSPECTION OF APU COMPARTMENT EXHAUST MUFFLER INSULATION COVERS AND BELLOWS</t>
        </is>
      </c>
      <c r="D714" s="143">
        <v>1.0</v>
      </c>
      <c r="E714" s="143">
        <v>0.22</v>
      </c>
      <c r="F714" s="143">
        <v>0.5</v>
      </c>
      <c r="G714" s="143">
        <v>0.5</v>
      </c>
      <c r="H714" s="143" t="inlineStr">
        <is>
          <t xml:space="preserve">Closed</t>
        </is>
      </c>
      <c r="I714" s="143" t="inlineStr">
        <is>
          <t xml:space="preserve">49-81</t>
        </is>
      </c>
      <c r="J714" s="143" t="inlineStr">
        <is>
          <t xml:space="preserve">INSPECTION</t>
        </is>
      </c>
    </row>
    <row r="715" spans="1:10">
      <c r="A715" s="143" t="inlineStr">
        <is>
          <t xml:space="preserve">446</t>
        </is>
      </c>
      <c r="B715" s="143" t="inlineStr">
        <is>
          <t xml:space="preserve">521000-01-SVA</t>
        </is>
      </c>
      <c r="C715" s="143" t="inlineStr">
        <is>
          <t xml:space="preserve">521000-01-SVA (01) / FWD LH PASSENGER/CREW DOOR DAMPER AND EMERGENCY OPERATION CYLINDER DIAPHRAGM REPLACEMENT</t>
        </is>
      </c>
      <c r="D715" s="143">
        <v>1.0</v>
      </c>
      <c r="E715" s="143">
        <v>5.0</v>
      </c>
      <c r="F715" s="143">
        <v>54.0</v>
      </c>
      <c r="G715" s="143">
        <v>220.4</v>
      </c>
      <c r="H715" s="143" t="inlineStr">
        <is>
          <t xml:space="preserve">Closed</t>
        </is>
      </c>
      <c r="I715" s="143" t="inlineStr">
        <is>
          <t xml:space="preserve">52-10</t>
        </is>
      </c>
      <c r="J715" s="143" t="inlineStr">
        <is>
          <t xml:space="preserve">JOB-SETUP, TC/P, INSPECTION, JOB-CLOSEUP</t>
        </is>
      </c>
    </row>
    <row r="716" spans="1:10">
      <c r="A716" s="143" t="inlineStr">
        <is>
          <t xml:space="preserve">448</t>
        </is>
      </c>
      <c r="B716" s="143" t="inlineStr">
        <is>
          <t xml:space="preserve">521000-02-SVA</t>
        </is>
      </c>
      <c r="C716" s="143" t="inlineStr">
        <is>
          <t xml:space="preserve">521000-02-SVA (01) / FWD RH PASSENGER/CREW DOOR DAMPER AND EMERGENCY OPERATION CYLINDER DIAPHRAGM REPLACEMENT</t>
        </is>
      </c>
      <c r="D716" s="143">
        <v>1.0</v>
      </c>
      <c r="E716" s="143">
        <v>5.0</v>
      </c>
      <c r="F716" s="143">
        <v>58.5</v>
      </c>
      <c r="G716" s="143">
        <v>220.8</v>
      </c>
      <c r="H716" s="143" t="inlineStr">
        <is>
          <t xml:space="preserve">Closed</t>
        </is>
      </c>
      <c r="I716" s="143" t="inlineStr">
        <is>
          <t xml:space="preserve">52-10</t>
        </is>
      </c>
      <c r="J716" s="143" t="inlineStr">
        <is>
          <t xml:space="preserve">JOB-SETUP, TC/P, INSPECTION, JOB-CLOSEUP</t>
        </is>
      </c>
    </row>
    <row r="717" spans="1:10">
      <c r="A717" s="143" t="inlineStr">
        <is>
          <t xml:space="preserve">449</t>
        </is>
      </c>
      <c r="B717" s="143" t="inlineStr">
        <is>
          <t xml:space="preserve">521000-03-SVA</t>
        </is>
      </c>
      <c r="C717" s="143" t="inlineStr">
        <is>
          <t xml:space="preserve">521000-03-SVA (01) / AFT LH PASSENGER/CREW DOOR DAMPER AND EMERGENCY OPERATION CYLINDER DIAPHRAGM REPLACEMENT</t>
        </is>
      </c>
      <c r="D717" s="143">
        <v>1.0</v>
      </c>
      <c r="E717" s="143">
        <v>5.0</v>
      </c>
      <c r="F717" s="143">
        <v>68.3</v>
      </c>
      <c r="G717" s="143">
        <v>87.3</v>
      </c>
      <c r="H717" s="143" t="inlineStr">
        <is>
          <t xml:space="preserve">Closed</t>
        </is>
      </c>
      <c r="I717" s="143" t="inlineStr">
        <is>
          <t xml:space="preserve">52-10</t>
        </is>
      </c>
      <c r="J717" s="143" t="inlineStr">
        <is>
          <t xml:space="preserve">JOB-SETUP, TC/P, INSPECTION, JOB-CLOSEUP</t>
        </is>
      </c>
    </row>
    <row r="718" spans="1:10">
      <c r="A718" s="143" t="inlineStr">
        <is>
          <t xml:space="preserve">450</t>
        </is>
      </c>
      <c r="B718" s="143" t="inlineStr">
        <is>
          <t xml:space="preserve">521000-04-1-001</t>
        </is>
      </c>
      <c r="C718" s="143" t="inlineStr">
        <is>
          <t xml:space="preserve">521000-04-1-001 (03) / L/H FWD PAX/CREW DOOR INTEGRITY CHK</t>
        </is>
      </c>
      <c r="D718" s="143">
        <v>1.0</v>
      </c>
      <c r="E718" s="143">
        <v>1.53</v>
      </c>
      <c r="F718" s="143">
        <v>75.5</v>
      </c>
      <c r="G718" s="143">
        <v>649.1</v>
      </c>
      <c r="H718" s="143" t="inlineStr">
        <is>
          <t xml:space="preserve">Closed</t>
        </is>
      </c>
      <c r="I718" s="143" t="inlineStr">
        <is>
          <t xml:space="preserve">52-10</t>
        </is>
      </c>
      <c r="J718" s="143" t="inlineStr">
        <is>
          <t xml:space="preserve">JOB-SETUP, INSPECTION, INSPECTION, JOB-CLOSEUP, JOB-CLOSEUP, JOB-CLOSEUP, JOB-CLOSEUP, INSPECTION, JOB-CLOSEUP</t>
        </is>
      </c>
    </row>
    <row r="719" spans="1:10">
      <c r="A719" s="143" t="inlineStr">
        <is>
          <t xml:space="preserve">452</t>
        </is>
      </c>
      <c r="B719" s="143" t="inlineStr">
        <is>
          <t xml:space="preserve">521000-04-1-003</t>
        </is>
      </c>
      <c r="C719" s="143" t="inlineStr">
        <is>
          <t xml:space="preserve">521000-04-1-003 (03) / L/H AFT PAX/CREW DOOR INTEGRITY CHK</t>
        </is>
      </c>
      <c r="D719" s="143">
        <v>1.0</v>
      </c>
      <c r="E719" s="143">
        <v>1.53</v>
      </c>
      <c r="F719" s="143">
        <v>37.5</v>
      </c>
      <c r="G719" s="143">
        <v>527.8</v>
      </c>
      <c r="H719" s="143" t="inlineStr">
        <is>
          <t xml:space="preserve">Closed</t>
        </is>
      </c>
      <c r="I719" s="143" t="inlineStr">
        <is>
          <t xml:space="preserve">52-10</t>
        </is>
      </c>
      <c r="J719" s="143" t="inlineStr">
        <is>
          <t xml:space="preserve">INSPECTION, INSPECTION, INSPECTION, JOB-CLOSEUP, JOB-CLOSEUP, JOB-CLOSEUP, JOB-CLOSEUP, INSPECTION, JOB-CLOSEUP</t>
        </is>
      </c>
    </row>
    <row r="720" spans="1:10">
      <c r="A720" s="143" t="inlineStr">
        <is>
          <t xml:space="preserve">453</t>
        </is>
      </c>
      <c r="B720" s="143" t="inlineStr">
        <is>
          <t xml:space="preserve">521000-04-1-004</t>
        </is>
      </c>
      <c r="C720" s="143" t="inlineStr">
        <is>
          <t xml:space="preserve">521000-04-1-004 (03) / R/H AFT PAX/CREW DOOR INTEGRITY CHK</t>
        </is>
      </c>
      <c r="D720" s="143">
        <v>1.0</v>
      </c>
      <c r="E720" s="143">
        <v>1.53</v>
      </c>
      <c r="F720" s="143">
        <v>33.5</v>
      </c>
      <c r="G720" s="143">
        <v>534.8</v>
      </c>
      <c r="H720" s="143" t="inlineStr">
        <is>
          <t xml:space="preserve">Closed</t>
        </is>
      </c>
      <c r="I720" s="143" t="inlineStr">
        <is>
          <t xml:space="preserve">52-10</t>
        </is>
      </c>
      <c r="J720" s="143" t="inlineStr">
        <is>
          <t xml:space="preserve">INSPECTION, INSPECTION, INSPECTION, JOB-CLOSEUP, JOB-CLOSEUP, JOB-CLOSEUP, JOB-CLOSEUP, INSPECTION, JOB-CLOSEUP</t>
        </is>
      </c>
    </row>
    <row r="721" spans="1:10">
      <c r="A721" s="143" t="inlineStr">
        <is>
          <t xml:space="preserve">454</t>
        </is>
      </c>
      <c r="B721" s="143" t="inlineStr">
        <is>
          <t xml:space="preserve">521000-04-SVA</t>
        </is>
      </c>
      <c r="C721" s="143" t="inlineStr">
        <is>
          <t xml:space="preserve">521000-04-SVA (01) / AFT RH PASSENGER/CREW DOOR DAMPER AND EMERGENCY OPERATION CYLINDER DIAPHRAGM REPLACEMENT</t>
        </is>
      </c>
      <c r="D721" s="143">
        <v>1.0</v>
      </c>
      <c r="E721" s="143">
        <v>5.0</v>
      </c>
      <c r="F721" s="143">
        <v>23.75</v>
      </c>
      <c r="G721" s="143">
        <v>157.7</v>
      </c>
      <c r="H721" s="143" t="inlineStr">
        <is>
          <t xml:space="preserve">Closed</t>
        </is>
      </c>
      <c r="I721" s="143" t="inlineStr">
        <is>
          <t xml:space="preserve">52-10</t>
        </is>
      </c>
      <c r="J721" s="143" t="inlineStr">
        <is>
          <t xml:space="preserve">JOB-SETUP, TC/P, INSPECTION, JOB-CLOSEUP</t>
        </is>
      </c>
    </row>
    <row r="722" spans="1:10">
      <c r="A722" s="143" t="inlineStr">
        <is>
          <t xml:space="preserve">455</t>
        </is>
      </c>
      <c r="B722" s="143" t="inlineStr">
        <is>
          <t xml:space="preserve">521000-05-1</t>
        </is>
      </c>
      <c r="C722" s="143" t="inlineStr">
        <is>
          <t xml:space="preserve">521000-05-1 (4) / PAX/CREW DOOR LOCKING MECHANISM CHK</t>
        </is>
      </c>
      <c r="D722" s="143">
        <v>1.0</v>
      </c>
      <c r="E722" s="143">
        <v>0.87</v>
      </c>
      <c r="F722" s="143">
        <v>7.5</v>
      </c>
      <c r="G722" s="143">
        <v>2.5</v>
      </c>
      <c r="H722" s="143" t="inlineStr">
        <is>
          <t xml:space="preserve">Closed</t>
        </is>
      </c>
      <c r="I722" s="143" t="inlineStr">
        <is>
          <t xml:space="preserve">52-10</t>
        </is>
      </c>
      <c r="J722" s="143" t="inlineStr">
        <is>
          <t xml:space="preserve">OPS/LK, OPS/LK, OPS/LK, OPS/LK</t>
        </is>
      </c>
    </row>
    <row r="723" spans="1:10">
      <c r="A723" s="143" t="inlineStr">
        <is>
          <t xml:space="preserve">456</t>
        </is>
      </c>
      <c r="B723" s="143" t="inlineStr">
        <is>
          <t xml:space="preserve">521000-06-1</t>
        </is>
      </c>
      <c r="C723" s="143" t="inlineStr">
        <is>
          <t xml:space="preserve">521000-06-1 (4) / PASS/CRW DOOR EMER ESC SLIDE FUNCHK</t>
        </is>
      </c>
      <c r="D723" s="143">
        <v>1.0</v>
      </c>
      <c r="E723" s="143">
        <v>1.75</v>
      </c>
      <c r="F723" s="143">
        <v>8.5</v>
      </c>
      <c r="G723" s="143">
        <v>3.43</v>
      </c>
      <c r="H723" s="143" t="inlineStr">
        <is>
          <t xml:space="preserve">Closed</t>
        </is>
      </c>
      <c r="I723" s="143" t="inlineStr">
        <is>
          <t xml:space="preserve">52-10</t>
        </is>
      </c>
      <c r="J723" s="143" t="inlineStr">
        <is>
          <t xml:space="preserve">OPS/LK, OPS/LK, OPS/LK, OPS/LK</t>
        </is>
      </c>
    </row>
    <row r="724" spans="1:10">
      <c r="A724" s="143" t="inlineStr">
        <is>
          <t xml:space="preserve">458</t>
        </is>
      </c>
      <c r="B724" s="143" t="inlineStr">
        <is>
          <t xml:space="preserve">521000-07-1-002</t>
        </is>
      </c>
      <c r="C724" s="143" t="inlineStr">
        <is>
          <t xml:space="preserve">521000-07-1-002 (5) / AFT PASS/CREW DOORS ADJUSTMENT CHK</t>
        </is>
      </c>
      <c r="D724" s="143">
        <v>1.0</v>
      </c>
      <c r="E724" s="143">
        <v>0.87</v>
      </c>
      <c r="F724" s="143">
        <v>23.17</v>
      </c>
      <c r="G724" s="143">
        <v>601.0</v>
      </c>
      <c r="H724" s="143" t="inlineStr">
        <is>
          <t xml:space="preserve">Closed</t>
        </is>
      </c>
      <c r="I724" s="143" t="inlineStr">
        <is>
          <t xml:space="preserve">52-10</t>
        </is>
      </c>
      <c r="J724" s="143" t="inlineStr">
        <is>
          <t xml:space="preserve">OPS/LK, JOB-CLOSEUP, JOB-CLOSEUP, JOB-CLOSEUP, OPS/LK, OPS/LK</t>
        </is>
      </c>
    </row>
    <row r="725" spans="1:10">
      <c r="A725" s="143" t="inlineStr">
        <is>
          <t xml:space="preserve">459</t>
        </is>
      </c>
      <c r="B725" s="143" t="inlineStr">
        <is>
          <t xml:space="preserve">521000-08-1</t>
        </is>
      </c>
      <c r="C725" s="143" t="inlineStr">
        <is>
          <t xml:space="preserve">521000-08-1 (5) / PASS/CREW DOORS INTRLK MECHANISM OPC</t>
        </is>
      </c>
      <c r="D725" s="143">
        <v>1.0</v>
      </c>
      <c r="E725" s="143">
        <v>0.87</v>
      </c>
      <c r="F725" s="143">
        <v>11.5</v>
      </c>
      <c r="G725" s="143">
        <v>3.87</v>
      </c>
      <c r="H725" s="143" t="inlineStr">
        <is>
          <t xml:space="preserve">Closed</t>
        </is>
      </c>
      <c r="I725" s="143" t="inlineStr">
        <is>
          <t xml:space="preserve">52-10</t>
        </is>
      </c>
      <c r="J725" s="143" t="inlineStr">
        <is>
          <t xml:space="preserve">OPS/LK, OPS/LK, OPS/LK, OPS/LK</t>
        </is>
      </c>
    </row>
    <row r="726" spans="1:10">
      <c r="A726" s="143" t="inlineStr">
        <is>
          <t xml:space="preserve">460</t>
        </is>
      </c>
      <c r="B726" s="143" t="inlineStr">
        <is>
          <t xml:space="preserve">521000-09-1</t>
        </is>
      </c>
      <c r="C726" s="143" t="inlineStr">
        <is>
          <t xml:space="preserve">521000-09-1 (6) / PASS/CREW DOOR MECH LOCK IND FUN CHK</t>
        </is>
      </c>
      <c r="D726" s="143">
        <v>1.0</v>
      </c>
      <c r="E726" s="143">
        <v>0.87</v>
      </c>
      <c r="F726" s="143">
        <v>7.5</v>
      </c>
      <c r="G726" s="143">
        <v>4.58</v>
      </c>
      <c r="H726" s="143" t="inlineStr">
        <is>
          <t xml:space="preserve">Closed</t>
        </is>
      </c>
      <c r="I726" s="143" t="inlineStr">
        <is>
          <t xml:space="preserve">52-10</t>
        </is>
      </c>
      <c r="J726" s="143" t="inlineStr">
        <is>
          <t xml:space="preserve">OPS/LK, OPS/LK, OPS/LK, OPS/LK</t>
        </is>
      </c>
    </row>
    <row r="727" spans="1:10">
      <c r="A727" s="143" t="inlineStr">
        <is>
          <t xml:space="preserve">461</t>
        </is>
      </c>
      <c r="B727" s="143" t="inlineStr">
        <is>
          <t xml:space="preserve">521000-10-1</t>
        </is>
      </c>
      <c r="C727" s="143" t="inlineStr">
        <is>
          <t xml:space="preserve">521000-10-1 (6) / PASS/CREW DOOR DAMPING FUNC CHECK</t>
        </is>
      </c>
      <c r="D727" s="143">
        <v>1.0</v>
      </c>
      <c r="E727" s="143">
        <v>0.43</v>
      </c>
      <c r="F727" s="143">
        <v>8.0</v>
      </c>
      <c r="G727" s="143">
        <v>5.37</v>
      </c>
      <c r="H727" s="143" t="inlineStr">
        <is>
          <t xml:space="preserve">Closed</t>
        </is>
      </c>
      <c r="I727" s="143" t="inlineStr">
        <is>
          <t xml:space="preserve">52-10</t>
        </is>
      </c>
      <c r="J727" s="143" t="inlineStr">
        <is>
          <t xml:space="preserve">OPS/LK, OPS/LK, OPS/LK, OPS/LK</t>
        </is>
      </c>
    </row>
    <row r="728" spans="1:10">
      <c r="A728" s="143" t="inlineStr">
        <is>
          <t xml:space="preserve">463</t>
        </is>
      </c>
      <c r="B728" s="143" t="inlineStr">
        <is>
          <t xml:space="preserve">521000-12-1</t>
        </is>
      </c>
      <c r="C728" s="143" t="inlineStr">
        <is>
          <t xml:space="preserve">521000-12-1 (6) / PASS/CREW DOOR ESCAB SLIDE DIS OPC</t>
        </is>
      </c>
      <c r="D728" s="143">
        <v>1.0</v>
      </c>
      <c r="E728" s="143">
        <v>0.43</v>
      </c>
      <c r="F728" s="143">
        <v>16.0</v>
      </c>
      <c r="G728" s="143">
        <v>47.0</v>
      </c>
      <c r="H728" s="143" t="inlineStr">
        <is>
          <t xml:space="preserve">Closed</t>
        </is>
      </c>
      <c r="I728" s="143" t="inlineStr">
        <is>
          <t xml:space="preserve">52-10</t>
        </is>
      </c>
      <c r="J728" s="143" t="inlineStr">
        <is>
          <t xml:space="preserve">OPS/LK, OPS/LK, OPS/LK, OPS/LK</t>
        </is>
      </c>
    </row>
    <row r="729" spans="1:10">
      <c r="A729" s="143" t="inlineStr">
        <is>
          <t xml:space="preserve">464</t>
        </is>
      </c>
      <c r="B729" s="143" t="inlineStr">
        <is>
          <t xml:space="preserve">521000-18-1</t>
        </is>
      </c>
      <c r="C729" s="143" t="inlineStr">
        <is>
          <t xml:space="preserve">521000-18-1 (3) / FUNCTIONAL CHECK OF ESCAPE SLIDE DISARMING WHEN DOOR IS OPENED FROM OUTSIDE.</t>
        </is>
      </c>
      <c r="D729" s="143">
        <v>1.0</v>
      </c>
      <c r="E729" s="143">
        <v>3.68</v>
      </c>
      <c r="F729" s="143">
        <v>12.5</v>
      </c>
      <c r="G729" s="143">
        <v>47.5</v>
      </c>
      <c r="H729" s="143" t="inlineStr">
        <is>
          <t xml:space="preserve">Closed</t>
        </is>
      </c>
      <c r="I729" s="143" t="inlineStr">
        <is>
          <t xml:space="preserve">52-10</t>
        </is>
      </c>
      <c r="J729" s="143" t="inlineStr">
        <is>
          <t xml:space="preserve">JOB-SETUP, OPS/LK, JOB-CLOSEUP</t>
        </is>
      </c>
    </row>
    <row r="730" spans="1:10">
      <c r="A730" s="143" t="inlineStr">
        <is>
          <t xml:space="preserve">465</t>
        </is>
      </c>
      <c r="B730" s="143" t="inlineStr">
        <is>
          <t xml:space="preserve">521121-02-1</t>
        </is>
      </c>
      <c r="C730" s="143" t="inlineStr">
        <is>
          <t xml:space="preserve">521121-02-1 (4) / PASSENGER/CREW DOORS LUBRICATION</t>
        </is>
      </c>
      <c r="D730" s="143">
        <v>1.0</v>
      </c>
      <c r="E730" s="143">
        <v>0.87</v>
      </c>
      <c r="F730" s="143">
        <v>16.0</v>
      </c>
      <c r="G730" s="143">
        <v>4.0</v>
      </c>
      <c r="H730" s="143" t="inlineStr">
        <is>
          <t xml:space="preserve">Closed</t>
        </is>
      </c>
      <c r="I730" s="143" t="inlineStr">
        <is>
          <t xml:space="preserve">12-22</t>
        </is>
      </c>
      <c r="J730" s="143" t="inlineStr">
        <is>
          <t xml:space="preserve">TC/P, TC/P, TC/P, TC/P</t>
        </is>
      </c>
    </row>
    <row r="731" spans="1:10">
      <c r="A731" s="143" t="inlineStr">
        <is>
          <t xml:space="preserve">469</t>
        </is>
      </c>
      <c r="B731" s="143" t="inlineStr">
        <is>
          <t xml:space="preserve">522100-08-1</t>
        </is>
      </c>
      <c r="C731" s="143" t="inlineStr">
        <is>
          <t xml:space="preserve">522100-08-1 (02) / PASSENGER COMPT EMERGENCY EXIT OPC</t>
        </is>
      </c>
      <c r="D731" s="143">
        <v>1.0</v>
      </c>
      <c r="E731" s="143">
        <v>3.52</v>
      </c>
      <c r="F731" s="143">
        <v>7.4</v>
      </c>
      <c r="G731" s="143">
        <v>3.25</v>
      </c>
      <c r="H731" s="143" t="inlineStr">
        <is>
          <t xml:space="preserve">Closed</t>
        </is>
      </c>
      <c r="I731" s="143" t="inlineStr">
        <is>
          <t xml:space="preserve">52-21</t>
        </is>
      </c>
      <c r="J731" s="143" t="inlineStr">
        <is>
          <t xml:space="preserve">JOB-SETUP, OPS/LK, OPS/LK, JOB-CLOSEUP</t>
        </is>
      </c>
    </row>
    <row r="732" spans="1:10">
      <c r="A732" s="143" t="inlineStr">
        <is>
          <t xml:space="preserve">472</t>
        </is>
      </c>
      <c r="B732" s="143" t="inlineStr">
        <is>
          <t xml:space="preserve">524100-02-1</t>
        </is>
      </c>
      <c r="C732" s="143" t="inlineStr">
        <is>
          <t xml:space="preserve">524100-02-1 (2) / AVNICS COMPT DOORS HNDLE LUBRICATION</t>
        </is>
      </c>
      <c r="D732" s="143">
        <v>1.0</v>
      </c>
      <c r="E732" s="143">
        <v>0.43</v>
      </c>
      <c r="F732" s="143">
        <v>2.0</v>
      </c>
      <c r="G732" s="143">
        <v>1.0</v>
      </c>
      <c r="H732" s="143" t="inlineStr">
        <is>
          <t xml:space="preserve">Closed</t>
        </is>
      </c>
      <c r="I732" s="143" t="inlineStr">
        <is>
          <t xml:space="preserve">12-22</t>
        </is>
      </c>
      <c r="J732" s="143" t="inlineStr">
        <is>
          <t xml:space="preserve">TC/P</t>
        </is>
      </c>
    </row>
    <row r="733" spans="1:10">
      <c r="A733" s="143" t="inlineStr">
        <is>
          <t xml:space="preserve">473</t>
        </is>
      </c>
      <c r="B733" s="143" t="inlineStr">
        <is>
          <t xml:space="preserve">525111-01-1</t>
        </is>
      </c>
      <c r="C733" s="143" t="inlineStr">
        <is>
          <t xml:space="preserve">525111-01-1 (3) / COCKPIT DOOR LOCKING SYS MECH PARTS INSP</t>
        </is>
      </c>
      <c r="D733" s="143">
        <v>1.0</v>
      </c>
      <c r="E733" s="143">
        <v>0.55</v>
      </c>
      <c r="F733" s="143">
        <v>7.75</v>
      </c>
      <c r="G733" s="143">
        <v>3.87</v>
      </c>
      <c r="H733" s="143" t="inlineStr">
        <is>
          <t xml:space="preserve">Closed</t>
        </is>
      </c>
      <c r="I733" s="143" t="inlineStr">
        <is>
          <t xml:space="preserve">52-51</t>
        </is>
      </c>
      <c r="J733" s="143" t="inlineStr">
        <is>
          <t xml:space="preserve">JOB-SETUP, INSPECTION, JOB-CLOSEUP</t>
        </is>
      </c>
    </row>
    <row r="734" spans="1:10">
      <c r="A734" s="143" t="inlineStr">
        <is>
          <t xml:space="preserve">474</t>
        </is>
      </c>
      <c r="B734" s="143" t="inlineStr">
        <is>
          <t xml:space="preserve">525111-02-1</t>
        </is>
      </c>
      <c r="C734" s="143" t="inlineStr">
        <is>
          <t xml:space="preserve">525111-02-1 (3) / COCKPIT DOOR PRESS SENSING CHANNELS</t>
        </is>
      </c>
      <c r="D734" s="143">
        <v>1.0</v>
      </c>
      <c r="E734" s="143">
        <v>0.32</v>
      </c>
      <c r="F734" s="143">
        <v>4.75</v>
      </c>
      <c r="G734" s="143">
        <v>3.0</v>
      </c>
      <c r="H734" s="143" t="inlineStr">
        <is>
          <t xml:space="preserve">Closed</t>
        </is>
      </c>
      <c r="I734" s="143" t="inlineStr">
        <is>
          <t xml:space="preserve">52-51</t>
        </is>
      </c>
      <c r="J734" s="143" t="inlineStr">
        <is>
          <t xml:space="preserve">OPS/LK</t>
        </is>
      </c>
    </row>
    <row r="735" spans="1:10">
      <c r="A735" s="143" t="inlineStr">
        <is>
          <t xml:space="preserve">475</t>
        </is>
      </c>
      <c r="B735" s="143" t="inlineStr">
        <is>
          <t xml:space="preserve">525111-03-1</t>
        </is>
      </c>
      <c r="C735" s="143" t="inlineStr">
        <is>
          <t xml:space="preserve">525111-03-1 (4) / COCKPIT DOOR MANUAL SWITCH OVER OPS</t>
        </is>
      </c>
      <c r="D735" s="143">
        <v>1.0</v>
      </c>
      <c r="E735" s="143">
        <v>0.43</v>
      </c>
      <c r="F735" s="143">
        <v>4.0</v>
      </c>
      <c r="G735" s="143">
        <v>2.0</v>
      </c>
      <c r="H735" s="143" t="inlineStr">
        <is>
          <t xml:space="preserve">Closed</t>
        </is>
      </c>
      <c r="I735" s="143" t="inlineStr">
        <is>
          <t xml:space="preserve">52-51</t>
        </is>
      </c>
      <c r="J735" s="143" t="inlineStr">
        <is>
          <t xml:space="preserve">OPS/LK</t>
        </is>
      </c>
    </row>
    <row r="736" spans="1:10">
      <c r="A736" s="143" t="inlineStr">
        <is>
          <t xml:space="preserve">476</t>
        </is>
      </c>
      <c r="B736" s="143" t="inlineStr">
        <is>
          <t xml:space="preserve">525111-04-1</t>
        </is>
      </c>
      <c r="C736" s="143" t="inlineStr">
        <is>
          <t xml:space="preserve">525111-04-1 (3) / COCKPIT DOOR OPENING WITH POWER OFF</t>
        </is>
      </c>
      <c r="D736" s="143">
        <v>1.0</v>
      </c>
      <c r="E736" s="143">
        <v>0.12</v>
      </c>
      <c r="F736" s="143">
        <v>4.5</v>
      </c>
      <c r="G736" s="143">
        <v>3.1</v>
      </c>
      <c r="H736" s="143" t="inlineStr">
        <is>
          <t xml:space="preserve">Closed</t>
        </is>
      </c>
      <c r="I736" s="143" t="inlineStr">
        <is>
          <t xml:space="preserve">52-51</t>
        </is>
      </c>
      <c r="J736" s="143" t="inlineStr">
        <is>
          <t xml:space="preserve">OPS/LK</t>
        </is>
      </c>
    </row>
    <row r="737" spans="1:10">
      <c r="A737" s="143" t="inlineStr">
        <is>
          <t xml:space="preserve">477</t>
        </is>
      </c>
      <c r="B737" s="143" t="inlineStr">
        <is>
          <t xml:space="preserve">525111-05-1</t>
        </is>
      </c>
      <c r="C737" s="143" t="inlineStr">
        <is>
          <t xml:space="preserve">525111-05-1 (3) / COCKPIT DOOR OPENING BY EMERG CODE</t>
        </is>
      </c>
      <c r="D737" s="143">
        <v>1.0</v>
      </c>
      <c r="E737" s="143">
        <v>0.1</v>
      </c>
      <c r="F737" s="143">
        <v>4.0</v>
      </c>
      <c r="G737" s="143">
        <v>2.0</v>
      </c>
      <c r="H737" s="143" t="inlineStr">
        <is>
          <t xml:space="preserve">Closed</t>
        </is>
      </c>
      <c r="I737" s="143" t="inlineStr">
        <is>
          <t xml:space="preserve">52-51</t>
        </is>
      </c>
      <c r="J737" s="143" t="inlineStr">
        <is>
          <t xml:space="preserve">OPS/LK</t>
        </is>
      </c>
    </row>
    <row r="738" spans="1:10">
      <c r="A738" s="143" t="inlineStr">
        <is>
          <t xml:space="preserve">478</t>
        </is>
      </c>
      <c r="B738" s="143" t="inlineStr">
        <is>
          <t xml:space="preserve">527100-01-1</t>
        </is>
      </c>
      <c r="C738" s="143" t="inlineStr">
        <is>
          <t xml:space="preserve">527100-01-1 (6) / DOOR WARNING SYSTEM OPERATIONAL TEST</t>
        </is>
      </c>
      <c r="D738" s="143">
        <v>1.0</v>
      </c>
      <c r="E738" s="143">
        <v>0.1</v>
      </c>
      <c r="F738" s="143">
        <v>6.0</v>
      </c>
      <c r="G738" s="143">
        <v>3.02</v>
      </c>
      <c r="H738" s="143" t="inlineStr">
        <is>
          <t xml:space="preserve">Closed</t>
        </is>
      </c>
      <c r="I738" s="143" t="inlineStr">
        <is>
          <t xml:space="preserve">52-71</t>
        </is>
      </c>
      <c r="J738" s="143" t="inlineStr">
        <is>
          <t xml:space="preserve">OPS/LK</t>
        </is>
      </c>
    </row>
    <row r="739" spans="1:10">
      <c r="A739" s="143" t="inlineStr">
        <is>
          <t xml:space="preserve">479</t>
        </is>
      </c>
      <c r="B739" s="143" t="inlineStr">
        <is>
          <t xml:space="preserve">527300-01-1</t>
        </is>
      </c>
      <c r="C739" s="143" t="inlineStr">
        <is>
          <t xml:space="preserve">527300-01-1 (04) / EMERGENCY ESCAPE SLIDE WARNING SYS</t>
        </is>
      </c>
      <c r="D739" s="143">
        <v>1.0</v>
      </c>
      <c r="E739" s="143">
        <v>0.22</v>
      </c>
      <c r="F739" s="143">
        <v>6.0</v>
      </c>
      <c r="G739" s="143">
        <v>1.0</v>
      </c>
      <c r="H739" s="143" t="inlineStr">
        <is>
          <t xml:space="preserve">Closed</t>
        </is>
      </c>
      <c r="I739" s="143" t="inlineStr">
        <is>
          <t xml:space="preserve">52-73</t>
        </is>
      </c>
      <c r="J739" s="143" t="inlineStr">
        <is>
          <t xml:space="preserve">OPS/LK, OPS/LK, OPS/LK, OPS/LK</t>
        </is>
      </c>
    </row>
    <row r="740" spans="1:10">
      <c r="A740" s="143" t="inlineStr">
        <is>
          <t xml:space="preserve">480</t>
        </is>
      </c>
      <c r="B740" s="143" t="inlineStr">
        <is>
          <t xml:space="preserve">527300-02-1</t>
        </is>
      </c>
      <c r="C740" s="143" t="inlineStr">
        <is>
          <t xml:space="preserve">527300-02-1 (3) / EMERGENCY ESCAPE SLIDE RELEASE AND OVERPRESSURE WARNING SYSTEMS</t>
        </is>
      </c>
      <c r="D740" s="143">
        <v>1.0</v>
      </c>
      <c r="E740" s="143">
        <v>0.22</v>
      </c>
      <c r="F740" s="143">
        <v>10.0</v>
      </c>
      <c r="G740" s="143">
        <v>4.23</v>
      </c>
      <c r="H740" s="143" t="inlineStr">
        <is>
          <t xml:space="preserve">Closed</t>
        </is>
      </c>
      <c r="I740" s="143" t="inlineStr">
        <is>
          <t xml:space="preserve">52-73</t>
        </is>
      </c>
      <c r="J740" s="143" t="inlineStr">
        <is>
          <t xml:space="preserve">OPS/LK</t>
        </is>
      </c>
    </row>
    <row r="741" spans="1:10">
      <c r="A741" s="143" t="inlineStr">
        <is>
          <t xml:space="preserve">481</t>
        </is>
      </c>
      <c r="B741" s="143" t="inlineStr">
        <is>
          <t xml:space="preserve">531151-02-1</t>
        </is>
      </c>
      <c r="C741" s="143" t="inlineStr">
        <is>
          <t xml:space="preserve">531151-02-1 (1) / DETAILED INSPECTION OF DOOR STOP FITTINGS PROTRUDING PART NOT COVERED BY THE LINING ON FRAME 16 AND FRAME 20, LH/RH.</t>
        </is>
      </c>
      <c r="D741" s="143">
        <v>1.0</v>
      </c>
      <c r="E741" s="143">
        <v>0.92</v>
      </c>
      <c r="F741" s="143">
        <v>2.0</v>
      </c>
      <c r="G741" s="143">
        <v>72.2</v>
      </c>
      <c r="H741" s="143" t="inlineStr">
        <is>
          <t xml:space="preserve">Closed</t>
        </is>
      </c>
      <c r="I741" s="143" t="inlineStr">
        <is>
          <t xml:space="preserve">53-11</t>
        </is>
      </c>
      <c r="J741" s="143"/>
    </row>
    <row r="742" spans="1:10">
      <c r="A742" s="143" t="inlineStr">
        <is>
          <t xml:space="preserve">482</t>
        </is>
      </c>
      <c r="B742" s="143" t="inlineStr">
        <is>
          <t xml:space="preserve">531176-02-1</t>
        </is>
      </c>
      <c r="C742" s="143" t="inlineStr">
        <is>
          <t xml:space="preserve">531176-02-1 (1) / GVI OF COCKPIT SIDE WINDOWS, EXTERNAL VISIBLE PORTION OF FRAMEWORK, BETWEEN FR 4 AND FR 12, LH/RH.</t>
        </is>
      </c>
      <c r="D742" s="143">
        <v>1.0</v>
      </c>
      <c r="E742" s="143">
        <v>0.42</v>
      </c>
      <c r="F742" s="143">
        <v>2.25</v>
      </c>
      <c r="G742" s="143">
        <v>7.25</v>
      </c>
      <c r="H742" s="143" t="inlineStr">
        <is>
          <t xml:space="preserve">Closed</t>
        </is>
      </c>
      <c r="I742" s="143" t="inlineStr">
        <is>
          <t xml:space="preserve">53-11</t>
        </is>
      </c>
      <c r="J742" s="143" t="inlineStr">
        <is>
          <t xml:space="preserve">JOB-SETUP, INSPECTION, JOB-CLOSEUP</t>
        </is>
      </c>
    </row>
    <row r="743" spans="1:10">
      <c r="A743" s="143" t="inlineStr">
        <is>
          <t xml:space="preserve">483</t>
        </is>
      </c>
      <c r="B743" s="143" t="inlineStr">
        <is>
          <t xml:space="preserve">531178-02-1</t>
        </is>
      </c>
      <c r="C743" s="143" t="inlineStr">
        <is>
          <t xml:space="preserve">531178-02-1 (3) / GENERAL VISUAL INSPECTION OF COCKPIT WINDSHIELD, EXTERNAL VISIBLE PORTION OF RETAINERS.</t>
        </is>
      </c>
      <c r="D743" s="143">
        <v>1.0</v>
      </c>
      <c r="E743" s="143">
        <v>2.33</v>
      </c>
      <c r="F743" s="143">
        <v>12.03</v>
      </c>
      <c r="G743" s="143">
        <v>26.2</v>
      </c>
      <c r="H743" s="143" t="inlineStr">
        <is>
          <t xml:space="preserve">Closed</t>
        </is>
      </c>
      <c r="I743" s="143" t="inlineStr">
        <is>
          <t xml:space="preserve">53-11</t>
        </is>
      </c>
      <c r="J743" s="143" t="inlineStr">
        <is>
          <t xml:space="preserve">JOB-SETUP, INSPECTION, JOB-CLOSEUP</t>
        </is>
      </c>
    </row>
    <row r="744" spans="1:10">
      <c r="A744" s="143" t="inlineStr">
        <is>
          <t xml:space="preserve">484</t>
        </is>
      </c>
      <c r="B744" s="143" t="inlineStr">
        <is>
          <t xml:space="preserve">531182-02-1</t>
        </is>
      </c>
      <c r="C744" s="143" t="inlineStr">
        <is>
          <t xml:space="preserve">531182-02-1 (1) / DET INSP OF SLIDING WINDOW FRAME, UPPER AND LOWER FRAMES AND FR4 &amp; FR8 FRAMES, INTERNAL STR FROM FR4 TO FR8 LH/RH</t>
        </is>
      </c>
      <c r="D744" s="143">
        <v>1.0</v>
      </c>
      <c r="E744" s="143">
        <v>2.33</v>
      </c>
      <c r="F744" s="143">
        <v>3.0</v>
      </c>
      <c r="G744" s="143">
        <v>2.0</v>
      </c>
      <c r="H744" s="143" t="inlineStr">
        <is>
          <t xml:space="preserve">Closed</t>
        </is>
      </c>
      <c r="I744" s="143" t="inlineStr">
        <is>
          <t xml:space="preserve">53-11</t>
        </is>
      </c>
      <c r="J744" s="143" t="inlineStr">
        <is>
          <t xml:space="preserve">JOB-SETUP, INSPECTION, JOB-CLOSEUP</t>
        </is>
      </c>
    </row>
    <row r="745" spans="1:10">
      <c r="A745" s="143" t="inlineStr">
        <is>
          <t xml:space="preserve">485</t>
        </is>
      </c>
      <c r="B745" s="143" t="inlineStr">
        <is>
          <t xml:space="preserve">531900-03-1</t>
        </is>
      </c>
      <c r="C745" s="143" t="inlineStr">
        <is>
          <t xml:space="preserve">531900-03-1 (2) / FUSLGE SHEL PSTN TYP DRAIN VLV OPC</t>
        </is>
      </c>
      <c r="D745" s="143">
        <v>1.0</v>
      </c>
      <c r="E745" s="143">
        <v>1.32</v>
      </c>
      <c r="F745" s="143">
        <v>3.5</v>
      </c>
      <c r="G745" s="143">
        <v>3.15</v>
      </c>
      <c r="H745" s="143" t="inlineStr">
        <is>
          <t xml:space="preserve">Closed</t>
        </is>
      </c>
      <c r="I745" s="143" t="inlineStr">
        <is>
          <t xml:space="preserve">53-19</t>
        </is>
      </c>
      <c r="J745" s="143" t="inlineStr">
        <is>
          <t xml:space="preserve">OPS/LK</t>
        </is>
      </c>
    </row>
    <row r="746" spans="1:10">
      <c r="A746" s="143" t="inlineStr">
        <is>
          <t xml:space="preserve">486</t>
        </is>
      </c>
      <c r="B746" s="143" t="inlineStr">
        <is>
          <t xml:space="preserve">531900-10-1</t>
        </is>
      </c>
      <c r="C746" s="143" t="inlineStr">
        <is>
          <t xml:space="preserve">531900-10-1 (1) / FUSELAGE DRAINAGE</t>
        </is>
      </c>
      <c r="D746" s="143">
        <v>1.0</v>
      </c>
      <c r="E746" s="143">
        <v>1.5</v>
      </c>
      <c r="F746" s="143">
        <v>3.0</v>
      </c>
      <c r="G746" s="143">
        <v>2.6</v>
      </c>
      <c r="H746" s="143" t="inlineStr">
        <is>
          <t xml:space="preserve">Closed</t>
        </is>
      </c>
      <c r="I746" s="143">
        <v>53.0</v>
      </c>
      <c r="J746" s="143" t="inlineStr">
        <is>
          <t xml:space="preserve">JOB-SETUP, INSPECTION, JOB-CLOSEUP</t>
        </is>
      </c>
    </row>
    <row r="747" spans="1:10">
      <c r="A747" s="143" t="inlineStr">
        <is>
          <t xml:space="preserve">487</t>
        </is>
      </c>
      <c r="B747" s="143" t="inlineStr">
        <is>
          <t xml:space="preserve">532137-01-1</t>
        </is>
      </c>
      <c r="C747" s="143" t="inlineStr">
        <is>
          <t xml:space="preserve">532137-01-1 (03) / FWD CARGO DOOR CUTOUT PANEL INSP</t>
        </is>
      </c>
      <c r="D747" s="143">
        <v>1.0</v>
      </c>
      <c r="E747" s="143">
        <v>1.1</v>
      </c>
      <c r="F747" s="143">
        <v>6.0</v>
      </c>
      <c r="G747" s="143">
        <v>5.88</v>
      </c>
      <c r="H747" s="143" t="inlineStr">
        <is>
          <t xml:space="preserve">Closed</t>
        </is>
      </c>
      <c r="I747" s="143" t="inlineStr">
        <is>
          <t xml:space="preserve">53-21</t>
        </is>
      </c>
      <c r="J747" s="143" t="inlineStr">
        <is>
          <t xml:space="preserve">PRE INSP, PRE INSP</t>
        </is>
      </c>
    </row>
    <row r="748" spans="1:10">
      <c r="A748" s="143" t="inlineStr">
        <is>
          <t xml:space="preserve">488</t>
        </is>
      </c>
      <c r="B748" s="143" t="inlineStr">
        <is>
          <t xml:space="preserve">532176-01-1</t>
        </is>
      </c>
      <c r="C748" s="143" t="inlineStr">
        <is>
          <t xml:space="preserve">532176-01-1 (0) / FORWARD FUSELAGE</t>
        </is>
      </c>
      <c r="D748" s="143">
        <v>1.0</v>
      </c>
      <c r="E748" s="143">
        <v>4.03</v>
      </c>
      <c r="F748" s="143">
        <v>2.52</v>
      </c>
      <c r="G748" s="143">
        <v>34.0</v>
      </c>
      <c r="H748" s="143" t="inlineStr">
        <is>
          <t xml:space="preserve">Closed</t>
        </is>
      </c>
      <c r="I748" s="143">
        <v>53.0</v>
      </c>
      <c r="J748" s="143" t="inlineStr">
        <is>
          <t xml:space="preserve">JOB-SETUP, INSPECTION, JOB-CLOSEUP</t>
        </is>
      </c>
    </row>
    <row r="749" spans="1:10">
      <c r="A749" s="143" t="inlineStr">
        <is>
          <t xml:space="preserve">489</t>
        </is>
      </c>
      <c r="B749" s="143" t="inlineStr">
        <is>
          <t xml:space="preserve">532181-02-1</t>
        </is>
      </c>
      <c r="C749" s="143" t="inlineStr">
        <is>
          <t xml:space="preserve">532181-02-1 (0) / FORWARD FUSELAGE</t>
        </is>
      </c>
      <c r="D749" s="143">
        <v>1.0</v>
      </c>
      <c r="E749" s="143">
        <v>3.0</v>
      </c>
      <c r="F749" s="143">
        <v>5.0</v>
      </c>
      <c r="G749" s="143">
        <v>77.1</v>
      </c>
      <c r="H749" s="143" t="inlineStr">
        <is>
          <t xml:space="preserve">Closed</t>
        </is>
      </c>
      <c r="I749" s="143">
        <v>53.0</v>
      </c>
      <c r="J749" s="143"/>
    </row>
    <row r="750" spans="1:10">
      <c r="A750" s="143" t="inlineStr">
        <is>
          <t xml:space="preserve">490</t>
        </is>
      </c>
      <c r="B750" s="143" t="inlineStr">
        <is>
          <t xml:space="preserve">533900-01-1</t>
        </is>
      </c>
      <c r="C750" s="143" t="inlineStr">
        <is>
          <t xml:space="preserve">533900-01-1 (2) / RUBBER FLAP DRAIN VLV OPC</t>
        </is>
      </c>
      <c r="D750" s="143">
        <v>1.0</v>
      </c>
      <c r="E750" s="143">
        <v>0.22</v>
      </c>
      <c r="F750" s="143">
        <v>3.5</v>
      </c>
      <c r="G750" s="143">
        <v>3.15</v>
      </c>
      <c r="H750" s="143" t="inlineStr">
        <is>
          <t xml:space="preserve">Closed</t>
        </is>
      </c>
      <c r="I750" s="143" t="inlineStr">
        <is>
          <t xml:space="preserve">53-39</t>
        </is>
      </c>
      <c r="J750" s="143" t="inlineStr">
        <is>
          <t xml:space="preserve">OPS/LK</t>
        </is>
      </c>
    </row>
    <row r="751" spans="1:10">
      <c r="A751" s="143" t="inlineStr">
        <is>
          <t xml:space="preserve">491</t>
        </is>
      </c>
      <c r="B751" s="143" t="inlineStr">
        <is>
          <t xml:space="preserve">534134-02-1</t>
        </is>
      </c>
      <c r="C751" s="143" t="inlineStr">
        <is>
          <t xml:space="preserve">534134-02-1 (1) / DETAILED INSP. OF DOOR STOP FITTINGS PROTRUDING PART NOT COVERED BY THE LINING ON FRAME 66 AND 68, LH/RH.</t>
        </is>
      </c>
      <c r="D751" s="143">
        <v>1.0</v>
      </c>
      <c r="E751" s="143">
        <v>0.92</v>
      </c>
      <c r="F751" s="143">
        <v>2.67</v>
      </c>
      <c r="G751" s="143">
        <v>72.2</v>
      </c>
      <c r="H751" s="143" t="inlineStr">
        <is>
          <t xml:space="preserve">Closed</t>
        </is>
      </c>
      <c r="I751" s="143" t="inlineStr">
        <is>
          <t xml:space="preserve">53-41</t>
        </is>
      </c>
      <c r="J751" s="143"/>
    </row>
    <row r="752" spans="1:10">
      <c r="A752" s="143" t="inlineStr">
        <is>
          <t xml:space="preserve">492</t>
        </is>
      </c>
      <c r="B752" s="143" t="inlineStr">
        <is>
          <t xml:space="preserve">534144-01-1</t>
        </is>
      </c>
      <c r="C752" s="143" t="inlineStr">
        <is>
          <t xml:space="preserve">534144-01-1 (02) / FUSELAG INTERNAL STRUCT FR65-70 INSP</t>
        </is>
      </c>
      <c r="D752" s="143">
        <v>1.0</v>
      </c>
      <c r="E752" s="143">
        <v>2.85</v>
      </c>
      <c r="F752" s="143">
        <v>12.52</v>
      </c>
      <c r="G752" s="143">
        <v>552.6</v>
      </c>
      <c r="H752" s="143" t="inlineStr">
        <is>
          <t xml:space="preserve">Closed</t>
        </is>
      </c>
      <c r="I752" s="143" t="inlineStr">
        <is>
          <t xml:space="preserve">53-41</t>
        </is>
      </c>
      <c r="J752" s="143" t="inlineStr">
        <is>
          <t xml:space="preserve">JOB-SETUP, CLEAN-UP, INSPECTION, INSPECTION, JOB-CLOSEUP</t>
        </is>
      </c>
    </row>
    <row r="753" spans="1:10">
      <c r="A753" s="143" t="inlineStr">
        <is>
          <t xml:space="preserve">493</t>
        </is>
      </c>
      <c r="B753" s="143" t="inlineStr">
        <is>
          <t xml:space="preserve">534307-03-1</t>
        </is>
      </c>
      <c r="C753" s="143" t="inlineStr">
        <is>
          <t xml:space="preserve">534307-03-1 (0) / REAR FUSELAGE</t>
        </is>
      </c>
      <c r="D753" s="143">
        <v>1.0</v>
      </c>
      <c r="E753" s="143">
        <v>1.5</v>
      </c>
      <c r="F753" s="143">
        <v>3.52</v>
      </c>
      <c r="G753" s="143">
        <v>12.35</v>
      </c>
      <c r="H753" s="143" t="inlineStr">
        <is>
          <t xml:space="preserve">Closed</t>
        </is>
      </c>
      <c r="I753" s="143" t="inlineStr">
        <is>
          <t xml:space="preserve">53-41</t>
        </is>
      </c>
      <c r="J753" s="143" t="inlineStr">
        <is>
          <t xml:space="preserve">JOB-SETUP, INSPECTION, JOB-CLOSEUP</t>
        </is>
      </c>
    </row>
    <row r="754" spans="1:10">
      <c r="A754" s="143" t="inlineStr">
        <is>
          <t xml:space="preserve">494</t>
        </is>
      </c>
      <c r="B754" s="143" t="inlineStr">
        <is>
          <t xml:space="preserve">534308-02-1</t>
        </is>
      </c>
      <c r="C754" s="143" t="inlineStr">
        <is>
          <t xml:space="preserve">534308-02-1 (0) / REAR FUSELAGE</t>
        </is>
      </c>
      <c r="D754" s="143">
        <v>1.0</v>
      </c>
      <c r="E754" s="143">
        <v>37.5</v>
      </c>
      <c r="F754" s="143">
        <v>5.02</v>
      </c>
      <c r="G754" s="143">
        <v>12.77</v>
      </c>
      <c r="H754" s="143" t="inlineStr">
        <is>
          <t xml:space="preserve">Closed</t>
        </is>
      </c>
      <c r="I754" s="143" t="inlineStr">
        <is>
          <t xml:space="preserve">53-41</t>
        </is>
      </c>
      <c r="J754" s="143" t="inlineStr">
        <is>
          <t xml:space="preserve">JOB-SETUP, CLEAN-UP, INSPECTION, JOB-CLOSEUP</t>
        </is>
      </c>
    </row>
    <row r="755" spans="1:10">
      <c r="A755" s="143" t="inlineStr">
        <is>
          <t xml:space="preserve">495</t>
        </is>
      </c>
      <c r="B755" s="143" t="inlineStr">
        <is>
          <t xml:space="preserve">535900-01-1</t>
        </is>
      </c>
      <c r="C755" s="143" t="inlineStr">
        <is>
          <t xml:space="preserve">535900-01-1 (3) / FUSELAGE DRAINAGE</t>
        </is>
      </c>
      <c r="D755" s="143">
        <v>1.0</v>
      </c>
      <c r="E755" s="143">
        <v>0.1</v>
      </c>
      <c r="F755" s="143">
        <v>3.5</v>
      </c>
      <c r="G755" s="143">
        <v>3.13</v>
      </c>
      <c r="H755" s="143" t="inlineStr">
        <is>
          <t xml:space="preserve">Closed</t>
        </is>
      </c>
      <c r="I755" s="143" t="inlineStr">
        <is>
          <t xml:space="preserve">53-59</t>
        </is>
      </c>
      <c r="J755" s="143" t="inlineStr">
        <is>
          <t xml:space="preserve">OPS/LK</t>
        </is>
      </c>
    </row>
    <row r="756" spans="1:10">
      <c r="A756" s="143" t="inlineStr">
        <is>
          <t xml:space="preserve">496</t>
        </is>
      </c>
      <c r="B756" s="143" t="inlineStr">
        <is>
          <t xml:space="preserve">535900-02-1</t>
        </is>
      </c>
      <c r="C756" s="143" t="inlineStr">
        <is>
          <t xml:space="preserve">535900-02-1 (2) / BULK CARGO COMPARTMENT DOOR RUBBER FLAP DRAIN VALVE OPC</t>
        </is>
      </c>
      <c r="D756" s="143">
        <v>1.0</v>
      </c>
      <c r="E756" s="143">
        <v>0.22</v>
      </c>
      <c r="F756" s="143">
        <v>3.5</v>
      </c>
      <c r="G756" s="143">
        <v>3.15</v>
      </c>
      <c r="H756" s="143" t="inlineStr">
        <is>
          <t xml:space="preserve">Closed</t>
        </is>
      </c>
      <c r="I756" s="143" t="inlineStr">
        <is>
          <t xml:space="preserve">53-59</t>
        </is>
      </c>
      <c r="J756" s="143" t="inlineStr">
        <is>
          <t xml:space="preserve">OPS/LK</t>
        </is>
      </c>
    </row>
    <row r="757" spans="1:10">
      <c r="A757" s="143" t="inlineStr">
        <is>
          <t xml:space="preserve">497</t>
        </is>
      </c>
      <c r="B757" s="143" t="inlineStr">
        <is>
          <t xml:space="preserve">545000-01-1-001</t>
        </is>
      </c>
      <c r="C757" s="143" t="inlineStr">
        <is>
          <t xml:space="preserve">545000-01-1-001 (02) / NO. 1 ENGINE PYLON DRAIN SYS INSP</t>
        </is>
      </c>
      <c r="D757" s="143">
        <v>1.0</v>
      </c>
      <c r="E757" s="143">
        <v>0.43</v>
      </c>
      <c r="F757" s="143">
        <v>4.17</v>
      </c>
      <c r="G757" s="143">
        <v>41.7</v>
      </c>
      <c r="H757" s="143" t="inlineStr">
        <is>
          <t xml:space="preserve">Closed</t>
        </is>
      </c>
      <c r="I757" s="143" t="inlineStr">
        <is>
          <t xml:space="preserve">54-50</t>
        </is>
      </c>
      <c r="J757" s="143" t="inlineStr">
        <is>
          <t xml:space="preserve">JOB-SETUP, INSPECTION, JOB-CLOSEUP</t>
        </is>
      </c>
    </row>
    <row r="758" spans="1:10">
      <c r="A758" s="143" t="inlineStr">
        <is>
          <t xml:space="preserve">498</t>
        </is>
      </c>
      <c r="B758" s="143" t="inlineStr">
        <is>
          <t xml:space="preserve">545000-01-1-002</t>
        </is>
      </c>
      <c r="C758" s="143" t="inlineStr">
        <is>
          <t xml:space="preserve">545000-01-1-002 (02) / NO. 2 ENGINE PYLON DRAIN SYSTEM INSP</t>
        </is>
      </c>
      <c r="D758" s="143">
        <v>1.0</v>
      </c>
      <c r="E758" s="143">
        <v>0.43</v>
      </c>
      <c r="F758" s="143">
        <v>3.25</v>
      </c>
      <c r="G758" s="143">
        <v>40.6</v>
      </c>
      <c r="H758" s="143" t="inlineStr">
        <is>
          <t xml:space="preserve">Closed</t>
        </is>
      </c>
      <c r="I758" s="143" t="inlineStr">
        <is>
          <t xml:space="preserve">54-50</t>
        </is>
      </c>
      <c r="J758" s="143" t="inlineStr">
        <is>
          <t xml:space="preserve">JOB-SETUP, INSPECTION, JOB-CLOSEUP</t>
        </is>
      </c>
    </row>
    <row r="759" spans="1:10">
      <c r="A759" s="143" t="inlineStr">
        <is>
          <t xml:space="preserve">499</t>
        </is>
      </c>
      <c r="B759" s="143" t="inlineStr">
        <is>
          <t xml:space="preserve">545000-04-1-001</t>
        </is>
      </c>
      <c r="C759" s="143" t="inlineStr">
        <is>
          <t xml:space="preserve">545000-04-1-001 (02) / NO.1 ENG PYLN COMPT DRAIN SYS INSP</t>
        </is>
      </c>
      <c r="D759" s="143">
        <v>1.0</v>
      </c>
      <c r="E759" s="143">
        <v>2.63</v>
      </c>
      <c r="F759" s="143">
        <v>2.5</v>
      </c>
      <c r="G759" s="143">
        <v>39.8</v>
      </c>
      <c r="H759" s="143" t="inlineStr">
        <is>
          <t xml:space="preserve">Closed</t>
        </is>
      </c>
      <c r="I759" s="143" t="inlineStr">
        <is>
          <t xml:space="preserve">54-50</t>
        </is>
      </c>
      <c r="J759" s="143" t="inlineStr">
        <is>
          <t xml:space="preserve">JOB-SETUP, INSPECTION, JOB-CLOSEUP</t>
        </is>
      </c>
    </row>
    <row r="760" spans="1:10">
      <c r="A760" s="143" t="inlineStr">
        <is>
          <t xml:space="preserve">500</t>
        </is>
      </c>
      <c r="B760" s="143" t="inlineStr">
        <is>
          <t xml:space="preserve">545000-04-1-002</t>
        </is>
      </c>
      <c r="C760" s="143" t="inlineStr">
        <is>
          <t xml:space="preserve">545000-04-1-002 (02) / NO.2 ENG PYLN COMPT DRAIN SYS INSP</t>
        </is>
      </c>
      <c r="D760" s="143">
        <v>1.0</v>
      </c>
      <c r="E760" s="143">
        <v>2.63</v>
      </c>
      <c r="F760" s="143">
        <v>3.5</v>
      </c>
      <c r="G760" s="143">
        <v>40.8</v>
      </c>
      <c r="H760" s="143" t="inlineStr">
        <is>
          <t xml:space="preserve">Closed</t>
        </is>
      </c>
      <c r="I760" s="143" t="inlineStr">
        <is>
          <t xml:space="preserve">54-50</t>
        </is>
      </c>
      <c r="J760" s="143" t="inlineStr">
        <is>
          <t xml:space="preserve">JOB-SETUP, INSPECTION, JOB-CLOSEUP</t>
        </is>
      </c>
    </row>
    <row r="761" spans="1:10">
      <c r="A761" s="143" t="inlineStr">
        <is>
          <t xml:space="preserve">503</t>
        </is>
      </c>
      <c r="B761" s="143" t="inlineStr">
        <is>
          <t xml:space="preserve">545000-06-1-001</t>
        </is>
      </c>
      <c r="C761" s="143" t="inlineStr">
        <is>
          <t xml:space="preserve">545000-06-1-001 (01) / L/H PYLONS CAF 4 SEALANT INSP</t>
        </is>
      </c>
      <c r="D761" s="143">
        <v>1.0</v>
      </c>
      <c r="E761" s="143">
        <v>1.1</v>
      </c>
      <c r="F761" s="143">
        <v>5.58</v>
      </c>
      <c r="G761" s="143">
        <v>39.9</v>
      </c>
      <c r="H761" s="143" t="inlineStr">
        <is>
          <t xml:space="preserve">Closed</t>
        </is>
      </c>
      <c r="I761" s="143" t="inlineStr">
        <is>
          <t xml:space="preserve">05-21</t>
        </is>
      </c>
      <c r="J761" s="143" t="inlineStr">
        <is>
          <t xml:space="preserve">JOB-SETUP, INSPECTION, JOB-CLOSEUP</t>
        </is>
      </c>
    </row>
    <row r="762" spans="1:10">
      <c r="A762" s="143" t="inlineStr">
        <is>
          <t xml:space="preserve">504</t>
        </is>
      </c>
      <c r="B762" s="143" t="inlineStr">
        <is>
          <t xml:space="preserve">545000-06-1-002</t>
        </is>
      </c>
      <c r="C762" s="143" t="inlineStr">
        <is>
          <t xml:space="preserve">545000-06-1-002 (01) / R/H PYLONS CAF 4 SEALANT INSP</t>
        </is>
      </c>
      <c r="D762" s="143">
        <v>1.0</v>
      </c>
      <c r="E762" s="143">
        <v>1.1</v>
      </c>
      <c r="F762" s="143">
        <v>2.33</v>
      </c>
      <c r="G762" s="143">
        <v>40.5</v>
      </c>
      <c r="H762" s="143" t="inlineStr">
        <is>
          <t xml:space="preserve">Closed</t>
        </is>
      </c>
      <c r="I762" s="143" t="inlineStr">
        <is>
          <t xml:space="preserve">05-21</t>
        </is>
      </c>
      <c r="J762" s="143" t="inlineStr">
        <is>
          <t xml:space="preserve">JOB-SETUP, INSPECTION, JOB-CLOSEUP</t>
        </is>
      </c>
    </row>
    <row r="763" spans="1:10">
      <c r="A763" s="143" t="inlineStr">
        <is>
          <t xml:space="preserve">505</t>
        </is>
      </c>
      <c r="B763" s="143" t="inlineStr">
        <is>
          <t xml:space="preserve">545103-01-2-001</t>
        </is>
      </c>
      <c r="C763" s="143" t="inlineStr">
        <is>
          <t xml:space="preserve">545103-01-2-001 (03) / NO. 1 ENG PYLON FWD MOUNT FTTNG INSP</t>
        </is>
      </c>
      <c r="D763" s="143">
        <v>1.0</v>
      </c>
      <c r="E763" s="143">
        <v>0.87</v>
      </c>
      <c r="F763" s="143">
        <v>6.0</v>
      </c>
      <c r="G763" s="143">
        <v>40.1</v>
      </c>
      <c r="H763" s="143" t="inlineStr">
        <is>
          <t xml:space="preserve">Closed</t>
        </is>
      </c>
      <c r="I763" s="143" t="inlineStr">
        <is>
          <t xml:space="preserve">54-51</t>
        </is>
      </c>
      <c r="J763" s="143" t="inlineStr">
        <is>
          <t xml:space="preserve">JOB-SETUP, INSPECTION, JOB-CLOSEUP</t>
        </is>
      </c>
    </row>
    <row r="764" spans="1:10">
      <c r="A764" s="143" t="inlineStr">
        <is>
          <t xml:space="preserve">506</t>
        </is>
      </c>
      <c r="B764" s="143" t="inlineStr">
        <is>
          <t xml:space="preserve">545103-01-2-002</t>
        </is>
      </c>
      <c r="C764" s="143" t="inlineStr">
        <is>
          <t xml:space="preserve">545103-01-2-002 (03) / NO. 2 ENG PYLON FWD MOUNT FTTNG INSP</t>
        </is>
      </c>
      <c r="D764" s="143">
        <v>1.0</v>
      </c>
      <c r="E764" s="143">
        <v>0.87</v>
      </c>
      <c r="F764" s="143">
        <v>3.83</v>
      </c>
      <c r="G764" s="143">
        <v>41.0</v>
      </c>
      <c r="H764" s="143" t="inlineStr">
        <is>
          <t xml:space="preserve">Closed</t>
        </is>
      </c>
      <c r="I764" s="143" t="inlineStr">
        <is>
          <t xml:space="preserve">54-51</t>
        </is>
      </c>
      <c r="J764" s="143" t="inlineStr">
        <is>
          <t xml:space="preserve">JOB-SETUP, INSPECTION, JOB-CLOSEUP</t>
        </is>
      </c>
    </row>
    <row r="765" spans="1:10">
      <c r="A765" s="143" t="inlineStr">
        <is>
          <t xml:space="preserve">507</t>
        </is>
      </c>
      <c r="B765" s="143" t="inlineStr">
        <is>
          <t xml:space="preserve">552600-01-1</t>
        </is>
      </c>
      <c r="C765" s="143" t="inlineStr">
        <is>
          <t xml:space="preserve">552600-01-1 (1) / FUNCTIONAL CHECK OF ELEVATOR HINGE LINE BEARINGS AND ATTACHMENTS FOR EXCESSIVE FREE PLAY AND CONDITION.</t>
        </is>
      </c>
      <c r="D765" s="143">
        <v>1.0</v>
      </c>
      <c r="E765" s="143">
        <v>3.08</v>
      </c>
      <c r="F765" s="143">
        <v>84.5</v>
      </c>
      <c r="G765" s="143">
        <v>425.5</v>
      </c>
      <c r="H765" s="143" t="inlineStr">
        <is>
          <t xml:space="preserve">Closed</t>
        </is>
      </c>
      <c r="I765" s="143" t="inlineStr">
        <is>
          <t xml:space="preserve">20-00</t>
        </is>
      </c>
      <c r="J765" s="143"/>
    </row>
    <row r="766" spans="1:10">
      <c r="A766" s="143" t="inlineStr">
        <is>
          <t xml:space="preserve">509</t>
        </is>
      </c>
      <c r="B766" s="143" t="inlineStr">
        <is>
          <t xml:space="preserve">561200-02-1</t>
        </is>
      </c>
      <c r="C766" s="143" t="inlineStr">
        <is>
          <t xml:space="preserve">561200-02-1 (2) / COCKPIT SLIDING WINDOW LUBRICATION</t>
        </is>
      </c>
      <c r="D766" s="143">
        <v>1.0</v>
      </c>
      <c r="E766" s="143">
        <v>0.43</v>
      </c>
      <c r="F766" s="143">
        <v>1.0</v>
      </c>
      <c r="G766" s="143">
        <v>1.0</v>
      </c>
      <c r="H766" s="143" t="inlineStr">
        <is>
          <t xml:space="preserve">Closed</t>
        </is>
      </c>
      <c r="I766" s="143" t="inlineStr">
        <is>
          <t xml:space="preserve">12-22</t>
        </is>
      </c>
      <c r="J766" s="143" t="inlineStr">
        <is>
          <t xml:space="preserve">TC/P</t>
        </is>
      </c>
    </row>
    <row r="767" spans="1:10">
      <c r="A767" s="143" t="inlineStr">
        <is>
          <t xml:space="preserve">511</t>
        </is>
      </c>
      <c r="B767" s="143" t="inlineStr">
        <is>
          <t xml:space="preserve">572178-01-1-002</t>
        </is>
      </c>
      <c r="C767" s="143" t="inlineStr">
        <is>
          <t xml:space="preserve">572178-01-1-002 (03) / R/H OUTER WING, TOP SKIN INSP</t>
        </is>
      </c>
      <c r="D767" s="143">
        <v>1.0</v>
      </c>
      <c r="E767" s="143">
        <v>2.33</v>
      </c>
      <c r="F767" s="143">
        <v>3.75</v>
      </c>
      <c r="G767" s="143">
        <v>725.0</v>
      </c>
      <c r="H767" s="143" t="inlineStr">
        <is>
          <t xml:space="preserve">Closed</t>
        </is>
      </c>
      <c r="I767" s="143" t="inlineStr">
        <is>
          <t xml:space="preserve">05-21</t>
        </is>
      </c>
      <c r="J767" s="143" t="inlineStr">
        <is>
          <t xml:space="preserve">JOB-SETUP, CLEAN-UP, INSPECTION, INSPECTION, JOB-CLOSEUP</t>
        </is>
      </c>
    </row>
    <row r="768" spans="1:10">
      <c r="A768" s="143" t="inlineStr">
        <is>
          <t xml:space="preserve">513</t>
        </is>
      </c>
      <c r="B768" s="143" t="inlineStr">
        <is>
          <t xml:space="preserve">572179-01-1-002</t>
        </is>
      </c>
      <c r="C768" s="143" t="inlineStr">
        <is>
          <t xml:space="preserve">572179-01-1-002 (03) / R/H OUTER WING TOP SKIN RIB 11 TO 27 INSP</t>
        </is>
      </c>
      <c r="D768" s="143">
        <v>1.0</v>
      </c>
      <c r="E768" s="143">
        <v>2.33</v>
      </c>
      <c r="F768" s="143">
        <v>6.0</v>
      </c>
      <c r="G768" s="143">
        <v>770.0</v>
      </c>
      <c r="H768" s="143" t="inlineStr">
        <is>
          <t xml:space="preserve">Closed</t>
        </is>
      </c>
      <c r="I768" s="143" t="inlineStr">
        <is>
          <t xml:space="preserve">05-21</t>
        </is>
      </c>
      <c r="J768" s="143" t="inlineStr">
        <is>
          <t xml:space="preserve">JOB-SETUP, CLEAN-UP, INSPECTION, INSPECTION, JOB-CLOSEUP</t>
        </is>
      </c>
    </row>
    <row r="769" spans="1:10">
      <c r="A769" s="143" t="inlineStr">
        <is>
          <t xml:space="preserve">514</t>
        </is>
      </c>
      <c r="B769" s="143" t="inlineStr">
        <is>
          <t xml:space="preserve">711000-C1-1-001</t>
        </is>
      </c>
      <c r="C769" s="143" t="inlineStr">
        <is>
          <t xml:space="preserve">711000-C1-1-001 (03) / #1 ENG INTAKE COWL AFT BULKHEAD INSP</t>
        </is>
      </c>
      <c r="D769" s="143">
        <v>1.0</v>
      </c>
      <c r="E769" s="143">
        <v>0.22</v>
      </c>
      <c r="F769" s="143">
        <v>0.5</v>
      </c>
      <c r="G769" s="143">
        <v>0.5</v>
      </c>
      <c r="H769" s="143" t="inlineStr">
        <is>
          <t xml:space="preserve">Closed</t>
        </is>
      </c>
      <c r="I769" s="143" t="inlineStr">
        <is>
          <t xml:space="preserve">71-10</t>
        </is>
      </c>
      <c r="J769" s="143" t="inlineStr">
        <is>
          <t xml:space="preserve">INSPECTION</t>
        </is>
      </c>
    </row>
    <row r="770" spans="1:10">
      <c r="A770" s="143" t="inlineStr">
        <is>
          <t xml:space="preserve">515</t>
        </is>
      </c>
      <c r="B770" s="143" t="inlineStr">
        <is>
          <t xml:space="preserve">711000-C1-1-002</t>
        </is>
      </c>
      <c r="C770" s="143" t="inlineStr">
        <is>
          <t xml:space="preserve">711000-C1-1-002 (03) / #2 ENG INTAKE COWL AFT BULKHEAD INSP</t>
        </is>
      </c>
      <c r="D770" s="143">
        <v>1.0</v>
      </c>
      <c r="E770" s="143">
        <v>0.22</v>
      </c>
      <c r="F770" s="143">
        <v>0.5</v>
      </c>
      <c r="G770" s="143">
        <v>0.5</v>
      </c>
      <c r="H770" s="143" t="inlineStr">
        <is>
          <t xml:space="preserve">Closed</t>
        </is>
      </c>
      <c r="I770" s="143" t="inlineStr">
        <is>
          <t xml:space="preserve">71-10</t>
        </is>
      </c>
      <c r="J770" s="143" t="inlineStr">
        <is>
          <t xml:space="preserve">INSPECTION</t>
        </is>
      </c>
    </row>
    <row r="771" spans="1:10">
      <c r="A771" s="143" t="inlineStr">
        <is>
          <t xml:space="preserve">516</t>
        </is>
      </c>
      <c r="B771" s="143" t="inlineStr">
        <is>
          <t xml:space="preserve">711000-C4-2-001</t>
        </is>
      </c>
      <c r="C771" s="143" t="inlineStr">
        <is>
          <t xml:space="preserve">711000-C4-2-001 (03) / GENERAL VISUAL INSPECTION OF FAN COWL DOORS</t>
        </is>
      </c>
      <c r="D771" s="143">
        <v>1.0</v>
      </c>
      <c r="E771" s="143">
        <v>1.97</v>
      </c>
      <c r="F771" s="143">
        <v>2.0</v>
      </c>
      <c r="G771" s="143">
        <v>16.03</v>
      </c>
      <c r="H771" s="143" t="inlineStr">
        <is>
          <t xml:space="preserve">Closed</t>
        </is>
      </c>
      <c r="I771" s="143" t="inlineStr">
        <is>
          <t xml:space="preserve">71-13</t>
        </is>
      </c>
      <c r="J771" s="143" t="inlineStr">
        <is>
          <t xml:space="preserve">OPEN-UP, INSPECTION, CLOSE-UP</t>
        </is>
      </c>
    </row>
    <row r="772" spans="1:10">
      <c r="A772" s="143" t="inlineStr">
        <is>
          <t xml:space="preserve">517</t>
        </is>
      </c>
      <c r="B772" s="143" t="inlineStr">
        <is>
          <t xml:space="preserve">711000-C4-2-002</t>
        </is>
      </c>
      <c r="C772" s="143" t="inlineStr">
        <is>
          <t xml:space="preserve">711000-C4-2-002 (03) / GENERAL VISUAL INSPECTION OF FAN COWL DOORS</t>
        </is>
      </c>
      <c r="D772" s="143">
        <v>1.0</v>
      </c>
      <c r="E772" s="143">
        <v>1.97</v>
      </c>
      <c r="F772" s="143">
        <v>5.83</v>
      </c>
      <c r="G772" s="143">
        <v>4.6</v>
      </c>
      <c r="H772" s="143" t="inlineStr">
        <is>
          <t xml:space="preserve">Closed</t>
        </is>
      </c>
      <c r="I772" s="143" t="inlineStr">
        <is>
          <t xml:space="preserve">71-13</t>
        </is>
      </c>
      <c r="J772" s="143" t="inlineStr">
        <is>
          <t xml:space="preserve">JOB-SETUP, INSPECTION, JOB-CLOSEUP</t>
        </is>
      </c>
    </row>
    <row r="773" spans="1:10">
      <c r="A773" s="143" t="inlineStr">
        <is>
          <t xml:space="preserve">518</t>
        </is>
      </c>
      <c r="B773" s="143" t="inlineStr">
        <is>
          <t xml:space="preserve">711000-C5-1-001</t>
        </is>
      </c>
      <c r="C773" s="143" t="inlineStr">
        <is>
          <t xml:space="preserve">711000-C5-1-001 (02) / NO. 1 ENG PRESSURE RELIEF DOOR FUC</t>
        </is>
      </c>
      <c r="D773" s="143">
        <v>1.0</v>
      </c>
      <c r="E773" s="143">
        <v>1.1</v>
      </c>
      <c r="F773" s="143">
        <v>3.0</v>
      </c>
      <c r="G773" s="143">
        <v>3.0</v>
      </c>
      <c r="H773" s="143" t="inlineStr">
        <is>
          <t xml:space="preserve">Closed</t>
        </is>
      </c>
      <c r="I773" s="143" t="inlineStr">
        <is>
          <t xml:space="preserve">73-13</t>
        </is>
      </c>
      <c r="J773" s="143" t="inlineStr">
        <is>
          <t xml:space="preserve">JOB-SETUP, OPS/LK, JOB-CLOSEUP</t>
        </is>
      </c>
    </row>
    <row r="774" spans="1:10">
      <c r="A774" s="143" t="inlineStr">
        <is>
          <t xml:space="preserve">519</t>
        </is>
      </c>
      <c r="B774" s="143" t="inlineStr">
        <is>
          <t xml:space="preserve">711000-C5-1-002</t>
        </is>
      </c>
      <c r="C774" s="143" t="inlineStr">
        <is>
          <t xml:space="preserve">711000-C5-1-002 (02) / NO. 2 ENG PRESSURE RELIEF DOOR FUC</t>
        </is>
      </c>
      <c r="D774" s="143">
        <v>1.0</v>
      </c>
      <c r="E774" s="143">
        <v>1.1</v>
      </c>
      <c r="F774" s="143">
        <v>3.0</v>
      </c>
      <c r="G774" s="143">
        <v>3.0</v>
      </c>
      <c r="H774" s="143" t="inlineStr">
        <is>
          <t xml:space="preserve">Closed</t>
        </is>
      </c>
      <c r="I774" s="143" t="inlineStr">
        <is>
          <t xml:space="preserve">73-13</t>
        </is>
      </c>
      <c r="J774" s="143" t="inlineStr">
        <is>
          <t xml:space="preserve">JOB-SETUP, OPS/LK, JOB-CLOSEUP</t>
        </is>
      </c>
    </row>
    <row r="775" spans="1:10">
      <c r="A775" s="143" t="inlineStr">
        <is>
          <t xml:space="preserve">520</t>
        </is>
      </c>
      <c r="B775" s="143" t="inlineStr">
        <is>
          <t xml:space="preserve">711000-C6-1-001</t>
        </is>
      </c>
      <c r="C775" s="143" t="inlineStr">
        <is>
          <t xml:space="preserve">711000-C6-1-001 (03) / NO.1 ENG FAN COW LATCH &amp; AJCNT INSP</t>
        </is>
      </c>
      <c r="D775" s="143">
        <v>1.0</v>
      </c>
      <c r="E775" s="143">
        <v>1.75</v>
      </c>
      <c r="F775" s="143">
        <v>3.0</v>
      </c>
      <c r="G775" s="143">
        <v>16.3</v>
      </c>
      <c r="H775" s="143" t="inlineStr">
        <is>
          <t xml:space="preserve">Closed</t>
        </is>
      </c>
      <c r="I775" s="143" t="inlineStr">
        <is>
          <t xml:space="preserve">71-13</t>
        </is>
      </c>
      <c r="J775" s="143" t="inlineStr">
        <is>
          <t xml:space="preserve">INSPECTION</t>
        </is>
      </c>
    </row>
    <row r="776" spans="1:10">
      <c r="A776" s="143" t="inlineStr">
        <is>
          <t xml:space="preserve">521</t>
        </is>
      </c>
      <c r="B776" s="143" t="inlineStr">
        <is>
          <t xml:space="preserve">711000-C6-1-002</t>
        </is>
      </c>
      <c r="C776" s="143" t="inlineStr">
        <is>
          <t xml:space="preserve">711000-C6-1-002 (02) / NO.2 ENG FAN COW LATCH &amp; AJCNT INSP</t>
        </is>
      </c>
      <c r="D776" s="143">
        <v>1.0</v>
      </c>
      <c r="E776" s="143">
        <v>1.75</v>
      </c>
      <c r="F776" s="143">
        <v>2.0</v>
      </c>
      <c r="G776" s="143">
        <v>3.52</v>
      </c>
      <c r="H776" s="143" t="inlineStr">
        <is>
          <t xml:space="preserve">Closed</t>
        </is>
      </c>
      <c r="I776" s="143" t="inlineStr">
        <is>
          <t xml:space="preserve">71-13</t>
        </is>
      </c>
      <c r="J776" s="143" t="inlineStr">
        <is>
          <t xml:space="preserve">INSPECTION</t>
        </is>
      </c>
    </row>
    <row r="777" spans="1:10">
      <c r="A777" s="143" t="inlineStr">
        <is>
          <t xml:space="preserve">522</t>
        </is>
      </c>
      <c r="B777" s="143" t="inlineStr">
        <is>
          <t xml:space="preserve">711000-C7-1-001</t>
        </is>
      </c>
      <c r="C777" s="143" t="inlineStr">
        <is>
          <t xml:space="preserve">711000-C7-1-001 (02) / NO.1 ENG FAN COWL DOOR FIRESEAL INSP</t>
        </is>
      </c>
      <c r="D777" s="143">
        <v>1.0</v>
      </c>
      <c r="E777" s="143">
        <v>1.83</v>
      </c>
      <c r="F777" s="143">
        <v>1.83</v>
      </c>
      <c r="G777" s="143">
        <v>16.12</v>
      </c>
      <c r="H777" s="143" t="inlineStr">
        <is>
          <t xml:space="preserve">Closed</t>
        </is>
      </c>
      <c r="I777" s="143" t="inlineStr">
        <is>
          <t xml:space="preserve">71-13</t>
        </is>
      </c>
      <c r="J777" s="143" t="inlineStr">
        <is>
          <t xml:space="preserve">JOB-SETUP, INSPECTION, JOB-CLOSEUP</t>
        </is>
      </c>
    </row>
    <row r="778" spans="1:10">
      <c r="A778" s="143" t="inlineStr">
        <is>
          <t xml:space="preserve">523</t>
        </is>
      </c>
      <c r="B778" s="143" t="inlineStr">
        <is>
          <t xml:space="preserve">711000-C7-1-002</t>
        </is>
      </c>
      <c r="C778" s="143" t="inlineStr">
        <is>
          <t xml:space="preserve">711000-C7-1-002 (02) / NO.2 ENG FAN COWL DOOR FIRESEAL INSP</t>
        </is>
      </c>
      <c r="D778" s="143">
        <v>1.0</v>
      </c>
      <c r="E778" s="143">
        <v>1.83</v>
      </c>
      <c r="F778" s="143">
        <v>6.5</v>
      </c>
      <c r="G778" s="143">
        <v>4.8</v>
      </c>
      <c r="H778" s="143" t="inlineStr">
        <is>
          <t xml:space="preserve">Closed</t>
        </is>
      </c>
      <c r="I778" s="143" t="inlineStr">
        <is>
          <t xml:space="preserve">71-13</t>
        </is>
      </c>
      <c r="J778" s="143" t="inlineStr">
        <is>
          <t xml:space="preserve">JOB-SETUP, INSPECTION, JOB-CLOSEUP</t>
        </is>
      </c>
    </row>
    <row r="779" spans="1:10">
      <c r="A779" s="143" t="inlineStr">
        <is>
          <t xml:space="preserve">524</t>
        </is>
      </c>
      <c r="B779" s="143" t="inlineStr">
        <is>
          <t xml:space="preserve">711300-01-2</t>
        </is>
      </c>
      <c r="C779" s="143" t="inlineStr">
        <is>
          <t xml:space="preserve">711300-01-2 (00) / GENERAL VISUAL INSPECTION OF FAN COWL DOOR HINGE FITTINGS AND SURROUNDING STRUCTURE.</t>
        </is>
      </c>
      <c r="D779" s="143">
        <v>1.0</v>
      </c>
      <c r="E779" s="143">
        <v>0.5</v>
      </c>
      <c r="F779" s="143">
        <v>1.0</v>
      </c>
      <c r="G779" s="143">
        <v>1.0</v>
      </c>
      <c r="H779" s="143" t="inlineStr">
        <is>
          <t xml:space="preserve">Closed</t>
        </is>
      </c>
      <c r="I779" s="143" t="inlineStr">
        <is>
          <t xml:space="preserve">71-13</t>
        </is>
      </c>
      <c r="J779" s="143"/>
    </row>
    <row r="780" spans="1:10">
      <c r="A780" s="143" t="inlineStr">
        <is>
          <t xml:space="preserve">527</t>
        </is>
      </c>
      <c r="B780" s="143" t="inlineStr">
        <is>
          <t xml:space="preserve">712111-05-4-001</t>
        </is>
      </c>
      <c r="C780" s="143" t="inlineStr">
        <is>
          <t xml:space="preserve">712111-05-4-001 (03) / NO. 1 ENGINE FWD MOUNT PYLON BOLTS INSP</t>
        </is>
      </c>
      <c r="D780" s="143">
        <v>1.0</v>
      </c>
      <c r="E780" s="143">
        <v>2.55</v>
      </c>
      <c r="F780" s="143">
        <v>13.0</v>
      </c>
      <c r="G780" s="143">
        <v>4.33</v>
      </c>
      <c r="H780" s="143" t="inlineStr">
        <is>
          <t xml:space="preserve">Closed</t>
        </is>
      </c>
      <c r="I780" s="143" t="inlineStr">
        <is>
          <t xml:space="preserve">71-21</t>
        </is>
      </c>
      <c r="J780" s="143" t="inlineStr">
        <is>
          <t xml:space="preserve">JOB-SETUP, INSPECTION, JOB-CLOSEUP</t>
        </is>
      </c>
    </row>
    <row r="781" spans="1:10">
      <c r="A781" s="143" t="inlineStr">
        <is>
          <t xml:space="preserve">528</t>
        </is>
      </c>
      <c r="B781" s="143" t="inlineStr">
        <is>
          <t xml:space="preserve">712111-05-4-002</t>
        </is>
      </c>
      <c r="C781" s="143" t="inlineStr">
        <is>
          <t xml:space="preserve">712111-05-4-002 (03) / NO.2 ENGINE FWD MOUNT PYLON BOLTS INSP</t>
        </is>
      </c>
      <c r="D781" s="143">
        <v>1.0</v>
      </c>
      <c r="E781" s="143">
        <v>2.55</v>
      </c>
      <c r="F781" s="143">
        <v>17.0</v>
      </c>
      <c r="G781" s="143">
        <v>4.77</v>
      </c>
      <c r="H781" s="143" t="inlineStr">
        <is>
          <t xml:space="preserve">Closed</t>
        </is>
      </c>
      <c r="I781" s="143" t="inlineStr">
        <is>
          <t xml:space="preserve">71-21</t>
        </is>
      </c>
      <c r="J781" s="143" t="inlineStr">
        <is>
          <t xml:space="preserve">JOB-SETUP, INSPECTION, JOB-CLOSEUP</t>
        </is>
      </c>
    </row>
    <row r="782" spans="1:10">
      <c r="A782" s="143" t="inlineStr">
        <is>
          <t xml:space="preserve">529</t>
        </is>
      </c>
      <c r="B782" s="143" t="inlineStr">
        <is>
          <t xml:space="preserve">712112-01-1-001</t>
        </is>
      </c>
      <c r="C782" s="143" t="inlineStr">
        <is>
          <t xml:space="preserve">712112-01-1-001 (03) / NO. 1 ENGINE FWD MOUNT LINK LUGS INSP</t>
        </is>
      </c>
      <c r="D782" s="143">
        <v>1.0</v>
      </c>
      <c r="E782" s="143">
        <v>2.42</v>
      </c>
      <c r="F782" s="143">
        <v>1.25</v>
      </c>
      <c r="G782" s="143">
        <v>41.2</v>
      </c>
      <c r="H782" s="143" t="inlineStr">
        <is>
          <t xml:space="preserve">Closed</t>
        </is>
      </c>
      <c r="I782" s="143" t="inlineStr">
        <is>
          <t xml:space="preserve">71-21</t>
        </is>
      </c>
      <c r="J782" s="143" t="inlineStr">
        <is>
          <t xml:space="preserve">PRE INSP, PRE INSP, PRE INSP</t>
        </is>
      </c>
    </row>
    <row r="783" spans="1:10">
      <c r="A783" s="143" t="inlineStr">
        <is>
          <t xml:space="preserve">530</t>
        </is>
      </c>
      <c r="B783" s="143" t="inlineStr">
        <is>
          <t xml:space="preserve">712112-01-1-002</t>
        </is>
      </c>
      <c r="C783" s="143" t="inlineStr">
        <is>
          <t xml:space="preserve">712112-01-1-002 (03) / NO. 2 ENGINE FWD MOUNT LINK LUGS INSP</t>
        </is>
      </c>
      <c r="D783" s="143">
        <v>1.0</v>
      </c>
      <c r="E783" s="143">
        <v>2.42</v>
      </c>
      <c r="F783" s="143">
        <v>1.25</v>
      </c>
      <c r="G783" s="143">
        <v>41.5</v>
      </c>
      <c r="H783" s="143" t="inlineStr">
        <is>
          <t xml:space="preserve">Closed</t>
        </is>
      </c>
      <c r="I783" s="143" t="inlineStr">
        <is>
          <t xml:space="preserve">71-21</t>
        </is>
      </c>
      <c r="J783" s="143" t="inlineStr">
        <is>
          <t xml:space="preserve">PRE INSP, PRE INSP, PRE INSP</t>
        </is>
      </c>
    </row>
    <row r="784" spans="1:10">
      <c r="A784" s="143" t="inlineStr">
        <is>
          <t xml:space="preserve">531</t>
        </is>
      </c>
      <c r="B784" s="143" t="inlineStr">
        <is>
          <t xml:space="preserve">712211-03-1-001</t>
        </is>
      </c>
      <c r="C784" s="143" t="inlineStr">
        <is>
          <t xml:space="preserve">712211-03-1-001 (03) / NO.1 AFT ENG MOUNT INSTALLATION INSP EXPOSED SURFACES</t>
        </is>
      </c>
      <c r="D784" s="143">
        <v>1.0</v>
      </c>
      <c r="E784" s="143">
        <v>1.32</v>
      </c>
      <c r="F784" s="143">
        <v>1.0</v>
      </c>
      <c r="G784" s="143">
        <v>1.0</v>
      </c>
      <c r="H784" s="143" t="inlineStr">
        <is>
          <t xml:space="preserve">Closed</t>
        </is>
      </c>
      <c r="I784" s="143" t="inlineStr">
        <is>
          <t xml:space="preserve">71-22</t>
        </is>
      </c>
      <c r="J784" s="143" t="inlineStr">
        <is>
          <t xml:space="preserve">PRE INSP</t>
        </is>
      </c>
    </row>
    <row r="785" spans="1:10">
      <c r="A785" s="143" t="inlineStr">
        <is>
          <t xml:space="preserve">532</t>
        </is>
      </c>
      <c r="B785" s="143" t="inlineStr">
        <is>
          <t xml:space="preserve">712211-03-1-002</t>
        </is>
      </c>
      <c r="C785" s="143" t="inlineStr">
        <is>
          <t xml:space="preserve">712211-03-1-002 (03) / NO.2 AFT ENG MOUNT INSTALLATION INSP EXPOSED SURFACES</t>
        </is>
      </c>
      <c r="D785" s="143">
        <v>1.0</v>
      </c>
      <c r="E785" s="143">
        <v>1.32</v>
      </c>
      <c r="F785" s="143">
        <v>1.0</v>
      </c>
      <c r="G785" s="143">
        <v>1.0</v>
      </c>
      <c r="H785" s="143" t="inlineStr">
        <is>
          <t xml:space="preserve">Closed</t>
        </is>
      </c>
      <c r="I785" s="143" t="inlineStr">
        <is>
          <t xml:space="preserve">71-22</t>
        </is>
      </c>
      <c r="J785" s="143" t="inlineStr">
        <is>
          <t xml:space="preserve">PRE INSP</t>
        </is>
      </c>
    </row>
    <row r="786" spans="1:10">
      <c r="A786" s="143" t="inlineStr">
        <is>
          <t xml:space="preserve">533</t>
        </is>
      </c>
      <c r="B786" s="143" t="inlineStr">
        <is>
          <t xml:space="preserve">712211-05-1-001</t>
        </is>
      </c>
      <c r="C786" s="143" t="inlineStr">
        <is>
          <t xml:space="preserve">712211-05-1-001 (02) / NO. 1 ENG AFT MOUNT PYLON BOLTS INSP</t>
        </is>
      </c>
      <c r="D786" s="143">
        <v>1.0</v>
      </c>
      <c r="E786" s="143">
        <v>2.2</v>
      </c>
      <c r="F786" s="143">
        <v>13.0</v>
      </c>
      <c r="G786" s="143">
        <v>4.33</v>
      </c>
      <c r="H786" s="143" t="inlineStr">
        <is>
          <t xml:space="preserve">Closed</t>
        </is>
      </c>
      <c r="I786" s="143" t="inlineStr">
        <is>
          <t xml:space="preserve">71-22</t>
        </is>
      </c>
      <c r="J786" s="143" t="inlineStr">
        <is>
          <t xml:space="preserve">JOB-SETUP, INSPECTION, JOB-CLOSEUP</t>
        </is>
      </c>
    </row>
    <row r="787" spans="1:10">
      <c r="A787" s="143" t="inlineStr">
        <is>
          <t xml:space="preserve">534</t>
        </is>
      </c>
      <c r="B787" s="143" t="inlineStr">
        <is>
          <t xml:space="preserve">712211-05-1-002</t>
        </is>
      </c>
      <c r="C787" s="143" t="inlineStr">
        <is>
          <t xml:space="preserve">712211-05-1-002 (02) / NO. 2 ENG AFT MOUNT PYLON BOLTS INSP</t>
        </is>
      </c>
      <c r="D787" s="143">
        <v>1.0</v>
      </c>
      <c r="E787" s="143">
        <v>2.2</v>
      </c>
      <c r="F787" s="143">
        <v>21.0</v>
      </c>
      <c r="G787" s="143">
        <v>4.75</v>
      </c>
      <c r="H787" s="143" t="inlineStr">
        <is>
          <t xml:space="preserve">Closed</t>
        </is>
      </c>
      <c r="I787" s="143" t="inlineStr">
        <is>
          <t xml:space="preserve">71-22</t>
        </is>
      </c>
      <c r="J787" s="143" t="inlineStr">
        <is>
          <t xml:space="preserve">JOB-SETUP, INSPECTION, JOB-CLOSEUP</t>
        </is>
      </c>
    </row>
    <row r="788" spans="1:10">
      <c r="A788" s="143" t="inlineStr">
        <is>
          <t xml:space="preserve">535</t>
        </is>
      </c>
      <c r="B788" s="143" t="inlineStr">
        <is>
          <t xml:space="preserve">712212-01-1-001</t>
        </is>
      </c>
      <c r="C788" s="143" t="inlineStr">
        <is>
          <t xml:space="preserve">712212-01-1-001 (02) / NO. 1 ENG AFT MOUNT LINK LUGS INSP</t>
        </is>
      </c>
      <c r="D788" s="143">
        <v>1.0</v>
      </c>
      <c r="E788" s="143">
        <v>2.77</v>
      </c>
      <c r="F788" s="143">
        <v>1.42</v>
      </c>
      <c r="G788" s="143">
        <v>40.9</v>
      </c>
      <c r="H788" s="143" t="inlineStr">
        <is>
          <t xml:space="preserve">Closed</t>
        </is>
      </c>
      <c r="I788" s="143" t="inlineStr">
        <is>
          <t xml:space="preserve">71-22</t>
        </is>
      </c>
      <c r="J788" s="143" t="inlineStr">
        <is>
          <t xml:space="preserve">PRE INSP, PRE INSP, PRE INSP</t>
        </is>
      </c>
    </row>
    <row r="789" spans="1:10">
      <c r="A789" s="143" t="inlineStr">
        <is>
          <t xml:space="preserve">536</t>
        </is>
      </c>
      <c r="B789" s="143" t="inlineStr">
        <is>
          <t xml:space="preserve">712212-01-1-002</t>
        </is>
      </c>
      <c r="C789" s="143" t="inlineStr">
        <is>
          <t xml:space="preserve">712212-01-1-002 (02) / NO. 2 ENG AFT MOUNT LINK LUGS INSP</t>
        </is>
      </c>
      <c r="D789" s="143">
        <v>1.0</v>
      </c>
      <c r="E789" s="143">
        <v>2.77</v>
      </c>
      <c r="F789" s="143">
        <v>1.25</v>
      </c>
      <c r="G789" s="143">
        <v>41.2</v>
      </c>
      <c r="H789" s="143" t="inlineStr">
        <is>
          <t xml:space="preserve">Closed</t>
        </is>
      </c>
      <c r="I789" s="143" t="inlineStr">
        <is>
          <t xml:space="preserve">71-22</t>
        </is>
      </c>
      <c r="J789" s="143" t="inlineStr">
        <is>
          <t xml:space="preserve">PRE INSP, PRE INSP, PRE INSP</t>
        </is>
      </c>
    </row>
    <row r="790" spans="1:10">
      <c r="A790" s="143" t="inlineStr">
        <is>
          <t xml:space="preserve">539</t>
        </is>
      </c>
      <c r="B790" s="143" t="inlineStr">
        <is>
          <t xml:space="preserve">72-00-00-25-0-SVA-001</t>
        </is>
      </c>
      <c r="C790" s="143" t="inlineStr">
        <is>
          <t xml:space="preserve">72-00-00-25-0-SVA-001 (01) / PRE C-CHK PRESERVATION ON ENG#1 OIL</t>
        </is>
      </c>
      <c r="D790" s="143">
        <v>1.0</v>
      </c>
      <c r="E790" s="143">
        <v>2.0</v>
      </c>
      <c r="F790" s="143">
        <v>9.0</v>
      </c>
      <c r="G790" s="143">
        <v>4.02</v>
      </c>
      <c r="H790" s="143" t="inlineStr">
        <is>
          <t xml:space="preserve">Closed</t>
        </is>
      </c>
      <c r="I790" s="143">
        <v>72.0</v>
      </c>
      <c r="J790" s="143" t="inlineStr">
        <is>
          <t xml:space="preserve">OPS/LK</t>
        </is>
      </c>
    </row>
    <row r="791" spans="1:10">
      <c r="A791" s="143" t="inlineStr">
        <is>
          <t xml:space="preserve">540</t>
        </is>
      </c>
      <c r="B791" s="143" t="inlineStr">
        <is>
          <t xml:space="preserve">72-00-00-25-0-SVA-002</t>
        </is>
      </c>
      <c r="C791" s="143" t="inlineStr">
        <is>
          <t xml:space="preserve">72-00-00-25-0-SVA-002 (01) / PRE C-CHK PRESERVATION ON ENG#2 OIL</t>
        </is>
      </c>
      <c r="D791" s="143">
        <v>1.0</v>
      </c>
      <c r="E791" s="143">
        <v>2.0</v>
      </c>
      <c r="F791" s="143">
        <v>9.0</v>
      </c>
      <c r="G791" s="143">
        <v>4.02</v>
      </c>
      <c r="H791" s="143" t="inlineStr">
        <is>
          <t xml:space="preserve">Closed</t>
        </is>
      </c>
      <c r="I791" s="143">
        <v>72.0</v>
      </c>
      <c r="J791" s="143" t="inlineStr">
        <is>
          <t xml:space="preserve">OPS/LK</t>
        </is>
      </c>
    </row>
    <row r="792" spans="1:10">
      <c r="A792" s="143" t="inlineStr">
        <is>
          <t xml:space="preserve">543</t>
        </is>
      </c>
      <c r="B792" s="143" t="inlineStr">
        <is>
          <t xml:space="preserve">783000-C2-1-001</t>
        </is>
      </c>
      <c r="C792" s="143" t="inlineStr">
        <is>
          <t xml:space="preserve">783000-C2-1-001 (02) / NO.1 ENGINE BLOCKER DOOR SEALS INSP</t>
        </is>
      </c>
      <c r="D792" s="143">
        <v>1.0</v>
      </c>
      <c r="E792" s="143">
        <v>0.98</v>
      </c>
      <c r="F792" s="143">
        <v>8.17</v>
      </c>
      <c r="G792" s="143">
        <v>329.8</v>
      </c>
      <c r="H792" s="143" t="inlineStr">
        <is>
          <t xml:space="preserve">Closed</t>
        </is>
      </c>
      <c r="I792" s="143" t="inlineStr">
        <is>
          <t xml:space="preserve">78-32</t>
        </is>
      </c>
      <c r="J792" s="143" t="inlineStr">
        <is>
          <t xml:space="preserve">JOB-SETUP, INSPECTION, JOB-CLOSEUP</t>
        </is>
      </c>
    </row>
    <row r="793" spans="1:10">
      <c r="A793" s="143" t="inlineStr">
        <is>
          <t xml:space="preserve">544</t>
        </is>
      </c>
      <c r="B793" s="143" t="inlineStr">
        <is>
          <t xml:space="preserve">783000-C2-1-002</t>
        </is>
      </c>
      <c r="C793" s="143" t="inlineStr">
        <is>
          <t xml:space="preserve">783000-C2-1-002 (02) / NO.2 ENGINE BLOCKER DOOR SEALS INSP</t>
        </is>
      </c>
      <c r="D793" s="143">
        <v>1.0</v>
      </c>
      <c r="E793" s="143">
        <v>0.98</v>
      </c>
      <c r="F793" s="143">
        <v>14.17</v>
      </c>
      <c r="G793" s="143">
        <v>332.1</v>
      </c>
      <c r="H793" s="143" t="inlineStr">
        <is>
          <t xml:space="preserve">Closed</t>
        </is>
      </c>
      <c r="I793" s="143" t="inlineStr">
        <is>
          <t xml:space="preserve">78-32</t>
        </is>
      </c>
      <c r="J793" s="143" t="inlineStr">
        <is>
          <t xml:space="preserve">JOB-SETUP, INSPECTION, JOB-CLOSEUP</t>
        </is>
      </c>
    </row>
    <row r="794" spans="1:10">
      <c r="A794" s="143" t="inlineStr">
        <is>
          <t xml:space="preserve">545</t>
        </is>
      </c>
      <c r="B794" s="143" t="inlineStr">
        <is>
          <t xml:space="preserve">783000-C4-1-001</t>
        </is>
      </c>
      <c r="C794" s="143" t="inlineStr">
        <is>
          <t xml:space="preserve">783000-C4-1-001 (02) / NO.1 ENG T/R TENSION HOK&amp;AJCNT INSP</t>
        </is>
      </c>
      <c r="D794" s="143">
        <v>1.0</v>
      </c>
      <c r="E794" s="143">
        <v>0.87</v>
      </c>
      <c r="F794" s="143">
        <v>4.0</v>
      </c>
      <c r="G794" s="143">
        <v>16.0</v>
      </c>
      <c r="H794" s="143" t="inlineStr">
        <is>
          <t xml:space="preserve">Closed</t>
        </is>
      </c>
      <c r="I794" s="143" t="inlineStr">
        <is>
          <t xml:space="preserve">78-36</t>
        </is>
      </c>
      <c r="J794" s="143" t="inlineStr">
        <is>
          <t xml:space="preserve">JOB-SETUP, INSPECTION, JOB-CLOSEUP</t>
        </is>
      </c>
    </row>
    <row r="795" spans="1:10">
      <c r="A795" s="143" t="inlineStr">
        <is>
          <t xml:space="preserve">546</t>
        </is>
      </c>
      <c r="B795" s="143" t="inlineStr">
        <is>
          <t xml:space="preserve">783000-C4-1-002</t>
        </is>
      </c>
      <c r="C795" s="143" t="inlineStr">
        <is>
          <t xml:space="preserve">783000-C4-1-002 (02) / NO.2 ENG T/R TENSSION HOK AJCNT INSP</t>
        </is>
      </c>
      <c r="D795" s="143">
        <v>1.0</v>
      </c>
      <c r="E795" s="143">
        <v>0.87</v>
      </c>
      <c r="F795" s="143">
        <v>10.33</v>
      </c>
      <c r="G795" s="143">
        <v>4.38</v>
      </c>
      <c r="H795" s="143" t="inlineStr">
        <is>
          <t xml:space="preserve">Closed</t>
        </is>
      </c>
      <c r="I795" s="143" t="inlineStr">
        <is>
          <t xml:space="preserve">78-36</t>
        </is>
      </c>
      <c r="J795" s="143" t="inlineStr">
        <is>
          <t xml:space="preserve">JOB-SETUP, INSPECTION, JOB-CLOSEUP</t>
        </is>
      </c>
    </row>
    <row r="796" spans="1:10">
      <c r="A796" s="143" t="inlineStr">
        <is>
          <t xml:space="preserve">547</t>
        </is>
      </c>
      <c r="B796" s="143" t="inlineStr">
        <is>
          <t xml:space="preserve">783100-C6-1-001</t>
        </is>
      </c>
      <c r="C796" s="143" t="inlineStr">
        <is>
          <t xml:space="preserve">783100-C6-1-001 (02) / NO.1 ENGINE ACTU SECONDARY LOCK INSP</t>
        </is>
      </c>
      <c r="D796" s="143">
        <v>1.0</v>
      </c>
      <c r="E796" s="143">
        <v>0.87</v>
      </c>
      <c r="F796" s="143">
        <v>14.5</v>
      </c>
      <c r="G796" s="143">
        <v>5.97</v>
      </c>
      <c r="H796" s="143" t="inlineStr">
        <is>
          <t xml:space="preserve">Closed</t>
        </is>
      </c>
      <c r="I796" s="143" t="inlineStr">
        <is>
          <t xml:space="preserve">78-31</t>
        </is>
      </c>
      <c r="J796" s="143" t="inlineStr">
        <is>
          <t xml:space="preserve">JOB-SETUP, OPS/LK, JOB-CLOSEUP</t>
        </is>
      </c>
    </row>
    <row r="797" spans="1:10">
      <c r="A797" s="143" t="inlineStr">
        <is>
          <t xml:space="preserve">548</t>
        </is>
      </c>
      <c r="B797" s="143" t="inlineStr">
        <is>
          <t xml:space="preserve">783100-C6-1-002</t>
        </is>
      </c>
      <c r="C797" s="143" t="inlineStr">
        <is>
          <t xml:space="preserve">783100-C6-1-002 (02) / NO.2 ENGINE ACTU SECONDARY LOCK INSP</t>
        </is>
      </c>
      <c r="D797" s="143">
        <v>1.0</v>
      </c>
      <c r="E797" s="143">
        <v>0.87</v>
      </c>
      <c r="F797" s="143">
        <v>14.5</v>
      </c>
      <c r="G797" s="143">
        <v>5.97</v>
      </c>
      <c r="H797" s="143" t="inlineStr">
        <is>
          <t xml:space="preserve">Closed</t>
        </is>
      </c>
      <c r="I797" s="143" t="inlineStr">
        <is>
          <t xml:space="preserve">78-31</t>
        </is>
      </c>
      <c r="J797" s="143" t="inlineStr">
        <is>
          <t xml:space="preserve">JOB-SETUP, OPS/LK, JOB-CLOSEUP</t>
        </is>
      </c>
    </row>
    <row r="798" spans="1:10">
      <c r="A798" s="143" t="inlineStr">
        <is>
          <t xml:space="preserve">549</t>
        </is>
      </c>
      <c r="B798" s="143" t="inlineStr">
        <is>
          <t xml:space="preserve">783100-C7-1-001</t>
        </is>
      </c>
      <c r="C798" s="143" t="inlineStr">
        <is>
          <t xml:space="preserve">783100-C7-1-001 (03) / NO.1 ENG PRIMARY LATCH MECHNISM INSP</t>
        </is>
      </c>
      <c r="D798" s="143">
        <v>1.0</v>
      </c>
      <c r="E798" s="143">
        <v>1.42</v>
      </c>
      <c r="F798" s="143">
        <v>8.17</v>
      </c>
      <c r="G798" s="143">
        <v>329.8</v>
      </c>
      <c r="H798" s="143" t="inlineStr">
        <is>
          <t xml:space="preserve">Closed</t>
        </is>
      </c>
      <c r="I798" s="143" t="inlineStr">
        <is>
          <t xml:space="preserve">78-31</t>
        </is>
      </c>
      <c r="J798" s="143" t="inlineStr">
        <is>
          <t xml:space="preserve">JOB-SETUP, INSPECTION, JOB-CLOSEUP</t>
        </is>
      </c>
    </row>
    <row r="799" spans="1:10">
      <c r="A799" s="143" t="inlineStr">
        <is>
          <t xml:space="preserve">550</t>
        </is>
      </c>
      <c r="B799" s="143" t="inlineStr">
        <is>
          <t xml:space="preserve">783100-C7-1-002</t>
        </is>
      </c>
      <c r="C799" s="143" t="inlineStr">
        <is>
          <t xml:space="preserve">783100-C7-1-002 (03) / NO.2 ENG PRIMARY LATCH MECHNISM INSP</t>
        </is>
      </c>
      <c r="D799" s="143">
        <v>1.0</v>
      </c>
      <c r="E799" s="143">
        <v>1.42</v>
      </c>
      <c r="F799" s="143">
        <v>15.17</v>
      </c>
      <c r="G799" s="143">
        <v>329.8</v>
      </c>
      <c r="H799" s="143" t="inlineStr">
        <is>
          <t xml:space="preserve">Closed</t>
        </is>
      </c>
      <c r="I799" s="143" t="inlineStr">
        <is>
          <t xml:space="preserve">78-31</t>
        </is>
      </c>
      <c r="J799" s="143" t="inlineStr">
        <is>
          <t xml:space="preserve">JOB-SETUP, INSPECTION, JOB-CLOSEUP</t>
        </is>
      </c>
    </row>
    <row r="800" spans="1:10">
      <c r="A800" s="143" t="inlineStr">
        <is>
          <t xml:space="preserve">552</t>
        </is>
      </c>
      <c r="B800" s="143" t="inlineStr">
        <is>
          <t xml:space="preserve">783200-01-1-002</t>
        </is>
      </c>
      <c r="C800" s="143" t="inlineStr">
        <is>
          <t xml:space="preserve">783200-01-1-002 (04) / NO. 2 ENG “C” DUCT HINGE FITTINGS INSP</t>
        </is>
      </c>
      <c r="D800" s="143">
        <v>1.0</v>
      </c>
      <c r="E800" s="143">
        <v>1.32</v>
      </c>
      <c r="F800" s="143">
        <v>13.75</v>
      </c>
      <c r="G800" s="143">
        <v>453.7</v>
      </c>
      <c r="H800" s="143" t="inlineStr">
        <is>
          <t xml:space="preserve">Closed</t>
        </is>
      </c>
      <c r="I800" s="143" t="inlineStr">
        <is>
          <t xml:space="preserve">78-32</t>
        </is>
      </c>
      <c r="J800" s="143" t="inlineStr">
        <is>
          <t xml:space="preserve">JOB-SETUP, INSPECTION, JOB-CLOSEUP, JOB-CLOSEUP, JOB-CLOSEUP</t>
        </is>
      </c>
    </row>
    <row r="801" spans="1:10">
      <c r="A801" s="143" t="inlineStr">
        <is>
          <t xml:space="preserve">554</t>
        </is>
      </c>
      <c r="B801" s="143" t="inlineStr">
        <is>
          <t xml:space="preserve">ZL-100-02-1</t>
        </is>
      </c>
      <c r="C801" s="143" t="inlineStr">
        <is>
          <t xml:space="preserve">ZL-100-02-1 (04) / LOWER HALF OF FUSELAGE ZONAL INSP</t>
        </is>
      </c>
      <c r="D801" s="143">
        <v>1.0</v>
      </c>
      <c r="E801" s="143">
        <v>12.47</v>
      </c>
      <c r="F801" s="143">
        <v>1.33</v>
      </c>
      <c r="G801" s="143">
        <v>1.0</v>
      </c>
      <c r="H801" s="143" t="inlineStr">
        <is>
          <t xml:space="preserve">Closed</t>
        </is>
      </c>
      <c r="I801" s="143" t="inlineStr">
        <is>
          <t xml:space="preserve">05-21</t>
        </is>
      </c>
      <c r="J801" s="143" t="inlineStr">
        <is>
          <t xml:space="preserve">PRE INSP</t>
        </is>
      </c>
    </row>
    <row r="802" spans="1:10">
      <c r="A802" s="143" t="inlineStr">
        <is>
          <t xml:space="preserve">555</t>
        </is>
      </c>
      <c r="B802" s="143" t="inlineStr">
        <is>
          <t xml:space="preserve">ZL-123-02-1</t>
        </is>
      </c>
      <c r="C802" s="143" t="inlineStr">
        <is>
          <t xml:space="preserve">ZL-123-02-1 (4) / NOSE LANDING GEAR WELL ZONAL INSP</t>
        </is>
      </c>
      <c r="D802" s="143">
        <v>1.0</v>
      </c>
      <c r="E802" s="143">
        <v>0.87</v>
      </c>
      <c r="F802" s="143">
        <v>1.0</v>
      </c>
      <c r="G802" s="143">
        <v>1.0</v>
      </c>
      <c r="H802" s="143" t="inlineStr">
        <is>
          <t xml:space="preserve">Closed</t>
        </is>
      </c>
      <c r="I802" s="143" t="inlineStr">
        <is>
          <t xml:space="preserve">05-21</t>
        </is>
      </c>
      <c r="J802" s="143" t="inlineStr">
        <is>
          <t xml:space="preserve">PRE INSP</t>
        </is>
      </c>
    </row>
    <row r="803" spans="1:10">
      <c r="A803" s="143" t="inlineStr">
        <is>
          <t xml:space="preserve">556</t>
        </is>
      </c>
      <c r="B803" s="143" t="inlineStr">
        <is>
          <t xml:space="preserve">ZL-131-01-1</t>
        </is>
      </c>
      <c r="C803" s="143" t="inlineStr">
        <is>
          <t xml:space="preserve">ZL-131-01-1 (05) / FWD CARGO COMPARTMENT ZONAL INSP</t>
        </is>
      </c>
      <c r="D803" s="143">
        <v>1.0</v>
      </c>
      <c r="E803" s="143">
        <v>0.43</v>
      </c>
      <c r="F803" s="143">
        <v>0.25</v>
      </c>
      <c r="G803" s="143">
        <v>0.25</v>
      </c>
      <c r="H803" s="143" t="inlineStr">
        <is>
          <t xml:space="preserve">Closed</t>
        </is>
      </c>
      <c r="I803" s="143" t="inlineStr">
        <is>
          <t xml:space="preserve">05-21</t>
        </is>
      </c>
      <c r="J803" s="143" t="inlineStr">
        <is>
          <t xml:space="preserve">INSPECTION</t>
        </is>
      </c>
    </row>
    <row r="804" spans="1:10">
      <c r="A804" s="143" t="inlineStr">
        <is>
          <t xml:space="preserve">557</t>
        </is>
      </c>
      <c r="B804" s="143" t="inlineStr">
        <is>
          <t xml:space="preserve">ZL-151-01-1</t>
        </is>
      </c>
      <c r="C804" s="143" t="inlineStr">
        <is>
          <t xml:space="preserve">ZL-151-01-1 (3) / AFT CARGO COMPARTMENT ZONAL INSP</t>
        </is>
      </c>
      <c r="D804" s="143">
        <v>1.0</v>
      </c>
      <c r="E804" s="143">
        <v>0.43</v>
      </c>
      <c r="F804" s="143">
        <v>0.25</v>
      </c>
      <c r="G804" s="143">
        <v>0.25</v>
      </c>
      <c r="H804" s="143" t="inlineStr">
        <is>
          <t xml:space="preserve">Closed</t>
        </is>
      </c>
      <c r="I804" s="143" t="inlineStr">
        <is>
          <t xml:space="preserve">05-21</t>
        </is>
      </c>
      <c r="J804" s="143" t="inlineStr">
        <is>
          <t xml:space="preserve">INSPECTION</t>
        </is>
      </c>
    </row>
    <row r="805" spans="1:10">
      <c r="A805" s="143" t="inlineStr">
        <is>
          <t xml:space="preserve">558</t>
        </is>
      </c>
      <c r="B805" s="143" t="inlineStr">
        <is>
          <t xml:space="preserve">ZL-161-01-1</t>
        </is>
      </c>
      <c r="C805" s="143" t="inlineStr">
        <is>
          <t xml:space="preserve">ZL-161-01-1 (3) / BULK CARGO COMPARTMENT ZONAL INSP</t>
        </is>
      </c>
      <c r="D805" s="143">
        <v>1.0</v>
      </c>
      <c r="E805" s="143">
        <v>0.43</v>
      </c>
      <c r="F805" s="143">
        <v>0.08</v>
      </c>
      <c r="G805" s="143">
        <v>0.08</v>
      </c>
      <c r="H805" s="143" t="inlineStr">
        <is>
          <t xml:space="preserve">Closed</t>
        </is>
      </c>
      <c r="I805" s="143" t="inlineStr">
        <is>
          <t xml:space="preserve">05-21</t>
        </is>
      </c>
      <c r="J805" s="143" t="inlineStr">
        <is>
          <t xml:space="preserve">INSPECTION</t>
        </is>
      </c>
    </row>
    <row r="806" spans="1:10">
      <c r="A806" s="143" t="inlineStr">
        <is>
          <t xml:space="preserve">559</t>
        </is>
      </c>
      <c r="B806" s="143" t="inlineStr">
        <is>
          <t xml:space="preserve">ZL-161-02-1</t>
        </is>
      </c>
      <c r="C806" s="143" t="inlineStr">
        <is>
          <t xml:space="preserve">ZL-161-02-1 (02) / BULK CARGO COMPARTMENT ZONAL INSP</t>
        </is>
      </c>
      <c r="D806" s="143">
        <v>1.0</v>
      </c>
      <c r="E806" s="143">
        <v>75.7</v>
      </c>
      <c r="F806" s="143">
        <v>0.5</v>
      </c>
      <c r="G806" s="143">
        <v>0.5</v>
      </c>
      <c r="H806" s="143" t="inlineStr">
        <is>
          <t xml:space="preserve">Closed</t>
        </is>
      </c>
      <c r="I806" s="143" t="inlineStr">
        <is>
          <t xml:space="preserve">05-21</t>
        </is>
      </c>
      <c r="J806" s="143" t="inlineStr">
        <is>
          <t xml:space="preserve">INSPECTION</t>
        </is>
      </c>
    </row>
    <row r="807" spans="1:10">
      <c r="A807" s="143" t="inlineStr">
        <is>
          <t xml:space="preserve">560</t>
        </is>
      </c>
      <c r="B807" s="143" t="inlineStr">
        <is>
          <t xml:space="preserve">ZL-171-01-2</t>
        </is>
      </c>
      <c r="C807" s="143" t="inlineStr">
        <is>
          <t xml:space="preserve">ZL-171-01-2 (04) / AFT CAB UNDERFLOOR COMP. ZONAL INSP</t>
        </is>
      </c>
      <c r="D807" s="143">
        <v>1.0</v>
      </c>
      <c r="E807" s="143">
        <v>1.1</v>
      </c>
      <c r="F807" s="143">
        <v>8.33</v>
      </c>
      <c r="G807" s="143">
        <v>17.13</v>
      </c>
      <c r="H807" s="143" t="inlineStr">
        <is>
          <t xml:space="preserve">Closed</t>
        </is>
      </c>
      <c r="I807" s="143" t="inlineStr">
        <is>
          <t xml:space="preserve">05-21</t>
        </is>
      </c>
      <c r="J807" s="143" t="inlineStr">
        <is>
          <t xml:space="preserve">INSPECTION</t>
        </is>
      </c>
    </row>
    <row r="808" spans="1:10">
      <c r="A808" s="143" t="inlineStr">
        <is>
          <t xml:space="preserve">561</t>
        </is>
      </c>
      <c r="B808" s="143" t="inlineStr">
        <is>
          <t xml:space="preserve">ZL-300-02-1</t>
        </is>
      </c>
      <c r="C808" s="143" t="inlineStr">
        <is>
          <t xml:space="preserve">ZL-300-02-1 (05) / STABILIZERS&amp;CONE/REAR FUSELAGE INSP</t>
        </is>
      </c>
      <c r="D808" s="143">
        <v>1.0</v>
      </c>
      <c r="E808" s="143">
        <v>0.43</v>
      </c>
      <c r="F808" s="143">
        <v>8.0</v>
      </c>
      <c r="G808" s="143">
        <v>49.7</v>
      </c>
      <c r="H808" s="143" t="inlineStr">
        <is>
          <t xml:space="preserve">Closed</t>
        </is>
      </c>
      <c r="I808" s="143" t="inlineStr">
        <is>
          <t xml:space="preserve">05-23</t>
        </is>
      </c>
      <c r="J808" s="143" t="inlineStr">
        <is>
          <t xml:space="preserve">INSPECTION</t>
        </is>
      </c>
    </row>
    <row r="809" spans="1:10">
      <c r="A809" s="143" t="inlineStr">
        <is>
          <t xml:space="preserve">562</t>
        </is>
      </c>
      <c r="B809" s="143" t="inlineStr">
        <is>
          <t xml:space="preserve">ZL-315-01-1</t>
        </is>
      </c>
      <c r="C809" s="143" t="inlineStr">
        <is>
          <t xml:space="preserve">ZL-315-01-1 (02) / GENERAL VISUAL INSPECTION OF TAIL CONE APU AND ACCESSORY COMPARTMENT (EWIS)</t>
        </is>
      </c>
      <c r="D809" s="143">
        <v>1.0</v>
      </c>
      <c r="E809" s="143">
        <v>1.32</v>
      </c>
      <c r="F809" s="143">
        <v>0.75</v>
      </c>
      <c r="G809" s="143">
        <v>0.75</v>
      </c>
      <c r="H809" s="143" t="inlineStr">
        <is>
          <t xml:space="preserve">Closed</t>
        </is>
      </c>
      <c r="I809" s="143" t="inlineStr">
        <is>
          <t xml:space="preserve">05-23</t>
        </is>
      </c>
      <c r="J809" s="143" t="inlineStr">
        <is>
          <t xml:space="preserve">INSPECTION</t>
        </is>
      </c>
    </row>
    <row r="810" spans="1:10">
      <c r="A810" s="143" t="inlineStr">
        <is>
          <t xml:space="preserve">563</t>
        </is>
      </c>
      <c r="B810" s="143" t="inlineStr">
        <is>
          <t xml:space="preserve">ZL-334-01-1</t>
        </is>
      </c>
      <c r="C810" s="143" t="inlineStr">
        <is>
          <t xml:space="preserve">ZL-334-01-1 (4) / THS TRAILING EDGE ZONAL INSPECTION</t>
        </is>
      </c>
      <c r="D810" s="143">
        <v>1.0</v>
      </c>
      <c r="E810" s="143">
        <v>0.87</v>
      </c>
      <c r="F810" s="143">
        <v>46.8</v>
      </c>
      <c r="G810" s="143">
        <v>5.2</v>
      </c>
      <c r="H810" s="143" t="inlineStr">
        <is>
          <t xml:space="preserve">Closed</t>
        </is>
      </c>
      <c r="I810" s="143" t="inlineStr">
        <is>
          <t xml:space="preserve">05-23</t>
        </is>
      </c>
      <c r="J810" s="143" t="inlineStr">
        <is>
          <t xml:space="preserve">INSPECTION</t>
        </is>
      </c>
    </row>
    <row r="811" spans="1:10">
      <c r="A811" s="143" t="inlineStr">
        <is>
          <t xml:space="preserve">564</t>
        </is>
      </c>
      <c r="B811" s="143" t="inlineStr">
        <is>
          <t xml:space="preserve">ZL-411-01-3-001</t>
        </is>
      </c>
      <c r="C811" s="143" t="inlineStr">
        <is>
          <t xml:space="preserve">ZL-411-01-3-001 (05) / NO. 1 ENGINE UPPER FORWARD PYLON</t>
        </is>
      </c>
      <c r="D811" s="143">
        <v>1.0</v>
      </c>
      <c r="E811" s="143">
        <v>0.38</v>
      </c>
      <c r="F811" s="143">
        <v>1.83</v>
      </c>
      <c r="G811" s="143">
        <v>1.02</v>
      </c>
      <c r="H811" s="143" t="inlineStr">
        <is>
          <t xml:space="preserve">Closed</t>
        </is>
      </c>
      <c r="I811" s="143" t="inlineStr">
        <is>
          <t xml:space="preserve">05-24</t>
        </is>
      </c>
      <c r="J811" s="143" t="inlineStr">
        <is>
          <t xml:space="preserve">INSPECTION</t>
        </is>
      </c>
    </row>
    <row r="812" spans="1:10">
      <c r="A812" s="143" t="inlineStr">
        <is>
          <t xml:space="preserve">565</t>
        </is>
      </c>
      <c r="B812" s="143" t="inlineStr">
        <is>
          <t xml:space="preserve">ZL-411-01-3-002</t>
        </is>
      </c>
      <c r="C812" s="143" t="inlineStr">
        <is>
          <t xml:space="preserve">ZL-411-01-3-002 (05) / NO. 2 ENGINE UPPER FORWARD PYLON</t>
        </is>
      </c>
      <c r="D812" s="143">
        <v>1.0</v>
      </c>
      <c r="E812" s="143">
        <v>0.38</v>
      </c>
      <c r="F812" s="143">
        <v>2.0</v>
      </c>
      <c r="G812" s="143">
        <v>1.07</v>
      </c>
      <c r="H812" s="143" t="inlineStr">
        <is>
          <t xml:space="preserve">Closed</t>
        </is>
      </c>
      <c r="I812" s="143" t="inlineStr">
        <is>
          <t xml:space="preserve">05-24</t>
        </is>
      </c>
      <c r="J812" s="143" t="inlineStr">
        <is>
          <t xml:space="preserve">INSPECTION</t>
        </is>
      </c>
    </row>
    <row r="813" spans="1:10">
      <c r="A813" s="143" t="inlineStr">
        <is>
          <t xml:space="preserve">566</t>
        </is>
      </c>
      <c r="B813" s="143" t="inlineStr">
        <is>
          <t xml:space="preserve">ZL-437-01-1-001</t>
        </is>
      </c>
      <c r="C813" s="143" t="inlineStr">
        <is>
          <t xml:space="preserve">ZL-437-01-1-001 (05) / GENERAL VISUAL INSPECTION OF FAN COWL NO.1 ENGINE</t>
        </is>
      </c>
      <c r="D813" s="143">
        <v>1.0</v>
      </c>
      <c r="E813" s="143">
        <v>0.87</v>
      </c>
      <c r="F813" s="143">
        <v>1.0</v>
      </c>
      <c r="G813" s="143">
        <v>1.0</v>
      </c>
      <c r="H813" s="143" t="inlineStr">
        <is>
          <t xml:space="preserve">Closed</t>
        </is>
      </c>
      <c r="I813" s="143" t="inlineStr">
        <is>
          <t xml:space="preserve">05-24</t>
        </is>
      </c>
      <c r="J813" s="143" t="inlineStr">
        <is>
          <t xml:space="preserve">INSPECTION</t>
        </is>
      </c>
    </row>
    <row r="814" spans="1:10">
      <c r="A814" s="143" t="inlineStr">
        <is>
          <t xml:space="preserve">567</t>
        </is>
      </c>
      <c r="B814" s="143" t="inlineStr">
        <is>
          <t xml:space="preserve">ZL-437-01-1-002</t>
        </is>
      </c>
      <c r="C814" s="143" t="inlineStr">
        <is>
          <t xml:space="preserve">ZL-437-01-1-002 (05) / GENERAL VISUAL INSPECTION OF FAN COWL NO.2 ENGINE</t>
        </is>
      </c>
      <c r="D814" s="143">
        <v>1.0</v>
      </c>
      <c r="E814" s="143">
        <v>0.87</v>
      </c>
      <c r="F814" s="143">
        <v>1.0</v>
      </c>
      <c r="G814" s="143">
        <v>1.0</v>
      </c>
      <c r="H814" s="143" t="inlineStr">
        <is>
          <t xml:space="preserve">Closed</t>
        </is>
      </c>
      <c r="I814" s="143" t="inlineStr">
        <is>
          <t xml:space="preserve">05-24</t>
        </is>
      </c>
      <c r="J814" s="143" t="inlineStr">
        <is>
          <t xml:space="preserve">INSPECTION</t>
        </is>
      </c>
    </row>
    <row r="815" spans="1:10">
      <c r="A815" s="143" t="inlineStr">
        <is>
          <t xml:space="preserve">568</t>
        </is>
      </c>
      <c r="B815" s="143" t="inlineStr">
        <is>
          <t xml:space="preserve">ZL-451-01-1-001</t>
        </is>
      </c>
      <c r="C815" s="143" t="inlineStr">
        <is>
          <t xml:space="preserve">ZL-451-01-1-001 (04) / NO. 1 ENGINE THRUST REVERSER COWLING</t>
        </is>
      </c>
      <c r="D815" s="143">
        <v>1.0</v>
      </c>
      <c r="E815" s="143">
        <v>0.87</v>
      </c>
      <c r="F815" s="143">
        <v>7.5</v>
      </c>
      <c r="G815" s="143">
        <v>62.7</v>
      </c>
      <c r="H815" s="143" t="inlineStr">
        <is>
          <t xml:space="preserve">Closed</t>
        </is>
      </c>
      <c r="I815" s="143" t="inlineStr">
        <is>
          <t xml:space="preserve">05-24</t>
        </is>
      </c>
      <c r="J815" s="143" t="inlineStr">
        <is>
          <t xml:space="preserve">JOB-SETUP, INSPECTION, JOB-CLOSEUP</t>
        </is>
      </c>
    </row>
    <row r="816" spans="1:10">
      <c r="A816" s="143" t="inlineStr">
        <is>
          <t xml:space="preserve">569</t>
        </is>
      </c>
      <c r="B816" s="143" t="inlineStr">
        <is>
          <t xml:space="preserve">ZL-451-01-1-002</t>
        </is>
      </c>
      <c r="C816" s="143" t="inlineStr">
        <is>
          <t xml:space="preserve">ZL-451-01-1-002 (04) / NO. 2 ENGINE THRUST REVERSER COWLING</t>
        </is>
      </c>
      <c r="D816" s="143">
        <v>1.0</v>
      </c>
      <c r="E816" s="143">
        <v>0.87</v>
      </c>
      <c r="F816" s="143">
        <v>12.0</v>
      </c>
      <c r="G816" s="143">
        <v>50.6</v>
      </c>
      <c r="H816" s="143" t="inlineStr">
        <is>
          <t xml:space="preserve">Closed</t>
        </is>
      </c>
      <c r="I816" s="143" t="inlineStr">
        <is>
          <t xml:space="preserve">05-24</t>
        </is>
      </c>
      <c r="J816" s="143" t="inlineStr">
        <is>
          <t xml:space="preserve">JOB-SETUP, INSPECTION, JOB-CLOSEUP</t>
        </is>
      </c>
    </row>
    <row r="817" spans="1:10">
      <c r="A817" s="143" t="inlineStr">
        <is>
          <t xml:space="preserve">570</t>
        </is>
      </c>
      <c r="B817" s="143" t="inlineStr">
        <is>
          <t xml:space="preserve">ZL-453-01-1-001</t>
        </is>
      </c>
      <c r="C817" s="143" t="inlineStr">
        <is>
          <t xml:space="preserve">ZL-453-01-1-001 (05) / NO.1 ENGINE HOT SECTION ZONAL INSP</t>
        </is>
      </c>
      <c r="D817" s="143">
        <v>1.0</v>
      </c>
      <c r="E817" s="143">
        <v>0.87</v>
      </c>
      <c r="F817" s="143">
        <v>1.0</v>
      </c>
      <c r="G817" s="143">
        <v>1.0</v>
      </c>
      <c r="H817" s="143" t="inlineStr">
        <is>
          <t xml:space="preserve">Closed</t>
        </is>
      </c>
      <c r="I817" s="143" t="inlineStr">
        <is>
          <t xml:space="preserve">05-24</t>
        </is>
      </c>
      <c r="J817" s="143" t="inlineStr">
        <is>
          <t xml:space="preserve">INSPECTION</t>
        </is>
      </c>
    </row>
    <row r="818" spans="1:10">
      <c r="A818" s="143" t="inlineStr">
        <is>
          <t xml:space="preserve">571</t>
        </is>
      </c>
      <c r="B818" s="143" t="inlineStr">
        <is>
          <t xml:space="preserve">ZL-453-01-1-002</t>
        </is>
      </c>
      <c r="C818" s="143" t="inlineStr">
        <is>
          <t xml:space="preserve">ZL-453-01-1-002 (05) / NO.2 ENGINE HOT SECTION ZONAL INSP</t>
        </is>
      </c>
      <c r="D818" s="143">
        <v>1.0</v>
      </c>
      <c r="E818" s="143">
        <v>0.87</v>
      </c>
      <c r="F818" s="143">
        <v>1.0</v>
      </c>
      <c r="G818" s="143">
        <v>1.0</v>
      </c>
      <c r="H818" s="143" t="inlineStr">
        <is>
          <t xml:space="preserve">Closed</t>
        </is>
      </c>
      <c r="I818" s="143" t="inlineStr">
        <is>
          <t xml:space="preserve">05-24</t>
        </is>
      </c>
      <c r="J818" s="143" t="inlineStr">
        <is>
          <t xml:space="preserve">INSPECTION</t>
        </is>
      </c>
    </row>
    <row r="819" spans="1:10">
      <c r="A819" s="143" t="inlineStr">
        <is>
          <t xml:space="preserve">572</t>
        </is>
      </c>
      <c r="B819" s="143" t="inlineStr">
        <is>
          <t xml:space="preserve">ZL-471-01-4-001</t>
        </is>
      </c>
      <c r="C819" s="143" t="inlineStr">
        <is>
          <t xml:space="preserve">ZL-471-01-4-001 (04) / NO.1 ENG PYLON L/E AND LOWER FAIRING</t>
        </is>
      </c>
      <c r="D819" s="143">
        <v>1.0</v>
      </c>
      <c r="E819" s="143">
        <v>0.65</v>
      </c>
      <c r="F819" s="143">
        <v>0.83</v>
      </c>
      <c r="G819" s="143">
        <v>0.6</v>
      </c>
      <c r="H819" s="143" t="inlineStr">
        <is>
          <t xml:space="preserve">Closed</t>
        </is>
      </c>
      <c r="I819" s="143" t="inlineStr">
        <is>
          <t xml:space="preserve">05-24</t>
        </is>
      </c>
      <c r="J819" s="143" t="inlineStr">
        <is>
          <t xml:space="preserve">INSPECTION</t>
        </is>
      </c>
    </row>
    <row r="820" spans="1:10">
      <c r="A820" s="143" t="inlineStr">
        <is>
          <t xml:space="preserve">573</t>
        </is>
      </c>
      <c r="B820" s="143" t="inlineStr">
        <is>
          <t xml:space="preserve">ZL-471-01-4-002</t>
        </is>
      </c>
      <c r="C820" s="143" t="inlineStr">
        <is>
          <t xml:space="preserve">ZL-471-01-4-002 (04) / NO.2 ENG PYLON L/E AND LOWER FAIRING</t>
        </is>
      </c>
      <c r="D820" s="143">
        <v>1.0</v>
      </c>
      <c r="E820" s="143">
        <v>0.65</v>
      </c>
      <c r="F820" s="143">
        <v>1.17</v>
      </c>
      <c r="G820" s="143">
        <v>0.98</v>
      </c>
      <c r="H820" s="143" t="inlineStr">
        <is>
          <t xml:space="preserve">Closed</t>
        </is>
      </c>
      <c r="I820" s="143" t="inlineStr">
        <is>
          <t xml:space="preserve">05-24</t>
        </is>
      </c>
      <c r="J820" s="143" t="inlineStr">
        <is>
          <t xml:space="preserve">INSPECTION</t>
        </is>
      </c>
    </row>
    <row r="821" spans="1:10">
      <c r="A821" s="143" t="inlineStr">
        <is>
          <t xml:space="preserve">574</t>
        </is>
      </c>
      <c r="B821" s="143" t="inlineStr">
        <is>
          <t xml:space="preserve">ZL-500-02-1-001</t>
        </is>
      </c>
      <c r="C821" s="143" t="inlineStr">
        <is>
          <t xml:space="preserve">ZL-500-02-1-001 (05) / L/H WING LOWER SURFACE ZONAL INSP</t>
        </is>
      </c>
      <c r="D821" s="143">
        <v>1.0</v>
      </c>
      <c r="E821" s="143">
        <v>1.4</v>
      </c>
      <c r="F821" s="143">
        <v>1.0</v>
      </c>
      <c r="G821" s="143">
        <v>1.0</v>
      </c>
      <c r="H821" s="143" t="inlineStr">
        <is>
          <t xml:space="preserve">Closed</t>
        </is>
      </c>
      <c r="I821" s="143" t="inlineStr">
        <is>
          <t xml:space="preserve">05-25</t>
        </is>
      </c>
      <c r="J821" s="143" t="inlineStr">
        <is>
          <t xml:space="preserve">INSPECTION</t>
        </is>
      </c>
    </row>
    <row r="822" spans="1:10">
      <c r="A822" s="143" t="inlineStr">
        <is>
          <t xml:space="preserve">575</t>
        </is>
      </c>
      <c r="B822" s="143" t="inlineStr">
        <is>
          <t xml:space="preserve">ZL-500-02-1-002</t>
        </is>
      </c>
      <c r="C822" s="143" t="inlineStr">
        <is>
          <t xml:space="preserve">ZL-500-02-1-002 (05) / R/H WING LOWER SURFACE ZONAL INSP</t>
        </is>
      </c>
      <c r="D822" s="143">
        <v>1.0</v>
      </c>
      <c r="E822" s="143">
        <v>1.4</v>
      </c>
      <c r="F822" s="143">
        <v>1.0</v>
      </c>
      <c r="G822" s="143">
        <v>1.0</v>
      </c>
      <c r="H822" s="143" t="inlineStr">
        <is>
          <t xml:space="preserve">Closed</t>
        </is>
      </c>
      <c r="I822" s="143" t="inlineStr">
        <is>
          <t xml:space="preserve">05-25</t>
        </is>
      </c>
      <c r="J822" s="143" t="inlineStr">
        <is>
          <t xml:space="preserve">INSPECTION</t>
        </is>
      </c>
    </row>
    <row r="823" spans="1:10">
      <c r="A823" s="143" t="inlineStr">
        <is>
          <t xml:space="preserve">576</t>
        </is>
      </c>
      <c r="B823" s="143" t="inlineStr">
        <is>
          <t xml:space="preserve">ZL-575-01-1-001</t>
        </is>
      </c>
      <c r="C823" s="143" t="inlineStr">
        <is>
          <t xml:space="preserve">ZL-575-01-1-001 (04) / L/H OUTB FIXED TRAILING EDGE INSP</t>
        </is>
      </c>
      <c r="D823" s="143">
        <v>1.0</v>
      </c>
      <c r="E823" s="143">
        <v>1.4</v>
      </c>
      <c r="F823" s="143">
        <v>1.25</v>
      </c>
      <c r="G823" s="143">
        <v>49.9</v>
      </c>
      <c r="H823" s="143" t="inlineStr">
        <is>
          <t xml:space="preserve">Closed</t>
        </is>
      </c>
      <c r="I823" s="143" t="inlineStr">
        <is>
          <t xml:space="preserve">05-25</t>
        </is>
      </c>
      <c r="J823" s="143" t="inlineStr">
        <is>
          <t xml:space="preserve">INSPECTION</t>
        </is>
      </c>
    </row>
    <row r="824" spans="1:10">
      <c r="A824" s="143" t="inlineStr">
        <is>
          <t xml:space="preserve">577</t>
        </is>
      </c>
      <c r="B824" s="143" t="inlineStr">
        <is>
          <t xml:space="preserve">ZL-575-01-1-002</t>
        </is>
      </c>
      <c r="C824" s="143" t="inlineStr">
        <is>
          <t xml:space="preserve">ZL-575-01-1-002 (04) / R/H OUTB FIXED TRAILING EDGE INSP</t>
        </is>
      </c>
      <c r="D824" s="143">
        <v>1.0</v>
      </c>
      <c r="E824" s="143">
        <v>1.4</v>
      </c>
      <c r="F824" s="143">
        <v>1.5</v>
      </c>
      <c r="G824" s="143">
        <v>2.35</v>
      </c>
      <c r="H824" s="143" t="inlineStr">
        <is>
          <t xml:space="preserve">Closed</t>
        </is>
      </c>
      <c r="I824" s="143" t="inlineStr">
        <is>
          <t xml:space="preserve">05-25</t>
        </is>
      </c>
      <c r="J824" s="143" t="inlineStr">
        <is>
          <t xml:space="preserve">INSPECTION</t>
        </is>
      </c>
    </row>
    <row r="825" spans="1:10">
      <c r="A825" s="143" t="inlineStr">
        <is>
          <t xml:space="preserve">578</t>
        </is>
      </c>
      <c r="B825" s="143" t="inlineStr">
        <is>
          <t xml:space="preserve">ZL-734-01-1</t>
        </is>
      </c>
      <c r="C825" s="143" t="inlineStr">
        <is>
          <t xml:space="preserve">ZL-734-01-1 (3) / MLG MAIN DOOR ZONAL INSPECTION</t>
        </is>
      </c>
      <c r="D825" s="143">
        <v>1.0</v>
      </c>
      <c r="E825" s="143">
        <v>0.43</v>
      </c>
      <c r="F825" s="143">
        <v>0.5</v>
      </c>
      <c r="G825" s="143">
        <v>0.5</v>
      </c>
      <c r="H825" s="143" t="inlineStr">
        <is>
          <t xml:space="preserve">Closed</t>
        </is>
      </c>
      <c r="I825" s="143" t="inlineStr">
        <is>
          <t xml:space="preserve">05-27</t>
        </is>
      </c>
      <c r="J825" s="143" t="inlineStr">
        <is>
          <t xml:space="preserve">PRE INSP, PRE INSP</t>
        </is>
      </c>
    </row>
    <row r="826" spans="1:10">
      <c r="A826" s="143" t="inlineStr">
        <is>
          <t xml:space="preserve">579</t>
        </is>
      </c>
      <c r="B826" s="143" t="inlineStr">
        <is>
          <t xml:space="preserve">ZL-825-01-1</t>
        </is>
      </c>
      <c r="C826" s="143" t="inlineStr">
        <is>
          <t xml:space="preserve">ZL-825-01-1 (04) / FORWARD CARGO COMP. DOOR ZONAL INSP</t>
        </is>
      </c>
      <c r="D826" s="143">
        <v>1.0</v>
      </c>
      <c r="E826" s="143">
        <v>0.22</v>
      </c>
      <c r="F826" s="143">
        <v>0.25</v>
      </c>
      <c r="G826" s="143">
        <v>0.25</v>
      </c>
      <c r="H826" s="143" t="inlineStr">
        <is>
          <t xml:space="preserve">Closed</t>
        </is>
      </c>
      <c r="I826" s="143" t="inlineStr">
        <is>
          <t xml:space="preserve">05-28</t>
        </is>
      </c>
      <c r="J826" s="143" t="inlineStr">
        <is>
          <t xml:space="preserve">PRE INSP</t>
        </is>
      </c>
    </row>
    <row r="827" spans="1:10">
      <c r="A827" s="143" t="inlineStr">
        <is>
          <t xml:space="preserve">580</t>
        </is>
      </c>
      <c r="B827" s="143" t="inlineStr">
        <is>
          <t xml:space="preserve">ZL-826-01-1</t>
        </is>
      </c>
      <c r="C827" s="143" t="inlineStr">
        <is>
          <t xml:space="preserve">ZL-826-01-1 (04) / AFT CARGO COMP. DOOR ZONAL INSP</t>
        </is>
      </c>
      <c r="D827" s="143">
        <v>1.0</v>
      </c>
      <c r="E827" s="143">
        <v>0.22</v>
      </c>
      <c r="F827" s="143">
        <v>0.65</v>
      </c>
      <c r="G827" s="143">
        <v>0.65</v>
      </c>
      <c r="H827" s="143" t="inlineStr">
        <is>
          <t xml:space="preserve">Closed</t>
        </is>
      </c>
      <c r="I827" s="143" t="inlineStr">
        <is>
          <t xml:space="preserve">05-28</t>
        </is>
      </c>
      <c r="J827" s="143" t="inlineStr">
        <is>
          <t xml:space="preserve">PRE INSP</t>
        </is>
      </c>
    </row>
    <row r="828" spans="1:10">
      <c r="A828" s="143" t="inlineStr">
        <is>
          <t xml:space="preserve">581</t>
        </is>
      </c>
      <c r="B828" s="143" t="inlineStr">
        <is>
          <t xml:space="preserve">ZL-827-01-1</t>
        </is>
      </c>
      <c r="C828" s="143" t="inlineStr">
        <is>
          <t xml:space="preserve">ZL-827-01-1 (06) / BULK CARGO COMP. DOOR ZONAL INSP</t>
        </is>
      </c>
      <c r="D828" s="143">
        <v>1.0</v>
      </c>
      <c r="E828" s="143">
        <v>0.43</v>
      </c>
      <c r="F828" s="143">
        <v>0.08</v>
      </c>
      <c r="G828" s="143">
        <v>0.08</v>
      </c>
      <c r="H828" s="143" t="inlineStr">
        <is>
          <t xml:space="preserve">Closed</t>
        </is>
      </c>
      <c r="I828" s="143" t="inlineStr">
        <is>
          <t xml:space="preserve">05-28</t>
        </is>
      </c>
      <c r="J828" s="143" t="inlineStr">
        <is>
          <t xml:space="preserve">PRE INSP</t>
        </is>
      </c>
    </row>
    <row r="829" spans="1:10">
      <c r="A829" s="143" t="inlineStr">
        <is>
          <t xml:space="preserve">582</t>
        </is>
      </c>
      <c r="B829" s="143" t="inlineStr">
        <is>
          <t xml:space="preserve">272100-08-1</t>
        </is>
      </c>
      <c r="C829" s="143" t="inlineStr">
        <is>
          <t xml:space="preserve">272100-08-1 (02) / RUDDER MECHANICAL CNTROL LUBRICATION</t>
        </is>
      </c>
      <c r="D829" s="143">
        <v>1.0</v>
      </c>
      <c r="E829" s="143">
        <v>0.22</v>
      </c>
      <c r="F829" s="143">
        <v>5.0</v>
      </c>
      <c r="G829" s="143">
        <v>3.0</v>
      </c>
      <c r="H829" s="143" t="inlineStr">
        <is>
          <t xml:space="preserve">Closed</t>
        </is>
      </c>
      <c r="I829" s="143" t="inlineStr">
        <is>
          <t xml:space="preserve">27-21</t>
        </is>
      </c>
      <c r="J829" s="143" t="inlineStr">
        <is>
          <t xml:space="preserve">TC/P</t>
        </is>
      </c>
    </row>
    <row r="830" spans="1:10">
      <c r="A830" s="143" t="inlineStr">
        <is>
          <t xml:space="preserve">583</t>
        </is>
      </c>
      <c r="B830" s="143" t="inlineStr">
        <is>
          <t xml:space="preserve">274100-03-1</t>
        </is>
      </c>
      <c r="C830" s="143" t="inlineStr">
        <is>
          <t xml:space="preserve">274100-03-1 (3) / THS MECHANICAL CONTROL LUBRICATION</t>
        </is>
      </c>
      <c r="D830" s="143">
        <v>1.0</v>
      </c>
      <c r="E830" s="143">
        <v>0.43</v>
      </c>
      <c r="F830" s="143">
        <v>2.0</v>
      </c>
      <c r="G830" s="143">
        <v>1.0</v>
      </c>
      <c r="H830" s="143" t="inlineStr">
        <is>
          <t xml:space="preserve">Closed</t>
        </is>
      </c>
      <c r="I830" s="143" t="inlineStr">
        <is>
          <t xml:space="preserve">12-22</t>
        </is>
      </c>
      <c r="J830" s="143" t="inlineStr">
        <is>
          <t xml:space="preserve">JOB-SETUP, TC/P, JOB-CLOSEUP</t>
        </is>
      </c>
    </row>
    <row r="831" spans="1:10">
      <c r="A831" s="143" t="inlineStr">
        <is>
          <t xml:space="preserve">587</t>
        </is>
      </c>
      <c r="B831" s="143" t="inlineStr">
        <is>
          <t xml:space="preserve">282400-02-1-001</t>
        </is>
      </c>
      <c r="C831" s="143" t="inlineStr">
        <is>
          <t xml:space="preserve">282400-02-1-001 (04) / NO. 1 ENG LOW PRESS SHUT OFF VALVE OPC BY INDIVIDUAL MOTORS</t>
        </is>
      </c>
      <c r="D831" s="143">
        <v>1.0</v>
      </c>
      <c r="E831" s="143">
        <v>0.67</v>
      </c>
      <c r="F831" s="143">
        <v>2.0</v>
      </c>
      <c r="G831" s="143">
        <v>2.0</v>
      </c>
      <c r="H831" s="143" t="inlineStr">
        <is>
          <t xml:space="preserve">Closed</t>
        </is>
      </c>
      <c r="I831" s="143" t="inlineStr">
        <is>
          <t xml:space="preserve">28-24</t>
        </is>
      </c>
      <c r="J831" s="143" t="inlineStr">
        <is>
          <t xml:space="preserve">PRE HGR, PRE HGR, JOB-CLOSEUP</t>
        </is>
      </c>
    </row>
    <row r="832" spans="1:10">
      <c r="A832" s="143" t="inlineStr">
        <is>
          <t xml:space="preserve">588</t>
        </is>
      </c>
      <c r="B832" s="143" t="inlineStr">
        <is>
          <t xml:space="preserve">282400-02-1-002</t>
        </is>
      </c>
      <c r="C832" s="143" t="inlineStr">
        <is>
          <t xml:space="preserve">282400-02-1-002 (04) / NO. 2 ENG LOW PRESS SHUT OFF VALVE OPC BY INDIVIDUAL MOTORS</t>
        </is>
      </c>
      <c r="D832" s="143">
        <v>1.0</v>
      </c>
      <c r="E832" s="143">
        <v>0.67</v>
      </c>
      <c r="F832" s="143">
        <v>3.0</v>
      </c>
      <c r="G832" s="143">
        <v>3.0</v>
      </c>
      <c r="H832" s="143" t="inlineStr">
        <is>
          <t xml:space="preserve">Closed</t>
        </is>
      </c>
      <c r="I832" s="143" t="inlineStr">
        <is>
          <t xml:space="preserve">28-24</t>
        </is>
      </c>
      <c r="J832" s="143" t="inlineStr">
        <is>
          <t xml:space="preserve">PRE HGR, PRE HGR, JOB-CLOSEUP</t>
        </is>
      </c>
    </row>
    <row r="833" spans="1:10">
      <c r="A833" s="143" t="inlineStr">
        <is>
          <t xml:space="preserve">589</t>
        </is>
      </c>
      <c r="B833" s="143" t="inlineStr">
        <is>
          <t xml:space="preserve">344200-02-2</t>
        </is>
      </c>
      <c r="C833" s="143" t="inlineStr">
        <is>
          <t xml:space="preserve">344200-02-2 (01) / RADIO ALTIMETER</t>
        </is>
      </c>
      <c r="D833" s="143">
        <v>1.0</v>
      </c>
      <c r="E833" s="143">
        <v>7.22</v>
      </c>
      <c r="F833" s="143">
        <v>14.0</v>
      </c>
      <c r="G833" s="143">
        <v>447.4</v>
      </c>
      <c r="H833" s="143" t="inlineStr">
        <is>
          <t xml:space="preserve">Closed</t>
        </is>
      </c>
      <c r="I833" s="143" t="inlineStr">
        <is>
          <t xml:space="preserve">34-42</t>
        </is>
      </c>
      <c r="J833" s="143" t="inlineStr">
        <is>
          <t xml:space="preserve">JOB-SETUP, TC/P, JOB-CLOSEUP, JOB-CLOSEUP</t>
        </is>
      </c>
    </row>
    <row r="834" spans="1:10">
      <c r="A834" s="143" t="inlineStr">
        <is>
          <t xml:space="preserve">590</t>
        </is>
      </c>
      <c r="B834" s="143" t="inlineStr">
        <is>
          <t xml:space="preserve">344200-04-1</t>
        </is>
      </c>
      <c r="C834" s="143" t="inlineStr">
        <is>
          <t xml:space="preserve">344200-04-1 (01) / RADIO ALTIMETER</t>
        </is>
      </c>
      <c r="D834" s="143">
        <v>1.0</v>
      </c>
      <c r="E834" s="143">
        <v>10.22</v>
      </c>
      <c r="F834" s="143">
        <v>13.0</v>
      </c>
      <c r="G834" s="143">
        <v>76.9</v>
      </c>
      <c r="H834" s="143" t="inlineStr">
        <is>
          <t xml:space="preserve">Closed</t>
        </is>
      </c>
      <c r="I834" s="143" t="inlineStr">
        <is>
          <t xml:space="preserve">34-42</t>
        </is>
      </c>
      <c r="J834" s="143" t="inlineStr">
        <is>
          <t xml:space="preserve">JOB-SETUP, CLEAN-UP, INSPECTION, INSPECTION, JOB-CLOSEUP, JOB-CLOSEUP</t>
        </is>
      </c>
    </row>
    <row r="835" spans="1:10">
      <c r="A835" s="143" t="inlineStr">
        <is>
          <t xml:space="preserve">592</t>
        </is>
      </c>
      <c r="B835" s="143" t="inlineStr">
        <is>
          <t xml:space="preserve">383100-02-1</t>
        </is>
      </c>
      <c r="C835" s="143" t="inlineStr">
        <is>
          <t xml:space="preserve">383100-02-1 (3) / INSPECT WATER SEPARATOR AND ASSOCIATED FILTER ELEMENT, AND CLEAN AS NECESSARY</t>
        </is>
      </c>
      <c r="D835" s="143">
        <v>1.0</v>
      </c>
      <c r="E835" s="143">
        <v>3.1</v>
      </c>
      <c r="F835" s="143">
        <v>3.98</v>
      </c>
      <c r="G835" s="143">
        <v>24.4</v>
      </c>
      <c r="H835" s="143" t="inlineStr">
        <is>
          <t xml:space="preserve">Closed</t>
        </is>
      </c>
      <c r="I835" s="143" t="inlineStr">
        <is>
          <t xml:space="preserve">38-31</t>
        </is>
      </c>
      <c r="J835" s="143" t="inlineStr">
        <is>
          <t xml:space="preserve">JOB-SETUP, TC/P, CLOSE-UP</t>
        </is>
      </c>
    </row>
    <row r="836" spans="1:10">
      <c r="A836" s="143" t="inlineStr">
        <is>
          <t xml:space="preserve">593</t>
        </is>
      </c>
      <c r="B836" s="143" t="inlineStr">
        <is>
          <t xml:space="preserve">494000-B2-1</t>
        </is>
      </c>
      <c r="C836" s="143" t="inlineStr">
        <is>
          <t xml:space="preserve">494000-B2-1 (02) / DETAILED INSPECTION OF IGNITER PLUG</t>
        </is>
      </c>
      <c r="D836" s="143">
        <v>1.0</v>
      </c>
      <c r="E836" s="143">
        <v>0.5</v>
      </c>
      <c r="F836" s="143">
        <v>3.5</v>
      </c>
      <c r="G836" s="143">
        <v>32.8</v>
      </c>
      <c r="H836" s="143" t="inlineStr">
        <is>
          <t xml:space="preserve">Closed</t>
        </is>
      </c>
      <c r="I836" s="143" t="inlineStr">
        <is>
          <t xml:space="preserve">49-41</t>
        </is>
      </c>
      <c r="J836" s="143" t="inlineStr">
        <is>
          <t xml:space="preserve">JOB-SETUP, INSPECTION, JOB-CLOSEUP</t>
        </is>
      </c>
    </row>
    <row r="837" spans="1:10">
      <c r="A837" s="143" t="inlineStr">
        <is>
          <t xml:space="preserve">594</t>
        </is>
      </c>
      <c r="B837" s="143" t="inlineStr">
        <is>
          <t xml:space="preserve">521000-14-1</t>
        </is>
      </c>
      <c r="C837" s="143" t="inlineStr">
        <is>
          <t xml:space="preserve">521000-14-1 (7) / FWD AND AFT PASS/CREW DOOR HINGE LUB</t>
        </is>
      </c>
      <c r="D837" s="143">
        <v>1.0</v>
      </c>
      <c r="E837" s="143">
        <v>0.87</v>
      </c>
      <c r="F837" s="143">
        <v>6.0</v>
      </c>
      <c r="G837" s="143">
        <v>2.02</v>
      </c>
      <c r="H837" s="143" t="inlineStr">
        <is>
          <t xml:space="preserve">Closed</t>
        </is>
      </c>
      <c r="I837" s="143" t="inlineStr">
        <is>
          <t xml:space="preserve">12-22</t>
        </is>
      </c>
      <c r="J837" s="143" t="inlineStr">
        <is>
          <t xml:space="preserve">TC/P</t>
        </is>
      </c>
    </row>
    <row r="838" spans="1:10">
      <c r="A838" s="143" t="inlineStr">
        <is>
          <t xml:space="preserve">595</t>
        </is>
      </c>
      <c r="B838" s="143" t="inlineStr">
        <is>
          <t xml:space="preserve">521121-01-1</t>
        </is>
      </c>
      <c r="C838" s="143" t="inlineStr">
        <is>
          <t xml:space="preserve">521121-01-1 (4) / FWD AND AFT PASS/CREW DOOR EXT LUB</t>
        </is>
      </c>
      <c r="D838" s="143">
        <v>1.0</v>
      </c>
      <c r="E838" s="143">
        <v>0.87</v>
      </c>
      <c r="F838" s="143">
        <v>6.0</v>
      </c>
      <c r="G838" s="143">
        <v>2.0</v>
      </c>
      <c r="H838" s="143" t="inlineStr">
        <is>
          <t xml:space="preserve">Closed</t>
        </is>
      </c>
      <c r="I838" s="143" t="inlineStr">
        <is>
          <t xml:space="preserve">12-22</t>
        </is>
      </c>
      <c r="J838" s="143" t="inlineStr">
        <is>
          <t xml:space="preserve">TC/P</t>
        </is>
      </c>
    </row>
    <row r="839" spans="1:10">
      <c r="A839" s="143" t="inlineStr">
        <is>
          <t xml:space="preserve">596</t>
        </is>
      </c>
      <c r="B839" s="143" t="inlineStr">
        <is>
          <t xml:space="preserve">532178-01-1</t>
        </is>
      </c>
      <c r="C839" s="143" t="inlineStr">
        <is>
          <t xml:space="preserve">532178-01-1 (0) / FUSELAGE EXTERNAL SKIN COVERED BY LA</t>
        </is>
      </c>
      <c r="D839" s="143">
        <v>1.0</v>
      </c>
      <c r="E839" s="143">
        <v>0.15</v>
      </c>
      <c r="F839" s="143">
        <v>9.0</v>
      </c>
      <c r="G839" s="143">
        <v>7.38</v>
      </c>
      <c r="H839" s="143" t="inlineStr">
        <is>
          <t xml:space="preserve">Closed</t>
        </is>
      </c>
      <c r="I839" s="143">
        <v>53.0</v>
      </c>
      <c r="J839" s="143"/>
    </row>
    <row r="840" spans="1:10">
      <c r="A840" s="143" t="inlineStr">
        <is>
          <t xml:space="preserve">597</t>
        </is>
      </c>
      <c r="B840" s="143" t="inlineStr">
        <is>
          <t xml:space="preserve">533130-01-1</t>
        </is>
      </c>
      <c r="C840" s="143" t="inlineStr">
        <is>
          <t xml:space="preserve">533130-01-1 (04) / ANTI COLLISION LIGHT SKN CUTOUT INSP</t>
        </is>
      </c>
      <c r="D840" s="143">
        <v>1.0</v>
      </c>
      <c r="E840" s="143">
        <v>0.77</v>
      </c>
      <c r="F840" s="143">
        <v>17.5</v>
      </c>
      <c r="G840" s="143">
        <v>202.9</v>
      </c>
      <c r="H840" s="143" t="inlineStr">
        <is>
          <t xml:space="preserve">Closed</t>
        </is>
      </c>
      <c r="I840" s="143" t="inlineStr">
        <is>
          <t xml:space="preserve">53-31</t>
        </is>
      </c>
      <c r="J840" s="143" t="inlineStr">
        <is>
          <t xml:space="preserve">JOB-SETUP, CLEAN-UP, INSPECTION, INSPECTION, JOB-CLOSEUP</t>
        </is>
      </c>
    </row>
    <row r="841" spans="1:10">
      <c r="A841" s="143" t="inlineStr">
        <is>
          <t xml:space="preserve">598</t>
        </is>
      </c>
      <c r="B841" s="143" t="inlineStr">
        <is>
          <t xml:space="preserve">533131-01-1</t>
        </is>
      </c>
      <c r="C841" s="143" t="inlineStr">
        <is>
          <t xml:space="preserve">533131-01-1 (05) / SKIN AROUND ADF1 ANTENNA CUTOUT INSP</t>
        </is>
      </c>
      <c r="D841" s="143">
        <v>1.0</v>
      </c>
      <c r="E841" s="143">
        <v>3.6</v>
      </c>
      <c r="F841" s="143">
        <v>26.5</v>
      </c>
      <c r="G841" s="143">
        <v>344.3</v>
      </c>
      <c r="H841" s="143" t="inlineStr">
        <is>
          <t xml:space="preserve">Closed</t>
        </is>
      </c>
      <c r="I841" s="143" t="inlineStr">
        <is>
          <t xml:space="preserve">53-31</t>
        </is>
      </c>
      <c r="J841" s="143" t="inlineStr">
        <is>
          <t xml:space="preserve">JOB-SETUP, CLEAN-UP, INSPECTION, INSPECTION, JOB-CLOSEUP, JOB-CLOSEUP, JOB-CLOSEUP</t>
        </is>
      </c>
    </row>
    <row r="842" spans="1:10">
      <c r="A842" s="143" t="inlineStr">
        <is>
          <t xml:space="preserve">599</t>
        </is>
      </c>
      <c r="B842" s="143" t="inlineStr">
        <is>
          <t xml:space="preserve">534112-01-1</t>
        </is>
      </c>
      <c r="C842" s="143" t="inlineStr">
        <is>
          <t xml:space="preserve">534112-01-1 (03) / VHF3 ANTENNA SKIN CUTOUT INSPECTION</t>
        </is>
      </c>
      <c r="D842" s="143">
        <v>1.0</v>
      </c>
      <c r="E842" s="143">
        <v>0.65</v>
      </c>
      <c r="F842" s="143">
        <v>20.75</v>
      </c>
      <c r="G842" s="143">
        <v>202.9</v>
      </c>
      <c r="H842" s="143" t="inlineStr">
        <is>
          <t xml:space="preserve">Closed</t>
        </is>
      </c>
      <c r="I842" s="143" t="inlineStr">
        <is>
          <t xml:space="preserve">53-41</t>
        </is>
      </c>
      <c r="J842" s="143" t="inlineStr">
        <is>
          <t xml:space="preserve">JOB-SETUP, CLEAN-UP, INSPECTION, INSPECTION, JOB-CLOSEUP</t>
        </is>
      </c>
    </row>
    <row r="843" spans="1:10">
      <c r="A843" s="143" t="inlineStr">
        <is>
          <t xml:space="preserve">600</t>
        </is>
      </c>
      <c r="B843" s="143" t="inlineStr">
        <is>
          <t xml:space="preserve">572610-02-2</t>
        </is>
      </c>
      <c r="C843" s="143" t="inlineStr">
        <is>
          <t xml:space="preserve">572610-02-2 (0) / OUTER WING</t>
        </is>
      </c>
      <c r="D843" s="143">
        <v>1.0</v>
      </c>
      <c r="E843" s="143">
        <v>2.5</v>
      </c>
      <c r="F843" s="143">
        <v>0.5</v>
      </c>
      <c r="G843" s="143">
        <v>53.3</v>
      </c>
      <c r="H843" s="143" t="inlineStr">
        <is>
          <t xml:space="preserve">Closed</t>
        </is>
      </c>
      <c r="I843" s="143" t="inlineStr">
        <is>
          <t xml:space="preserve">57-26</t>
        </is>
      </c>
      <c r="J843" s="143" t="inlineStr">
        <is>
          <t xml:space="preserve">JOB-SETUP, CLEAN-UP, INSPECTION, JOB-CLOSEUP</t>
        </is>
      </c>
    </row>
    <row r="844" spans="1:10">
      <c r="A844" s="143" t="inlineStr">
        <is>
          <t xml:space="preserve">601</t>
        </is>
      </c>
      <c r="B844" s="143" t="inlineStr">
        <is>
          <t xml:space="preserve">ZL-191-01-2</t>
        </is>
      </c>
      <c r="C844" s="143" t="inlineStr">
        <is>
          <t xml:space="preserve">ZL-191-01-2 (9) / AIR CONDITION COMPARTMENT ZONAL INSP</t>
        </is>
      </c>
      <c r="D844" s="143">
        <v>1.0</v>
      </c>
      <c r="E844" s="143">
        <v>0.87</v>
      </c>
      <c r="F844" s="143">
        <v>1.0</v>
      </c>
      <c r="G844" s="143">
        <v>1.0</v>
      </c>
      <c r="H844" s="143" t="inlineStr">
        <is>
          <t xml:space="preserve">Closed</t>
        </is>
      </c>
      <c r="I844" s="143" t="inlineStr">
        <is>
          <t xml:space="preserve">05-21</t>
        </is>
      </c>
      <c r="J844" s="143" t="inlineStr">
        <is>
          <t xml:space="preserve">PRE INSP</t>
        </is>
      </c>
    </row>
    <row r="845" spans="1:10">
      <c r="A845" s="143" t="inlineStr">
        <is>
          <t xml:space="preserve">602</t>
        </is>
      </c>
      <c r="B845" s="143" t="inlineStr">
        <is>
          <t xml:space="preserve">ZL-831-01-1</t>
        </is>
      </c>
      <c r="C845" s="143" t="inlineStr">
        <is>
          <t xml:space="preserve">ZL-831-01-1 (05) / AFT PASSENGER/CREW DOOR</t>
        </is>
      </c>
      <c r="D845" s="143">
        <v>1.0</v>
      </c>
      <c r="E845" s="143">
        <v>0.22</v>
      </c>
      <c r="F845" s="143">
        <v>1.0</v>
      </c>
      <c r="G845" s="143">
        <v>1.0</v>
      </c>
      <c r="H845" s="143" t="inlineStr">
        <is>
          <t xml:space="preserve">Closed</t>
        </is>
      </c>
      <c r="I845" s="143" t="inlineStr">
        <is>
          <t xml:space="preserve">05-28</t>
        </is>
      </c>
      <c r="J845" s="143" t="inlineStr">
        <is>
          <t xml:space="preserve">PRE INSP, PRE INSP</t>
        </is>
      </c>
    </row>
    <row r="846" spans="1:10">
      <c r="A846" s="143" t="inlineStr">
        <is>
          <t xml:space="preserve">605</t>
        </is>
      </c>
      <c r="B846" s="143" t="inlineStr">
        <is>
          <t xml:space="preserve">12-21-11-03-0-SVA</t>
        </is>
      </c>
      <c r="C846" s="143" t="inlineStr">
        <is>
          <t xml:space="preserve">12-21-11-03-0-SVA (03) / AIRCRAFT HEAVY WASH</t>
        </is>
      </c>
      <c r="D846" s="143">
        <v>1.0</v>
      </c>
      <c r="E846" s="143">
        <v>28.5</v>
      </c>
      <c r="F846" s="143">
        <v>137.5</v>
      </c>
      <c r="G846" s="143">
        <v>314.6</v>
      </c>
      <c r="H846" s="143" t="inlineStr">
        <is>
          <t xml:space="preserve">Closed</t>
        </is>
      </c>
      <c r="I846" s="143" t="inlineStr">
        <is>
          <t xml:space="preserve">12-21</t>
        </is>
      </c>
      <c r="J846" s="143" t="inlineStr">
        <is>
          <t xml:space="preserve">WASH, WASH, WASH, WASH, WASH, WASH, WASH, WASH, WASH, WASH, WASH, WASH, WASH, WASH, WASH, WASH, WASH, WASH, WASH, WASH, WASH, WASH, WASH, WASH, WASH</t>
        </is>
      </c>
    </row>
    <row r="847" spans="1:10">
      <c r="A847" s="143" t="inlineStr">
        <is>
          <t xml:space="preserve">606</t>
        </is>
      </c>
      <c r="B847" s="143" t="inlineStr">
        <is>
          <t xml:space="preserve">32-10-00-01-0-SVA</t>
        </is>
      </c>
      <c r="C847" s="143" t="inlineStr">
        <is>
          <t xml:space="preserve">32-10-00-01-0-SVA (02) / MLG DR ACTUATOR EYE END BEARING LUB</t>
        </is>
      </c>
      <c r="D847" s="143">
        <v>1.0</v>
      </c>
      <c r="E847" s="143">
        <v>2.5</v>
      </c>
      <c r="F847" s="143">
        <v>14.5</v>
      </c>
      <c r="G847" s="143">
        <v>292.7</v>
      </c>
      <c r="H847" s="143" t="inlineStr">
        <is>
          <t xml:space="preserve">Closed</t>
        </is>
      </c>
      <c r="I847" s="143" t="inlineStr">
        <is>
          <t xml:space="preserve">32-12</t>
        </is>
      </c>
      <c r="J847" s="143" t="inlineStr">
        <is>
          <t xml:space="preserve">JOB-SETUP, TC/P, TC/P</t>
        </is>
      </c>
    </row>
    <row r="848" spans="1:10">
      <c r="A848" s="143" t="inlineStr">
        <is>
          <t xml:space="preserve">607</t>
        </is>
      </c>
      <c r="B848" s="143" t="inlineStr">
        <is>
          <t xml:space="preserve">321000-01-1</t>
        </is>
      </c>
      <c r="C848" s="143" t="inlineStr">
        <is>
          <t xml:space="preserve">321000-01-1 (5) / MLG AND DOORS LUBRICATION</t>
        </is>
      </c>
      <c r="D848" s="143">
        <v>1.0</v>
      </c>
      <c r="E848" s="143">
        <v>2.0</v>
      </c>
      <c r="F848" s="143">
        <v>0.0</v>
      </c>
      <c r="G848" s="143">
        <v>0.0</v>
      </c>
      <c r="H848" s="143" t="inlineStr">
        <is>
          <t xml:space="preserve">Closed</t>
        </is>
      </c>
      <c r="I848" s="143" t="inlineStr">
        <is>
          <t xml:space="preserve">12-22</t>
        </is>
      </c>
      <c r="J848" s="143" t="inlineStr">
        <is>
          <t xml:space="preserve">JOB-SETUP, TC/P, TC/P</t>
        </is>
      </c>
    </row>
    <row r="849" spans="1:10">
      <c r="A849" s="143" t="inlineStr">
        <is>
          <t xml:space="preserve">608</t>
        </is>
      </c>
      <c r="B849" s="143" t="inlineStr">
        <is>
          <t xml:space="preserve">322100-07-1</t>
        </is>
      </c>
      <c r="C849" s="143" t="inlineStr">
        <is>
          <t xml:space="preserve">322100-07-1 (4) / NLG AIRFRAME ATTACHMENT FITTING INSP</t>
        </is>
      </c>
      <c r="D849" s="143">
        <v>1.0</v>
      </c>
      <c r="E849" s="143">
        <v>30.6</v>
      </c>
      <c r="F849" s="143">
        <v>144.6</v>
      </c>
      <c r="G849" s="143">
        <v>417.8</v>
      </c>
      <c r="H849" s="143" t="inlineStr">
        <is>
          <t xml:space="preserve">Closed</t>
        </is>
      </c>
      <c r="I849" s="143" t="inlineStr">
        <is>
          <t xml:space="preserve">32-21</t>
        </is>
      </c>
      <c r="J849" s="143" t="inlineStr">
        <is>
          <t xml:space="preserve">JOB-SETUP, JOB-SETUP, JOB-SETUP, JOB-SETUP, INSPECTION, JOB-CLOSEUP, JOB-CLOSEUP, JOB-CLOSEUP, JOB-CLOSEUP, JOB-CLOSEUP</t>
        </is>
      </c>
    </row>
    <row r="850" spans="1:10">
      <c r="A850" s="143" t="inlineStr">
        <is>
          <t xml:space="preserve">609</t>
        </is>
      </c>
      <c r="B850" s="143" t="inlineStr">
        <is>
          <t xml:space="preserve">521000-20-1</t>
        </is>
      </c>
      <c r="C850" s="143" t="inlineStr">
        <is>
          <t xml:space="preserve">521000-20-1 (1) / OPERATIONAL CHECK OF DOOR DAMPING.</t>
        </is>
      </c>
      <c r="D850" s="143">
        <v>1.0</v>
      </c>
      <c r="E850" s="143">
        <v>2.5</v>
      </c>
      <c r="F850" s="143">
        <v>2.5</v>
      </c>
      <c r="G850" s="143">
        <v>0.52</v>
      </c>
      <c r="H850" s="143" t="inlineStr">
        <is>
          <t xml:space="preserve">Closed</t>
        </is>
      </c>
      <c r="I850" s="143" t="inlineStr">
        <is>
          <t xml:space="preserve">52-10</t>
        </is>
      </c>
      <c r="J850" s="143"/>
    </row>
    <row r="851" spans="1:10">
      <c r="A851" s="143" t="inlineStr">
        <is>
          <t xml:space="preserve">611</t>
        </is>
      </c>
      <c r="B851" s="143" t="inlineStr">
        <is>
          <t xml:space="preserve">521304-01-1</t>
        </is>
      </c>
      <c r="C851" s="143" t="inlineStr">
        <is>
          <t xml:space="preserve">521304-01-1 (02) / AFT PAX DOOR INTERNAL STRUCTURE INSP</t>
        </is>
      </c>
      <c r="D851" s="143">
        <v>1.0</v>
      </c>
      <c r="E851" s="143">
        <v>3.52</v>
      </c>
      <c r="F851" s="143">
        <v>22.5</v>
      </c>
      <c r="G851" s="143">
        <v>552.4</v>
      </c>
      <c r="H851" s="143" t="inlineStr">
        <is>
          <t xml:space="preserve">Closed</t>
        </is>
      </c>
      <c r="I851" s="143" t="inlineStr">
        <is>
          <t xml:space="preserve">52-13</t>
        </is>
      </c>
      <c r="J851" s="143" t="inlineStr">
        <is>
          <t xml:space="preserve">TC/P, TC/P, TC/P, TC/P, INSPECTION, INSPECTION, INSPECTION, INSPECTION, INSPECTION, INSPECTION</t>
        </is>
      </c>
    </row>
    <row r="852" spans="1:10">
      <c r="A852" s="143" t="inlineStr">
        <is>
          <t xml:space="preserve">614</t>
        </is>
      </c>
      <c r="B852" s="143" t="inlineStr">
        <is>
          <t xml:space="preserve">523109-01-1</t>
        </is>
      </c>
      <c r="C852" s="143" t="inlineStr">
        <is>
          <t xml:space="preserve">523109-01-1 (02) / FWD CARGO DOOR LOCKING HOOKS INSP</t>
        </is>
      </c>
      <c r="D852" s="143">
        <v>1.0</v>
      </c>
      <c r="E852" s="143">
        <v>1.1</v>
      </c>
      <c r="F852" s="143">
        <v>11.02</v>
      </c>
      <c r="G852" s="143">
        <v>613.2</v>
      </c>
      <c r="H852" s="143" t="inlineStr">
        <is>
          <t xml:space="preserve">Closed</t>
        </is>
      </c>
      <c r="I852" s="143" t="inlineStr">
        <is>
          <t xml:space="preserve">52-31</t>
        </is>
      </c>
      <c r="J852" s="143" t="inlineStr">
        <is>
          <t xml:space="preserve">JOB-SETUP, CLEAN-UP, INSPECTION, JOB-CLOSEUP</t>
        </is>
      </c>
    </row>
    <row r="853" spans="1:10">
      <c r="A853" s="143" t="inlineStr">
        <is>
          <t xml:space="preserve">616</t>
        </is>
      </c>
      <c r="B853" s="143" t="inlineStr">
        <is>
          <t xml:space="preserve">523119-01-2</t>
        </is>
      </c>
      <c r="C853" s="143" t="inlineStr">
        <is>
          <t xml:space="preserve">523119-01-2 (03) / AFT CARGO DOOR LOCKING HOOKS INSP</t>
        </is>
      </c>
      <c r="D853" s="143">
        <v>1.0</v>
      </c>
      <c r="E853" s="143">
        <v>1.1</v>
      </c>
      <c r="F853" s="143">
        <v>9.0</v>
      </c>
      <c r="G853" s="143">
        <v>551.0</v>
      </c>
      <c r="H853" s="143" t="inlineStr">
        <is>
          <t xml:space="preserve">Closed</t>
        </is>
      </c>
      <c r="I853" s="143" t="inlineStr">
        <is>
          <t xml:space="preserve">52-32</t>
        </is>
      </c>
      <c r="J853" s="143" t="inlineStr">
        <is>
          <t xml:space="preserve">JOB-SETUP, CLEAN-UP, INSPECTION, JOB-CLOSEUP</t>
        </is>
      </c>
    </row>
    <row r="854" spans="1:10">
      <c r="A854" s="143" t="inlineStr">
        <is>
          <t xml:space="preserve">617</t>
        </is>
      </c>
      <c r="B854" s="143" t="inlineStr">
        <is>
          <t xml:space="preserve">523303-01-1</t>
        </is>
      </c>
      <c r="C854" s="143" t="inlineStr">
        <is>
          <t xml:space="preserve">523303-01-1 (02) / BULK CARGO DOOR INTERNAL STRUC INSP</t>
        </is>
      </c>
      <c r="D854" s="143">
        <v>1.0</v>
      </c>
      <c r="E854" s="143">
        <v>1.75</v>
      </c>
      <c r="F854" s="143">
        <v>32.1</v>
      </c>
      <c r="G854" s="143">
        <v>767.7</v>
      </c>
      <c r="H854" s="143" t="inlineStr">
        <is>
          <t xml:space="preserve">Closed</t>
        </is>
      </c>
      <c r="I854" s="143" t="inlineStr">
        <is>
          <t xml:space="preserve">52-33</t>
        </is>
      </c>
      <c r="J854" s="143" t="inlineStr">
        <is>
          <t xml:space="preserve">JOB-SETUP, CLEAN-UP, INSPECTION, JOB-CLOSEUP, JOB-CLOSEUP, JOB-CLOSEUP</t>
        </is>
      </c>
    </row>
    <row r="855" spans="1:10">
      <c r="A855" s="143" t="inlineStr">
        <is>
          <t xml:space="preserve">618</t>
        </is>
      </c>
      <c r="B855" s="143" t="inlineStr">
        <is>
          <t xml:space="preserve">531163-01-1</t>
        </is>
      </c>
      <c r="C855" s="143" t="inlineStr">
        <is>
          <t xml:space="preserve">531163-01-1 (03) / FWD PAX/CREW DOOR SURROUND INSP</t>
        </is>
      </c>
      <c r="D855" s="143">
        <v>1.0</v>
      </c>
      <c r="E855" s="143">
        <v>6.3</v>
      </c>
      <c r="F855" s="143">
        <v>14.5</v>
      </c>
      <c r="G855" s="143">
        <v>68.9</v>
      </c>
      <c r="H855" s="143" t="inlineStr">
        <is>
          <t xml:space="preserve">Closed</t>
        </is>
      </c>
      <c r="I855" s="143" t="inlineStr">
        <is>
          <t xml:space="preserve">53-11</t>
        </is>
      </c>
      <c r="J855" s="143" t="inlineStr">
        <is>
          <t xml:space="preserve">JOB-SETUP, CLEAN-UP, INSPECTION, INSPECTION, INSPECTION, JOB-CLOSEUP</t>
        </is>
      </c>
    </row>
    <row r="856" spans="1:10">
      <c r="A856" s="143" t="inlineStr">
        <is>
          <t xml:space="preserve">621</t>
        </is>
      </c>
      <c r="B856" s="143" t="inlineStr">
        <is>
          <t xml:space="preserve">532132-01-1</t>
        </is>
      </c>
      <c r="C856" s="143" t="inlineStr">
        <is>
          <t xml:space="preserve">532132-01-1 (06) / FWD CARGO DOOR HINGE FITTING INSP</t>
        </is>
      </c>
      <c r="D856" s="143">
        <v>1.0</v>
      </c>
      <c r="E856" s="143">
        <v>1.97</v>
      </c>
      <c r="F856" s="143">
        <v>2.87</v>
      </c>
      <c r="G856" s="143">
        <v>709.4</v>
      </c>
      <c r="H856" s="143" t="inlineStr">
        <is>
          <t xml:space="preserve">Closed</t>
        </is>
      </c>
      <c r="I856" s="143" t="inlineStr">
        <is>
          <t xml:space="preserve">53-21</t>
        </is>
      </c>
      <c r="J856" s="143" t="inlineStr">
        <is>
          <t xml:space="preserve">CLEAN-UP, INSPECTION, INSPECTION, JOB-CLOSEUP</t>
        </is>
      </c>
    </row>
    <row r="857" spans="1:10">
      <c r="A857" s="143" t="inlineStr">
        <is>
          <t xml:space="preserve">622</t>
        </is>
      </c>
      <c r="B857" s="143" t="inlineStr">
        <is>
          <t xml:space="preserve">532170-01-1</t>
        </is>
      </c>
      <c r="C857" s="143" t="inlineStr">
        <is>
          <t xml:space="preserve">532170-01-1 (5) / FWD CARGO DOOR LOCK FITTINGS INSP</t>
        </is>
      </c>
      <c r="D857" s="143">
        <v>1.0</v>
      </c>
      <c r="E857" s="143">
        <v>0.65</v>
      </c>
      <c r="F857" s="143">
        <v>13.5</v>
      </c>
      <c r="G857" s="143">
        <v>2.75</v>
      </c>
      <c r="H857" s="143" t="inlineStr">
        <is>
          <t xml:space="preserve">Closed</t>
        </is>
      </c>
      <c r="I857" s="143" t="inlineStr">
        <is>
          <t xml:space="preserve">53-21</t>
        </is>
      </c>
      <c r="J857" s="143" t="inlineStr">
        <is>
          <t xml:space="preserve">PRE INSP, PRE INSP, PRE INSP</t>
        </is>
      </c>
    </row>
    <row r="858" spans="1:10">
      <c r="A858" s="143" t="inlineStr">
        <is>
          <t xml:space="preserve">624</t>
        </is>
      </c>
      <c r="B858" s="143" t="inlineStr">
        <is>
          <t xml:space="preserve">532180-04-2</t>
        </is>
      </c>
      <c r="C858" s="143" t="inlineStr">
        <is>
          <t xml:space="preserve">532180-04-2 (0) / FORWARD FUSELAGE</t>
        </is>
      </c>
      <c r="D858" s="143">
        <v>1.0</v>
      </c>
      <c r="E858" s="143">
        <v>3.0</v>
      </c>
      <c r="F858" s="143">
        <v>3.03</v>
      </c>
      <c r="G858" s="143">
        <v>33.5</v>
      </c>
      <c r="H858" s="143" t="inlineStr">
        <is>
          <t xml:space="preserve">Closed</t>
        </is>
      </c>
      <c r="I858" s="143">
        <v>53.0</v>
      </c>
      <c r="J858" s="143"/>
    </row>
    <row r="859" spans="1:10">
      <c r="A859" s="143" t="inlineStr">
        <is>
          <t xml:space="preserve">625</t>
        </is>
      </c>
      <c r="B859" s="143" t="inlineStr">
        <is>
          <t xml:space="preserve">533111-01-1</t>
        </is>
      </c>
      <c r="C859" s="143" t="inlineStr">
        <is>
          <t xml:space="preserve">533111-01-1 (03) / PRESS DEK MEMBRANES LWR SURFACE INSP</t>
        </is>
      </c>
      <c r="D859" s="143">
        <v>1.0</v>
      </c>
      <c r="E859" s="143">
        <v>3.3</v>
      </c>
      <c r="F859" s="143">
        <v>1.02</v>
      </c>
      <c r="G859" s="143">
        <v>3.48</v>
      </c>
      <c r="H859" s="143" t="inlineStr">
        <is>
          <t xml:space="preserve">Closed</t>
        </is>
      </c>
      <c r="I859" s="143" t="inlineStr">
        <is>
          <t xml:space="preserve">53-31</t>
        </is>
      </c>
      <c r="J859" s="143" t="inlineStr">
        <is>
          <t xml:space="preserve">CLEAN-UP, INSPECTION</t>
        </is>
      </c>
    </row>
    <row r="860" spans="1:10">
      <c r="A860" s="143" t="inlineStr">
        <is>
          <t xml:space="preserve">626</t>
        </is>
      </c>
      <c r="B860" s="143" t="inlineStr">
        <is>
          <t xml:space="preserve">533129-07-1</t>
        </is>
      </c>
      <c r="C860" s="143" t="inlineStr">
        <is>
          <t xml:space="preserve">533129-07-1 (0) / EMERGENCY EXIT CUTOUTS</t>
        </is>
      </c>
      <c r="D860" s="143">
        <v>1.0</v>
      </c>
      <c r="E860" s="143">
        <v>2.1</v>
      </c>
      <c r="F860" s="143">
        <v>6.17</v>
      </c>
      <c r="G860" s="143">
        <v>20.72</v>
      </c>
      <c r="H860" s="143" t="inlineStr">
        <is>
          <t xml:space="preserve">Closed</t>
        </is>
      </c>
      <c r="I860" s="143">
        <v>53.0</v>
      </c>
      <c r="J860" s="143"/>
    </row>
    <row r="861" spans="1:10">
      <c r="A861" s="143" t="inlineStr">
        <is>
          <t xml:space="preserve">627</t>
        </is>
      </c>
      <c r="B861" s="143" t="inlineStr">
        <is>
          <t xml:space="preserve">533139-02-1</t>
        </is>
      </c>
      <c r="C861" s="143" t="inlineStr">
        <is>
          <t xml:space="preserve">533139-02-1 (01) / INSPECTION OF LONGITUDINAL BEAM FLANGE</t>
        </is>
      </c>
      <c r="D861" s="143">
        <v>1.0</v>
      </c>
      <c r="E861" s="143">
        <v>1.5</v>
      </c>
      <c r="F861" s="143">
        <v>3.03</v>
      </c>
      <c r="G861" s="143">
        <v>17.2</v>
      </c>
      <c r="H861" s="143" t="inlineStr">
        <is>
          <t xml:space="preserve">Closed</t>
        </is>
      </c>
      <c r="I861" s="143" t="inlineStr">
        <is>
          <t xml:space="preserve">53-31</t>
        </is>
      </c>
      <c r="J861" s="143" t="inlineStr">
        <is>
          <t xml:space="preserve">JOB-SETUP, INSPECTION, --</t>
        </is>
      </c>
    </row>
    <row r="862" spans="1:10">
      <c r="A862" s="143" t="inlineStr">
        <is>
          <t xml:space="preserve">628</t>
        </is>
      </c>
      <c r="B862" s="143" t="inlineStr">
        <is>
          <t xml:space="preserve">533152-01-7</t>
        </is>
      </c>
      <c r="C862" s="143" t="inlineStr">
        <is>
          <t xml:space="preserve">533152-01-7 (02) / PRESS BULKHEAD AT FR35 FWD FACE INSP</t>
        </is>
      </c>
      <c r="D862" s="143">
        <v>1.0</v>
      </c>
      <c r="E862" s="143">
        <v>5.5</v>
      </c>
      <c r="F862" s="143">
        <v>24.0</v>
      </c>
      <c r="G862" s="143">
        <v>549.5</v>
      </c>
      <c r="H862" s="143" t="inlineStr">
        <is>
          <t xml:space="preserve">Closed</t>
        </is>
      </c>
      <c r="I862" s="143" t="inlineStr">
        <is>
          <t xml:space="preserve">53-31</t>
        </is>
      </c>
      <c r="J862" s="143" t="inlineStr">
        <is>
          <t xml:space="preserve">JOB-SETUP, CLEAN-UP, INSPECTION, INSPECTION, INSPECTION, JOB-CLOSEUP, JOB-CLOSEUP, JOB-CLOSEUP, JOB-CLOSEUP</t>
        </is>
      </c>
    </row>
    <row r="863" spans="1:10">
      <c r="A863" s="143" t="inlineStr">
        <is>
          <t xml:space="preserve">629</t>
        </is>
      </c>
      <c r="B863" s="143" t="inlineStr">
        <is>
          <t xml:space="preserve">534107-03-1</t>
        </is>
      </c>
      <c r="C863" s="143" t="inlineStr">
        <is>
          <t xml:space="preserve">534107-03-1 (0) / REAR FUSELAGE</t>
        </is>
      </c>
      <c r="D863" s="143">
        <v>1.0</v>
      </c>
      <c r="E863" s="143">
        <v>0.6</v>
      </c>
      <c r="F863" s="143">
        <v>2.75</v>
      </c>
      <c r="G863" s="143">
        <v>18.32</v>
      </c>
      <c r="H863" s="143" t="inlineStr">
        <is>
          <t xml:space="preserve">Closed</t>
        </is>
      </c>
      <c r="I863" s="143" t="inlineStr">
        <is>
          <t xml:space="preserve">53-41</t>
        </is>
      </c>
      <c r="J863" s="143" t="inlineStr">
        <is>
          <t xml:space="preserve">JOB-SETUP, INSPECTION, JOB-CLOSEUP</t>
        </is>
      </c>
    </row>
    <row r="864" spans="1:10">
      <c r="A864" s="143" t="inlineStr">
        <is>
          <t xml:space="preserve">631</t>
        </is>
      </c>
      <c r="B864" s="143" t="inlineStr">
        <is>
          <t xml:space="preserve">534135-02-1</t>
        </is>
      </c>
      <c r="C864" s="143" t="inlineStr">
        <is>
          <t xml:space="preserve">534135-02-1 (0) / REAR FUSELAGE</t>
        </is>
      </c>
      <c r="D864" s="143">
        <v>1.0</v>
      </c>
      <c r="E864" s="143">
        <v>0.67</v>
      </c>
      <c r="F864" s="143">
        <v>8.5</v>
      </c>
      <c r="G864" s="143">
        <v>13.55</v>
      </c>
      <c r="H864" s="143" t="inlineStr">
        <is>
          <t xml:space="preserve">Closed</t>
        </is>
      </c>
      <c r="I864" s="143" t="inlineStr">
        <is>
          <t xml:space="preserve">57-21</t>
        </is>
      </c>
      <c r="J864" s="143" t="inlineStr">
        <is>
          <t xml:space="preserve">JOB-SETUP, INSPECTION, JOB-CLOSEUP</t>
        </is>
      </c>
    </row>
    <row r="865" spans="1:10">
      <c r="A865" s="143" t="inlineStr">
        <is>
          <t xml:space="preserve">634</t>
        </is>
      </c>
      <c r="B865" s="143" t="inlineStr">
        <is>
          <t xml:space="preserve">534164-01-1</t>
        </is>
      </c>
      <c r="C865" s="143" t="inlineStr">
        <is>
          <t xml:space="preserve">534164-01-1 (05) / BULK CGO DOOR CUTOUT INTERNAL STRUC</t>
        </is>
      </c>
      <c r="D865" s="143">
        <v>1.0</v>
      </c>
      <c r="E865" s="143">
        <v>1.75</v>
      </c>
      <c r="F865" s="143">
        <v>111.8</v>
      </c>
      <c r="G865" s="143">
        <v>768.2</v>
      </c>
      <c r="H865" s="143" t="inlineStr">
        <is>
          <t xml:space="preserve">Closed</t>
        </is>
      </c>
      <c r="I865" s="143" t="inlineStr">
        <is>
          <t xml:space="preserve">53-41</t>
        </is>
      </c>
      <c r="J865" s="143" t="inlineStr">
        <is>
          <t xml:space="preserve">JOB-SETUP, CLEAN-UP, INSPECTION, INSPECTION, INSPECTION, INSPECTION, INSPECTION, JOB-CLOSEUP</t>
        </is>
      </c>
    </row>
    <row r="866" spans="1:10">
      <c r="A866" s="143" t="inlineStr">
        <is>
          <t xml:space="preserve">636</t>
        </is>
      </c>
      <c r="B866" s="143" t="inlineStr">
        <is>
          <t xml:space="preserve">534395-01-2</t>
        </is>
      </c>
      <c r="C866" s="143" t="inlineStr">
        <is>
          <t xml:space="preserve">534395-01-2 (0) / LATERAL SHEAR PLATES BETWEEN FRAME 6</t>
        </is>
      </c>
      <c r="D866" s="143">
        <v>1.0</v>
      </c>
      <c r="E866" s="143">
        <v>3.5</v>
      </c>
      <c r="F866" s="143">
        <v>42.5</v>
      </c>
      <c r="G866" s="143">
        <v>534.1</v>
      </c>
      <c r="H866" s="143" t="inlineStr">
        <is>
          <t xml:space="preserve">Closed</t>
        </is>
      </c>
      <c r="I866" s="143" t="inlineStr">
        <is>
          <t xml:space="preserve">53-51</t>
        </is>
      </c>
      <c r="J866" s="143" t="inlineStr">
        <is>
          <t xml:space="preserve">JOB-SETUP, CLEAN-UP, INSPECTION, JOB-CLOSEUP</t>
        </is>
      </c>
    </row>
    <row r="867" spans="1:10">
      <c r="A867" s="143" t="inlineStr">
        <is>
          <t xml:space="preserve">637</t>
        </is>
      </c>
      <c r="B867" s="143" t="inlineStr">
        <is>
          <t xml:space="preserve">545107-01-1-001</t>
        </is>
      </c>
      <c r="C867" s="143" t="inlineStr">
        <is>
          <t xml:space="preserve">545107-01-1-001 (04) / NO. 1 ENGINE AFT ATTACH BEAM INSP</t>
        </is>
      </c>
      <c r="D867" s="143">
        <v>1.0</v>
      </c>
      <c r="E867" s="143">
        <v>1.22</v>
      </c>
      <c r="F867" s="143">
        <v>7.0</v>
      </c>
      <c r="G867" s="143">
        <v>40.3</v>
      </c>
      <c r="H867" s="143" t="inlineStr">
        <is>
          <t xml:space="preserve">Closed</t>
        </is>
      </c>
      <c r="I867" s="143" t="inlineStr">
        <is>
          <t xml:space="preserve">54-51</t>
        </is>
      </c>
      <c r="J867" s="143" t="inlineStr">
        <is>
          <t xml:space="preserve">JOB-SETUP, CLEAN-UP, INSPECTION, JOB-CLOSEUP</t>
        </is>
      </c>
    </row>
    <row r="868" spans="1:10">
      <c r="A868" s="143" t="inlineStr">
        <is>
          <t xml:space="preserve">638</t>
        </is>
      </c>
      <c r="B868" s="143" t="inlineStr">
        <is>
          <t xml:space="preserve">545107-01-1-002</t>
        </is>
      </c>
      <c r="C868" s="143" t="inlineStr">
        <is>
          <t xml:space="preserve">545107-01-1-002 (04) / NO. 2 ENGINE AFT ATTACH BEAM INSP</t>
        </is>
      </c>
      <c r="D868" s="143">
        <v>1.0</v>
      </c>
      <c r="E868" s="143">
        <v>0.93</v>
      </c>
      <c r="F868" s="143">
        <v>3.83</v>
      </c>
      <c r="G868" s="143">
        <v>23.57</v>
      </c>
      <c r="H868" s="143" t="inlineStr">
        <is>
          <t xml:space="preserve">Closed</t>
        </is>
      </c>
      <c r="I868" s="143" t="inlineStr">
        <is>
          <t xml:space="preserve">54-51</t>
        </is>
      </c>
      <c r="J868" s="143" t="inlineStr">
        <is>
          <t xml:space="preserve">JOB-SETUP, CLEAN-UP, INSPECTION, JOB-CLOSEUP</t>
        </is>
      </c>
    </row>
    <row r="869" spans="1:10">
      <c r="A869" s="143" t="inlineStr">
        <is>
          <t xml:space="preserve">646</t>
        </is>
      </c>
      <c r="B869" s="143" t="inlineStr">
        <is>
          <t xml:space="preserve">572007-01-2-002</t>
        </is>
      </c>
      <c r="C869" s="143" t="inlineStr">
        <is>
          <t xml:space="preserve">572007-01-2-002 (03) / R-OUTER WING REAR SPAR AFT FACE INSP</t>
        </is>
      </c>
      <c r="D869" s="143">
        <v>1.0</v>
      </c>
      <c r="E869" s="143">
        <v>2.2</v>
      </c>
      <c r="F869" s="143">
        <v>10.75</v>
      </c>
      <c r="G869" s="143">
        <v>743.6</v>
      </c>
      <c r="H869" s="143" t="inlineStr">
        <is>
          <t xml:space="preserve">Closed</t>
        </is>
      </c>
      <c r="I869" s="143" t="inlineStr">
        <is>
          <t xml:space="preserve">57-20</t>
        </is>
      </c>
      <c r="J869" s="143" t="inlineStr">
        <is>
          <t xml:space="preserve">JOB-SETUP, INSPECTION, INSPECTION, JOB-CLOSEUP, JOB-CLOSEUP</t>
        </is>
      </c>
    </row>
    <row r="870" spans="1:10">
      <c r="A870" s="143" t="inlineStr">
        <is>
          <t xml:space="preserve">647</t>
        </is>
      </c>
      <c r="B870" s="143" t="inlineStr">
        <is>
          <t xml:space="preserve">572020-01-1-001</t>
        </is>
      </c>
      <c r="C870" s="143" t="inlineStr">
        <is>
          <t xml:space="preserve">572020-01-1-001 (03) / L/H WING TOP SKIN RIB 1 AND 8 INSP</t>
        </is>
      </c>
      <c r="D870" s="143">
        <v>1.0</v>
      </c>
      <c r="E870" s="143">
        <v>13.2</v>
      </c>
      <c r="F870" s="143">
        <v>19.03</v>
      </c>
      <c r="G870" s="143">
        <v>625.2</v>
      </c>
      <c r="H870" s="143" t="inlineStr">
        <is>
          <t xml:space="preserve">Closed</t>
        </is>
      </c>
      <c r="I870" s="143" t="inlineStr">
        <is>
          <t xml:space="preserve">57-20</t>
        </is>
      </c>
      <c r="J870" s="143" t="inlineStr">
        <is>
          <t xml:space="preserve">JOB-SETUP, CLEAN-UP, INSPECTION, INSPECTION, JOB-CLOSEUP, JOB-CLOSEUP</t>
        </is>
      </c>
    </row>
    <row r="871" spans="1:10">
      <c r="A871" s="143" t="inlineStr">
        <is>
          <t xml:space="preserve">648</t>
        </is>
      </c>
      <c r="B871" s="143" t="inlineStr">
        <is>
          <t xml:space="preserve">572020-01-1-002</t>
        </is>
      </c>
      <c r="C871" s="143" t="inlineStr">
        <is>
          <t xml:space="preserve">572020-01-1-002 (03) / R/H WING TOP SKIN RIB 1 AND 8 INSP</t>
        </is>
      </c>
      <c r="D871" s="143">
        <v>1.0</v>
      </c>
      <c r="E871" s="143">
        <v>13.2</v>
      </c>
      <c r="F871" s="143">
        <v>8.95</v>
      </c>
      <c r="G871" s="143">
        <v>625.2</v>
      </c>
      <c r="H871" s="143" t="inlineStr">
        <is>
          <t xml:space="preserve">Closed</t>
        </is>
      </c>
      <c r="I871" s="143" t="inlineStr">
        <is>
          <t xml:space="preserve">57-20</t>
        </is>
      </c>
      <c r="J871" s="143" t="inlineStr">
        <is>
          <t xml:space="preserve">JOB-SETUP, CLEAN-UP, INSPECTION, INSPECTION, JOB-CLOSEUP, JOB-CLOSEUP</t>
        </is>
      </c>
    </row>
    <row r="872" spans="1:10">
      <c r="A872" s="143" t="inlineStr">
        <is>
          <t xml:space="preserve">649</t>
        </is>
      </c>
      <c r="B872" s="143" t="inlineStr">
        <is>
          <t xml:space="preserve">572040-01-2-001</t>
        </is>
      </c>
      <c r="C872" s="143" t="inlineStr">
        <is>
          <t xml:space="preserve">572040-01-2-001 (03) / L/H WING BOTTOM SKIN CUTOUTS INSP</t>
        </is>
      </c>
      <c r="D872" s="143">
        <v>1.0</v>
      </c>
      <c r="E872" s="143">
        <v>0.43</v>
      </c>
      <c r="F872" s="143">
        <v>7.7</v>
      </c>
      <c r="G872" s="143">
        <v>625.1</v>
      </c>
      <c r="H872" s="143" t="inlineStr">
        <is>
          <t xml:space="preserve">Closed</t>
        </is>
      </c>
      <c r="I872" s="143" t="inlineStr">
        <is>
          <t xml:space="preserve">57-20</t>
        </is>
      </c>
      <c r="J872" s="143" t="inlineStr">
        <is>
          <t xml:space="preserve">JOB-SETUP, CLEAN-UP, INSPECTION, INSPECTION, JOB-CLOSEUP, JOB-CLOSEUP</t>
        </is>
      </c>
    </row>
    <row r="873" spans="1:10">
      <c r="A873" s="143" t="inlineStr">
        <is>
          <t xml:space="preserve">651</t>
        </is>
      </c>
      <c r="B873" s="143" t="inlineStr">
        <is>
          <t xml:space="preserve">572044-01-2-001</t>
        </is>
      </c>
      <c r="C873" s="143" t="inlineStr">
        <is>
          <t xml:space="preserve">572044-01-2-001 (01) / L/H WING BOTTOM SKN LWR SURFACE INSP</t>
        </is>
      </c>
      <c r="D873" s="143">
        <v>1.0</v>
      </c>
      <c r="E873" s="143">
        <v>0.43</v>
      </c>
      <c r="F873" s="143">
        <v>1.5</v>
      </c>
      <c r="G873" s="143">
        <v>29.1</v>
      </c>
      <c r="H873" s="143" t="inlineStr">
        <is>
          <t xml:space="preserve">Closed</t>
        </is>
      </c>
      <c r="I873" s="143" t="inlineStr">
        <is>
          <t xml:space="preserve">57-20</t>
        </is>
      </c>
      <c r="J873" s="143" t="inlineStr">
        <is>
          <t xml:space="preserve">JOB-SETUP, CLEAN-UP, INSPECTION, JOB-CLOSEUP</t>
        </is>
      </c>
    </row>
    <row r="874" spans="1:10">
      <c r="A874" s="143" t="inlineStr">
        <is>
          <t xml:space="preserve">652</t>
        </is>
      </c>
      <c r="B874" s="143" t="inlineStr">
        <is>
          <t xml:space="preserve">572044-01-2-002</t>
        </is>
      </c>
      <c r="C874" s="143" t="inlineStr">
        <is>
          <t xml:space="preserve">572044-01-2-002 (02) / R/H WING BOTTOM SKN LWR SURFACE INSP</t>
        </is>
      </c>
      <c r="D874" s="143">
        <v>1.0</v>
      </c>
      <c r="E874" s="143">
        <v>0.43</v>
      </c>
      <c r="F874" s="143">
        <v>8.25</v>
      </c>
      <c r="G874" s="143">
        <v>4.23</v>
      </c>
      <c r="H874" s="143" t="inlineStr">
        <is>
          <t xml:space="preserve">Closed</t>
        </is>
      </c>
      <c r="I874" s="143" t="inlineStr">
        <is>
          <t xml:space="preserve">57-20</t>
        </is>
      </c>
      <c r="J874" s="143" t="inlineStr">
        <is>
          <t xml:space="preserve">JOB-SETUP, CLEAN-UP, INSPECTION, JOB-SETUP</t>
        </is>
      </c>
    </row>
    <row r="875" spans="1:10">
      <c r="A875" s="143" t="inlineStr">
        <is>
          <t xml:space="preserve">653</t>
        </is>
      </c>
      <c r="B875" s="143" t="inlineStr">
        <is>
          <t xml:space="preserve">572062-01-1-001</t>
        </is>
      </c>
      <c r="C875" s="143" t="inlineStr">
        <is>
          <t xml:space="preserve">572062-01-1-001 (03) / L OUTER WING FIXED TRAING EDGE INSP</t>
        </is>
      </c>
      <c r="D875" s="143">
        <v>1.0</v>
      </c>
      <c r="E875" s="143">
        <v>0.87</v>
      </c>
      <c r="F875" s="143">
        <v>2.75</v>
      </c>
      <c r="G875" s="143">
        <v>52.9</v>
      </c>
      <c r="H875" s="143" t="inlineStr">
        <is>
          <t xml:space="preserve">Closed</t>
        </is>
      </c>
      <c r="I875" s="143" t="inlineStr">
        <is>
          <t xml:space="preserve">57-20</t>
        </is>
      </c>
      <c r="J875" s="143" t="inlineStr">
        <is>
          <t xml:space="preserve">JOB-SETUP, CLEAN-UP, INSPECTION, JOB-CLOSEUP</t>
        </is>
      </c>
    </row>
    <row r="876" spans="1:10">
      <c r="A876" s="143" t="inlineStr">
        <is>
          <t xml:space="preserve">654</t>
        </is>
      </c>
      <c r="B876" s="143" t="inlineStr">
        <is>
          <t xml:space="preserve">572062-01-1-002</t>
        </is>
      </c>
      <c r="C876" s="143" t="inlineStr">
        <is>
          <t xml:space="preserve">572062-01-1-002 (03) / R OUTER WING FIXED TRAIING EDGE INSP</t>
        </is>
      </c>
      <c r="D876" s="143">
        <v>1.0</v>
      </c>
      <c r="E876" s="143">
        <v>0.87</v>
      </c>
      <c r="F876" s="143">
        <v>1.25</v>
      </c>
      <c r="G876" s="143">
        <v>0.92</v>
      </c>
      <c r="H876" s="143" t="inlineStr">
        <is>
          <t xml:space="preserve">Closed</t>
        </is>
      </c>
      <c r="I876" s="143" t="inlineStr">
        <is>
          <t xml:space="preserve">57-20</t>
        </is>
      </c>
      <c r="J876" s="143" t="inlineStr">
        <is>
          <t xml:space="preserve">JOB-SETUP, CLEAN-UP, INSPECTION, JOB-CLOSEUP</t>
        </is>
      </c>
    </row>
    <row r="877" spans="1:10">
      <c r="A877" s="143" t="inlineStr">
        <is>
          <t xml:space="preserve">655</t>
        </is>
      </c>
      <c r="B877" s="143" t="inlineStr">
        <is>
          <t xml:space="preserve">572063-01-1-001</t>
        </is>
      </c>
      <c r="C877" s="143" t="inlineStr">
        <is>
          <t xml:space="preserve">572063-01-1-001 (02) / L/H O/WNG BTOM SKN LWR SURFACE INSP</t>
        </is>
      </c>
      <c r="D877" s="143">
        <v>1.0</v>
      </c>
      <c r="E877" s="143">
        <v>3.12</v>
      </c>
      <c r="F877" s="143">
        <v>6.7</v>
      </c>
      <c r="G877" s="143">
        <v>641.5</v>
      </c>
      <c r="H877" s="143" t="inlineStr">
        <is>
          <t xml:space="preserve">Closed</t>
        </is>
      </c>
      <c r="I877" s="143" t="inlineStr">
        <is>
          <t xml:space="preserve">57-20</t>
        </is>
      </c>
      <c r="J877" s="143" t="inlineStr">
        <is>
          <t xml:space="preserve">JOB-SETUP, CLEAN-UP, INSPECTION, INSPECTION, JOB-CLOSEUP, JOB-CLOSEUP</t>
        </is>
      </c>
    </row>
    <row r="878" spans="1:10">
      <c r="A878" s="143" t="inlineStr">
        <is>
          <t xml:space="preserve">656</t>
        </is>
      </c>
      <c r="B878" s="143" t="inlineStr">
        <is>
          <t xml:space="preserve">572063-01-1-002</t>
        </is>
      </c>
      <c r="C878" s="143" t="inlineStr">
        <is>
          <t xml:space="preserve">572063-01-1-002 (02) / R/H O/WING BTOM SKN LWR SURFACE INSP</t>
        </is>
      </c>
      <c r="D878" s="143">
        <v>1.0</v>
      </c>
      <c r="E878" s="143">
        <v>3.12</v>
      </c>
      <c r="F878" s="143">
        <v>9.27</v>
      </c>
      <c r="G878" s="143">
        <v>653.6</v>
      </c>
      <c r="H878" s="143" t="inlineStr">
        <is>
          <t xml:space="preserve">Closed</t>
        </is>
      </c>
      <c r="I878" s="143" t="inlineStr">
        <is>
          <t xml:space="preserve">57-20</t>
        </is>
      </c>
      <c r="J878" s="143" t="inlineStr">
        <is>
          <t xml:space="preserve">JOB-SETUP, CLEAN-UP, INSPECTION, INSPECTION, JOB-CLOSEUP, JOB-CLOSEUP</t>
        </is>
      </c>
    </row>
    <row r="879" spans="1:10">
      <c r="A879" s="143" t="inlineStr">
        <is>
          <t xml:space="preserve">657</t>
        </is>
      </c>
      <c r="B879" s="143" t="inlineStr">
        <is>
          <t xml:space="preserve">572066-01-1-001</t>
        </is>
      </c>
      <c r="C879" s="143" t="inlineStr">
        <is>
          <t xml:space="preserve">572066-01-1-001 (03) / L/H OUTER WING TOP SKIN LOWER SURFACE INSP</t>
        </is>
      </c>
      <c r="D879" s="143">
        <v>1.0</v>
      </c>
      <c r="E879" s="143">
        <v>2.33</v>
      </c>
      <c r="F879" s="143">
        <v>3.7</v>
      </c>
      <c r="G879" s="143">
        <v>715.4</v>
      </c>
      <c r="H879" s="143" t="inlineStr">
        <is>
          <t xml:space="preserve">Closed</t>
        </is>
      </c>
      <c r="I879" s="143" t="inlineStr">
        <is>
          <t xml:space="preserve">57-20</t>
        </is>
      </c>
      <c r="J879" s="143" t="inlineStr">
        <is>
          <t xml:space="preserve">JOB-SETUP, CLEAN-UP, INSPECTION, JOB-CLOSEUP, JOB-CLOSEUP</t>
        </is>
      </c>
    </row>
    <row r="880" spans="1:10">
      <c r="A880" s="143" t="inlineStr">
        <is>
          <t xml:space="preserve">658</t>
        </is>
      </c>
      <c r="B880" s="143" t="inlineStr">
        <is>
          <t xml:space="preserve">572066-01-1-002</t>
        </is>
      </c>
      <c r="C880" s="143" t="inlineStr">
        <is>
          <t xml:space="preserve">572066-01-1-002 (03) / R/H OUTER WING TOP SKIN LOWER SURFACE INSP</t>
        </is>
      </c>
      <c r="D880" s="143">
        <v>1.0</v>
      </c>
      <c r="E880" s="143">
        <v>2.33</v>
      </c>
      <c r="F880" s="143">
        <v>2.95</v>
      </c>
      <c r="G880" s="143">
        <v>717.0</v>
      </c>
      <c r="H880" s="143" t="inlineStr">
        <is>
          <t xml:space="preserve">Closed</t>
        </is>
      </c>
      <c r="I880" s="143" t="inlineStr">
        <is>
          <t xml:space="preserve">57-20</t>
        </is>
      </c>
      <c r="J880" s="143" t="inlineStr">
        <is>
          <t xml:space="preserve">JOB-SETUP, CLEAN-UP, INSPECTION, JOB-CLOSEUP, JOB-CLOSEUP</t>
        </is>
      </c>
    </row>
    <row r="881" spans="1:10">
      <c r="A881" s="143" t="inlineStr">
        <is>
          <t xml:space="preserve">659</t>
        </is>
      </c>
      <c r="B881" s="143" t="inlineStr">
        <is>
          <t xml:space="preserve">572111-01-1-001</t>
        </is>
      </c>
      <c r="C881" s="143" t="inlineStr">
        <is>
          <t xml:space="preserve">572111-01-1-001 (03) / LH WING REAR SPAR AFT FACE INSP</t>
        </is>
      </c>
      <c r="D881" s="143">
        <v>1.0</v>
      </c>
      <c r="E881" s="143">
        <v>0.87</v>
      </c>
      <c r="F881" s="143">
        <v>1.5</v>
      </c>
      <c r="G881" s="143">
        <v>53.0</v>
      </c>
      <c r="H881" s="143" t="inlineStr">
        <is>
          <t xml:space="preserve">Closed</t>
        </is>
      </c>
      <c r="I881" s="143" t="inlineStr">
        <is>
          <t xml:space="preserve">57-21</t>
        </is>
      </c>
      <c r="J881" s="143" t="inlineStr">
        <is>
          <t xml:space="preserve">JOB-SETUP, CLEAN-UP, INSPECTION, JOB-CLOSEUP</t>
        </is>
      </c>
    </row>
    <row r="882" spans="1:10">
      <c r="A882" s="143" t="inlineStr">
        <is>
          <t xml:space="preserve">660</t>
        </is>
      </c>
      <c r="B882" s="143" t="inlineStr">
        <is>
          <t xml:space="preserve">572111-01-1-002</t>
        </is>
      </c>
      <c r="C882" s="143" t="inlineStr">
        <is>
          <t xml:space="preserve">572111-01-1-002 (03) / RH WING REAR SPAR AFT FACE INSP</t>
        </is>
      </c>
      <c r="D882" s="143">
        <v>1.0</v>
      </c>
      <c r="E882" s="143">
        <v>0.87</v>
      </c>
      <c r="F882" s="143">
        <v>1.25</v>
      </c>
      <c r="G882" s="143">
        <v>1.0</v>
      </c>
      <c r="H882" s="143" t="inlineStr">
        <is>
          <t xml:space="preserve">Closed</t>
        </is>
      </c>
      <c r="I882" s="143" t="inlineStr">
        <is>
          <t xml:space="preserve">57-21</t>
        </is>
      </c>
      <c r="J882" s="143" t="inlineStr">
        <is>
          <t xml:space="preserve">JOB-SETUP, CLEAN-UP, INSPECTION, JOB-CLOSEUP</t>
        </is>
      </c>
    </row>
    <row r="883" spans="1:10">
      <c r="A883" s="143" t="inlineStr">
        <is>
          <t xml:space="preserve">661</t>
        </is>
      </c>
      <c r="B883" s="143" t="inlineStr">
        <is>
          <t xml:space="preserve">572111-02-1</t>
        </is>
      </c>
      <c r="C883" s="143" t="inlineStr">
        <is>
          <t xml:space="preserve">572111-02-1 (0) / OUTER WING REAR SPAR AFT FACE RIB 8-</t>
        </is>
      </c>
      <c r="D883" s="143">
        <v>1.0</v>
      </c>
      <c r="E883" s="143">
        <v>0.42</v>
      </c>
      <c r="F883" s="143">
        <v>0.88</v>
      </c>
      <c r="G883" s="143">
        <v>53.9</v>
      </c>
      <c r="H883" s="143" t="inlineStr">
        <is>
          <t xml:space="preserve">Closed</t>
        </is>
      </c>
      <c r="I883" s="143">
        <v>57.0</v>
      </c>
      <c r="J883" s="143" t="inlineStr">
        <is>
          <t xml:space="preserve">JOB-SETUP, INSPECTION, JOB-CLOSEUP</t>
        </is>
      </c>
    </row>
    <row r="884" spans="1:10">
      <c r="A884" s="143" t="inlineStr">
        <is>
          <t xml:space="preserve">662</t>
        </is>
      </c>
      <c r="B884" s="143" t="inlineStr">
        <is>
          <t xml:space="preserve">572112-01-1-001</t>
        </is>
      </c>
      <c r="C884" s="143" t="inlineStr">
        <is>
          <t xml:space="preserve">572112-01-1-001 (01) / L/H OUTER WING REAR SPAR AFT FACE INSP</t>
        </is>
      </c>
      <c r="D884" s="143">
        <v>1.0</v>
      </c>
      <c r="E884" s="143">
        <v>3.3</v>
      </c>
      <c r="F884" s="143">
        <v>2.17</v>
      </c>
      <c r="G884" s="143">
        <v>53.0</v>
      </c>
      <c r="H884" s="143" t="inlineStr">
        <is>
          <t xml:space="preserve">Closed</t>
        </is>
      </c>
      <c r="I884" s="143" t="inlineStr">
        <is>
          <t xml:space="preserve">57-21</t>
        </is>
      </c>
      <c r="J884" s="143" t="inlineStr">
        <is>
          <t xml:space="preserve">JOB-SETUP, CLEAN-UP, INSPECTION, JOB-CLOSEUP</t>
        </is>
      </c>
    </row>
    <row r="885" spans="1:10">
      <c r="A885" s="143" t="inlineStr">
        <is>
          <t xml:space="preserve">663</t>
        </is>
      </c>
      <c r="B885" s="143" t="inlineStr">
        <is>
          <t xml:space="preserve">572112-01-1-002</t>
        </is>
      </c>
      <c r="C885" s="143" t="inlineStr">
        <is>
          <t xml:space="preserve">572112-01-1-002 (01) / R/H OUTER WING REAR SPAR AFT FACE INSP</t>
        </is>
      </c>
      <c r="D885" s="143">
        <v>1.0</v>
      </c>
      <c r="E885" s="143">
        <v>3.3</v>
      </c>
      <c r="F885" s="143">
        <v>1.25</v>
      </c>
      <c r="G885" s="143">
        <v>43.1</v>
      </c>
      <c r="H885" s="143" t="inlineStr">
        <is>
          <t xml:space="preserve">Closed</t>
        </is>
      </c>
      <c r="I885" s="143" t="inlineStr">
        <is>
          <t xml:space="preserve">57-21</t>
        </is>
      </c>
      <c r="J885" s="143" t="inlineStr">
        <is>
          <t xml:space="preserve">JOB-SETUP, CLEAN-UP, INSPECTION, JOB-CLOSEUP</t>
        </is>
      </c>
    </row>
    <row r="886" spans="1:10">
      <c r="A886" s="143" t="inlineStr">
        <is>
          <t xml:space="preserve">668</t>
        </is>
      </c>
      <c r="B886" s="143" t="inlineStr">
        <is>
          <t xml:space="preserve">572607-01-1-001</t>
        </is>
      </c>
      <c r="C886" s="143" t="inlineStr">
        <is>
          <t xml:space="preserve">572607-01-1-001 (2) / L/FLAP TRACK BEAMS FWD SPIGOT ATTACH</t>
        </is>
      </c>
      <c r="D886" s="143">
        <v>1.0</v>
      </c>
      <c r="E886" s="143">
        <v>1.32</v>
      </c>
      <c r="F886" s="143">
        <v>3.87</v>
      </c>
      <c r="G886" s="143">
        <v>52.8</v>
      </c>
      <c r="H886" s="143" t="inlineStr">
        <is>
          <t xml:space="preserve">Closed</t>
        </is>
      </c>
      <c r="I886" s="143" t="inlineStr">
        <is>
          <t xml:space="preserve">57-26</t>
        </is>
      </c>
      <c r="J886" s="143" t="inlineStr">
        <is>
          <t xml:space="preserve">JOB-SETUP, CLEAN-UP, INSPECTION, JOB-CLOSEUP</t>
        </is>
      </c>
    </row>
    <row r="887" spans="1:10">
      <c r="A887" s="143" t="inlineStr">
        <is>
          <t xml:space="preserve">669</t>
        </is>
      </c>
      <c r="B887" s="143" t="inlineStr">
        <is>
          <t xml:space="preserve">572607-01-1-002</t>
        </is>
      </c>
      <c r="C887" s="143" t="inlineStr">
        <is>
          <t xml:space="preserve">572607-01-1-002 (2) / R/FLAP TRACK BEAMS FWD SPIGOT ATTACH</t>
        </is>
      </c>
      <c r="D887" s="143">
        <v>1.0</v>
      </c>
      <c r="E887" s="143">
        <v>1.32</v>
      </c>
      <c r="F887" s="143">
        <v>7.25</v>
      </c>
      <c r="G887" s="143">
        <v>4.27</v>
      </c>
      <c r="H887" s="143" t="inlineStr">
        <is>
          <t xml:space="preserve">Closed</t>
        </is>
      </c>
      <c r="I887" s="143" t="inlineStr">
        <is>
          <t xml:space="preserve">57-26</t>
        </is>
      </c>
      <c r="J887" s="143" t="inlineStr">
        <is>
          <t xml:space="preserve">JOB-SETUP, CLEAN-UP, INSPECTION, JOB-CLOSEUP</t>
        </is>
      </c>
    </row>
    <row r="888" spans="1:10">
      <c r="A888" s="143" t="inlineStr">
        <is>
          <t xml:space="preserve">670</t>
        </is>
      </c>
      <c r="B888" s="143" t="inlineStr">
        <is>
          <t xml:space="preserve">572610-02-1-001</t>
        </is>
      </c>
      <c r="C888" s="143" t="inlineStr">
        <is>
          <t xml:space="preserve">572610-02-1-001 (03) / LH FLAP TRACK BEAMS INSP</t>
        </is>
      </c>
      <c r="D888" s="143">
        <v>1.0</v>
      </c>
      <c r="E888" s="143">
        <v>1.35</v>
      </c>
      <c r="F888" s="143">
        <v>7.0</v>
      </c>
      <c r="G888" s="143">
        <v>153.7</v>
      </c>
      <c r="H888" s="143" t="inlineStr">
        <is>
          <t xml:space="preserve">Closed</t>
        </is>
      </c>
      <c r="I888" s="143" t="inlineStr">
        <is>
          <t xml:space="preserve">57-26</t>
        </is>
      </c>
      <c r="J888" s="143" t="inlineStr">
        <is>
          <t xml:space="preserve">JOB-SETUP, CLEAN-UP, INSPECTION, JOB-CLOSEUP</t>
        </is>
      </c>
    </row>
    <row r="889" spans="1:10">
      <c r="A889" s="143" t="inlineStr">
        <is>
          <t xml:space="preserve">671</t>
        </is>
      </c>
      <c r="B889" s="143" t="inlineStr">
        <is>
          <t xml:space="preserve">572610-02-1-002</t>
        </is>
      </c>
      <c r="C889" s="143" t="inlineStr">
        <is>
          <t xml:space="preserve">572610-02-1-002 (03) / RH FLAP TRACK BEAMS INSP</t>
        </is>
      </c>
      <c r="D889" s="143">
        <v>1.0</v>
      </c>
      <c r="E889" s="143">
        <v>1.35</v>
      </c>
      <c r="F889" s="143">
        <v>12.75</v>
      </c>
      <c r="G889" s="143">
        <v>81.5</v>
      </c>
      <c r="H889" s="143" t="inlineStr">
        <is>
          <t xml:space="preserve">Closed</t>
        </is>
      </c>
      <c r="I889" s="143" t="inlineStr">
        <is>
          <t xml:space="preserve">57-26</t>
        </is>
      </c>
      <c r="J889" s="143" t="inlineStr">
        <is>
          <t xml:space="preserve">JOB-SETUP, CLEAN-UP, INSPECTION, JOB-CLOSEUP</t>
        </is>
      </c>
    </row>
    <row r="890" spans="1:10">
      <c r="A890" s="143" t="inlineStr">
        <is>
          <t xml:space="preserve">672</t>
        </is>
      </c>
      <c r="B890" s="143" t="inlineStr">
        <is>
          <t xml:space="preserve">574101-01-3-001</t>
        </is>
      </c>
      <c r="C890" s="143" t="inlineStr">
        <is>
          <t xml:space="preserve">574101-01-3-001 (03) / L/H FIXED LE ROLLER PIN HOLES INSP</t>
        </is>
      </c>
      <c r="D890" s="143">
        <v>1.0</v>
      </c>
      <c r="E890" s="143">
        <v>6.42</v>
      </c>
      <c r="F890" s="143">
        <v>2.0</v>
      </c>
      <c r="G890" s="143">
        <v>41.6</v>
      </c>
      <c r="H890" s="143" t="inlineStr">
        <is>
          <t xml:space="preserve">Closed</t>
        </is>
      </c>
      <c r="I890" s="143" t="inlineStr">
        <is>
          <t xml:space="preserve">57-41</t>
        </is>
      </c>
      <c r="J890" s="143" t="inlineStr">
        <is>
          <t xml:space="preserve">JOB-SETUP, CLEAN-UP, INSPECTION, JOB-CLOSEUP</t>
        </is>
      </c>
    </row>
    <row r="891" spans="1:10">
      <c r="A891" s="143" t="inlineStr">
        <is>
          <t xml:space="preserve">673</t>
        </is>
      </c>
      <c r="B891" s="143" t="inlineStr">
        <is>
          <t xml:space="preserve">574101-01-3-002</t>
        </is>
      </c>
      <c r="C891" s="143" t="inlineStr">
        <is>
          <t xml:space="preserve">574101-01-3-002 (03) / R/H FIXED LE ROLLER PIN HOLES INSP</t>
        </is>
      </c>
      <c r="D891" s="143">
        <v>1.0</v>
      </c>
      <c r="E891" s="143">
        <v>6.42</v>
      </c>
      <c r="F891" s="143">
        <v>8.75</v>
      </c>
      <c r="G891" s="143">
        <v>67.8</v>
      </c>
      <c r="H891" s="143" t="inlineStr">
        <is>
          <t xml:space="preserve">Closed</t>
        </is>
      </c>
      <c r="I891" s="143" t="inlineStr">
        <is>
          <t xml:space="preserve">57-41</t>
        </is>
      </c>
      <c r="J891" s="143" t="inlineStr">
        <is>
          <t xml:space="preserve">JOB-SETUP, CLEAN-UP, INSPECTION, JOB-CLOSEUP</t>
        </is>
      </c>
    </row>
    <row r="892" spans="1:10">
      <c r="A892" s="143" t="inlineStr">
        <is>
          <t xml:space="preserve">674</t>
        </is>
      </c>
      <c r="B892" s="143" t="inlineStr">
        <is>
          <t xml:space="preserve">574202-01-2-001</t>
        </is>
      </c>
      <c r="C892" s="143" t="inlineStr">
        <is>
          <t xml:space="preserve">574202-01-2-001 (02) / L/H SLAT 1 TRACKS 1-4 ATACHMNTS INSP</t>
        </is>
      </c>
      <c r="D892" s="143">
        <v>1.0</v>
      </c>
      <c r="E892" s="143">
        <v>0.92</v>
      </c>
      <c r="F892" s="143">
        <v>5.0</v>
      </c>
      <c r="G892" s="143">
        <v>13.08</v>
      </c>
      <c r="H892" s="143" t="inlineStr">
        <is>
          <t xml:space="preserve">Closed</t>
        </is>
      </c>
      <c r="I892" s="143" t="inlineStr">
        <is>
          <t xml:space="preserve">57-42</t>
        </is>
      </c>
      <c r="J892" s="143" t="inlineStr">
        <is>
          <t xml:space="preserve">JOB-SETUP, CLEAN-UP, INSPECTION, JOB-CLOSEUP</t>
        </is>
      </c>
    </row>
    <row r="893" spans="1:10">
      <c r="A893" s="143" t="inlineStr">
        <is>
          <t xml:space="preserve">675</t>
        </is>
      </c>
      <c r="B893" s="143" t="inlineStr">
        <is>
          <t xml:space="preserve">574202-01-2-002</t>
        </is>
      </c>
      <c r="C893" s="143" t="inlineStr">
        <is>
          <t xml:space="preserve">574202-01-2-002 (02) / R/H SLAT 1 TRACKS 1-4 ATACHMNTS INSP</t>
        </is>
      </c>
      <c r="D893" s="143">
        <v>1.0</v>
      </c>
      <c r="E893" s="143">
        <v>0.92</v>
      </c>
      <c r="F893" s="143">
        <v>21.5</v>
      </c>
      <c r="G893" s="143">
        <v>139.2</v>
      </c>
      <c r="H893" s="143" t="inlineStr">
        <is>
          <t xml:space="preserve">Closed</t>
        </is>
      </c>
      <c r="I893" s="143" t="inlineStr">
        <is>
          <t xml:space="preserve">57-42</t>
        </is>
      </c>
      <c r="J893" s="143" t="inlineStr">
        <is>
          <t xml:space="preserve">JOB-SETUP, CLEAN-UP, INSPECTION, JOB-CLOSEUP</t>
        </is>
      </c>
    </row>
    <row r="894" spans="1:10">
      <c r="A894" s="143" t="inlineStr">
        <is>
          <t xml:space="preserve">676</t>
        </is>
      </c>
      <c r="B894" s="143" t="inlineStr">
        <is>
          <t xml:space="preserve">574205-01-1-001</t>
        </is>
      </c>
      <c r="C894" s="143" t="inlineStr">
        <is>
          <t xml:space="preserve">574205-01-1-001 (02) / L/H SLAT 1 TRAILING EDGE INSP</t>
        </is>
      </c>
      <c r="D894" s="143">
        <v>1.0</v>
      </c>
      <c r="E894" s="143">
        <v>0.48</v>
      </c>
      <c r="F894" s="143">
        <v>0.55</v>
      </c>
      <c r="G894" s="143">
        <v>41.0</v>
      </c>
      <c r="H894" s="143" t="inlineStr">
        <is>
          <t xml:space="preserve">Closed</t>
        </is>
      </c>
      <c r="I894" s="143" t="inlineStr">
        <is>
          <t xml:space="preserve">57-42</t>
        </is>
      </c>
      <c r="J894" s="143" t="inlineStr">
        <is>
          <t xml:space="preserve">JOB-SETUP, CLEAN-UP, INSPECTION, JOB-CLOSEUP</t>
        </is>
      </c>
    </row>
    <row r="895" spans="1:10">
      <c r="A895" s="143" t="inlineStr">
        <is>
          <t xml:space="preserve">677</t>
        </is>
      </c>
      <c r="B895" s="143" t="inlineStr">
        <is>
          <t xml:space="preserve">574205-01-1-002</t>
        </is>
      </c>
      <c r="C895" s="143" t="inlineStr">
        <is>
          <t xml:space="preserve">574205-01-1-002 (02) / R/H SLAT 1 TRAILING EDGE INSP</t>
        </is>
      </c>
      <c r="D895" s="143">
        <v>1.0</v>
      </c>
      <c r="E895" s="143">
        <v>0.48</v>
      </c>
      <c r="F895" s="143">
        <v>1.33</v>
      </c>
      <c r="G895" s="143">
        <v>42.6</v>
      </c>
      <c r="H895" s="143" t="inlineStr">
        <is>
          <t xml:space="preserve">Closed</t>
        </is>
      </c>
      <c r="I895" s="143" t="inlineStr">
        <is>
          <t xml:space="preserve">57-42</t>
        </is>
      </c>
      <c r="J895" s="143" t="inlineStr">
        <is>
          <t xml:space="preserve">JOB-SETUP, CLEAN-UP, INSPECTION, JOB-CLOSEUP</t>
        </is>
      </c>
    </row>
    <row r="896" spans="1:10">
      <c r="A896" s="143" t="inlineStr">
        <is>
          <t xml:space="preserve">678</t>
        </is>
      </c>
      <c r="B896" s="143" t="inlineStr">
        <is>
          <t xml:space="preserve">574302-01-2-001</t>
        </is>
      </c>
      <c r="C896" s="143" t="inlineStr">
        <is>
          <t xml:space="preserve">574302-01-2-001 (02) / L/H SLAT 2 TRACK 5-6 ATTACHMNTS INSP</t>
        </is>
      </c>
      <c r="D896" s="143">
        <v>1.0</v>
      </c>
      <c r="E896" s="143">
        <v>0.48</v>
      </c>
      <c r="F896" s="143">
        <v>1.5</v>
      </c>
      <c r="G896" s="143">
        <v>1.95</v>
      </c>
      <c r="H896" s="143" t="inlineStr">
        <is>
          <t xml:space="preserve">Closed</t>
        </is>
      </c>
      <c r="I896" s="143" t="inlineStr">
        <is>
          <t xml:space="preserve">57-43</t>
        </is>
      </c>
      <c r="J896" s="143" t="inlineStr">
        <is>
          <t xml:space="preserve">JOB-SETUP, CLEAN-UP, INSPECTION, JOB-CLOSEUP</t>
        </is>
      </c>
    </row>
    <row r="897" spans="1:10">
      <c r="A897" s="143" t="inlineStr">
        <is>
          <t xml:space="preserve">679</t>
        </is>
      </c>
      <c r="B897" s="143" t="inlineStr">
        <is>
          <t xml:space="preserve">574302-01-2-002</t>
        </is>
      </c>
      <c r="C897" s="143" t="inlineStr">
        <is>
          <t xml:space="preserve">574302-01-2-002 (02) / R/H SLAT 2 TRACK 5-6 ATTACHMNTS INSP</t>
        </is>
      </c>
      <c r="D897" s="143">
        <v>1.0</v>
      </c>
      <c r="E897" s="143">
        <v>0.48</v>
      </c>
      <c r="F897" s="143">
        <v>4.33</v>
      </c>
      <c r="G897" s="143">
        <v>77.4</v>
      </c>
      <c r="H897" s="143" t="inlineStr">
        <is>
          <t xml:space="preserve">Closed</t>
        </is>
      </c>
      <c r="I897" s="143" t="inlineStr">
        <is>
          <t xml:space="preserve">57-43</t>
        </is>
      </c>
      <c r="J897" s="143" t="inlineStr">
        <is>
          <t xml:space="preserve">JOB-SETUP, CLEAN-UP, INSPECTION, JOB-CLOSEUP</t>
        </is>
      </c>
    </row>
    <row r="898" spans="1:10">
      <c r="A898" s="143" t="inlineStr">
        <is>
          <t xml:space="preserve">680</t>
        </is>
      </c>
      <c r="B898" s="143" t="inlineStr">
        <is>
          <t xml:space="preserve">574305-01-1-001</t>
        </is>
      </c>
      <c r="C898" s="143" t="inlineStr">
        <is>
          <t xml:space="preserve">574305-01-1-001 (02) / L/H SLAT 2 TRAILING EDGE INSP</t>
        </is>
      </c>
      <c r="D898" s="143">
        <v>1.0</v>
      </c>
      <c r="E898" s="143">
        <v>0.48</v>
      </c>
      <c r="F898" s="143">
        <v>2.52</v>
      </c>
      <c r="G898" s="143">
        <v>42.2</v>
      </c>
      <c r="H898" s="143" t="inlineStr">
        <is>
          <t xml:space="preserve">Closed</t>
        </is>
      </c>
      <c r="I898" s="143" t="inlineStr">
        <is>
          <t xml:space="preserve">57-43</t>
        </is>
      </c>
      <c r="J898" s="143" t="inlineStr">
        <is>
          <t xml:space="preserve">JOB-SETUP, --, INSPECTION, JOB-CLOSEUP</t>
        </is>
      </c>
    </row>
    <row r="899" spans="1:10">
      <c r="A899" s="143" t="inlineStr">
        <is>
          <t xml:space="preserve">681</t>
        </is>
      </c>
      <c r="B899" s="143" t="inlineStr">
        <is>
          <t xml:space="preserve">574305-01-1-002</t>
        </is>
      </c>
      <c r="C899" s="143" t="inlineStr">
        <is>
          <t xml:space="preserve">574305-01-1-002 (02) / R/H SLAT 2 TRAILING EDGE INSP</t>
        </is>
      </c>
      <c r="D899" s="143">
        <v>1.0</v>
      </c>
      <c r="E899" s="143">
        <v>0.48</v>
      </c>
      <c r="F899" s="143">
        <v>1.08</v>
      </c>
      <c r="G899" s="143">
        <v>42.9</v>
      </c>
      <c r="H899" s="143" t="inlineStr">
        <is>
          <t xml:space="preserve">Closed</t>
        </is>
      </c>
      <c r="I899" s="143" t="inlineStr">
        <is>
          <t xml:space="preserve">57-43</t>
        </is>
      </c>
      <c r="J899" s="143" t="inlineStr">
        <is>
          <t xml:space="preserve">JOB-SETUP, CLEAN-UP, INSPECTION, JOB-CLOSEUP</t>
        </is>
      </c>
    </row>
    <row r="900" spans="1:10">
      <c r="A900" s="143" t="inlineStr">
        <is>
          <t xml:space="preserve">682</t>
        </is>
      </c>
      <c r="B900" s="143" t="inlineStr">
        <is>
          <t xml:space="preserve">574402-01-2-001</t>
        </is>
      </c>
      <c r="C900" s="143" t="inlineStr">
        <is>
          <t xml:space="preserve">574402-01-2-001 (02) / L/H SLAT 3 TRACK 7-8 ATTACHMENTS INSP</t>
        </is>
      </c>
      <c r="D900" s="143">
        <v>1.0</v>
      </c>
      <c r="E900" s="143">
        <v>0.48</v>
      </c>
      <c r="F900" s="143">
        <v>1.5</v>
      </c>
      <c r="G900" s="143">
        <v>2.07</v>
      </c>
      <c r="H900" s="143" t="inlineStr">
        <is>
          <t xml:space="preserve">Closed</t>
        </is>
      </c>
      <c r="I900" s="143" t="inlineStr">
        <is>
          <t xml:space="preserve">57-44</t>
        </is>
      </c>
      <c r="J900" s="143" t="inlineStr">
        <is>
          <t xml:space="preserve">JOB-SETUP, CLEAN-UP, INSPECTION, JOB-CLOSEUP</t>
        </is>
      </c>
    </row>
    <row r="901" spans="1:10">
      <c r="A901" s="143" t="inlineStr">
        <is>
          <t xml:space="preserve">683</t>
        </is>
      </c>
      <c r="B901" s="143" t="inlineStr">
        <is>
          <t xml:space="preserve">574402-01-2-002</t>
        </is>
      </c>
      <c r="C901" s="143" t="inlineStr">
        <is>
          <t xml:space="preserve">574402-01-2-002 (02) / R/H SLAT 3 TRACK 7-8 ATTACHMENTS INSP</t>
        </is>
      </c>
      <c r="D901" s="143">
        <v>1.0</v>
      </c>
      <c r="E901" s="143">
        <v>0.48</v>
      </c>
      <c r="F901" s="143">
        <v>5.33</v>
      </c>
      <c r="G901" s="143">
        <v>43.0</v>
      </c>
      <c r="H901" s="143" t="inlineStr">
        <is>
          <t xml:space="preserve">Closed</t>
        </is>
      </c>
      <c r="I901" s="143" t="inlineStr">
        <is>
          <t xml:space="preserve">57-44</t>
        </is>
      </c>
      <c r="J901" s="143" t="inlineStr">
        <is>
          <t xml:space="preserve">JOB-SETUP, CLEAN-UP, INSPECTION, JOB-CLOSEUP</t>
        </is>
      </c>
    </row>
    <row r="902" spans="1:10">
      <c r="A902" s="143" t="inlineStr">
        <is>
          <t xml:space="preserve">684</t>
        </is>
      </c>
      <c r="B902" s="143" t="inlineStr">
        <is>
          <t xml:space="preserve">574405-01-1-001</t>
        </is>
      </c>
      <c r="C902" s="143" t="inlineStr">
        <is>
          <t xml:space="preserve">574405-01-1-001 (02) / L/H SLAT 3 TRAILING EDGE INSPECTION</t>
        </is>
      </c>
      <c r="D902" s="143">
        <v>1.0</v>
      </c>
      <c r="E902" s="143">
        <v>0.48</v>
      </c>
      <c r="F902" s="143">
        <v>3.52</v>
      </c>
      <c r="G902" s="143">
        <v>42.4</v>
      </c>
      <c r="H902" s="143" t="inlineStr">
        <is>
          <t xml:space="preserve">Closed</t>
        </is>
      </c>
      <c r="I902" s="143" t="inlineStr">
        <is>
          <t xml:space="preserve">57-44</t>
        </is>
      </c>
      <c r="J902" s="143" t="inlineStr">
        <is>
          <t xml:space="preserve">JOB-SETUP, CLEAN-UP, INSPECTION, JOB-CLOSEUP</t>
        </is>
      </c>
    </row>
    <row r="903" spans="1:10">
      <c r="A903" s="143" t="inlineStr">
        <is>
          <t xml:space="preserve">685</t>
        </is>
      </c>
      <c r="B903" s="143" t="inlineStr">
        <is>
          <t xml:space="preserve">574405-01-1-002</t>
        </is>
      </c>
      <c r="C903" s="143" t="inlineStr">
        <is>
          <t xml:space="preserve">574405-01-1-002 (02) / R/H SLAT 3 TRAILING EDGE INSPECTION</t>
        </is>
      </c>
      <c r="D903" s="143">
        <v>1.0</v>
      </c>
      <c r="E903" s="143">
        <v>0.48</v>
      </c>
      <c r="F903" s="143">
        <v>2.0</v>
      </c>
      <c r="G903" s="143">
        <v>43.0</v>
      </c>
      <c r="H903" s="143" t="inlineStr">
        <is>
          <t xml:space="preserve">Closed</t>
        </is>
      </c>
      <c r="I903" s="143" t="inlineStr">
        <is>
          <t xml:space="preserve">57-44</t>
        </is>
      </c>
      <c r="J903" s="143" t="inlineStr">
        <is>
          <t xml:space="preserve">JOB-SETUP, CLEAN-UP, INSPECTION, JOB-CLOSEUP</t>
        </is>
      </c>
    </row>
    <row r="904" spans="1:10">
      <c r="A904" s="143" t="inlineStr">
        <is>
          <t xml:space="preserve">686</t>
        </is>
      </c>
      <c r="B904" s="143" t="inlineStr">
        <is>
          <t xml:space="preserve">574502-01-2-001</t>
        </is>
      </c>
      <c r="C904" s="143" t="inlineStr">
        <is>
          <t xml:space="preserve">574502-01-2-001 (02) / L/H SLAT 4 TRACK 9-10 ATTACHMENTS INSP</t>
        </is>
      </c>
      <c r="D904" s="143">
        <v>1.0</v>
      </c>
      <c r="E904" s="143">
        <v>0.48</v>
      </c>
      <c r="F904" s="143">
        <v>0.67</v>
      </c>
      <c r="G904" s="143">
        <v>3.32</v>
      </c>
      <c r="H904" s="143" t="inlineStr">
        <is>
          <t xml:space="preserve">Closed</t>
        </is>
      </c>
      <c r="I904" s="143" t="inlineStr">
        <is>
          <t xml:space="preserve">57-45</t>
        </is>
      </c>
      <c r="J904" s="143" t="inlineStr">
        <is>
          <t xml:space="preserve">JOB-SETUP, CLEAN-UP, INSPECTION, JOB-CLOSEUP</t>
        </is>
      </c>
    </row>
    <row r="905" spans="1:10">
      <c r="A905" s="143" t="inlineStr">
        <is>
          <t xml:space="preserve">687</t>
        </is>
      </c>
      <c r="B905" s="143" t="inlineStr">
        <is>
          <t xml:space="preserve">574502-01-2-002</t>
        </is>
      </c>
      <c r="C905" s="143" t="inlineStr">
        <is>
          <t xml:space="preserve">574502-01-2-002 (02) / R/H SLAT 4 TRACK 9-10 ATTACHMENTS INSP</t>
        </is>
      </c>
      <c r="D905" s="143">
        <v>1.0</v>
      </c>
      <c r="E905" s="143">
        <v>0.48</v>
      </c>
      <c r="F905" s="143">
        <v>5.08</v>
      </c>
      <c r="G905" s="143">
        <v>42.6</v>
      </c>
      <c r="H905" s="143" t="inlineStr">
        <is>
          <t xml:space="preserve">Closed</t>
        </is>
      </c>
      <c r="I905" s="143" t="inlineStr">
        <is>
          <t xml:space="preserve">57-45</t>
        </is>
      </c>
      <c r="J905" s="143" t="inlineStr">
        <is>
          <t xml:space="preserve">JOB-SETUP, CLEAN-UP, INSPECTION, JOB-CLOSEUP</t>
        </is>
      </c>
    </row>
    <row r="906" spans="1:10">
      <c r="A906" s="143" t="inlineStr">
        <is>
          <t xml:space="preserve">688</t>
        </is>
      </c>
      <c r="B906" s="143" t="inlineStr">
        <is>
          <t xml:space="preserve">574505-01-1-001</t>
        </is>
      </c>
      <c r="C906" s="143" t="inlineStr">
        <is>
          <t xml:space="preserve">574505-01-1-001 (02) / L/H SLAT 4 TRAILING EDGE INSPECTION</t>
        </is>
      </c>
      <c r="D906" s="143">
        <v>1.0</v>
      </c>
      <c r="E906" s="143">
        <v>0.48</v>
      </c>
      <c r="F906" s="143">
        <v>3.0</v>
      </c>
      <c r="G906" s="143">
        <v>42.0</v>
      </c>
      <c r="H906" s="143" t="inlineStr">
        <is>
          <t xml:space="preserve">Closed</t>
        </is>
      </c>
      <c r="I906" s="143" t="inlineStr">
        <is>
          <t xml:space="preserve">57-45</t>
        </is>
      </c>
      <c r="J906" s="143" t="inlineStr">
        <is>
          <t xml:space="preserve">JOB-SETUP, CLEAN-UP, INSPECTION, JOB-CLOSEUP</t>
        </is>
      </c>
    </row>
    <row r="907" spans="1:10">
      <c r="A907" s="143" t="inlineStr">
        <is>
          <t xml:space="preserve">689</t>
        </is>
      </c>
      <c r="B907" s="143" t="inlineStr">
        <is>
          <t xml:space="preserve">574505-01-1-002</t>
        </is>
      </c>
      <c r="C907" s="143" t="inlineStr">
        <is>
          <t xml:space="preserve">574505-01-1-002 (02) / R/H SLAT 4 TRAILING EDGE INSPECTION</t>
        </is>
      </c>
      <c r="D907" s="143">
        <v>1.0</v>
      </c>
      <c r="E907" s="143">
        <v>0.48</v>
      </c>
      <c r="F907" s="143">
        <v>1.08</v>
      </c>
      <c r="G907" s="143">
        <v>43.5</v>
      </c>
      <c r="H907" s="143" t="inlineStr">
        <is>
          <t xml:space="preserve">Closed</t>
        </is>
      </c>
      <c r="I907" s="143" t="inlineStr">
        <is>
          <t xml:space="preserve">57-45</t>
        </is>
      </c>
      <c r="J907" s="143" t="inlineStr">
        <is>
          <t xml:space="preserve">JOB-SETUP, CLEAN-UP, INSPECTION, JOB-CLOSEUP</t>
        </is>
      </c>
    </row>
    <row r="908" spans="1:10">
      <c r="A908" s="143" t="inlineStr">
        <is>
          <t xml:space="preserve">690</t>
        </is>
      </c>
      <c r="B908" s="143" t="inlineStr">
        <is>
          <t xml:space="preserve">574602-01-2-001</t>
        </is>
      </c>
      <c r="C908" s="143" t="inlineStr">
        <is>
          <t xml:space="preserve">574602-01-2-001 (02) / L/H SLAT 5 TRACK 11-12 ATTACHMENTS INSP</t>
        </is>
      </c>
      <c r="D908" s="143">
        <v>1.0</v>
      </c>
      <c r="E908" s="143">
        <v>0.48</v>
      </c>
      <c r="F908" s="143">
        <v>2.25</v>
      </c>
      <c r="G908" s="143">
        <v>3.32</v>
      </c>
      <c r="H908" s="143" t="inlineStr">
        <is>
          <t xml:space="preserve">Closed</t>
        </is>
      </c>
      <c r="I908" s="143" t="inlineStr">
        <is>
          <t xml:space="preserve">57-46</t>
        </is>
      </c>
      <c r="J908" s="143" t="inlineStr">
        <is>
          <t xml:space="preserve">JOB-SETUP, CLEAN-UP, INSPECTION, JOB-CLOSEUP</t>
        </is>
      </c>
    </row>
    <row r="909" spans="1:10">
      <c r="A909" s="143" t="inlineStr">
        <is>
          <t xml:space="preserve">691</t>
        </is>
      </c>
      <c r="B909" s="143" t="inlineStr">
        <is>
          <t xml:space="preserve">574602-01-2-002</t>
        </is>
      </c>
      <c r="C909" s="143" t="inlineStr">
        <is>
          <t xml:space="preserve">574602-01-2-002 (02) / R/H SLAT 5 TRACK 11-12 ATTACHMENTS INSP</t>
        </is>
      </c>
      <c r="D909" s="143">
        <v>1.0</v>
      </c>
      <c r="E909" s="143">
        <v>0.48</v>
      </c>
      <c r="F909" s="143">
        <v>0.58</v>
      </c>
      <c r="G909" s="143">
        <v>44.7</v>
      </c>
      <c r="H909" s="143" t="inlineStr">
        <is>
          <t xml:space="preserve">Closed</t>
        </is>
      </c>
      <c r="I909" s="143" t="inlineStr">
        <is>
          <t xml:space="preserve">57-46</t>
        </is>
      </c>
      <c r="J909" s="143" t="inlineStr">
        <is>
          <t xml:space="preserve">JOB-SETUP, CLEAN-UP, INSPECTION, JOB-CLOSEUP</t>
        </is>
      </c>
    </row>
    <row r="910" spans="1:10">
      <c r="A910" s="143" t="inlineStr">
        <is>
          <t xml:space="preserve">692</t>
        </is>
      </c>
      <c r="B910" s="143" t="inlineStr">
        <is>
          <t xml:space="preserve">574605-01-1-001</t>
        </is>
      </c>
      <c r="C910" s="143" t="inlineStr">
        <is>
          <t xml:space="preserve">574605-01-1-001 (02) / L/H SLAT 5 TRAILING EDGE INSPECTION</t>
        </is>
      </c>
      <c r="D910" s="143">
        <v>1.0</v>
      </c>
      <c r="E910" s="143">
        <v>0.7</v>
      </c>
      <c r="F910" s="143">
        <v>3.0</v>
      </c>
      <c r="G910" s="143">
        <v>42.1</v>
      </c>
      <c r="H910" s="143" t="inlineStr">
        <is>
          <t xml:space="preserve">Closed</t>
        </is>
      </c>
      <c r="I910" s="143" t="inlineStr">
        <is>
          <t xml:space="preserve">57-46</t>
        </is>
      </c>
      <c r="J910" s="143" t="inlineStr">
        <is>
          <t xml:space="preserve">JOB-SETUP, CLEAN-UP, INSPECTION, JOB-CLOSEUP</t>
        </is>
      </c>
    </row>
    <row r="911" spans="1:10">
      <c r="A911" s="143" t="inlineStr">
        <is>
          <t xml:space="preserve">693</t>
        </is>
      </c>
      <c r="B911" s="143" t="inlineStr">
        <is>
          <t xml:space="preserve">574605-01-1-002</t>
        </is>
      </c>
      <c r="C911" s="143" t="inlineStr">
        <is>
          <t xml:space="preserve">574605-01-1-002 (02) / R/H SLAT 5 TRAILING EDGE INSPECTION</t>
        </is>
      </c>
      <c r="D911" s="143">
        <v>1.0</v>
      </c>
      <c r="E911" s="143">
        <v>0.7</v>
      </c>
      <c r="F911" s="143">
        <v>2.08</v>
      </c>
      <c r="G911" s="143">
        <v>45.4</v>
      </c>
      <c r="H911" s="143" t="inlineStr">
        <is>
          <t xml:space="preserve">Closed</t>
        </is>
      </c>
      <c r="I911" s="143" t="inlineStr">
        <is>
          <t xml:space="preserve">57-46</t>
        </is>
      </c>
      <c r="J911" s="143" t="inlineStr">
        <is>
          <t xml:space="preserve">JOB-SETUP, CLEAN-UP, INSPECTION, JOB-CLOSEUP</t>
        </is>
      </c>
    </row>
    <row r="912" spans="1:10">
      <c r="A912" s="143" t="inlineStr">
        <is>
          <t xml:space="preserve">694</t>
        </is>
      </c>
      <c r="B912" s="143" t="inlineStr">
        <is>
          <t xml:space="preserve">575107-01-1-001</t>
        </is>
      </c>
      <c r="C912" s="143" t="inlineStr">
        <is>
          <t xml:space="preserve">575107-01-1-001 (02) / L/H TRALNG EDGE SPOILER 2-5 FITINGS INSP</t>
        </is>
      </c>
      <c r="D912" s="143">
        <v>1.0</v>
      </c>
      <c r="E912" s="143">
        <v>5.37</v>
      </c>
      <c r="F912" s="143">
        <v>25.0</v>
      </c>
      <c r="G912" s="143">
        <v>26.5</v>
      </c>
      <c r="H912" s="143" t="inlineStr">
        <is>
          <t xml:space="preserve">Closed</t>
        </is>
      </c>
      <c r="I912" s="143" t="inlineStr">
        <is>
          <t xml:space="preserve">57-51</t>
        </is>
      </c>
      <c r="J912" s="143" t="inlineStr">
        <is>
          <t xml:space="preserve">JOB-SETUP, CLEAN-UP, INSPECTION, JOB-CLOSEUP</t>
        </is>
      </c>
    </row>
    <row r="913" spans="1:10">
      <c r="A913" s="143" t="inlineStr">
        <is>
          <t xml:space="preserve">695</t>
        </is>
      </c>
      <c r="B913" s="143" t="inlineStr">
        <is>
          <t xml:space="preserve">575107-01-1-002</t>
        </is>
      </c>
      <c r="C913" s="143" t="inlineStr">
        <is>
          <t xml:space="preserve">575107-01-1-002 (02) / R/H TRALNG EDGE SPOILER 2-5 FITINGS INSP</t>
        </is>
      </c>
      <c r="D913" s="143">
        <v>1.0</v>
      </c>
      <c r="E913" s="143">
        <v>5.37</v>
      </c>
      <c r="F913" s="143">
        <v>0.58</v>
      </c>
      <c r="G913" s="143">
        <v>42.5</v>
      </c>
      <c r="H913" s="143" t="inlineStr">
        <is>
          <t xml:space="preserve">Closed</t>
        </is>
      </c>
      <c r="I913" s="143" t="inlineStr">
        <is>
          <t xml:space="preserve">57-51</t>
        </is>
      </c>
      <c r="J913" s="143" t="inlineStr">
        <is>
          <t xml:space="preserve">JOB-SETUP, CLEAN-UP, INSPECTION, JOB-CLOSEUP</t>
        </is>
      </c>
    </row>
    <row r="914" spans="1:10">
      <c r="A914" s="143" t="inlineStr">
        <is>
          <t xml:space="preserve">696</t>
        </is>
      </c>
      <c r="B914" s="143" t="inlineStr">
        <is>
          <t xml:space="preserve">575120-03-1-001</t>
        </is>
      </c>
      <c r="C914" s="143" t="inlineStr">
        <is>
          <t xml:space="preserve">575120-03-1-001 (02) / TRALING EDGE AILERON HINGE PINS INSP</t>
        </is>
      </c>
      <c r="D914" s="143">
        <v>1.0</v>
      </c>
      <c r="E914" s="143">
        <v>2.63</v>
      </c>
      <c r="F914" s="143">
        <v>1.5</v>
      </c>
      <c r="G914" s="143">
        <v>25.4</v>
      </c>
      <c r="H914" s="143" t="inlineStr">
        <is>
          <t xml:space="preserve">Closed</t>
        </is>
      </c>
      <c r="I914" s="143" t="inlineStr">
        <is>
          <t xml:space="preserve">57-51</t>
        </is>
      </c>
      <c r="J914" s="143" t="inlineStr">
        <is>
          <t xml:space="preserve">JOB-SETUP, CLEAN-UP, INSPECTION, JOB-CLOSEUP</t>
        </is>
      </c>
    </row>
    <row r="915" spans="1:10">
      <c r="A915" s="143" t="inlineStr">
        <is>
          <t xml:space="preserve">697</t>
        </is>
      </c>
      <c r="B915" s="143" t="inlineStr">
        <is>
          <t xml:space="preserve">575120-03-1-002</t>
        </is>
      </c>
      <c r="C915" s="143" t="inlineStr">
        <is>
          <t xml:space="preserve">575120-03-1-002 (02) / TRALING EDGE AILERON HINGE PINS INSP</t>
        </is>
      </c>
      <c r="D915" s="143">
        <v>1.0</v>
      </c>
      <c r="E915" s="143">
        <v>2.63</v>
      </c>
      <c r="F915" s="143">
        <v>1.58</v>
      </c>
      <c r="G915" s="143">
        <v>30.2</v>
      </c>
      <c r="H915" s="143" t="inlineStr">
        <is>
          <t xml:space="preserve">Closed</t>
        </is>
      </c>
      <c r="I915" s="143" t="inlineStr">
        <is>
          <t xml:space="preserve">57-51</t>
        </is>
      </c>
      <c r="J915" s="143" t="inlineStr">
        <is>
          <t xml:space="preserve">JOB-SETUP, CLEAN-UP, INSPECTION, JOB-CLOSEUP</t>
        </is>
      </c>
    </row>
    <row r="916" spans="1:10">
      <c r="A916" s="143" t="inlineStr">
        <is>
          <t xml:space="preserve">698</t>
        </is>
      </c>
      <c r="B916" s="143" t="inlineStr">
        <is>
          <t xml:space="preserve">575150-01-2-001</t>
        </is>
      </c>
      <c r="C916" s="143" t="inlineStr">
        <is>
          <t xml:space="preserve">575150-01-2-001 (03) / L/H OUTER WING MLG SUPPORT RIBS INSP</t>
        </is>
      </c>
      <c r="D916" s="143">
        <v>1.0</v>
      </c>
      <c r="E916" s="143">
        <v>2.2</v>
      </c>
      <c r="F916" s="143">
        <v>14.67</v>
      </c>
      <c r="G916" s="143">
        <v>166.6</v>
      </c>
      <c r="H916" s="143" t="inlineStr">
        <is>
          <t xml:space="preserve">Closed</t>
        </is>
      </c>
      <c r="I916" s="143" t="inlineStr">
        <is>
          <t xml:space="preserve">57-51</t>
        </is>
      </c>
      <c r="J916" s="143" t="inlineStr">
        <is>
          <t xml:space="preserve">JOB-SETUP, CLEAN-UP, INSPECTION, JOB-CLOSEUP</t>
        </is>
      </c>
    </row>
    <row r="917" spans="1:10">
      <c r="A917" s="143" t="inlineStr">
        <is>
          <t xml:space="preserve">699</t>
        </is>
      </c>
      <c r="B917" s="143" t="inlineStr">
        <is>
          <t xml:space="preserve">575150-01-2-002</t>
        </is>
      </c>
      <c r="C917" s="143" t="inlineStr">
        <is>
          <t xml:space="preserve">575150-01-2-002 (03) / R/H OUTER WING MLG SUPPORT RIBS INSP</t>
        </is>
      </c>
      <c r="D917" s="143">
        <v>1.0</v>
      </c>
      <c r="E917" s="143">
        <v>2.2</v>
      </c>
      <c r="F917" s="143">
        <v>8.33</v>
      </c>
      <c r="G917" s="143">
        <v>24.0</v>
      </c>
      <c r="H917" s="143" t="inlineStr">
        <is>
          <t xml:space="preserve">Closed</t>
        </is>
      </c>
      <c r="I917" s="143" t="inlineStr">
        <is>
          <t xml:space="preserve">57-51</t>
        </is>
      </c>
      <c r="J917" s="143" t="inlineStr">
        <is>
          <t xml:space="preserve">JOB-SETUP, CLEAN-UP, INSPECTION, JOB-CLOSEUP</t>
        </is>
      </c>
    </row>
    <row r="918" spans="1:10">
      <c r="A918" s="143" t="inlineStr">
        <is>
          <t xml:space="preserve">700</t>
        </is>
      </c>
      <c r="B918" s="143" t="inlineStr">
        <is>
          <t xml:space="preserve">575158-01-5-001</t>
        </is>
      </c>
      <c r="C918" s="143" t="inlineStr">
        <is>
          <t xml:space="preserve">575158-01-5-001 (02) / L/H WNG BOTTOM SKN LWR SURFACE INSP</t>
        </is>
      </c>
      <c r="D918" s="143">
        <v>1.0</v>
      </c>
      <c r="E918" s="143">
        <v>0.43</v>
      </c>
      <c r="F918" s="143">
        <v>1.5</v>
      </c>
      <c r="G918" s="143">
        <v>28.1</v>
      </c>
      <c r="H918" s="143" t="inlineStr">
        <is>
          <t xml:space="preserve">Closed</t>
        </is>
      </c>
      <c r="I918" s="143" t="inlineStr">
        <is>
          <t xml:space="preserve">57-51</t>
        </is>
      </c>
      <c r="J918" s="143" t="inlineStr">
        <is>
          <t xml:space="preserve">JOB-SETUP, CLEAN-UP, INSPECTION, JOB-CLOSEUP</t>
        </is>
      </c>
    </row>
    <row r="919" spans="1:10">
      <c r="A919" s="143" t="inlineStr">
        <is>
          <t xml:space="preserve">701</t>
        </is>
      </c>
      <c r="B919" s="143" t="inlineStr">
        <is>
          <t xml:space="preserve">575158-01-5-002</t>
        </is>
      </c>
      <c r="C919" s="143" t="inlineStr">
        <is>
          <t xml:space="preserve">575158-01-5-002 (02) / R/H WNG BOTTOM SKN LWR SURFACE INSP</t>
        </is>
      </c>
      <c r="D919" s="143">
        <v>1.0</v>
      </c>
      <c r="E919" s="143">
        <v>0.43</v>
      </c>
      <c r="F919" s="143">
        <v>6.03</v>
      </c>
      <c r="G919" s="143">
        <v>23.02</v>
      </c>
      <c r="H919" s="143" t="inlineStr">
        <is>
          <t xml:space="preserve">Closed</t>
        </is>
      </c>
      <c r="I919" s="143" t="inlineStr">
        <is>
          <t xml:space="preserve">57-51</t>
        </is>
      </c>
      <c r="J919" s="143" t="inlineStr">
        <is>
          <t xml:space="preserve">JOB-SETUP, CLEAN-UP, INSPECTION, JOB-CLOSEUP</t>
        </is>
      </c>
    </row>
    <row r="920" spans="1:10">
      <c r="A920" s="143" t="inlineStr">
        <is>
          <t xml:space="preserve">702</t>
        </is>
      </c>
      <c r="B920" s="143" t="inlineStr">
        <is>
          <t xml:space="preserve">783000-C9-1</t>
        </is>
      </c>
      <c r="C920" s="143" t="inlineStr">
        <is>
          <t xml:space="preserve">783000-C9-1 (01) / DETAILED INSPECTION OF TRU STRUTS.</t>
        </is>
      </c>
      <c r="D920" s="143">
        <v>1.0</v>
      </c>
      <c r="E920" s="143">
        <v>4.67</v>
      </c>
      <c r="F920" s="143">
        <v>42.2</v>
      </c>
      <c r="G920" s="143">
        <v>30.7</v>
      </c>
      <c r="H920" s="143" t="inlineStr">
        <is>
          <t xml:space="preserve">Closed</t>
        </is>
      </c>
      <c r="I920" s="143" t="inlineStr">
        <is>
          <t xml:space="preserve">78-30</t>
        </is>
      </c>
      <c r="J920" s="143"/>
    </row>
    <row r="921" spans="1:10">
      <c r="A921" s="143" t="inlineStr">
        <is>
          <t xml:space="preserve">703</t>
        </is>
      </c>
      <c r="B921" s="143" t="inlineStr">
        <is>
          <t xml:space="preserve">22586962</t>
        </is>
      </c>
      <c r="C921" s="143" t="inlineStr">
        <is>
          <t xml:space="preserve">92339 (0) / TOILET SERVICES PANEL REINFORCEMENTS DOUBLER WITH CORROSION</t>
        </is>
      </c>
      <c r="D921" s="143">
        <v>1.0</v>
      </c>
      <c r="E921" s="143">
        <v>0.0</v>
      </c>
      <c r="F921" s="143">
        <v>0.17</v>
      </c>
      <c r="G921" s="143">
        <v>0.17</v>
      </c>
      <c r="H921" s="143" t="inlineStr">
        <is>
          <t xml:space="preserve">Closed</t>
        </is>
      </c>
      <c r="I921" s="143">
        <v>53.0</v>
      </c>
      <c r="J921" s="143"/>
    </row>
    <row r="922" spans="1:10">
      <c r="A922" s="143" t="inlineStr">
        <is>
          <t xml:space="preserve">704</t>
        </is>
      </c>
      <c r="B922" s="143" t="inlineStr">
        <is>
          <t xml:space="preserve">23464908</t>
        </is>
      </c>
      <c r="C922" s="143" t="inlineStr">
        <is>
          <t xml:space="preserve">92341 (0) / TOILET SERVICES PANEL REINFORCEMENTS DOUBLER WITH CORROSION2</t>
        </is>
      </c>
      <c r="D922" s="143">
        <v>1.0</v>
      </c>
      <c r="E922" s="143">
        <v>0.0</v>
      </c>
      <c r="F922" s="143">
        <v>0.17</v>
      </c>
      <c r="G922" s="143">
        <v>0.17</v>
      </c>
      <c r="H922" s="143" t="inlineStr">
        <is>
          <t xml:space="preserve">Closed</t>
        </is>
      </c>
      <c r="I922" s="143">
        <v>53.0</v>
      </c>
      <c r="J922" s="143"/>
    </row>
    <row r="923" spans="1:10">
      <c r="A923" s="143" t="inlineStr">
        <is>
          <t xml:space="preserve">705</t>
        </is>
      </c>
      <c r="B923" s="143" t="inlineStr">
        <is>
          <t xml:space="preserve">31905379</t>
        </is>
      </c>
      <c r="C923" s="143" t="inlineStr">
        <is>
          <t xml:space="preserve">TPIS DEACTIVATION (0) / TPIS DEACTIVATION</t>
        </is>
      </c>
      <c r="D923" s="143" t="inlineStr">
        <is>
          <t xml:space="preserve">RI</t>
        </is>
      </c>
      <c r="E923" s="143">
        <v>0.5</v>
      </c>
      <c r="F923" s="143">
        <v>3.0</v>
      </c>
      <c r="G923" s="143">
        <v>72.6</v>
      </c>
      <c r="H923" s="143" t="inlineStr">
        <is>
          <t xml:space="preserve">Closed</t>
        </is>
      </c>
      <c r="I923" s="143">
        <v>32.0</v>
      </c>
      <c r="J923" s="143"/>
    </row>
    <row r="924" spans="1:10">
      <c r="A924" s="143" t="inlineStr">
        <is>
          <t xml:space="preserve">706</t>
        </is>
      </c>
      <c r="B924" s="143" t="inlineStr">
        <is>
          <t xml:space="preserve">29294847</t>
        </is>
      </c>
      <c r="C924" s="143" t="inlineStr">
        <is>
          <t xml:space="preserve">252582/AD-A320/A321, INSPECTION OF ALL LAVATORY WASTE RECEPTACLE DOORS</t>
        </is>
      </c>
      <c r="D924" s="143">
        <v>1.0</v>
      </c>
      <c r="E924" s="143">
        <v>1.5</v>
      </c>
      <c r="F924" s="143">
        <v>5.0</v>
      </c>
      <c r="G924" s="143">
        <v>3.58</v>
      </c>
      <c r="H924" s="143" t="inlineStr">
        <is>
          <t xml:space="preserve">Closed</t>
        </is>
      </c>
      <c r="I924" s="143">
        <v>25.0</v>
      </c>
      <c r="J924" s="143"/>
    </row>
    <row r="925" spans="1:10">
      <c r="A925" s="143" t="inlineStr">
        <is>
          <t xml:space="preserve">708</t>
        </is>
      </c>
      <c r="B925" s="143" t="inlineStr">
        <is>
          <t xml:space="preserve">29749798</t>
        </is>
      </c>
      <c r="C925" s="143" t="inlineStr">
        <is>
          <t xml:space="preserve">EOD-320-23-00013-R00/COMMUNICATIONS- COCKPIT VOICE RECORDER-ACTIVATION OF DATALINK RECORDI</t>
        </is>
      </c>
      <c r="D925" s="143" t="inlineStr">
        <is>
          <t xml:space="preserve">C</t>
        </is>
      </c>
      <c r="E925" s="143">
        <v>3.0</v>
      </c>
      <c r="F925" s="143">
        <v>22.0</v>
      </c>
      <c r="G925" s="143">
        <v>114.4</v>
      </c>
      <c r="H925" s="143" t="inlineStr">
        <is>
          <t xml:space="preserve">Closed</t>
        </is>
      </c>
      <c r="I925" s="143">
        <v>23.0</v>
      </c>
      <c r="J925" s="143"/>
    </row>
    <row r="926" spans="1:10">
      <c r="A926" s="143" t="inlineStr">
        <is>
          <t xml:space="preserve">711</t>
        </is>
      </c>
      <c r="B926" s="143" t="inlineStr">
        <is>
          <t xml:space="preserve">30970374</t>
        </is>
      </c>
      <c r="C926" s="143" t="inlineStr">
        <is>
          <t xml:space="preserve">EOD-320-25-00052-R00/PAD-THIRD OCCUPANT SEAT – 168 SERIES BOTTOM EQUIPPED SCREW REPLACEMENT</t>
        </is>
      </c>
      <c r="D926" s="143" t="inlineStr">
        <is>
          <t xml:space="preserve">AD</t>
        </is>
      </c>
      <c r="E926" s="143">
        <v>0.5</v>
      </c>
      <c r="F926" s="143">
        <v>4.0</v>
      </c>
      <c r="G926" s="143">
        <v>3.03</v>
      </c>
      <c r="H926" s="143" t="inlineStr">
        <is>
          <t xml:space="preserve">Closed</t>
        </is>
      </c>
      <c r="I926" s="143">
        <v>25.0</v>
      </c>
      <c r="J926" s="143"/>
    </row>
    <row r="927" spans="1:10">
      <c r="A927" s="143" t="inlineStr">
        <is>
          <t xml:space="preserve">714</t>
        </is>
      </c>
      <c r="B927" s="143" t="inlineStr">
        <is>
          <t xml:space="preserve">31889267</t>
        </is>
      </c>
      <c r="C927" s="143" t="inlineStr">
        <is>
          <t xml:space="preserve">EOD-320-27-00026-R00/AD- A320 - FLIGHT CONTROLS- HIGH TIME THSA INSPECTION.</t>
        </is>
      </c>
      <c r="D927" s="143" t="inlineStr">
        <is>
          <t xml:space="preserve">ACHK</t>
        </is>
      </c>
      <c r="E927" s="143">
        <v>15.87</v>
      </c>
      <c r="F927" s="143">
        <v>94.2</v>
      </c>
      <c r="G927" s="143">
        <v>30.5</v>
      </c>
      <c r="H927" s="143" t="inlineStr">
        <is>
          <t xml:space="preserve">Closed</t>
        </is>
      </c>
      <c r="I927" s="143">
        <v>27.0</v>
      </c>
      <c r="J927" s="143"/>
    </row>
    <row r="928" spans="1:10">
      <c r="A928" s="143" t="inlineStr">
        <is>
          <t xml:space="preserve">716</t>
        </is>
      </c>
      <c r="B928" s="143" t="inlineStr">
        <is>
          <t xml:space="preserve">29500617</t>
        </is>
      </c>
      <c r="C928" s="143" t="inlineStr">
        <is>
          <t xml:space="preserve">EOD-320-31-00005-R00/A320 - INDICATING/RECORDING SYSTEMS - SDAC - ACQUISITION/INTERFACE- MO</t>
        </is>
      </c>
      <c r="D928" s="143" t="inlineStr">
        <is>
          <t xml:space="preserve">C</t>
        </is>
      </c>
      <c r="E928" s="143">
        <v>6.0</v>
      </c>
      <c r="F928" s="143">
        <v>37.0</v>
      </c>
      <c r="G928" s="143">
        <v>694.0</v>
      </c>
      <c r="H928" s="143" t="inlineStr">
        <is>
          <t xml:space="preserve">Closed</t>
        </is>
      </c>
      <c r="I928" s="143">
        <v>31.0</v>
      </c>
      <c r="J928" s="143"/>
    </row>
    <row r="929" spans="1:10">
      <c r="A929" s="143" t="inlineStr">
        <is>
          <t xml:space="preserve">717</t>
        </is>
      </c>
      <c r="B929" s="143" t="inlineStr">
        <is>
          <t xml:space="preserve">30482091</t>
        </is>
      </c>
      <c r="C929" s="143" t="inlineStr">
        <is>
          <t xml:space="preserve">EOD-320-31-00006-R00/ACTIVATE HIGHSPEED UPLOADING (ARINC 615A) - EIS2</t>
        </is>
      </c>
      <c r="D929" s="143" t="inlineStr">
        <is>
          <t xml:space="preserve">ACHK</t>
        </is>
      </c>
      <c r="E929" s="143">
        <v>2.0</v>
      </c>
      <c r="F929" s="143">
        <v>21.0</v>
      </c>
      <c r="G929" s="143">
        <v>29.3</v>
      </c>
      <c r="H929" s="143" t="inlineStr">
        <is>
          <t xml:space="preserve">Closed</t>
        </is>
      </c>
      <c r="I929" s="143">
        <v>31.0</v>
      </c>
      <c r="J929" s="143"/>
    </row>
    <row r="930" spans="1:10">
      <c r="A930" s="143" t="inlineStr">
        <is>
          <t xml:space="preserve">718</t>
        </is>
      </c>
      <c r="B930" s="143" t="inlineStr">
        <is>
          <t xml:space="preserve">30481965</t>
        </is>
      </c>
      <c r="C930" s="143" t="inlineStr">
        <is>
          <t xml:space="preserve">EOD-320-31-00007-R00/A320 –ELECTRONIC INSTRUMENT SYSTEM (EIS) - INTRODUCE EIS2 STANDARD S16</t>
        </is>
      </c>
      <c r="D930" s="143" t="inlineStr">
        <is>
          <t xml:space="preserve">ACHK</t>
        </is>
      </c>
      <c r="E930" s="143">
        <v>4.92</v>
      </c>
      <c r="F930" s="143">
        <v>16.0</v>
      </c>
      <c r="G930" s="143">
        <v>67.2</v>
      </c>
      <c r="H930" s="143" t="inlineStr">
        <is>
          <t xml:space="preserve">Closed</t>
        </is>
      </c>
      <c r="I930" s="143">
        <v>31.0</v>
      </c>
      <c r="J930" s="143"/>
    </row>
    <row r="931" spans="1:10">
      <c r="A931" s="143" t="inlineStr">
        <is>
          <t xml:space="preserve">719</t>
        </is>
      </c>
      <c r="B931" s="143" t="inlineStr">
        <is>
          <t xml:space="preserve">29155526</t>
        </is>
      </c>
      <c r="C931" s="143" t="inlineStr">
        <is>
          <t xml:space="preserve">EOD-320-31-00009-R00/INTRODUCE FDIMU H/W 2234320-02-02 FROM VENDOR TELEDYNE</t>
        </is>
      </c>
      <c r="D931" s="143" t="inlineStr">
        <is>
          <t xml:space="preserve">ACHK</t>
        </is>
      </c>
      <c r="E931" s="143">
        <v>2.5</v>
      </c>
      <c r="F931" s="143">
        <v>16.0</v>
      </c>
      <c r="G931" s="143">
        <v>3.03</v>
      </c>
      <c r="H931" s="143" t="inlineStr">
        <is>
          <t xml:space="preserve">Closed</t>
        </is>
      </c>
      <c r="I931" s="143">
        <v>31.0</v>
      </c>
      <c r="J931" s="143"/>
    </row>
    <row r="932" spans="1:10">
      <c r="A932" s="143" t="inlineStr">
        <is>
          <t xml:space="preserve">721</t>
        </is>
      </c>
      <c r="B932" s="143" t="inlineStr">
        <is>
          <t xml:space="preserve">29155749</t>
        </is>
      </c>
      <c r="C932" s="143" t="inlineStr">
        <is>
          <t xml:space="preserve">EOD-320-31-00011-R00/FDIMU - TELEDYNE ETHERNET AND ADC ACTIVATION FOR FOMAX</t>
        </is>
      </c>
      <c r="D932" s="143" t="inlineStr">
        <is>
          <t xml:space="preserve">PJED</t>
        </is>
      </c>
      <c r="E932" s="143">
        <v>2.5</v>
      </c>
      <c r="F932" s="143">
        <v>19.0</v>
      </c>
      <c r="G932" s="143">
        <v>70.3</v>
      </c>
      <c r="H932" s="143" t="inlineStr">
        <is>
          <t xml:space="preserve">Closed</t>
        </is>
      </c>
      <c r="I932" s="143">
        <v>31.0</v>
      </c>
      <c r="J932" s="143"/>
    </row>
    <row r="933" spans="1:10">
      <c r="A933" s="143" t="inlineStr">
        <is>
          <t xml:space="preserve">723</t>
        </is>
      </c>
      <c r="B933" s="143" t="inlineStr">
        <is>
          <t xml:space="preserve">23732996</t>
        </is>
      </c>
      <c r="C933" s="143" t="inlineStr">
        <is>
          <t xml:space="preserve">EOD-320-32-00023-R00/A32S – LANDING GEAR - MLG - INSPECTION SLIDING TUBE / SLAVE LINK LUG C</t>
        </is>
      </c>
      <c r="D933" s="143" t="inlineStr">
        <is>
          <t xml:space="preserve">PJED</t>
        </is>
      </c>
      <c r="E933" s="143">
        <v>12.75</v>
      </c>
      <c r="F933" s="143">
        <v>16.75</v>
      </c>
      <c r="G933" s="143">
        <v>307.4</v>
      </c>
      <c r="H933" s="143" t="inlineStr">
        <is>
          <t xml:space="preserve">Closed</t>
        </is>
      </c>
      <c r="I933" s="143">
        <v>32.0</v>
      </c>
      <c r="J933" s="143"/>
    </row>
    <row r="934" spans="1:10">
      <c r="A934" s="143" t="inlineStr">
        <is>
          <t xml:space="preserve">724</t>
        </is>
      </c>
      <c r="B934" s="143" t="inlineStr">
        <is>
          <t xml:space="preserve">23745496</t>
        </is>
      </c>
      <c r="C934" s="143" t="inlineStr">
        <is>
          <t xml:space="preserve">EOD-320-32-00023-R00/A32S – LANDING GEAR - MLG - INSPECTION SLIDING TUBE / SLAVE LINK LUG C</t>
        </is>
      </c>
      <c r="D934" s="143" t="inlineStr">
        <is>
          <t xml:space="preserve">PJED</t>
        </is>
      </c>
      <c r="E934" s="143">
        <v>12.75</v>
      </c>
      <c r="F934" s="143">
        <v>22.83</v>
      </c>
      <c r="G934" s="143">
        <v>379.4</v>
      </c>
      <c r="H934" s="143" t="inlineStr">
        <is>
          <t xml:space="preserve">Closed</t>
        </is>
      </c>
      <c r="I934" s="143">
        <v>32.0</v>
      </c>
      <c r="J934" s="143"/>
    </row>
    <row r="935" spans="1:10">
      <c r="A935" s="143" t="inlineStr">
        <is>
          <t xml:space="preserve">729</t>
        </is>
      </c>
      <c r="B935" s="143" t="inlineStr">
        <is>
          <t xml:space="preserve">29155915</t>
        </is>
      </c>
      <c r="C935" s="143" t="inlineStr">
        <is>
          <t xml:space="preserve">EOD-320-46-00004-R00/INSTALL FOMAX SYSTEM PROVISIONS</t>
        </is>
      </c>
      <c r="D935" s="143" t="inlineStr">
        <is>
          <t xml:space="preserve">C</t>
        </is>
      </c>
      <c r="E935" s="143">
        <v>23.17</v>
      </c>
      <c r="F935" s="143">
        <v>294.5</v>
      </c>
      <c r="G935" s="143">
        <v>721.1</v>
      </c>
      <c r="H935" s="143" t="inlineStr">
        <is>
          <t xml:space="preserve">Closed</t>
        </is>
      </c>
      <c r="I935" s="143">
        <v>46.0</v>
      </c>
      <c r="J935" s="143"/>
    </row>
    <row r="936" spans="1:10">
      <c r="A936" s="143" t="inlineStr">
        <is>
          <t xml:space="preserve">730</t>
        </is>
      </c>
      <c r="B936" s="143" t="inlineStr">
        <is>
          <t xml:space="preserve">29156039</t>
        </is>
      </c>
      <c r="C936" s="143" t="inlineStr">
        <is>
          <t xml:space="preserve">EOD-320-46-00005-R00/INSTALL INTERNAL GATELINK ANTENNA FOR FOMAX</t>
        </is>
      </c>
      <c r="D936" s="143" t="inlineStr">
        <is>
          <t xml:space="preserve">C</t>
        </is>
      </c>
      <c r="E936" s="143">
        <v>18.0</v>
      </c>
      <c r="F936" s="143">
        <v>98.2</v>
      </c>
      <c r="G936" s="143">
        <v>336.3</v>
      </c>
      <c r="H936" s="143" t="inlineStr">
        <is>
          <t xml:space="preserve">Closed</t>
        </is>
      </c>
      <c r="I936" s="143">
        <v>46.0</v>
      </c>
      <c r="J936" s="143"/>
    </row>
    <row r="937" spans="1:10">
      <c r="A937" s="143" t="inlineStr">
        <is>
          <t xml:space="preserve">731</t>
        </is>
      </c>
      <c r="B937" s="143" t="inlineStr">
        <is>
          <t xml:space="preserve">29156133</t>
        </is>
      </c>
      <c r="C937" s="143" t="inlineStr">
        <is>
          <t xml:space="preserve">EOD-320-46-00006-R00/INSTALL COCKPIT WIFI ANTENNA FOR FOMAX</t>
        </is>
      </c>
      <c r="D937" s="143" t="inlineStr">
        <is>
          <t xml:space="preserve">C</t>
        </is>
      </c>
      <c r="E937" s="143">
        <v>18.5</v>
      </c>
      <c r="F937" s="143">
        <v>65.0</v>
      </c>
      <c r="G937" s="143">
        <v>359.8</v>
      </c>
      <c r="H937" s="143" t="inlineStr">
        <is>
          <t xml:space="preserve">Closed</t>
        </is>
      </c>
      <c r="I937" s="143">
        <v>46.0</v>
      </c>
      <c r="J937" s="143"/>
    </row>
    <row r="938" spans="1:10">
      <c r="A938" s="143" t="inlineStr">
        <is>
          <t xml:space="preserve">732</t>
        </is>
      </c>
      <c r="B938" s="143" t="inlineStr">
        <is>
          <t xml:space="preserve">29156195</t>
        </is>
      </c>
      <c r="C938" s="143" t="inlineStr">
        <is>
          <t xml:space="preserve">EOD-320-46-00007-R00/CONNECT ETHERNET LINK BETWEEN FOMAX AND FDIMU</t>
        </is>
      </c>
      <c r="D938" s="143" t="inlineStr">
        <is>
          <t xml:space="preserve">C</t>
        </is>
      </c>
      <c r="E938" s="143">
        <v>2.5</v>
      </c>
      <c r="F938" s="143">
        <v>25.0</v>
      </c>
      <c r="G938" s="143">
        <v>157.7</v>
      </c>
      <c r="H938" s="143" t="inlineStr">
        <is>
          <t xml:space="preserve">Closed</t>
        </is>
      </c>
      <c r="I938" s="143">
        <v>46.0</v>
      </c>
      <c r="J938" s="143"/>
    </row>
    <row r="939" spans="1:10">
      <c r="A939" s="143" t="inlineStr">
        <is>
          <t xml:space="preserve">733</t>
        </is>
      </c>
      <c r="B939" s="143" t="inlineStr">
        <is>
          <t xml:space="preserve">29157165</t>
        </is>
      </c>
      <c r="C939" s="143" t="inlineStr">
        <is>
          <t xml:space="preserve">EOD-320-46-00008-R00/FOMAX 4 ACTIVATION</t>
        </is>
      </c>
      <c r="D939" s="143" t="inlineStr">
        <is>
          <t xml:space="preserve">ACHK</t>
        </is>
      </c>
      <c r="E939" s="143">
        <v>4.0</v>
      </c>
      <c r="F939" s="143">
        <v>25.2</v>
      </c>
      <c r="G939" s="143">
        <v>5.68</v>
      </c>
      <c r="H939" s="143" t="inlineStr">
        <is>
          <t xml:space="preserve">Closed</t>
        </is>
      </c>
      <c r="I939" s="143">
        <v>46.0</v>
      </c>
      <c r="J939" s="143"/>
    </row>
    <row r="940" spans="1:10">
      <c r="A940" s="143" t="inlineStr">
        <is>
          <t xml:space="preserve">734</t>
        </is>
      </c>
      <c r="B940" s="143" t="inlineStr">
        <is>
          <t xml:space="preserve">29156249</t>
        </is>
      </c>
      <c r="C940" s="143" t="inlineStr">
        <is>
          <t xml:space="preserve">EOD-320-46-00009-R00/ACTIVATE FOMAX OPTION 1</t>
        </is>
      </c>
      <c r="D940" s="143" t="inlineStr">
        <is>
          <t xml:space="preserve">ACHK</t>
        </is>
      </c>
      <c r="E940" s="143">
        <v>2.5</v>
      </c>
      <c r="F940" s="143">
        <v>17.25</v>
      </c>
      <c r="G940" s="143">
        <v>17.9</v>
      </c>
      <c r="H940" s="143" t="inlineStr">
        <is>
          <t xml:space="preserve">Closed</t>
        </is>
      </c>
      <c r="I940" s="143">
        <v>46.0</v>
      </c>
      <c r="J940" s="143"/>
    </row>
    <row r="941" spans="1:10">
      <c r="A941" s="143" t="inlineStr">
        <is>
          <t xml:space="preserve">744</t>
        </is>
      </c>
      <c r="B941" s="143" t="inlineStr">
        <is>
          <t xml:space="preserve">29399531</t>
        </is>
      </c>
      <c r="C941" s="143" t="inlineStr">
        <is>
          <t xml:space="preserve">EOD-320-55-00001-R00/STABILIZERS - VERTICAL STABILIZER - INTRODUCE IMPROVED RUDDER HINGE LI</t>
        </is>
      </c>
      <c r="D941" s="143" t="inlineStr">
        <is>
          <t xml:space="preserve">CCHK</t>
        </is>
      </c>
      <c r="E941" s="143">
        <v>28.2</v>
      </c>
      <c r="F941" s="143">
        <v>438.6</v>
      </c>
      <c r="G941" s="143">
        <v>679.1</v>
      </c>
      <c r="H941" s="143" t="inlineStr">
        <is>
          <t xml:space="preserve">Closed</t>
        </is>
      </c>
      <c r="I941" s="143">
        <v>55.0</v>
      </c>
      <c r="J941" s="143"/>
    </row>
    <row r="942" spans="1:10">
      <c r="A942" s="143" t="inlineStr">
        <is>
          <t xml:space="preserve">746</t>
        </is>
      </c>
      <c r="B942" s="143" t="inlineStr">
        <is>
          <t xml:space="preserve">31053051</t>
        </is>
      </c>
      <c r="C942" s="143" t="inlineStr">
        <is>
          <t xml:space="preserve">EOD-333-25-00024-R00/AD- A330/A320- INSPECT EACH BUCKLE SCREW FOR CRACKED,LOOSE</t>
        </is>
      </c>
      <c r="D942" s="143" t="inlineStr">
        <is>
          <t xml:space="preserve">ACHK</t>
        </is>
      </c>
      <c r="E942" s="143">
        <v>1.67</v>
      </c>
      <c r="F942" s="143">
        <v>4.7</v>
      </c>
      <c r="G942" s="143">
        <v>117.2</v>
      </c>
      <c r="H942" s="143" t="inlineStr">
        <is>
          <t xml:space="preserve">Closed</t>
        </is>
      </c>
      <c r="I942" s="143">
        <v>25.0</v>
      </c>
      <c r="J942" s="143"/>
    </row>
    <row r="943" spans="1:10">
      <c r="A943" s="143" t="inlineStr">
        <is>
          <t xml:space="preserve">749</t>
        </is>
      </c>
      <c r="B943" s="143" t="inlineStr">
        <is>
          <t xml:space="preserve">32362499</t>
        </is>
      </c>
      <c r="C943" s="143" t="inlineStr">
        <is>
          <t xml:space="preserve">S21-R10347/A320FAM - CEHCK THE TORQUE VALUES OF ACM &lt;-&gt; MHX DUCT CONNECTION</t>
        </is>
      </c>
      <c r="D943" s="143" t="inlineStr">
        <is>
          <t xml:space="preserve">ACHK</t>
        </is>
      </c>
      <c r="E943" s="143">
        <v>6.5</v>
      </c>
      <c r="F943" s="143">
        <v>2.6</v>
      </c>
      <c r="G943" s="143">
        <v>10.68</v>
      </c>
      <c r="H943" s="143" t="inlineStr">
        <is>
          <t xml:space="preserve">Closed</t>
        </is>
      </c>
      <c r="I943" s="143" t="inlineStr">
        <is>
          <t xml:space="preserve">21-52</t>
        </is>
      </c>
      <c r="J943" s="143" t="inlineStr">
        <is>
          <t xml:space="preserve">--, --, --, CLOSE-UP</t>
        </is>
      </c>
    </row>
    <row r="944" spans="1:10">
      <c r="A944" s="143" t="inlineStr">
        <is>
          <t xml:space="preserve">750</t>
        </is>
      </c>
      <c r="B944" s="143" t="inlineStr">
        <is>
          <t xml:space="preserve">31662556</t>
        </is>
      </c>
      <c r="C944" s="143" t="inlineStr">
        <is>
          <t xml:space="preserve">S29-R10107/A320 - HYDRULIC SYSTEM - ENGINE-PUMP PRESSURE SWITCH</t>
        </is>
      </c>
      <c r="D944" s="143" t="inlineStr">
        <is>
          <t xml:space="preserve">ACHK</t>
        </is>
      </c>
      <c r="E944" s="143">
        <v>2.67</v>
      </c>
      <c r="F944" s="143">
        <v>5.83</v>
      </c>
      <c r="G944" s="143">
        <v>238.2</v>
      </c>
      <c r="H944" s="143" t="inlineStr">
        <is>
          <t xml:space="preserve">Closed</t>
        </is>
      </c>
      <c r="I944" s="143">
        <v>29.0</v>
      </c>
      <c r="J944" s="143"/>
    </row>
    <row r="945" spans="1:10">
      <c r="A945" s="143" t="inlineStr">
        <is>
          <t xml:space="preserve">752</t>
        </is>
      </c>
      <c r="B945" s="143" t="inlineStr">
        <is>
          <t xml:space="preserve">30358131</t>
        </is>
      </c>
      <c r="C945" s="143" t="inlineStr">
        <is>
          <t xml:space="preserve">S36-R10080/A32S - PNUMATIC - MEASUREMENT OF THE CWR OF THE OHDS LOOPS</t>
        </is>
      </c>
      <c r="D945" s="143" t="inlineStr">
        <is>
          <t xml:space="preserve">RON</t>
        </is>
      </c>
      <c r="E945" s="143">
        <v>2.0</v>
      </c>
      <c r="F945" s="143">
        <v>21.0</v>
      </c>
      <c r="G945" s="143">
        <v>5.17</v>
      </c>
      <c r="H945" s="143" t="inlineStr">
        <is>
          <t xml:space="preserve">Closed</t>
        </is>
      </c>
      <c r="I945" s="143">
        <v>36.0</v>
      </c>
      <c r="J945" s="143"/>
    </row>
    <row r="946" spans="1:10">
      <c r="A946" s="143" t="inlineStr">
        <is>
          <t xml:space="preserve">763</t>
        </is>
      </c>
      <c r="B946" s="143" t="inlineStr">
        <is>
          <t xml:space="preserve">31197928</t>
        </is>
      </c>
      <c r="C946" s="143" t="inlineStr">
        <is>
          <t xml:space="preserve">REPLACE MF20-534/B005068 (FULL FACE QUICK DONN MASK REGULATOR)</t>
        </is>
      </c>
      <c r="D946" s="143" t="inlineStr">
        <is>
          <t xml:space="preserve">N</t>
        </is>
      </c>
      <c r="E946" s="143">
        <v>0.0</v>
      </c>
      <c r="F946" s="143">
        <v>4.0</v>
      </c>
      <c r="G946" s="143">
        <v>5.98</v>
      </c>
      <c r="H946" s="143" t="inlineStr">
        <is>
          <t xml:space="preserve">Closed</t>
        </is>
      </c>
      <c r="I946" s="143" t="inlineStr">
        <is>
          <t xml:space="preserve">20-00</t>
        </is>
      </c>
      <c r="J946" s="143"/>
    </row>
    <row r="947" spans="1:10">
      <c r="A947" s="143" t="inlineStr">
        <is>
          <t xml:space="preserve">764</t>
        </is>
      </c>
      <c r="B947" s="143" t="inlineStr">
        <is>
          <t xml:space="preserve">26290429</t>
        </is>
      </c>
      <c r="C947" s="143" t="inlineStr">
        <is>
          <t xml:space="preserve">34100005-1/50325D1 WC(WEIGHT CHECK) / WEIGHT CHECK</t>
        </is>
      </c>
      <c r="D947" s="143">
        <v>1.0</v>
      </c>
      <c r="E947" s="143">
        <v>1.75</v>
      </c>
      <c r="F947" s="143">
        <v>49.6</v>
      </c>
      <c r="G947" s="143">
        <v>545.2</v>
      </c>
      <c r="H947" s="143" t="inlineStr">
        <is>
          <t xml:space="preserve">Closed</t>
        </is>
      </c>
      <c r="I947" s="143" t="inlineStr">
        <is>
          <t xml:space="preserve">26-23</t>
        </is>
      </c>
      <c r="J947" s="143"/>
    </row>
    <row r="948" spans="1:10">
      <c r="A948" s="143" t="inlineStr">
        <is>
          <t xml:space="preserve">765</t>
        </is>
      </c>
      <c r="B948" s="143" t="inlineStr">
        <is>
          <t xml:space="preserve">28781470</t>
        </is>
      </c>
      <c r="C948" s="143" t="inlineStr">
        <is>
          <t xml:space="preserve">34100005-1/67427D1 WC(WEIGHT CHECK) / WEIGHT CHECK</t>
        </is>
      </c>
      <c r="D948" s="143">
        <v>1.0</v>
      </c>
      <c r="E948" s="143">
        <v>1.75</v>
      </c>
      <c r="F948" s="143">
        <v>71.6</v>
      </c>
      <c r="G948" s="143">
        <v>502.4</v>
      </c>
      <c r="H948" s="143" t="inlineStr">
        <is>
          <t xml:space="preserve">Closed</t>
        </is>
      </c>
      <c r="I948" s="143" t="inlineStr">
        <is>
          <t xml:space="preserve">26-23</t>
        </is>
      </c>
      <c r="J948" s="143"/>
    </row>
    <row r="949" spans="1:10">
      <c r="A949" s="143" t="inlineStr">
        <is>
          <t xml:space="preserve">766</t>
        </is>
      </c>
      <c r="B949" s="143" t="inlineStr">
        <is>
          <t xml:space="preserve">28781472</t>
        </is>
      </c>
      <c r="C949" s="143" t="inlineStr">
        <is>
          <t xml:space="preserve">34100005-1/67765D1 WC(WEIGHT CHECK) / WEIGHT CHECK</t>
        </is>
      </c>
      <c r="D949" s="143">
        <v>1.0</v>
      </c>
      <c r="E949" s="143">
        <v>1.75</v>
      </c>
      <c r="F949" s="143">
        <v>69.5</v>
      </c>
      <c r="G949" s="143">
        <v>440.4</v>
      </c>
      <c r="H949" s="143" t="inlineStr">
        <is>
          <t xml:space="preserve">Closed</t>
        </is>
      </c>
      <c r="I949" s="143" t="inlineStr">
        <is>
          <t xml:space="preserve">26-23</t>
        </is>
      </c>
      <c r="J949" s="143"/>
    </row>
    <row r="950" spans="1:10">
      <c r="A950" s="143" t="inlineStr">
        <is>
          <t xml:space="preserve">767</t>
        </is>
      </c>
      <c r="B950" s="143" t="inlineStr">
        <is>
          <t xml:space="preserve">22574878</t>
        </is>
      </c>
      <c r="C950" s="143" t="inlineStr">
        <is>
          <t xml:space="preserve">34100005-1/E1800D1 WC(WEIGHT CHECK) / WEIGHT CHECK</t>
        </is>
      </c>
      <c r="D950" s="143">
        <v>1.0</v>
      </c>
      <c r="E950" s="143">
        <v>1.75</v>
      </c>
      <c r="F950" s="143">
        <v>56.8</v>
      </c>
      <c r="G950" s="143">
        <v>502.4</v>
      </c>
      <c r="H950" s="143" t="inlineStr">
        <is>
          <t xml:space="preserve">Closed</t>
        </is>
      </c>
      <c r="I950" s="143" t="inlineStr">
        <is>
          <t xml:space="preserve">26-23</t>
        </is>
      </c>
      <c r="J950" s="143"/>
    </row>
    <row r="951" spans="1:10">
      <c r="A951" s="143" t="inlineStr">
        <is>
          <t xml:space="preserve">768</t>
        </is>
      </c>
      <c r="B951" s="143" t="inlineStr">
        <is>
          <t xml:space="preserve">23772081</t>
        </is>
      </c>
      <c r="C951" s="143" t="inlineStr">
        <is>
          <t xml:space="preserve">9024-15704-03/10115418 FC(FUNCTIONAL CHECK) / VALVE-SAFETY FUNCTIONAL CHECK</t>
        </is>
      </c>
      <c r="D951" s="143" t="inlineStr">
        <is>
          <t xml:space="preserve">CCHK</t>
        </is>
      </c>
      <c r="E951" s="143">
        <v>2.08</v>
      </c>
      <c r="F951" s="143">
        <v>3.0</v>
      </c>
      <c r="G951" s="143">
        <v>1.15</v>
      </c>
      <c r="H951" s="143" t="inlineStr">
        <is>
          <t xml:space="preserve">Closed</t>
        </is>
      </c>
      <c r="I951" s="143" t="inlineStr">
        <is>
          <t xml:space="preserve">21-31</t>
        </is>
      </c>
      <c r="J951" s="143" t="inlineStr">
        <is>
          <t xml:space="preserve">JOB-SETUP, OPS/LK, JOB-CLOSEUP</t>
        </is>
      </c>
    </row>
    <row r="952" spans="1:10">
      <c r="A952" s="143" t="inlineStr">
        <is>
          <t xml:space="preserve">769</t>
        </is>
      </c>
      <c r="B952" s="143" t="inlineStr">
        <is>
          <t xml:space="preserve">23772080</t>
        </is>
      </c>
      <c r="C952" s="143" t="inlineStr">
        <is>
          <t xml:space="preserve">9024-15704-03/10115442 FC(FUNCTIONAL CHECK) / VALVE-SAFETY FUNCTIONAL CHECK</t>
        </is>
      </c>
      <c r="D952" s="143" t="inlineStr">
        <is>
          <t xml:space="preserve">CCHK</t>
        </is>
      </c>
      <c r="E952" s="143">
        <v>2.08</v>
      </c>
      <c r="F952" s="143">
        <v>3.97</v>
      </c>
      <c r="G952" s="143">
        <v>3.3</v>
      </c>
      <c r="H952" s="143" t="inlineStr">
        <is>
          <t xml:space="preserve">Closed</t>
        </is>
      </c>
      <c r="I952" s="143" t="inlineStr">
        <is>
          <t xml:space="preserve">21-31</t>
        </is>
      </c>
      <c r="J952" s="143" t="inlineStr">
        <is>
          <t xml:space="preserve">JOB-SETUP, OPS/LK, JOB-CLOSEUP</t>
        </is>
      </c>
    </row>
    <row r="953" spans="1:10">
      <c r="A953" s="143" t="inlineStr">
        <is>
          <t xml:space="preserve">771</t>
        </is>
      </c>
      <c r="B953" s="143" t="inlineStr">
        <is>
          <t xml:space="preserve">30304386</t>
        </is>
      </c>
      <c r="C953" s="143" t="inlineStr">
        <is>
          <t xml:space="preserve">CFM56-5B3/3/645205 IN(INSPECTION) / ENG FAN SECTION INSP &amp; LUB</t>
        </is>
      </c>
      <c r="D953" s="143">
        <v>1.0</v>
      </c>
      <c r="E953" s="143">
        <v>13.6</v>
      </c>
      <c r="F953" s="143">
        <v>125.5</v>
      </c>
      <c r="G953" s="143">
        <v>41.2</v>
      </c>
      <c r="H953" s="143" t="inlineStr">
        <is>
          <t xml:space="preserve">Closed</t>
        </is>
      </c>
      <c r="I953" s="143">
        <v>72.0</v>
      </c>
      <c r="J953" s="143" t="inlineStr">
        <is>
          <t xml:space="preserve">JOB-SETUP, JOB-SETUP, CLEAN-UP, INSPECTION, INSPECTION, JOB-SETUP, JOB-CLOSEUP</t>
        </is>
      </c>
    </row>
    <row r="954" spans="1:10">
      <c r="A954" s="143" t="inlineStr">
        <is>
          <t xml:space="preserve">774</t>
        </is>
      </c>
      <c r="B954" s="143" t="inlineStr">
        <is>
          <t xml:space="preserve">94493475</t>
        </is>
      </c>
      <c r="C954" s="143" t="inlineStr">
        <is>
          <t xml:space="preserve">DECAL #1 ENGINE OUTBOARD PIVOTING DOOR &amp; PIVOTING DOOR LOCKOUT PIN DECAL ARE TORN.</t>
        </is>
      </c>
      <c r="D954" s="143" t="inlineStr">
        <is>
          <t xml:space="preserve">N</t>
        </is>
      </c>
      <c r="E954" s="143">
        <v>2.0</v>
      </c>
      <c r="F954" s="143">
        <v>5.0</v>
      </c>
      <c r="G954" s="143">
        <v>1806.9</v>
      </c>
      <c r="H954" s="143" t="inlineStr">
        <is>
          <t xml:space="preserve">Closed</t>
        </is>
      </c>
      <c r="I954" s="143">
        <v>11.0</v>
      </c>
      <c r="J954" s="143"/>
    </row>
    <row r="955" spans="1:10">
      <c r="A955" s="143" t="inlineStr">
        <is>
          <t xml:space="preserve">775</t>
        </is>
      </c>
      <c r="B955" s="143" t="inlineStr">
        <is>
          <t xml:space="preserve">94493476</t>
        </is>
      </c>
      <c r="C955" s="143" t="inlineStr">
        <is>
          <t xml:space="preserve">DECAL #1 ENGINE OUTBOARD DEPLOY SWITCH ACCESS DOOR DECAL TORN.</t>
        </is>
      </c>
      <c r="D955" s="143" t="inlineStr">
        <is>
          <t xml:space="preserve">N</t>
        </is>
      </c>
      <c r="E955" s="143">
        <v>2.0</v>
      </c>
      <c r="F955" s="143">
        <v>4.0</v>
      </c>
      <c r="G955" s="143">
        <v>1806.8</v>
      </c>
      <c r="H955" s="143" t="inlineStr">
        <is>
          <t xml:space="preserve">Closed</t>
        </is>
      </c>
      <c r="I955" s="143">
        <v>11.0</v>
      </c>
      <c r="J955" s="143"/>
    </row>
    <row r="956" spans="1:10">
      <c r="A956" s="143" t="inlineStr">
        <is>
          <t xml:space="preserve">776</t>
        </is>
      </c>
      <c r="B956" s="143" t="inlineStr">
        <is>
          <t xml:space="preserve">94493487</t>
        </is>
      </c>
      <c r="C956" s="143" t="inlineStr">
        <is>
          <t xml:space="preserve">DECAL #2 ENGINE OUTBOARD NO PERSONEL &amp; 15FT AWAY DECAL FADED.</t>
        </is>
      </c>
      <c r="D956" s="143" t="inlineStr">
        <is>
          <t xml:space="preserve">N</t>
        </is>
      </c>
      <c r="E956" s="143">
        <v>3.0</v>
      </c>
      <c r="F956" s="143">
        <v>4.0</v>
      </c>
      <c r="G956" s="143">
        <v>1758.5</v>
      </c>
      <c r="H956" s="143" t="inlineStr">
        <is>
          <t xml:space="preserve">Closed</t>
        </is>
      </c>
      <c r="I956" s="143">
        <v>11.0</v>
      </c>
      <c r="J956" s="143"/>
    </row>
    <row r="957" spans="1:10">
      <c r="A957" s="143" t="inlineStr">
        <is>
          <t xml:space="preserve">777</t>
        </is>
      </c>
      <c r="B957" s="143" t="inlineStr">
        <is>
          <t xml:space="preserve">94493488</t>
        </is>
      </c>
      <c r="C957" s="143" t="inlineStr">
        <is>
          <t xml:space="preserve">DECAL #2 ENGINE INBOARD 15FT AWAY &amp; WARNING DECAL ARE FADED.</t>
        </is>
      </c>
      <c r="D957" s="143" t="inlineStr">
        <is>
          <t xml:space="preserve">N</t>
        </is>
      </c>
      <c r="E957" s="143">
        <v>2.0</v>
      </c>
      <c r="F957" s="143">
        <v>3.0</v>
      </c>
      <c r="G957" s="143">
        <v>1758.5</v>
      </c>
      <c r="H957" s="143" t="inlineStr">
        <is>
          <t xml:space="preserve">Closed</t>
        </is>
      </c>
      <c r="I957" s="143">
        <v>11.0</v>
      </c>
      <c r="J957" s="143"/>
    </row>
    <row r="958" spans="1:10">
      <c r="A958" s="143" t="inlineStr">
        <is>
          <t xml:space="preserve">778</t>
        </is>
      </c>
      <c r="B958" s="143" t="inlineStr">
        <is>
          <t xml:space="preserve">94493489</t>
        </is>
      </c>
      <c r="C958" s="143" t="inlineStr">
        <is>
          <t xml:space="preserve">DECAL LH MAIN LANDING GEAR INFLATE TYRES WITH NITROGEN DECAL FADED.</t>
        </is>
      </c>
      <c r="D958" s="143" t="inlineStr">
        <is>
          <t xml:space="preserve">N</t>
        </is>
      </c>
      <c r="E958" s="143">
        <v>2.0</v>
      </c>
      <c r="F958" s="143">
        <v>4.5</v>
      </c>
      <c r="G958" s="143">
        <v>1695.5</v>
      </c>
      <c r="H958" s="143" t="inlineStr">
        <is>
          <t xml:space="preserve">Closed</t>
        </is>
      </c>
      <c r="I958" s="143">
        <v>11.0</v>
      </c>
      <c r="J958" s="143"/>
    </row>
    <row r="959" spans="1:10">
      <c r="A959" s="143" t="inlineStr">
        <is>
          <t xml:space="preserve">780</t>
        </is>
      </c>
      <c r="B959" s="143" t="inlineStr">
        <is>
          <t xml:space="preserve">94740818</t>
        </is>
      </c>
      <c r="C959" s="143" t="inlineStr">
        <is>
          <t xml:space="preserve">BLANKING CAP L2 DOOR HOIST POINT EA 01 BLANKING CAP FOUND TORN</t>
        </is>
      </c>
      <c r="D959" s="143" t="inlineStr">
        <is>
          <t xml:space="preserve">N</t>
        </is>
      </c>
      <c r="E959" s="143">
        <v>2.0</v>
      </c>
      <c r="F959" s="143">
        <v>2.5</v>
      </c>
      <c r="G959" s="143">
        <v>2490.4</v>
      </c>
      <c r="H959" s="143" t="inlineStr">
        <is>
          <t xml:space="preserve">Closed</t>
        </is>
      </c>
      <c r="I959" s="143" t="inlineStr">
        <is>
          <t xml:space="preserve">25-00</t>
        </is>
      </c>
      <c r="J959" s="143"/>
    </row>
    <row r="960" spans="1:10">
      <c r="A960" s="143" t="inlineStr">
        <is>
          <t xml:space="preserve">781</t>
        </is>
      </c>
      <c r="B960" s="143" t="inlineStr">
        <is>
          <t xml:space="preserve">94799712</t>
        </is>
      </c>
      <c r="C960" s="143" t="inlineStr">
        <is>
          <t xml:space="preserve">DECAL FWD CARGO DOOR SELECTOR PNL AUX OPS INSTRUCTIONS DECAL IS FADED</t>
        </is>
      </c>
      <c r="D960" s="143" t="inlineStr">
        <is>
          <t xml:space="preserve">N</t>
        </is>
      </c>
      <c r="E960" s="143">
        <v>5.0</v>
      </c>
      <c r="F960" s="143">
        <v>5.0</v>
      </c>
      <c r="G960" s="143">
        <v>1905.3</v>
      </c>
      <c r="H960" s="143" t="inlineStr">
        <is>
          <t xml:space="preserve">Closed</t>
        </is>
      </c>
      <c r="I960" s="143" t="inlineStr">
        <is>
          <t xml:space="preserve">11-00</t>
        </is>
      </c>
      <c r="J960" s="143"/>
    </row>
    <row r="961" spans="1:10">
      <c r="A961" s="143" t="inlineStr">
        <is>
          <t xml:space="preserve">782</t>
        </is>
      </c>
      <c r="B961" s="143" t="inlineStr">
        <is>
          <t xml:space="preserve">STJC-20-00-00-01-GA-GO</t>
        </is>
      </c>
      <c r="C961" s="143" t="inlineStr">
        <is>
          <t xml:space="preserve">HEAVY CHK AIRCRAFT (PRE-INSP)</t>
        </is>
      </c>
      <c r="D961" s="143" t="inlineStr">
        <is>
          <t xml:space="preserve">N</t>
        </is>
      </c>
      <c r="E961" s="143">
        <v>9.0</v>
      </c>
      <c r="F961" s="143">
        <v>1.72</v>
      </c>
      <c r="G961" s="143">
        <v>12.43</v>
      </c>
      <c r="H961" s="143" t="inlineStr">
        <is>
          <t xml:space="preserve">Closed</t>
        </is>
      </c>
      <c r="I961" s="143">
        <v>20.0</v>
      </c>
      <c r="J961" s="143" t="inlineStr">
        <is>
          <t xml:space="preserve">PRE INSP, PRE INSP, PRE INSP, PRE INSP, PRE INSP, PRE INSP, PRE INSP, PRE INSP, PRE INSP</t>
        </is>
      </c>
    </row>
    <row r="962" spans="1:10">
      <c r="A962" s="143" t="inlineStr">
        <is>
          <t xml:space="preserve">786</t>
        </is>
      </c>
      <c r="B962" s="143" t="inlineStr">
        <is>
          <t xml:space="preserve">STJC-20-00-00-06-A32S-SV</t>
        </is>
      </c>
      <c r="C962" s="143" t="inlineStr">
        <is>
          <t xml:space="preserve">HEAVEY CHECK PRE-HANGAR PREPARATION</t>
        </is>
      </c>
      <c r="D962" s="143" t="inlineStr">
        <is>
          <t xml:space="preserve">N</t>
        </is>
      </c>
      <c r="E962" s="143">
        <v>13.0</v>
      </c>
      <c r="F962" s="143">
        <v>0.0</v>
      </c>
      <c r="G962" s="143">
        <v>0.0</v>
      </c>
      <c r="H962" s="143" t="inlineStr">
        <is>
          <t xml:space="preserve">Closed</t>
        </is>
      </c>
      <c r="I962" s="143">
        <v>20.0</v>
      </c>
      <c r="J962" s="143" t="inlineStr">
        <is>
          <t xml:space="preserve">PRE HGR, PRE HGR, PRE HGR, PRE HGR, PRE HGR, PRE HGR, PRE HGR, PRE HGR, PRE HGR, PRE HGR, PRE HGR, PRE HGR, PRE HGR, PRE HGR, PRE HGR, PRE HGR, PRE HGR, PRE HGR, PRE HGR, PRE HGR</t>
        </is>
      </c>
    </row>
    <row r="963" spans="1:10">
      <c r="A963" s="143" t="inlineStr">
        <is>
          <t xml:space="preserve">788</t>
        </is>
      </c>
      <c r="B963" s="143" t="inlineStr">
        <is>
          <t xml:space="preserve">STJC-20-00-00-08-A32S-SV</t>
        </is>
      </c>
      <c r="C963" s="143" t="inlineStr">
        <is>
          <t xml:space="preserve">CABIN DOORS SAFETY PINS INSTALLATION/REMOVAL</t>
        </is>
      </c>
      <c r="D963" s="143" t="inlineStr">
        <is>
          <t xml:space="preserve">N</t>
        </is>
      </c>
      <c r="E963" s="143">
        <v>2.0</v>
      </c>
      <c r="F963" s="143">
        <v>0.17</v>
      </c>
      <c r="G963" s="143">
        <v>0.17</v>
      </c>
      <c r="H963" s="143" t="inlineStr">
        <is>
          <t xml:space="preserve">Closed</t>
        </is>
      </c>
      <c r="I963" s="143">
        <v>20.0</v>
      </c>
      <c r="J963" s="143" t="inlineStr">
        <is>
          <t xml:space="preserve">TC/P</t>
        </is>
      </c>
    </row>
    <row r="964" spans="1:10">
      <c r="A964" s="143" t="inlineStr">
        <is>
          <t xml:space="preserve">802</t>
        </is>
      </c>
      <c r="B964" s="143" t="inlineStr">
        <is>
          <t xml:space="preserve">242400-01-2</t>
        </is>
      </c>
      <c r="C964" s="143" t="inlineStr">
        <is>
          <t xml:space="preserve">242400-01-2 (2) / AC EMERGENCY GENERATION OPC</t>
        </is>
      </c>
      <c r="D964" s="143">
        <v>1.0</v>
      </c>
      <c r="E964" s="143">
        <v>0.03</v>
      </c>
      <c r="F964" s="143">
        <v>4.5</v>
      </c>
      <c r="G964" s="143">
        <v>2.87</v>
      </c>
      <c r="H964" s="143" t="inlineStr">
        <is>
          <t xml:space="preserve">Closed</t>
        </is>
      </c>
      <c r="I964" s="143" t="inlineStr">
        <is>
          <t xml:space="preserve">24-24</t>
        </is>
      </c>
      <c r="J964" s="143" t="inlineStr">
        <is>
          <t xml:space="preserve">OPS/LK</t>
        </is>
      </c>
    </row>
    <row r="965" spans="1:10">
      <c r="A965" s="143" t="inlineStr">
        <is>
          <t xml:space="preserve">813</t>
        </is>
      </c>
      <c r="B965" s="143" t="inlineStr">
        <is>
          <t xml:space="preserve">32977683</t>
        </is>
      </c>
      <c r="C965" s="143" t="inlineStr">
        <is>
          <t xml:space="preserve">LOWER FUSELAGE---PNT---NO CALLBACK DURING INSP, FOUND THE FF DECALS TORN   1. APU FUEL-DRAIN VENT 2. FUEL LEAK MONITOR 3. LH/RH CAUTION INLET SWINGS INWARDS DECAL 4. YELLOW HYD BAY DECAL 5. AFT CARGO SELECTOR DECAL</t>
        </is>
      </c>
      <c r="D965" s="143">
        <v>1.0</v>
      </c>
      <c r="E965" s="143">
        <v>3.0</v>
      </c>
      <c r="F965" s="143">
        <v>7.5</v>
      </c>
      <c r="G965" s="143">
        <v>293.9</v>
      </c>
      <c r="H965" s="143" t="inlineStr">
        <is>
          <t xml:space="preserve">Closed</t>
        </is>
      </c>
      <c r="I965" s="143" t="inlineStr">
        <is>
          <t xml:space="preserve">05-21</t>
        </is>
      </c>
      <c r="J965" s="143"/>
    </row>
    <row r="966" spans="1:10">
      <c r="A966" s="143" t="inlineStr">
        <is>
          <t xml:space="preserve">814</t>
        </is>
      </c>
      <c r="B966" s="143" t="inlineStr">
        <is>
          <t xml:space="preserve">32977684</t>
        </is>
      </c>
      <c r="C966" s="143" t="inlineStr">
        <is>
          <t xml:space="preserve">LOWER FUSELAGE---PNT---NO CALLBACK DURING INSP, FOUND THE FF DECALS FADED  1. GROUND SUPPLY AIR CONDITIONG DECAL 2. GROUND HYD CONN BLUE</t>
        </is>
      </c>
      <c r="D966" s="143">
        <v>1.0</v>
      </c>
      <c r="E966" s="143">
        <v>2.0</v>
      </c>
      <c r="F966" s="143">
        <v>4.0</v>
      </c>
      <c r="G966" s="143">
        <v>2.0</v>
      </c>
      <c r="H966" s="143" t="inlineStr">
        <is>
          <t xml:space="preserve">Closed</t>
        </is>
      </c>
      <c r="I966" s="143" t="inlineStr">
        <is>
          <t xml:space="preserve">05-21</t>
        </is>
      </c>
      <c r="J966" s="143"/>
    </row>
    <row r="967" spans="1:10">
      <c r="A967" s="143" t="inlineStr">
        <is>
          <t xml:space="preserve">815</t>
        </is>
      </c>
      <c r="B967" s="143" t="inlineStr">
        <is>
          <t xml:space="preserve">32977685</t>
        </is>
      </c>
      <c r="C967" s="143" t="inlineStr">
        <is>
          <t xml:space="preserve">LOWER FUSELAGE---AVN---NO CALLBACK DURING INSP, FOUND TORN EROSION TAPE ON VHF 2 ANTENNA</t>
        </is>
      </c>
      <c r="D967" s="143">
        <v>1.0</v>
      </c>
      <c r="E967" s="143">
        <v>4.0</v>
      </c>
      <c r="F967" s="143">
        <v>3.0</v>
      </c>
      <c r="G967" s="143">
        <v>2.0</v>
      </c>
      <c r="H967" s="143" t="inlineStr">
        <is>
          <t xml:space="preserve">Closed</t>
        </is>
      </c>
      <c r="I967" s="143" t="inlineStr">
        <is>
          <t xml:space="preserve">05-21</t>
        </is>
      </c>
      <c r="J967" s="143"/>
    </row>
    <row r="968" spans="1:10">
      <c r="A968" s="143" t="inlineStr">
        <is>
          <t xml:space="preserve">817</t>
        </is>
      </c>
      <c r="B968" s="143" t="inlineStr">
        <is>
          <t xml:space="preserve">32977871</t>
        </is>
      </c>
      <c r="C968" s="143" t="inlineStr">
        <is>
          <t xml:space="preserve">PRE---UPPER FUSELAGE---NOCALLBACK---AVN UPPER FUSELAGE VHF (1)  ANTENNA, LEADING EDGE INSULATION PROTECTION FOUND TORN AND WORNOUT.</t>
        </is>
      </c>
      <c r="D968" s="143">
        <v>1.0</v>
      </c>
      <c r="E968" s="143">
        <v>4.0</v>
      </c>
      <c r="F968" s="143">
        <v>3.0</v>
      </c>
      <c r="G968" s="143">
        <v>2.0</v>
      </c>
      <c r="H968" s="143" t="inlineStr">
        <is>
          <t xml:space="preserve">Closed</t>
        </is>
      </c>
      <c r="I968" s="143" t="inlineStr">
        <is>
          <t xml:space="preserve">05-21</t>
        </is>
      </c>
      <c r="J968" s="143"/>
    </row>
    <row r="969" spans="1:10">
      <c r="A969" s="143" t="inlineStr">
        <is>
          <t xml:space="preserve">818</t>
        </is>
      </c>
      <c r="B969" s="143" t="inlineStr">
        <is>
          <t xml:space="preserve">32977873</t>
        </is>
      </c>
      <c r="C969" s="143" t="inlineStr">
        <is>
          <t xml:space="preserve">PRE---UPPER FUSELAGE---NOCALLBACK---AVN UPPER FUSELAGE FWD SATCOM ANTENNA AFT AREA AROUND EDGE SEALANT FOUND WORNOUT AND MISSING.</t>
        </is>
      </c>
      <c r="D969" s="143">
        <v>1.0</v>
      </c>
      <c r="E969" s="143">
        <v>4.0</v>
      </c>
      <c r="F969" s="143">
        <v>3.0</v>
      </c>
      <c r="G969" s="143">
        <v>2.02</v>
      </c>
      <c r="H969" s="143" t="inlineStr">
        <is>
          <t xml:space="preserve">Closed</t>
        </is>
      </c>
      <c r="I969" s="143" t="inlineStr">
        <is>
          <t xml:space="preserve">05-21</t>
        </is>
      </c>
      <c r="J969" s="143"/>
    </row>
    <row r="970" spans="1:10">
      <c r="A970" s="143" t="inlineStr">
        <is>
          <t xml:space="preserve">819</t>
        </is>
      </c>
      <c r="B970" s="143" t="inlineStr">
        <is>
          <t xml:space="preserve">32977874</t>
        </is>
      </c>
      <c r="C970" s="143" t="inlineStr">
        <is>
          <t xml:space="preserve">PRE---UPPER FUSELAGE---NOCALLBACK---AVN UPPER FUSELAGE TCAS 1 ANTENNA, CAP SEALANT AROUND FASTENERS AND EDGES FOUND WORNOUT AND TORN.</t>
        </is>
      </c>
      <c r="D970" s="143">
        <v>1.0</v>
      </c>
      <c r="E970" s="143">
        <v>4.0</v>
      </c>
      <c r="F970" s="143">
        <v>5.0</v>
      </c>
      <c r="G970" s="143">
        <v>3.02</v>
      </c>
      <c r="H970" s="143" t="inlineStr">
        <is>
          <t xml:space="preserve">Closed</t>
        </is>
      </c>
      <c r="I970" s="143" t="inlineStr">
        <is>
          <t xml:space="preserve">05-21</t>
        </is>
      </c>
      <c r="J970" s="143"/>
    </row>
    <row r="971" spans="1:10">
      <c r="A971" s="143" t="inlineStr">
        <is>
          <t xml:space="preserve">820</t>
        </is>
      </c>
      <c r="B971" s="143" t="inlineStr">
        <is>
          <t xml:space="preserve">32977881</t>
        </is>
      </c>
      <c r="C971" s="143" t="inlineStr">
        <is>
          <t xml:space="preserve">PRE---UPPER FUSELAGE---NOCALLBACK---PNT PASSENGER ENTRY DOORS EXTERNAL SURFACE HOIST POINT COVERS FOUND TORN AND PEELED OFF.</t>
        </is>
      </c>
      <c r="D971" s="143">
        <v>1.0</v>
      </c>
      <c r="E971" s="143">
        <v>2.0</v>
      </c>
      <c r="F971" s="143">
        <v>1.0</v>
      </c>
      <c r="G971" s="143">
        <v>1.0</v>
      </c>
      <c r="H971" s="143" t="inlineStr">
        <is>
          <t xml:space="preserve">Closed</t>
        </is>
      </c>
      <c r="I971" s="143" t="inlineStr">
        <is>
          <t xml:space="preserve">05-21</t>
        </is>
      </c>
      <c r="J971" s="143"/>
    </row>
    <row r="972" spans="1:10">
      <c r="A972" s="143" t="inlineStr">
        <is>
          <t xml:space="preserve">821</t>
        </is>
      </c>
      <c r="B972" s="143" t="inlineStr">
        <is>
          <t xml:space="preserve">32977882</t>
        </is>
      </c>
      <c r="C972" s="143" t="inlineStr">
        <is>
          <t xml:space="preserve">PRE---UPPER FUSELAGE---NOCALLBACK---AVN AFT FUSELAGE UPPER SURFACE SATCOM ANTENNA L/E EXCESSIVE PAINT WORNOUT.</t>
        </is>
      </c>
      <c r="D972" s="143">
        <v>1.0</v>
      </c>
      <c r="E972" s="143">
        <v>12.0</v>
      </c>
      <c r="F972" s="143">
        <v>12.0</v>
      </c>
      <c r="G972" s="143">
        <v>71.4</v>
      </c>
      <c r="H972" s="143" t="inlineStr">
        <is>
          <t xml:space="preserve">Closed</t>
        </is>
      </c>
      <c r="I972" s="143" t="inlineStr">
        <is>
          <t xml:space="preserve">05-21</t>
        </is>
      </c>
      <c r="J972" s="143"/>
    </row>
    <row r="973" spans="1:10">
      <c r="A973" s="143" t="inlineStr">
        <is>
          <t xml:space="preserve">822</t>
        </is>
      </c>
      <c r="B973" s="143" t="inlineStr">
        <is>
          <t xml:space="preserve">32977883</t>
        </is>
      </c>
      <c r="C973" s="143" t="inlineStr">
        <is>
          <t xml:space="preserve">PRE---UPPER FUSELAGE---RII---SM R2 PASSENGER ENTRY DOOR, FLOOR SCUFF PALTE EDGE FOUND WITH MULTIPLE MINOR DENTS. MAX DIAMENTER= 0.2 INCH MAX DEPTH= 0.013 INCH</t>
        </is>
      </c>
      <c r="D973" s="143">
        <v>1.0</v>
      </c>
      <c r="E973" s="143">
        <v>0.0</v>
      </c>
      <c r="F973" s="143">
        <v>137.7</v>
      </c>
      <c r="G973" s="143">
        <v>534.8</v>
      </c>
      <c r="H973" s="143" t="inlineStr">
        <is>
          <t xml:space="preserve">Closed</t>
        </is>
      </c>
      <c r="I973" s="143" t="inlineStr">
        <is>
          <t xml:space="preserve">05-21</t>
        </is>
      </c>
      <c r="J973" s="143"/>
    </row>
    <row r="974" spans="1:10">
      <c r="A974" s="143" t="inlineStr">
        <is>
          <t xml:space="preserve">823</t>
        </is>
      </c>
      <c r="B974" s="143" t="inlineStr">
        <is>
          <t xml:space="preserve">32977884</t>
        </is>
      </c>
      <c r="C974" s="143" t="inlineStr">
        <is>
          <t xml:space="preserve">PRE---UPPER FUSELAGE---RII---SM L2 PASSENGER ENTRY DOOR, FLOOR SCUFF PALTE EDGE FOUND WITH 01 EA DENTS.  L= 0.4 INCH W= 0.5 INCH D= 0.050 INCH</t>
        </is>
      </c>
      <c r="D974" s="143">
        <v>1.0</v>
      </c>
      <c r="E974" s="143">
        <v>0.0</v>
      </c>
      <c r="F974" s="143">
        <v>77.7</v>
      </c>
      <c r="G974" s="143">
        <v>610.5</v>
      </c>
      <c r="H974" s="143" t="inlineStr">
        <is>
          <t xml:space="preserve">Closed</t>
        </is>
      </c>
      <c r="I974" s="143" t="inlineStr">
        <is>
          <t xml:space="preserve">05-21</t>
        </is>
      </c>
      <c r="J974" s="143"/>
    </row>
    <row r="975" spans="1:10">
      <c r="A975" s="143" t="inlineStr">
        <is>
          <t xml:space="preserve">824</t>
        </is>
      </c>
      <c r="B975" s="143" t="inlineStr">
        <is>
          <t xml:space="preserve">32977904</t>
        </is>
      </c>
      <c r="C975" s="143" t="inlineStr">
        <is>
          <t xml:space="preserve">PRE---L/H AND R/H WING---NOCALLBACK---PNT L/H AND R/H WING ALL SLATS EXTERNAL SURFACE HOIST POINT COVERS FOUND MISSING, TORN AND WORNOUT.</t>
        </is>
      </c>
      <c r="D975" s="143">
        <v>1.0</v>
      </c>
      <c r="E975" s="143">
        <v>4.0</v>
      </c>
      <c r="F975" s="143">
        <v>8.0</v>
      </c>
      <c r="G975" s="143">
        <v>4.0</v>
      </c>
      <c r="H975" s="143" t="inlineStr">
        <is>
          <t xml:space="preserve">Closed</t>
        </is>
      </c>
      <c r="I975" s="143" t="inlineStr">
        <is>
          <t xml:space="preserve">05-25</t>
        </is>
      </c>
      <c r="J975" s="143"/>
    </row>
    <row r="976" spans="1:10">
      <c r="A976" s="143" t="inlineStr">
        <is>
          <t xml:space="preserve">825</t>
        </is>
      </c>
      <c r="B976" s="143" t="inlineStr">
        <is>
          <t xml:space="preserve">32977905</t>
        </is>
      </c>
      <c r="C976" s="143" t="inlineStr">
        <is>
          <t xml:space="preserve">PRE---L/H WING---NOCALLBACK---AP L/H WING ADJACENT TO SLAT NO#01 I/B SIDE FIXED LEADING EDGE, SEAL FOUND TORN AND WORNOUT.</t>
        </is>
      </c>
      <c r="D976" s="143">
        <v>1.0</v>
      </c>
      <c r="E976" s="143">
        <v>8.0</v>
      </c>
      <c r="F976" s="143">
        <v>8.5</v>
      </c>
      <c r="G976" s="143">
        <v>6.5</v>
      </c>
      <c r="H976" s="143" t="inlineStr">
        <is>
          <t xml:space="preserve">Closed</t>
        </is>
      </c>
      <c r="I976" s="143" t="inlineStr">
        <is>
          <t xml:space="preserve">05-25</t>
        </is>
      </c>
      <c r="J976" s="143"/>
    </row>
    <row r="977" spans="1:10">
      <c r="A977" s="143" t="inlineStr">
        <is>
          <t xml:space="preserve">827</t>
        </is>
      </c>
      <c r="B977" s="143" t="inlineStr">
        <is>
          <t xml:space="preserve">32977907</t>
        </is>
      </c>
      <c r="C977" s="143" t="inlineStr">
        <is>
          <t xml:space="preserve">PRE---R/H WING---RII---SM R/H WING UPPER SURFACE FWD OF SPOILER NO# 02 I/B SIDE, FWD AREA 01 EA RIVET HEAD FOUND SHEARED.</t>
        </is>
      </c>
      <c r="D977" s="143">
        <v>1.0</v>
      </c>
      <c r="E977" s="143">
        <v>2.0</v>
      </c>
      <c r="F977" s="143">
        <v>64.0</v>
      </c>
      <c r="G977" s="143">
        <v>485.1</v>
      </c>
      <c r="H977" s="143" t="inlineStr">
        <is>
          <t xml:space="preserve">Closed</t>
        </is>
      </c>
      <c r="I977" s="143" t="inlineStr">
        <is>
          <t xml:space="preserve">05-25</t>
        </is>
      </c>
      <c r="J977" s="143"/>
    </row>
    <row r="978" spans="1:10">
      <c r="A978" s="143" t="inlineStr">
        <is>
          <t xml:space="preserve">828</t>
        </is>
      </c>
      <c r="B978" s="143" t="inlineStr">
        <is>
          <t xml:space="preserve">32977908</t>
        </is>
      </c>
      <c r="C978" s="143" t="inlineStr">
        <is>
          <t xml:space="preserve">PRE---UPPER FUSELAGE---NOCALLBACK---AVN UPPER FUSELAGE VHF (3)  ANTENNA, LEADING EDGE PAINT FOUND WORNOUT.</t>
        </is>
      </c>
      <c r="D978" s="143">
        <v>1.0</v>
      </c>
      <c r="E978" s="143">
        <v>4.0</v>
      </c>
      <c r="F978" s="143">
        <v>14.0</v>
      </c>
      <c r="G978" s="143">
        <v>171.8</v>
      </c>
      <c r="H978" s="143" t="inlineStr">
        <is>
          <t xml:space="preserve">Closed</t>
        </is>
      </c>
      <c r="I978" s="143" t="inlineStr">
        <is>
          <t xml:space="preserve">05-21</t>
        </is>
      </c>
      <c r="J978" s="143"/>
    </row>
    <row r="979" spans="1:10">
      <c r="A979" s="143" t="inlineStr">
        <is>
          <t xml:space="preserve">829</t>
        </is>
      </c>
      <c r="B979" s="143" t="inlineStr">
        <is>
          <t xml:space="preserve">32977909</t>
        </is>
      </c>
      <c r="C979" s="143" t="inlineStr">
        <is>
          <t xml:space="preserve">PRE---L/H AND R/H WING---NOCALLBACK---PNT L/H AND R/H WING UPPER OUTER SURFACE "GROUND HERE " DECAL FOUDN TORN WITH CRACKS.</t>
        </is>
      </c>
      <c r="D979" s="143">
        <v>1.0</v>
      </c>
      <c r="E979" s="143">
        <v>2.0</v>
      </c>
      <c r="F979" s="143">
        <v>2.0</v>
      </c>
      <c r="G979" s="143">
        <v>1.0</v>
      </c>
      <c r="H979" s="143" t="inlineStr">
        <is>
          <t xml:space="preserve">Closed</t>
        </is>
      </c>
      <c r="I979" s="143" t="inlineStr">
        <is>
          <t xml:space="preserve">05-25</t>
        </is>
      </c>
      <c r="J979" s="143"/>
    </row>
    <row r="980" spans="1:10">
      <c r="A980" s="143" t="inlineStr">
        <is>
          <t xml:space="preserve">830</t>
        </is>
      </c>
      <c r="B980" s="143" t="inlineStr">
        <is>
          <t xml:space="preserve">32977910</t>
        </is>
      </c>
      <c r="C980" s="143" t="inlineStr">
        <is>
          <t xml:space="preserve">PRE---UPPER FUSELAGE---NOCALLBACK---PNT UPPER FWD FUSELAGE AROUND COCKPIT WINDOW RETAINERS AND SCREW HEADS FOUND WITH PAINT CHIPPED OFF.</t>
        </is>
      </c>
      <c r="D980" s="143">
        <v>1.0</v>
      </c>
      <c r="E980" s="143">
        <v>4.0</v>
      </c>
      <c r="F980" s="143">
        <v>9.0</v>
      </c>
      <c r="G980" s="143">
        <v>375.8</v>
      </c>
      <c r="H980" s="143" t="inlineStr">
        <is>
          <t xml:space="preserve">Closed</t>
        </is>
      </c>
      <c r="I980" s="143" t="inlineStr">
        <is>
          <t xml:space="preserve">05-25</t>
        </is>
      </c>
      <c r="J980" s="143"/>
    </row>
    <row r="981" spans="1:10">
      <c r="A981" s="143" t="inlineStr">
        <is>
          <t xml:space="preserve">831</t>
        </is>
      </c>
      <c r="B981" s="143" t="inlineStr">
        <is>
          <t xml:space="preserve">32977911</t>
        </is>
      </c>
      <c r="C981" s="143" t="inlineStr">
        <is>
          <t xml:space="preserve">PRE---L/H AND R/H WING---NOCALLBACK---PNT L/H AND R/H WING UPPER SURFACE MULTIPLE SCREW HEADS FOUND WITH PAINT CHIPPED OFF.</t>
        </is>
      </c>
      <c r="D981" s="143">
        <v>1.0</v>
      </c>
      <c r="E981" s="143">
        <v>4.0</v>
      </c>
      <c r="F981" s="143">
        <v>4.0</v>
      </c>
      <c r="G981" s="143">
        <v>4.0</v>
      </c>
      <c r="H981" s="143" t="inlineStr">
        <is>
          <t xml:space="preserve">Closed</t>
        </is>
      </c>
      <c r="I981" s="143" t="inlineStr">
        <is>
          <t xml:space="preserve">05-25</t>
        </is>
      </c>
      <c r="J981" s="143"/>
    </row>
    <row r="982" spans="1:10">
      <c r="A982" s="143" t="inlineStr">
        <is>
          <t xml:space="preserve">832</t>
        </is>
      </c>
      <c r="B982" s="143" t="inlineStr">
        <is>
          <t xml:space="preserve">32978070</t>
        </is>
      </c>
      <c r="C982" s="143" t="inlineStr">
        <is>
          <t xml:space="preserve">FINDING (NRC) TASKCARD 282100-05-1-001  AP RII DURING GVI FUEL PIPE AT PYLON #1 FOUND 2 EA MINER DENT ON LH SIDE   MAIN FUEL FEED  PIPE UNDER PYLON PNL413  CL 1- DENT L = 0.02 IN     D= 0.009 IN 2- DENT L= 0.03 IN     D= 0.0010 IN</t>
        </is>
      </c>
      <c r="D982" s="143">
        <v>1.0</v>
      </c>
      <c r="E982" s="143">
        <v>0.0</v>
      </c>
      <c r="F982" s="143">
        <v>2.08</v>
      </c>
      <c r="G982" s="143">
        <v>168.2</v>
      </c>
      <c r="H982" s="143" t="inlineStr">
        <is>
          <t xml:space="preserve">Closed</t>
        </is>
      </c>
      <c r="I982" s="143" t="inlineStr">
        <is>
          <t xml:space="preserve">28-21</t>
        </is>
      </c>
      <c r="J982" s="143"/>
    </row>
    <row r="983" spans="1:10">
      <c r="A983" s="143" t="inlineStr">
        <is>
          <t xml:space="preserve">833</t>
        </is>
      </c>
      <c r="B983" s="143" t="inlineStr">
        <is>
          <t xml:space="preserve">32978236</t>
        </is>
      </c>
      <c r="C983" s="143" t="inlineStr">
        <is>
          <t xml:space="preserve">NLG DOOR---PNT---NO CALL BACK---- NLG LH AND RH AFT DOOR MOUNT HINGES WITH PNT CHIP-OFF.</t>
        </is>
      </c>
      <c r="D983" s="143">
        <v>1.0</v>
      </c>
      <c r="E983" s="143">
        <v>4.0</v>
      </c>
      <c r="F983" s="143">
        <v>4.0</v>
      </c>
      <c r="G983" s="143">
        <v>4.0</v>
      </c>
      <c r="H983" s="143" t="inlineStr">
        <is>
          <t xml:space="preserve">Closed</t>
        </is>
      </c>
      <c r="I983" s="143" t="inlineStr">
        <is>
          <t xml:space="preserve">05-21</t>
        </is>
      </c>
      <c r="J983" s="143"/>
    </row>
    <row r="984" spans="1:10">
      <c r="A984" s="143" t="inlineStr">
        <is>
          <t xml:space="preserve">834</t>
        </is>
      </c>
      <c r="B984" s="143" t="inlineStr">
        <is>
          <t xml:space="preserve">32978238</t>
        </is>
      </c>
      <c r="C984" s="143" t="inlineStr">
        <is>
          <t xml:space="preserve">NLG DOOR---AP--NO CALL BACK---- NLG LH AND RG AFT DOOR DATA PLATE DECAL TORN.</t>
        </is>
      </c>
      <c r="D984" s="143">
        <v>1.0</v>
      </c>
      <c r="E984" s="143">
        <v>2.0</v>
      </c>
      <c r="F984" s="143">
        <v>4.0</v>
      </c>
      <c r="G984" s="143">
        <v>2.0</v>
      </c>
      <c r="H984" s="143" t="inlineStr">
        <is>
          <t xml:space="preserve">Closed</t>
        </is>
      </c>
      <c r="I984" s="143" t="inlineStr">
        <is>
          <t xml:space="preserve">05-21</t>
        </is>
      </c>
      <c r="J984" s="143"/>
    </row>
    <row r="985" spans="1:10">
      <c r="A985" s="143" t="inlineStr">
        <is>
          <t xml:space="preserve">835</t>
        </is>
      </c>
      <c r="B985" s="143" t="inlineStr">
        <is>
          <t xml:space="preserve">32978240</t>
        </is>
      </c>
      <c r="C985" s="143" t="inlineStr">
        <is>
          <t xml:space="preserve">NLG DOOR---AP---NO CALL BACK---- NLG RH AFT DOOR AFT UPPER CORNER RUBBER SEAL WRINKLED.</t>
        </is>
      </c>
      <c r="D985" s="143">
        <v>1.0</v>
      </c>
      <c r="E985" s="143">
        <v>6.0</v>
      </c>
      <c r="F985" s="143">
        <v>5.5</v>
      </c>
      <c r="G985" s="143">
        <v>220.1</v>
      </c>
      <c r="H985" s="143" t="inlineStr">
        <is>
          <t xml:space="preserve">Closed</t>
        </is>
      </c>
      <c r="I985" s="143" t="inlineStr">
        <is>
          <t xml:space="preserve">05-21</t>
        </is>
      </c>
      <c r="J985" s="143"/>
    </row>
    <row r="986" spans="1:10">
      <c r="A986" s="143" t="inlineStr">
        <is>
          <t xml:space="preserve">836</t>
        </is>
      </c>
      <c r="B986" s="143" t="inlineStr">
        <is>
          <t xml:space="preserve">32978243</t>
        </is>
      </c>
      <c r="C986" s="143" t="inlineStr">
        <is>
          <t xml:space="preserve">NLG----PNT---- NO CALL BACK---- NLG LEG LWR DECAL SEVERAL TORN</t>
        </is>
      </c>
      <c r="D986" s="143">
        <v>1.0</v>
      </c>
      <c r="E986" s="143">
        <v>2.0</v>
      </c>
      <c r="F986" s="143">
        <v>3.0</v>
      </c>
      <c r="G986" s="143">
        <v>1.5</v>
      </c>
      <c r="H986" s="143" t="inlineStr">
        <is>
          <t xml:space="preserve">Closed</t>
        </is>
      </c>
      <c r="I986" s="143" t="inlineStr">
        <is>
          <t xml:space="preserve">05-21</t>
        </is>
      </c>
      <c r="J986" s="143"/>
    </row>
    <row r="987" spans="1:10">
      <c r="A987" s="143" t="inlineStr">
        <is>
          <t xml:space="preserve">837</t>
        </is>
      </c>
      <c r="B987" s="143" t="inlineStr">
        <is>
          <t xml:space="preserve">32978247</t>
        </is>
      </c>
      <c r="C987" s="143" t="inlineStr">
        <is>
          <t xml:space="preserve">NLG WHEEL----AP---NO CALL BACK--- BOTH NLG WHEEL TIRE TPIS MISSING.</t>
        </is>
      </c>
      <c r="D987" s="143">
        <v>1.0</v>
      </c>
      <c r="E987" s="143">
        <v>2.0</v>
      </c>
      <c r="F987" s="143">
        <v>1.0</v>
      </c>
      <c r="G987" s="143">
        <v>1.0</v>
      </c>
      <c r="H987" s="143" t="inlineStr">
        <is>
          <t xml:space="preserve">Closed</t>
        </is>
      </c>
      <c r="I987" s="143" t="inlineStr">
        <is>
          <t xml:space="preserve">05-21</t>
        </is>
      </c>
      <c r="J987" s="143"/>
    </row>
    <row r="988" spans="1:10">
      <c r="A988" s="143" t="inlineStr">
        <is>
          <t xml:space="preserve">838</t>
        </is>
      </c>
      <c r="B988" s="143" t="inlineStr">
        <is>
          <t xml:space="preserve">32978249</t>
        </is>
      </c>
      <c r="C988" s="143" t="inlineStr">
        <is>
          <t xml:space="preserve">NLG----PNT---NO CALL BACK---- NLG HCU SURFACE WITH PNT CHIP-OFF.</t>
        </is>
      </c>
      <c r="D988" s="143">
        <v>1.0</v>
      </c>
      <c r="E988" s="143">
        <v>3.0</v>
      </c>
      <c r="F988" s="143">
        <v>3.0</v>
      </c>
      <c r="G988" s="143">
        <v>3.0</v>
      </c>
      <c r="H988" s="143" t="inlineStr">
        <is>
          <t xml:space="preserve">Closed</t>
        </is>
      </c>
      <c r="I988" s="143" t="inlineStr">
        <is>
          <t xml:space="preserve">05-21</t>
        </is>
      </c>
      <c r="J988" s="143"/>
    </row>
    <row r="989" spans="1:10">
      <c r="A989" s="143" t="inlineStr">
        <is>
          <t xml:space="preserve">839</t>
        </is>
      </c>
      <c r="B989" s="143" t="inlineStr">
        <is>
          <t xml:space="preserve">32978253</t>
        </is>
      </c>
      <c r="C989" s="143" t="inlineStr">
        <is>
          <t xml:space="preserve">LH MLG---PNT---NO CALL BACK---- LH MLG LEG  2EA DECALS FADED.</t>
        </is>
      </c>
      <c r="D989" s="143">
        <v>1.0</v>
      </c>
      <c r="E989" s="143">
        <v>2.0</v>
      </c>
      <c r="F989" s="143">
        <v>2.0</v>
      </c>
      <c r="G989" s="143">
        <v>2.0</v>
      </c>
      <c r="H989" s="143" t="inlineStr">
        <is>
          <t xml:space="preserve">Closed</t>
        </is>
      </c>
      <c r="I989" s="143" t="inlineStr">
        <is>
          <t xml:space="preserve">05-25</t>
        </is>
      </c>
      <c r="J989" s="143"/>
    </row>
    <row r="990" spans="1:10">
      <c r="A990" s="143" t="inlineStr">
        <is>
          <t xml:space="preserve">840</t>
        </is>
      </c>
      <c r="B990" s="143" t="inlineStr">
        <is>
          <t xml:space="preserve">32978254</t>
        </is>
      </c>
      <c r="C990" s="143" t="inlineStr">
        <is>
          <t xml:space="preserve">LH MLG----AP---NO CALL BACK--- LH MLG BETWEEN FIXED AND HINGE FAIRING BONDING WIRE FRAYED.</t>
        </is>
      </c>
      <c r="D990" s="143">
        <v>1.0</v>
      </c>
      <c r="E990" s="143">
        <v>8.0</v>
      </c>
      <c r="F990" s="143">
        <v>36.0</v>
      </c>
      <c r="G990" s="143">
        <v>505.7</v>
      </c>
      <c r="H990" s="143" t="inlineStr">
        <is>
          <t xml:space="preserve">Closed</t>
        </is>
      </c>
      <c r="I990" s="143" t="inlineStr">
        <is>
          <t xml:space="preserve">05-25</t>
        </is>
      </c>
      <c r="J990" s="143"/>
    </row>
    <row r="991" spans="1:10">
      <c r="A991" s="143" t="inlineStr">
        <is>
          <t xml:space="preserve">841</t>
        </is>
      </c>
      <c r="B991" s="143" t="inlineStr">
        <is>
          <t xml:space="preserve">32978259</t>
        </is>
      </c>
      <c r="C991" s="143" t="inlineStr">
        <is>
          <t xml:space="preserve">LH MLG---AP  NO CALL BACK--- LH MLG FIXED FAIRING DATA PLATE DECAL MISSING.</t>
        </is>
      </c>
      <c r="D991" s="143">
        <v>1.0</v>
      </c>
      <c r="E991" s="143">
        <v>2.0</v>
      </c>
      <c r="F991" s="143">
        <v>4.0</v>
      </c>
      <c r="G991" s="143">
        <v>2.02</v>
      </c>
      <c r="H991" s="143" t="inlineStr">
        <is>
          <t xml:space="preserve">Closed</t>
        </is>
      </c>
      <c r="I991" s="143" t="inlineStr">
        <is>
          <t xml:space="preserve">05-25</t>
        </is>
      </c>
      <c r="J991" s="143"/>
    </row>
    <row r="992" spans="1:10">
      <c r="A992" s="143" t="inlineStr">
        <is>
          <t xml:space="preserve">842</t>
        </is>
      </c>
      <c r="B992" s="143" t="inlineStr">
        <is>
          <t xml:space="preserve">32978265</t>
        </is>
      </c>
      <c r="C992" s="143" t="inlineStr">
        <is>
          <t xml:space="preserve">LH MLG BAY----AP---NO CALL BACK--- LH MLG BAY FWD SIDE FUSELAGE LWR SEAL TORN AND WRINGKLED AND UPPER SIDE CORNER WITH CUT.</t>
        </is>
      </c>
      <c r="D992" s="143">
        <v>1.0</v>
      </c>
      <c r="E992" s="143">
        <v>8.0</v>
      </c>
      <c r="F992" s="143">
        <v>2.0</v>
      </c>
      <c r="G992" s="143">
        <v>2.0</v>
      </c>
      <c r="H992" s="143" t="inlineStr">
        <is>
          <t xml:space="preserve">Closed</t>
        </is>
      </c>
      <c r="I992" s="143" t="inlineStr">
        <is>
          <t xml:space="preserve">05-25</t>
        </is>
      </c>
      <c r="J992" s="143"/>
    </row>
    <row r="993" spans="1:10">
      <c r="A993" s="143" t="inlineStr">
        <is>
          <t xml:space="preserve">843</t>
        </is>
      </c>
      <c r="B993" s="143" t="inlineStr">
        <is>
          <t xml:space="preserve">32978273</t>
        </is>
      </c>
      <c r="C993" s="143" t="inlineStr">
        <is>
          <t xml:space="preserve">MLG----FS---NO CALL BACK----- INSIDE MLG DOOR ON KELL BEAM AREA DIRTY AND FULL OF WATER.</t>
        </is>
      </c>
      <c r="D993" s="143">
        <v>1.0</v>
      </c>
      <c r="E993" s="143">
        <v>10.0</v>
      </c>
      <c r="F993" s="143">
        <v>10.0</v>
      </c>
      <c r="G993" s="143">
        <v>5.02</v>
      </c>
      <c r="H993" s="143" t="inlineStr">
        <is>
          <t xml:space="preserve">Closed</t>
        </is>
      </c>
      <c r="I993" s="143" t="inlineStr">
        <is>
          <t xml:space="preserve">05-27</t>
        </is>
      </c>
      <c r="J993" s="143"/>
    </row>
    <row r="994" spans="1:10">
      <c r="A994" s="143" t="inlineStr">
        <is>
          <t xml:space="preserve">844</t>
        </is>
      </c>
      <c r="B994" s="143" t="inlineStr">
        <is>
          <t xml:space="preserve">32978279</t>
        </is>
      </c>
      <c r="C994" s="143" t="inlineStr">
        <is>
          <t xml:space="preserve">RH MLG---PNT---NO CALL BACK---- RH MLG LEG TIRE PRESSURE DECAL TORN.</t>
        </is>
      </c>
      <c r="D994" s="143">
        <v>1.0</v>
      </c>
      <c r="E994" s="143">
        <v>2.0</v>
      </c>
      <c r="F994" s="143">
        <v>2.0</v>
      </c>
      <c r="G994" s="143">
        <v>2.0</v>
      </c>
      <c r="H994" s="143" t="inlineStr">
        <is>
          <t xml:space="preserve">Closed</t>
        </is>
      </c>
      <c r="I994" s="143" t="inlineStr">
        <is>
          <t xml:space="preserve">05-25</t>
        </is>
      </c>
      <c r="J994" s="143"/>
    </row>
    <row r="995" spans="1:10">
      <c r="A995" s="143" t="inlineStr">
        <is>
          <t xml:space="preserve">845</t>
        </is>
      </c>
      <c r="B995" s="143" t="inlineStr">
        <is>
          <t xml:space="preserve">32978280</t>
        </is>
      </c>
      <c r="C995" s="143" t="inlineStr">
        <is>
          <t xml:space="preserve">MLG----AP NO CALL BACK--- ALL MLG WHEEL TIRE MISSING TPIS.</t>
        </is>
      </c>
      <c r="D995" s="143">
        <v>1.0</v>
      </c>
      <c r="E995" s="143">
        <v>2.0</v>
      </c>
      <c r="F995" s="143">
        <v>2.0</v>
      </c>
      <c r="G995" s="143">
        <v>1.55</v>
      </c>
      <c r="H995" s="143" t="inlineStr">
        <is>
          <t xml:space="preserve">Closed</t>
        </is>
      </c>
      <c r="I995" s="143" t="inlineStr">
        <is>
          <t xml:space="preserve">05-27</t>
        </is>
      </c>
      <c r="J995" s="143"/>
    </row>
    <row r="996" spans="1:10">
      <c r="A996" s="143" t="inlineStr">
        <is>
          <t xml:space="preserve">846</t>
        </is>
      </c>
      <c r="B996" s="143" t="inlineStr">
        <is>
          <t xml:space="preserve">32978281</t>
        </is>
      </c>
      <c r="C996" s="143" t="inlineStr">
        <is>
          <t xml:space="preserve">RH MLG---AP---NO CALL BACK--- RH MLG BAY FWD FUSELAGE LWR RUBBER SEAL WRINGKLED AND TORN, AND UPPER CORNET WITH CUT.</t>
        </is>
      </c>
      <c r="D996" s="143">
        <v>1.0</v>
      </c>
      <c r="E996" s="143">
        <v>8.0</v>
      </c>
      <c r="F996" s="143">
        <v>2.0</v>
      </c>
      <c r="G996" s="143">
        <v>2.0</v>
      </c>
      <c r="H996" s="143" t="inlineStr">
        <is>
          <t xml:space="preserve">Closed</t>
        </is>
      </c>
      <c r="I996" s="143" t="inlineStr">
        <is>
          <t xml:space="preserve">05-25</t>
        </is>
      </c>
      <c r="J996" s="143"/>
    </row>
    <row r="997" spans="1:10">
      <c r="A997" s="143" t="inlineStr">
        <is>
          <t xml:space="preserve">847</t>
        </is>
      </c>
      <c r="B997" s="143" t="inlineStr">
        <is>
          <t xml:space="preserve">32978282</t>
        </is>
      </c>
      <c r="C997" s="143" t="inlineStr">
        <is>
          <t xml:space="preserve">RH MLG---SM---CALL BACK---- RH MLG DOOR ON AFT UPPER CORNER PNL148FB SHAVING WITH MISSING PIECE. L= 4" W= 0.187"</t>
        </is>
      </c>
      <c r="D997" s="143">
        <v>1.0</v>
      </c>
      <c r="E997" s="143">
        <v>3.0</v>
      </c>
      <c r="F997" s="143">
        <v>21.37</v>
      </c>
      <c r="G997" s="143">
        <v>790.3</v>
      </c>
      <c r="H997" s="143" t="inlineStr">
        <is>
          <t xml:space="preserve">Closed</t>
        </is>
      </c>
      <c r="I997" s="143" t="inlineStr">
        <is>
          <t xml:space="preserve">05-25</t>
        </is>
      </c>
      <c r="J997" s="143"/>
    </row>
    <row r="998" spans="1:10">
      <c r="A998" s="143" t="inlineStr">
        <is>
          <t xml:space="preserve">848</t>
        </is>
      </c>
      <c r="B998" s="143" t="inlineStr">
        <is>
          <t xml:space="preserve">32978291</t>
        </is>
      </c>
      <c r="C998" s="143" t="inlineStr">
        <is>
          <t xml:space="preserve">RH MLG DOOR---PNT---NO CALL BACK--- RH MLG DOOR ACTUATOR SURFACE WITH PNT CHIP-OFF.</t>
        </is>
      </c>
      <c r="D998" s="143">
        <v>1.0</v>
      </c>
      <c r="E998" s="143">
        <v>3.0</v>
      </c>
      <c r="F998" s="143">
        <v>3.0</v>
      </c>
      <c r="G998" s="143">
        <v>1.5</v>
      </c>
      <c r="H998" s="143" t="inlineStr">
        <is>
          <t xml:space="preserve">Closed</t>
        </is>
      </c>
      <c r="I998" s="143" t="inlineStr">
        <is>
          <t xml:space="preserve">05-25</t>
        </is>
      </c>
      <c r="J998" s="143"/>
    </row>
    <row r="999" spans="1:10">
      <c r="A999" s="143" t="inlineStr">
        <is>
          <t xml:space="preserve">849</t>
        </is>
      </c>
      <c r="B999" s="143" t="inlineStr">
        <is>
          <t xml:space="preserve">32978481</t>
        </is>
      </c>
      <c r="C999" s="143" t="inlineStr">
        <is>
          <t xml:space="preserve">RH MLG---AP---CALL BACK---- RH MLG DOWN LOCK SPRING RUSTY.</t>
        </is>
      </c>
      <c r="D999" s="143">
        <v>1.0</v>
      </c>
      <c r="E999" s="143">
        <v>2.0</v>
      </c>
      <c r="F999" s="143">
        <v>9.5</v>
      </c>
      <c r="G999" s="143">
        <v>6.78</v>
      </c>
      <c r="H999" s="143" t="inlineStr">
        <is>
          <t xml:space="preserve">Closed</t>
        </is>
      </c>
      <c r="I999" s="143" t="inlineStr">
        <is>
          <t xml:space="preserve">32-30</t>
        </is>
      </c>
      <c r="J999" s="143"/>
    </row>
    <row r="1000" spans="1:10">
      <c r="A1000" s="143" t="inlineStr">
        <is>
          <t xml:space="preserve">850</t>
        </is>
      </c>
      <c r="B1000" s="143" t="inlineStr">
        <is>
          <t xml:space="preserve">32978506</t>
        </is>
      </c>
      <c r="C1000" s="143" t="inlineStr">
        <is>
          <t xml:space="preserve">LH MLG---AP---CALL BACK---- LH MLG DOWNLOCK SPRING RUSTY.</t>
        </is>
      </c>
      <c r="D1000" s="143">
        <v>1.0</v>
      </c>
      <c r="E1000" s="143">
        <v>2.0</v>
      </c>
      <c r="F1000" s="143">
        <v>1.67</v>
      </c>
      <c r="G1000" s="143">
        <v>382.8</v>
      </c>
      <c r="H1000" s="143" t="inlineStr">
        <is>
          <t xml:space="preserve">Closed</t>
        </is>
      </c>
      <c r="I1000" s="143" t="inlineStr">
        <is>
          <t xml:space="preserve">32-30</t>
        </is>
      </c>
      <c r="J1000" s="143"/>
    </row>
    <row r="1001" spans="1:10">
      <c r="A1001" s="143" t="inlineStr">
        <is>
          <t xml:space="preserve">851</t>
        </is>
      </c>
      <c r="B1001" s="143" t="inlineStr">
        <is>
          <t xml:space="preserve">32978507</t>
        </is>
      </c>
      <c r="C1001" s="143" t="inlineStr">
        <is>
          <t xml:space="preserve">FWD CARGO COMP----SM---CALL BACK---- FWD CARGO COMP ENTRY DOOR AT AFT SIDE PLATE BENDED.</t>
        </is>
      </c>
      <c r="D1001" s="143">
        <v>1.0</v>
      </c>
      <c r="E1001" s="143">
        <v>3.0</v>
      </c>
      <c r="F1001" s="143">
        <v>15.33</v>
      </c>
      <c r="G1001" s="143">
        <v>677.6</v>
      </c>
      <c r="H1001" s="143" t="inlineStr">
        <is>
          <t xml:space="preserve">Closed</t>
        </is>
      </c>
      <c r="I1001" s="143" t="inlineStr">
        <is>
          <t xml:space="preserve">25-50</t>
        </is>
      </c>
      <c r="J1001" s="143"/>
    </row>
    <row r="1002" spans="1:10">
      <c r="A1002" s="143" t="inlineStr">
        <is>
          <t xml:space="preserve">853</t>
        </is>
      </c>
      <c r="B1002" s="143" t="inlineStr">
        <is>
          <t xml:space="preserve">32978510</t>
        </is>
      </c>
      <c r="C1002" s="143" t="inlineStr">
        <is>
          <t xml:space="preserve">FWD CARGO COMP---SM---CALL BACK---- PNL 131CW LH DECOMPRESSION PNL COVER WITH  SKIN SEPARATION WITH MISSING PIECE OF HONEY COMB  AND RH WITH SKIN SEPARATION WITH CUT.</t>
        </is>
      </c>
      <c r="D1002" s="143">
        <v>1.0</v>
      </c>
      <c r="E1002" s="143">
        <v>0.0</v>
      </c>
      <c r="F1002" s="143">
        <v>74.8</v>
      </c>
      <c r="G1002" s="143">
        <v>677.5</v>
      </c>
      <c r="H1002" s="143" t="inlineStr">
        <is>
          <t xml:space="preserve">Closed</t>
        </is>
      </c>
      <c r="I1002" s="143" t="inlineStr">
        <is>
          <t xml:space="preserve">25-50</t>
        </is>
      </c>
      <c r="J1002" s="143"/>
    </row>
    <row r="1003" spans="1:10">
      <c r="A1003" s="143" t="inlineStr">
        <is>
          <t xml:space="preserve">854</t>
        </is>
      </c>
      <c r="B1003" s="143" t="inlineStr">
        <is>
          <t xml:space="preserve">32978546</t>
        </is>
      </c>
      <c r="C1003" s="143" t="inlineStr">
        <is>
          <t xml:space="preserve">FWD CARGO COMP---SM---CALL BACK---- FWD CARGO COMP PNL 131DW LH AND RH DECOMPRESSION COVER PNL WITH SKIN SEPARATION.</t>
        </is>
      </c>
      <c r="D1003" s="143">
        <v>1.0</v>
      </c>
      <c r="E1003" s="143">
        <v>3.0</v>
      </c>
      <c r="F1003" s="143">
        <v>63.0</v>
      </c>
      <c r="G1003" s="143">
        <v>461.9</v>
      </c>
      <c r="H1003" s="143" t="inlineStr">
        <is>
          <t xml:space="preserve">Closed</t>
        </is>
      </c>
      <c r="I1003" s="143" t="inlineStr">
        <is>
          <t xml:space="preserve">25-50</t>
        </is>
      </c>
      <c r="J1003" s="143"/>
    </row>
    <row r="1004" spans="1:10">
      <c r="A1004" s="143" t="inlineStr">
        <is>
          <t xml:space="preserve">855</t>
        </is>
      </c>
      <c r="B1004" s="143" t="inlineStr">
        <is>
          <t xml:space="preserve">32978563</t>
        </is>
      </c>
      <c r="C1004" s="143" t="inlineStr">
        <is>
          <t xml:space="preserve">FWD CARGO COMP---SM----CALL BACK---- PNL 131KFWITH PUNCTURED ON MID SIDE AND FWD LOW SIDE CORNER SKIN SEPARATION.</t>
        </is>
      </c>
      <c r="D1004" s="143">
        <v>1.0</v>
      </c>
      <c r="E1004" s="143">
        <v>4.0</v>
      </c>
      <c r="F1004" s="143">
        <v>53.7</v>
      </c>
      <c r="G1004" s="143">
        <v>178.0</v>
      </c>
      <c r="H1004" s="143" t="inlineStr">
        <is>
          <t xml:space="preserve">Closed</t>
        </is>
      </c>
      <c r="I1004" s="143" t="inlineStr">
        <is>
          <t xml:space="preserve">25-50</t>
        </is>
      </c>
      <c r="J1004" s="143"/>
    </row>
    <row r="1005" spans="1:10">
      <c r="A1005" s="143" t="inlineStr">
        <is>
          <t xml:space="preserve">856</t>
        </is>
      </c>
      <c r="B1005" s="143" t="inlineStr">
        <is>
          <t xml:space="preserve">32978565</t>
        </is>
      </c>
      <c r="C1005" s="143" t="inlineStr">
        <is>
          <t xml:space="preserve">FWD CARGO COMP---SM---CALL BACK---- PNL 132GF FWD SIDE PUNCTURED</t>
        </is>
      </c>
      <c r="D1005" s="143">
        <v>1.0</v>
      </c>
      <c r="E1005" s="143">
        <v>4.0</v>
      </c>
      <c r="F1005" s="143">
        <v>27.6</v>
      </c>
      <c r="G1005" s="143">
        <v>318.0</v>
      </c>
      <c r="H1005" s="143" t="inlineStr">
        <is>
          <t xml:space="preserve">Closed</t>
        </is>
      </c>
      <c r="I1005" s="143" t="inlineStr">
        <is>
          <t xml:space="preserve">25-50</t>
        </is>
      </c>
      <c r="J1005" s="143"/>
    </row>
    <row r="1006" spans="1:10">
      <c r="A1006" s="143" t="inlineStr">
        <is>
          <t xml:space="preserve">857</t>
        </is>
      </c>
      <c r="B1006" s="143" t="inlineStr">
        <is>
          <t xml:space="preserve">32978566</t>
        </is>
      </c>
      <c r="C1006" s="143" t="inlineStr">
        <is>
          <t xml:space="preserve">FWD CARGO COMP---SM---CALL BACK--- PNL 131EF WITH SEVERAL PUNCTURED.</t>
        </is>
      </c>
      <c r="D1006" s="143">
        <v>1.0</v>
      </c>
      <c r="E1006" s="143">
        <v>4.0</v>
      </c>
      <c r="F1006" s="143">
        <v>29.7</v>
      </c>
      <c r="G1006" s="143">
        <v>204.1</v>
      </c>
      <c r="H1006" s="143" t="inlineStr">
        <is>
          <t xml:space="preserve">Closed</t>
        </is>
      </c>
      <c r="I1006" s="143" t="inlineStr">
        <is>
          <t xml:space="preserve">25-50</t>
        </is>
      </c>
      <c r="J1006" s="143"/>
    </row>
    <row r="1007" spans="1:10">
      <c r="A1007" s="143" t="inlineStr">
        <is>
          <t xml:space="preserve">858</t>
        </is>
      </c>
      <c r="B1007" s="143" t="inlineStr">
        <is>
          <t xml:space="preserve">32978568</t>
        </is>
      </c>
      <c r="C1007" s="143" t="inlineStr">
        <is>
          <t xml:space="preserve">FWD CARGO COMP---PNT---NO CALL BACK---- PNL 132PW ACCES DECAL TORN.</t>
        </is>
      </c>
      <c r="D1007" s="143">
        <v>1.0</v>
      </c>
      <c r="E1007" s="143">
        <v>2.0</v>
      </c>
      <c r="F1007" s="143">
        <v>3.0</v>
      </c>
      <c r="G1007" s="143">
        <v>3.0</v>
      </c>
      <c r="H1007" s="143" t="inlineStr">
        <is>
          <t xml:space="preserve">Closed</t>
        </is>
      </c>
      <c r="I1007" s="143" t="inlineStr">
        <is>
          <t xml:space="preserve">25-50</t>
        </is>
      </c>
      <c r="J1007" s="143"/>
    </row>
    <row r="1008" spans="1:10">
      <c r="A1008" s="143" t="inlineStr">
        <is>
          <t xml:space="preserve">859</t>
        </is>
      </c>
      <c r="B1008" s="143" t="inlineStr">
        <is>
          <t xml:space="preserve">32978570</t>
        </is>
      </c>
      <c r="C1008" s="143" t="inlineStr">
        <is>
          <t xml:space="preserve">FWD CARGO DOOR---AP---CALL BACK---- FWD CARGO DOOR BOTH ACTUATOR SURFACE RUSTY</t>
        </is>
      </c>
      <c r="D1008" s="143">
        <v>1.0</v>
      </c>
      <c r="E1008" s="143">
        <v>4.0</v>
      </c>
      <c r="F1008" s="143">
        <v>16.25</v>
      </c>
      <c r="G1008" s="143">
        <v>4.25</v>
      </c>
      <c r="H1008" s="143" t="inlineStr">
        <is>
          <t xml:space="preserve">Closed</t>
        </is>
      </c>
      <c r="I1008" s="143" t="inlineStr">
        <is>
          <t xml:space="preserve">05-28</t>
        </is>
      </c>
      <c r="J1008" s="143"/>
    </row>
    <row r="1009" spans="1:10">
      <c r="A1009" s="143" t="inlineStr">
        <is>
          <t xml:space="preserve">860</t>
        </is>
      </c>
      <c r="B1009" s="143" t="inlineStr">
        <is>
          <t xml:space="preserve">32978583</t>
        </is>
      </c>
      <c r="C1009" s="143" t="inlineStr">
        <is>
          <t xml:space="preserve">FWD CARGO DOOR----FS---NO CALL BACK--- FWD CARGO DOOR LINING DIRTY.</t>
        </is>
      </c>
      <c r="D1009" s="143">
        <v>1.0</v>
      </c>
      <c r="E1009" s="143">
        <v>8.0</v>
      </c>
      <c r="F1009" s="143">
        <v>8.0</v>
      </c>
      <c r="G1009" s="143">
        <v>3.52</v>
      </c>
      <c r="H1009" s="143" t="inlineStr">
        <is>
          <t xml:space="preserve">Closed</t>
        </is>
      </c>
      <c r="I1009" s="143" t="inlineStr">
        <is>
          <t xml:space="preserve">05-28</t>
        </is>
      </c>
      <c r="J1009" s="143"/>
    </row>
    <row r="1010" spans="1:10">
      <c r="A1010" s="143" t="inlineStr">
        <is>
          <t xml:space="preserve">861</t>
        </is>
      </c>
      <c r="B1010" s="143" t="inlineStr">
        <is>
          <t xml:space="preserve">32978585</t>
        </is>
      </c>
      <c r="C1010" s="143" t="inlineStr">
        <is>
          <t xml:space="preserve">FWD CARGO DOOR---AP---CALL BACK---- FWD CARGO DOOR BOTH ACTUATOR SIGN OF HYD LEAK.</t>
        </is>
      </c>
      <c r="D1010" s="143">
        <v>1.0</v>
      </c>
      <c r="E1010" s="143">
        <v>4.0</v>
      </c>
      <c r="F1010" s="143">
        <v>8.5</v>
      </c>
      <c r="G1010" s="143">
        <v>6.2</v>
      </c>
      <c r="H1010" s="143" t="inlineStr">
        <is>
          <t xml:space="preserve">Closed</t>
        </is>
      </c>
      <c r="I1010" s="143" t="inlineStr">
        <is>
          <t xml:space="preserve">05-28</t>
        </is>
      </c>
      <c r="J1010" s="143"/>
    </row>
    <row r="1011" spans="1:10">
      <c r="A1011" s="143" t="inlineStr">
        <is>
          <t xml:space="preserve">862</t>
        </is>
      </c>
      <c r="B1011" s="143" t="inlineStr">
        <is>
          <t xml:space="preserve">32978590</t>
        </is>
      </c>
      <c r="C1011" s="143" t="inlineStr">
        <is>
          <t xml:space="preserve">FWD CARGO DOOR---FS---NO CALL BACK---- FWD CARGO DOOR ALL LWR ATTACHEMENT ROLLER DIRTY.</t>
        </is>
      </c>
      <c r="D1011" s="143">
        <v>1.0</v>
      </c>
      <c r="E1011" s="143">
        <v>8.0</v>
      </c>
      <c r="F1011" s="143">
        <v>8.0</v>
      </c>
      <c r="G1011" s="143">
        <v>2.03</v>
      </c>
      <c r="H1011" s="143" t="inlineStr">
        <is>
          <t xml:space="preserve">Closed</t>
        </is>
      </c>
      <c r="I1011" s="143" t="inlineStr">
        <is>
          <t xml:space="preserve">05-28</t>
        </is>
      </c>
      <c r="J1011" s="143"/>
    </row>
    <row r="1012" spans="1:10">
      <c r="A1012" s="143" t="inlineStr">
        <is>
          <t xml:space="preserve">865</t>
        </is>
      </c>
      <c r="B1012" s="143" t="inlineStr">
        <is>
          <t xml:space="preserve">32978600</t>
        </is>
      </c>
      <c r="C1012" s="143" t="inlineStr">
        <is>
          <t xml:space="preserve">FWD CARGO DOOR---SM---CALL BACK--- FWD CARGO DOOR LINING CRACK ON LWR  FWD SIDE.</t>
        </is>
      </c>
      <c r="D1012" s="143">
        <v>1.0</v>
      </c>
      <c r="E1012" s="143">
        <v>4.0</v>
      </c>
      <c r="F1012" s="143">
        <v>33.5</v>
      </c>
      <c r="G1012" s="143">
        <v>152.5</v>
      </c>
      <c r="H1012" s="143" t="inlineStr">
        <is>
          <t xml:space="preserve">Closed</t>
        </is>
      </c>
      <c r="I1012" s="143" t="inlineStr">
        <is>
          <t xml:space="preserve">05-28</t>
        </is>
      </c>
      <c r="J1012" s="143"/>
    </row>
    <row r="1013" spans="1:10">
      <c r="A1013" s="143" t="inlineStr">
        <is>
          <t xml:space="preserve">866</t>
        </is>
      </c>
      <c r="B1013" s="143" t="inlineStr">
        <is>
          <t xml:space="preserve">32978626</t>
        </is>
      </c>
      <c r="C1013" s="143" t="inlineStr">
        <is>
          <t xml:space="preserve">FWD CARGO DOOR---PNT---NO ALL BACK--- FWD CARGO DOOR LINING SEVERAL PNT CRACK.</t>
        </is>
      </c>
      <c r="D1013" s="143">
        <v>1.0</v>
      </c>
      <c r="E1013" s="143">
        <v>4.0</v>
      </c>
      <c r="F1013" s="143">
        <v>9.5</v>
      </c>
      <c r="G1013" s="143">
        <v>216.0</v>
      </c>
      <c r="H1013" s="143" t="inlineStr">
        <is>
          <t xml:space="preserve">Closed</t>
        </is>
      </c>
      <c r="I1013" s="143" t="inlineStr">
        <is>
          <t xml:space="preserve">05-28</t>
        </is>
      </c>
      <c r="J1013" s="143"/>
    </row>
    <row r="1014" spans="1:10">
      <c r="A1014" s="143" t="inlineStr">
        <is>
          <t xml:space="preserve">870</t>
        </is>
      </c>
      <c r="B1014" s="143" t="inlineStr">
        <is>
          <t xml:space="preserve">32978648</t>
        </is>
      </c>
      <c r="C1014" s="143" t="inlineStr">
        <is>
          <t xml:space="preserve">BULK CARGO DOOR---FS---NO CALL BACK--- BULK CARGO DOOR AREA AND LINING DIRTY.</t>
        </is>
      </c>
      <c r="D1014" s="143">
        <v>1.0</v>
      </c>
      <c r="E1014" s="143">
        <v>6.0</v>
      </c>
      <c r="F1014" s="143">
        <v>6.0</v>
      </c>
      <c r="G1014" s="143">
        <v>6.0</v>
      </c>
      <c r="H1014" s="143" t="inlineStr">
        <is>
          <t xml:space="preserve">Closed</t>
        </is>
      </c>
      <c r="I1014" s="143" t="inlineStr">
        <is>
          <t xml:space="preserve">05-28</t>
        </is>
      </c>
      <c r="J1014" s="143"/>
    </row>
    <row r="1015" spans="1:10">
      <c r="A1015" s="143" t="inlineStr">
        <is>
          <t xml:space="preserve">871</t>
        </is>
      </c>
      <c r="B1015" s="143" t="inlineStr">
        <is>
          <t xml:space="preserve">32978649</t>
        </is>
      </c>
      <c r="C1015" s="143" t="inlineStr">
        <is>
          <t xml:space="preserve">AFT CARGO DOOR---FS---NO CALL BACK--- AFT CARGO DOOR ALL ATTACHMENT FITTING ROLLER DIRTY.</t>
        </is>
      </c>
      <c r="D1015" s="143">
        <v>1.0</v>
      </c>
      <c r="E1015" s="143">
        <v>6.5</v>
      </c>
      <c r="F1015" s="143">
        <v>6.5</v>
      </c>
      <c r="G1015" s="143">
        <v>6.5</v>
      </c>
      <c r="H1015" s="143" t="inlineStr">
        <is>
          <t xml:space="preserve">Closed</t>
        </is>
      </c>
      <c r="I1015" s="143" t="inlineStr">
        <is>
          <t xml:space="preserve">05-28</t>
        </is>
      </c>
      <c r="J1015" s="143"/>
    </row>
    <row r="1016" spans="1:10">
      <c r="A1016" s="143" t="inlineStr">
        <is>
          <t xml:space="preserve">872</t>
        </is>
      </c>
      <c r="B1016" s="143" t="inlineStr">
        <is>
          <t xml:space="preserve">32978650</t>
        </is>
      </c>
      <c r="C1016" s="143" t="inlineStr">
        <is>
          <t xml:space="preserve">AFT CARGO DOOR---FS---NO CALL BACK--- AFT CARGO DOOR LINING DIRTY</t>
        </is>
      </c>
      <c r="D1016" s="143">
        <v>1.0</v>
      </c>
      <c r="E1016" s="143">
        <v>8.0</v>
      </c>
      <c r="F1016" s="143">
        <v>12.0</v>
      </c>
      <c r="G1016" s="143">
        <v>6.0</v>
      </c>
      <c r="H1016" s="143" t="inlineStr">
        <is>
          <t xml:space="preserve">Closed</t>
        </is>
      </c>
      <c r="I1016" s="143" t="inlineStr">
        <is>
          <t xml:space="preserve">05-28</t>
        </is>
      </c>
      <c r="J1016" s="143"/>
    </row>
    <row r="1017" spans="1:10">
      <c r="A1017" s="143" t="inlineStr">
        <is>
          <t xml:space="preserve">873</t>
        </is>
      </c>
      <c r="B1017" s="143" t="inlineStr">
        <is>
          <t xml:space="preserve">32978651</t>
        </is>
      </c>
      <c r="C1017" s="143" t="inlineStr">
        <is>
          <t xml:space="preserve">AFT CARGO DOOR---AP---NO CALL BACK---- AFT CARGO DOOR DATA PLATE TORN.</t>
        </is>
      </c>
      <c r="D1017" s="143">
        <v>1.0</v>
      </c>
      <c r="E1017" s="143">
        <v>2.0</v>
      </c>
      <c r="F1017" s="143">
        <v>9.5</v>
      </c>
      <c r="G1017" s="143">
        <v>6.97</v>
      </c>
      <c r="H1017" s="143" t="inlineStr">
        <is>
          <t xml:space="preserve">Closed</t>
        </is>
      </c>
      <c r="I1017" s="143" t="inlineStr">
        <is>
          <t xml:space="preserve">05-28</t>
        </is>
      </c>
      <c r="J1017" s="143"/>
    </row>
    <row r="1018" spans="1:10">
      <c r="A1018" s="143" t="inlineStr">
        <is>
          <t xml:space="preserve">874</t>
        </is>
      </c>
      <c r="B1018" s="143" t="inlineStr">
        <is>
          <t xml:space="preserve">32978848</t>
        </is>
      </c>
      <c r="C1018" s="143" t="inlineStr">
        <is>
          <t xml:space="preserve">FINDING (NRC) TASKCARD 25-SVA-03 (01) / ITEM ONE ALL B/C SEAT STRUCTURE  DIRTY</t>
        </is>
      </c>
      <c r="D1018" s="143">
        <v>1.0</v>
      </c>
      <c r="E1018" s="143">
        <v>12.0</v>
      </c>
      <c r="F1018" s="143">
        <v>12.0</v>
      </c>
      <c r="G1018" s="143">
        <v>6.0</v>
      </c>
      <c r="H1018" s="143" t="inlineStr">
        <is>
          <t xml:space="preserve">Closed</t>
        </is>
      </c>
      <c r="I1018" s="143" t="inlineStr">
        <is>
          <t xml:space="preserve">25-21</t>
        </is>
      </c>
      <c r="J1018" s="143"/>
    </row>
    <row r="1019" spans="1:10">
      <c r="A1019" s="143" t="inlineStr">
        <is>
          <t xml:space="preserve">875</t>
        </is>
      </c>
      <c r="B1019" s="143" t="inlineStr">
        <is>
          <t xml:space="preserve">32978869</t>
        </is>
      </c>
      <c r="C1019" s="143" t="inlineStr">
        <is>
          <t xml:space="preserve">FINDING (NRC) TASKCARD 25-SVA-03 (01) / ITEM ONE ALL B/C SEAT ARMCAP AISLE AND CTR DIRTY</t>
        </is>
      </c>
      <c r="D1019" s="143">
        <v>1.0</v>
      </c>
      <c r="E1019" s="143">
        <v>120.0</v>
      </c>
      <c r="F1019" s="143">
        <v>120.5</v>
      </c>
      <c r="G1019" s="143">
        <v>53.3</v>
      </c>
      <c r="H1019" s="143" t="inlineStr">
        <is>
          <t xml:space="preserve">Closed</t>
        </is>
      </c>
      <c r="I1019" s="143" t="inlineStr">
        <is>
          <t xml:space="preserve">25-21</t>
        </is>
      </c>
      <c r="J1019" s="143"/>
    </row>
    <row r="1020" spans="1:10">
      <c r="A1020" s="143" t="inlineStr">
        <is>
          <t xml:space="preserve">877</t>
        </is>
      </c>
      <c r="B1020" s="143" t="inlineStr">
        <is>
          <t xml:space="preserve">32978900</t>
        </is>
      </c>
      <c r="C1020" s="143" t="inlineStr">
        <is>
          <t xml:space="preserve">FINDING (NRC) TASKCARD 25-SVA-03 (01) / ITEM ONE B/C SEAT# 1A,C,J , 2J,L , 3A,C,L 4C , 5C,J,L FOOD TRAY DOOR - SHROUD ASSEMBLY DAMAGED</t>
        </is>
      </c>
      <c r="D1020" s="143">
        <v>1.0</v>
      </c>
      <c r="E1020" s="143">
        <v>22.0</v>
      </c>
      <c r="F1020" s="143">
        <v>22.0</v>
      </c>
      <c r="G1020" s="143">
        <v>106.1</v>
      </c>
      <c r="H1020" s="143" t="inlineStr">
        <is>
          <t xml:space="preserve">Closed</t>
        </is>
      </c>
      <c r="I1020" s="143" t="inlineStr">
        <is>
          <t xml:space="preserve">25-21</t>
        </is>
      </c>
      <c r="J1020" s="143"/>
    </row>
    <row r="1021" spans="1:10">
      <c r="A1021" s="143" t="inlineStr">
        <is>
          <t xml:space="preserve">878</t>
        </is>
      </c>
      <c r="B1021" s="143" t="inlineStr">
        <is>
          <t xml:space="preserve">32978919</t>
        </is>
      </c>
      <c r="C1021" s="143" t="inlineStr">
        <is>
          <t xml:space="preserve">FINDING (NRC) TASKCARD 25-SVA-03 (01) / ITEM ONE B/C SEATS OVERRIDE - MANUAL CABLE DAMAGED.  RECLINE CABLE AT SEAT # 4L LEGREST CABLE AT SEATS# 2J,3L,5A,J</t>
        </is>
      </c>
      <c r="D1021" s="143">
        <v>1.0</v>
      </c>
      <c r="E1021" s="143">
        <v>5.0</v>
      </c>
      <c r="F1021" s="143">
        <v>6.0</v>
      </c>
      <c r="G1021" s="143">
        <v>728.7</v>
      </c>
      <c r="H1021" s="143" t="inlineStr">
        <is>
          <t xml:space="preserve">Closed</t>
        </is>
      </c>
      <c r="I1021" s="143" t="inlineStr">
        <is>
          <t xml:space="preserve">25-21</t>
        </is>
      </c>
      <c r="J1021" s="143"/>
    </row>
    <row r="1022" spans="1:10">
      <c r="A1022" s="143" t="inlineStr">
        <is>
          <t xml:space="preserve">879</t>
        </is>
      </c>
      <c r="B1022" s="143" t="inlineStr">
        <is>
          <t xml:space="preserve">32978925</t>
        </is>
      </c>
      <c r="C1022" s="143" t="inlineStr">
        <is>
          <t xml:space="preserve">FINDING (NRC) TASKCARD 25-SVA-03 (01) / ITEM ONE B/C SEAT# 1C , 2A , 4A ARMREST LOOSE</t>
        </is>
      </c>
      <c r="D1022" s="143">
        <v>1.0</v>
      </c>
      <c r="E1022" s="143">
        <v>3.0</v>
      </c>
      <c r="F1022" s="143">
        <v>3.0</v>
      </c>
      <c r="G1022" s="143">
        <v>1.5</v>
      </c>
      <c r="H1022" s="143" t="inlineStr">
        <is>
          <t xml:space="preserve">Closed</t>
        </is>
      </c>
      <c r="I1022" s="143" t="inlineStr">
        <is>
          <t xml:space="preserve">25-21</t>
        </is>
      </c>
      <c r="J1022" s="143"/>
    </row>
    <row r="1023" spans="1:10">
      <c r="A1023" s="143" t="inlineStr">
        <is>
          <t xml:space="preserve">880</t>
        </is>
      </c>
      <c r="B1023" s="143" t="inlineStr">
        <is>
          <t xml:space="preserve">32978965</t>
        </is>
      </c>
      <c r="C1023" s="143" t="inlineStr">
        <is>
          <t xml:space="preserve">FINDING (NRC) TASKCARD 25-SVA-03 (01) / ITEM ONE B/C SEAT# 1J,2J,3J  RUBSTRIP - SHELL DAMAGED</t>
        </is>
      </c>
      <c r="D1023" s="143">
        <v>1.0</v>
      </c>
      <c r="E1023" s="143">
        <v>3.0</v>
      </c>
      <c r="F1023" s="143">
        <v>3.0</v>
      </c>
      <c r="G1023" s="143">
        <v>3.0</v>
      </c>
      <c r="H1023" s="143" t="inlineStr">
        <is>
          <t xml:space="preserve">Closed</t>
        </is>
      </c>
      <c r="I1023" s="143" t="inlineStr">
        <is>
          <t xml:space="preserve">25-21</t>
        </is>
      </c>
      <c r="J1023" s="143"/>
    </row>
    <row r="1024" spans="1:10">
      <c r="A1024" s="143" t="inlineStr">
        <is>
          <t xml:space="preserve">881</t>
        </is>
      </c>
      <c r="B1024" s="143" t="inlineStr">
        <is>
          <t xml:space="preserve">32979121</t>
        </is>
      </c>
      <c r="C1024" s="143" t="inlineStr">
        <is>
          <t xml:space="preserve">FINDING (NRC) TASKCARD 25-SVA-03 (01) / ITEM ONE ALL B/C SEAT LANYARD AND PIN - DETENT  MISSING</t>
        </is>
      </c>
      <c r="D1024" s="143">
        <v>1.0</v>
      </c>
      <c r="E1024" s="143">
        <v>13.0</v>
      </c>
      <c r="F1024" s="143">
        <v>13.0</v>
      </c>
      <c r="G1024" s="143">
        <v>105.7</v>
      </c>
      <c r="H1024" s="143" t="inlineStr">
        <is>
          <t xml:space="preserve">Closed</t>
        </is>
      </c>
      <c r="I1024" s="143" t="inlineStr">
        <is>
          <t xml:space="preserve">25-21</t>
        </is>
      </c>
      <c r="J1024" s="143"/>
    </row>
    <row r="1025" spans="1:10">
      <c r="A1025" s="143" t="inlineStr">
        <is>
          <t xml:space="preserve">882</t>
        </is>
      </c>
      <c r="B1025" s="143" t="inlineStr">
        <is>
          <t xml:space="preserve">32979157</t>
        </is>
      </c>
      <c r="C1025" s="143" t="inlineStr">
        <is>
          <t xml:space="preserve">FINDING (NRC) TASKCARD 25-SVA-03 (01) / ITEM ONE B/C SEAT# 1AC , 5AC SHROUD - CONSOLE, FRONT LOWER DAMAGED</t>
        </is>
      </c>
      <c r="D1025" s="143">
        <v>1.0</v>
      </c>
      <c r="E1025" s="143">
        <v>3.0</v>
      </c>
      <c r="F1025" s="143">
        <v>3.0</v>
      </c>
      <c r="G1025" s="143">
        <v>3.03</v>
      </c>
      <c r="H1025" s="143" t="inlineStr">
        <is>
          <t xml:space="preserve">Closed</t>
        </is>
      </c>
      <c r="I1025" s="143" t="inlineStr">
        <is>
          <t xml:space="preserve">25-21</t>
        </is>
      </c>
      <c r="J1025" s="143"/>
    </row>
    <row r="1026" spans="1:10">
      <c r="A1026" s="143" t="inlineStr">
        <is>
          <t xml:space="preserve">883</t>
        </is>
      </c>
      <c r="B1026" s="143" t="inlineStr">
        <is>
          <t xml:space="preserve">32979156</t>
        </is>
      </c>
      <c r="C1026" s="143" t="inlineStr">
        <is>
          <t xml:space="preserve">FINDING (NRC) TASKCARD ZL-500-02-1-002 (05) RH WING  PNT--NO CALLBACK RH WING AROUND LANDING LIGHT BLACK PAINT MISSING.</t>
        </is>
      </c>
      <c r="D1026" s="143">
        <v>1.0</v>
      </c>
      <c r="E1026" s="143">
        <v>3.0</v>
      </c>
      <c r="F1026" s="143">
        <v>4.0</v>
      </c>
      <c r="G1026" s="143">
        <v>4.1</v>
      </c>
      <c r="H1026" s="143" t="inlineStr">
        <is>
          <t xml:space="preserve">Closed</t>
        </is>
      </c>
      <c r="I1026" s="143" t="inlineStr">
        <is>
          <t xml:space="preserve">05-25</t>
        </is>
      </c>
      <c r="J1026" s="143"/>
    </row>
    <row r="1027" spans="1:10">
      <c r="A1027" s="143" t="inlineStr">
        <is>
          <t xml:space="preserve">884</t>
        </is>
      </c>
      <c r="B1027" s="143" t="inlineStr">
        <is>
          <t xml:space="preserve">32979222</t>
        </is>
      </c>
      <c r="C1027" s="143" t="inlineStr">
        <is>
          <t xml:space="preserve">FINDING (NRC) TASKCARD ZL-500-02-1-002 (05) RH WING  PNT-- NO CALLBACK RH  WING LWR SURFACE IN/B  UPPER MLG FIX DOOR WITH PAINT CRACKS</t>
        </is>
      </c>
      <c r="D1027" s="143">
        <v>1.0</v>
      </c>
      <c r="E1027" s="143">
        <v>5.0</v>
      </c>
      <c r="F1027" s="143">
        <v>5.0</v>
      </c>
      <c r="G1027" s="143">
        <v>2.0</v>
      </c>
      <c r="H1027" s="143" t="inlineStr">
        <is>
          <t xml:space="preserve">Closed</t>
        </is>
      </c>
      <c r="I1027" s="143" t="inlineStr">
        <is>
          <t xml:space="preserve">05-25</t>
        </is>
      </c>
      <c r="J1027" s="143"/>
    </row>
    <row r="1028" spans="1:10">
      <c r="A1028" s="143" t="inlineStr">
        <is>
          <t xml:space="preserve">885</t>
        </is>
      </c>
      <c r="B1028" s="143" t="inlineStr">
        <is>
          <t xml:space="preserve">32979231</t>
        </is>
      </c>
      <c r="C1028" s="143" t="inlineStr">
        <is>
          <t xml:space="preserve">FINDING (NRC) TASKCARD 25-SVA-03 (01) / ITEM ONE B/C SEAT# 1C , 3J RUBSTRIP - FRONT DAMAGED</t>
        </is>
      </c>
      <c r="D1028" s="143">
        <v>1.0</v>
      </c>
      <c r="E1028" s="143">
        <v>2.0</v>
      </c>
      <c r="F1028" s="143">
        <v>2.0</v>
      </c>
      <c r="G1028" s="143">
        <v>2.0</v>
      </c>
      <c r="H1028" s="143" t="inlineStr">
        <is>
          <t xml:space="preserve">Closed</t>
        </is>
      </c>
      <c r="I1028" s="143" t="inlineStr">
        <is>
          <t xml:space="preserve">25-21</t>
        </is>
      </c>
      <c r="J1028" s="143"/>
    </row>
    <row r="1029" spans="1:10">
      <c r="A1029" s="143" t="inlineStr">
        <is>
          <t xml:space="preserve">886</t>
        </is>
      </c>
      <c r="B1029" s="143" t="inlineStr">
        <is>
          <t xml:space="preserve">32979256</t>
        </is>
      </c>
      <c r="C1029" s="143" t="inlineStr">
        <is>
          <t xml:space="preserve">FINDING (NRC) TASKCARD ZL-500-02-1-002 (05) RH WING  AP--RII RH WING FLAP LWR KICK SEAL WITH CUT 0.5 IN.</t>
        </is>
      </c>
      <c r="D1029" s="143">
        <v>1.0</v>
      </c>
      <c r="E1029" s="143">
        <v>0.0</v>
      </c>
      <c r="F1029" s="143">
        <v>80.5</v>
      </c>
      <c r="G1029" s="143">
        <v>88.1</v>
      </c>
      <c r="H1029" s="143" t="inlineStr">
        <is>
          <t xml:space="preserve">Closed</t>
        </is>
      </c>
      <c r="I1029" s="143" t="inlineStr">
        <is>
          <t xml:space="preserve">05-25</t>
        </is>
      </c>
      <c r="J1029" s="143"/>
    </row>
    <row r="1030" spans="1:10">
      <c r="A1030" s="143" t="inlineStr">
        <is>
          <t xml:space="preserve">887</t>
        </is>
      </c>
      <c r="B1030" s="143" t="inlineStr">
        <is>
          <t xml:space="preserve">32979285</t>
        </is>
      </c>
      <c r="C1030" s="143" t="inlineStr">
        <is>
          <t xml:space="preserve">FINDING (NRC) TASKCARD ZL-500-02-1-002 (05) RH WING AP--NO CALLBACK RH WING FLAP MOV. TRACK NO#3  DRAINED WITH SIGN OF OIL LEAKAGE.</t>
        </is>
      </c>
      <c r="D1030" s="143">
        <v>1.0</v>
      </c>
      <c r="E1030" s="143">
        <v>0.0</v>
      </c>
      <c r="F1030" s="143">
        <v>16.0</v>
      </c>
      <c r="G1030" s="143">
        <v>509.3</v>
      </c>
      <c r="H1030" s="143" t="inlineStr">
        <is>
          <t xml:space="preserve">Closed</t>
        </is>
      </c>
      <c r="I1030" s="143" t="inlineStr">
        <is>
          <t xml:space="preserve">05-25</t>
        </is>
      </c>
      <c r="J1030" s="143"/>
    </row>
    <row r="1031" spans="1:10">
      <c r="A1031" s="143" t="inlineStr">
        <is>
          <t xml:space="preserve">889</t>
        </is>
      </c>
      <c r="B1031" s="143" t="inlineStr">
        <is>
          <t xml:space="preserve">32979322</t>
        </is>
      </c>
      <c r="C1031" s="143" t="inlineStr">
        <is>
          <t xml:space="preserve">FINDING (NRC) TASKCARD ZL-500-02-1-002 (05) RH WING  SM--RII RH WING SLAT NO#2  MID SIDE WITH SCRACH DIM. L=1 IN W=0.12 IN D=0.003 IN</t>
        </is>
      </c>
      <c r="D1031" s="143">
        <v>1.0</v>
      </c>
      <c r="E1031" s="143">
        <v>4.0</v>
      </c>
      <c r="F1031" s="143">
        <v>3.67</v>
      </c>
      <c r="G1031" s="143">
        <v>422.1</v>
      </c>
      <c r="H1031" s="143" t="inlineStr">
        <is>
          <t xml:space="preserve">Closed</t>
        </is>
      </c>
      <c r="I1031" s="143" t="inlineStr">
        <is>
          <t xml:space="preserve">05-25</t>
        </is>
      </c>
      <c r="J1031" s="143"/>
    </row>
    <row r="1032" spans="1:10">
      <c r="A1032" s="143" t="inlineStr">
        <is>
          <t xml:space="preserve">890</t>
        </is>
      </c>
      <c r="B1032" s="143" t="inlineStr">
        <is>
          <t xml:space="preserve">32979401</t>
        </is>
      </c>
      <c r="C1032" s="143" t="inlineStr">
        <is>
          <t xml:space="preserve">FINDING (NRC) TASKCARD ZL-433-01-1-002 (02) ENG#2  SM--RII ENG#2 AIR INTAKE LIP WITH SURFACE CORROSION ALL AROUND.</t>
        </is>
      </c>
      <c r="D1032" s="143">
        <v>1.0</v>
      </c>
      <c r="E1032" s="143">
        <v>12.0</v>
      </c>
      <c r="F1032" s="143">
        <v>78.5</v>
      </c>
      <c r="G1032" s="143">
        <v>407.5</v>
      </c>
      <c r="H1032" s="143" t="inlineStr">
        <is>
          <t xml:space="preserve">Closed</t>
        </is>
      </c>
      <c r="I1032" s="143" t="inlineStr">
        <is>
          <t xml:space="preserve">05-24</t>
        </is>
      </c>
      <c r="J1032" s="143"/>
    </row>
    <row r="1033" spans="1:10">
      <c r="A1033" s="143" t="inlineStr">
        <is>
          <t xml:space="preserve">891</t>
        </is>
      </c>
      <c r="B1033" s="143" t="inlineStr">
        <is>
          <t xml:space="preserve">32979406</t>
        </is>
      </c>
      <c r="C1033" s="143" t="inlineStr">
        <is>
          <t xml:space="preserve">FINDING (NRC) TASKCARD ZL-433-01-1-001 (02) / ENG#1  SM--RII ENG#1 AIR INTAKE LIP WITH SURFACE CORROSION ALL AROUND.</t>
        </is>
      </c>
      <c r="D1033" s="143">
        <v>1.0</v>
      </c>
      <c r="E1033" s="143">
        <v>8.0</v>
      </c>
      <c r="F1033" s="143">
        <v>40.7</v>
      </c>
      <c r="G1033" s="143">
        <v>399.8</v>
      </c>
      <c r="H1033" s="143" t="inlineStr">
        <is>
          <t xml:space="preserve">Closed</t>
        </is>
      </c>
      <c r="I1033" s="143" t="inlineStr">
        <is>
          <t xml:space="preserve">05-24</t>
        </is>
      </c>
      <c r="J1033" s="143"/>
    </row>
    <row r="1034" spans="1:10">
      <c r="A1034" s="143" t="inlineStr">
        <is>
          <t xml:space="preserve">892</t>
        </is>
      </c>
      <c r="B1034" s="143" t="inlineStr">
        <is>
          <t xml:space="preserve">32979530</t>
        </is>
      </c>
      <c r="C1034" s="143" t="inlineStr">
        <is>
          <t xml:space="preserve">FINDING (NRC) TASKCARD 25-65-00-01-0-SVA (02) / RII/AVN AFT MEGAPHONE P/N A12SA S/N 1142984 WILL EXPIRE 09 /10/ 2026 LESS THAN 80 DAYS</t>
        </is>
      </c>
      <c r="D1034" s="143">
        <v>1.0</v>
      </c>
      <c r="E1034" s="143">
        <v>0.0</v>
      </c>
      <c r="F1034" s="143">
        <v>12.5</v>
      </c>
      <c r="G1034" s="143">
        <v>4.18</v>
      </c>
      <c r="H1034" s="143" t="inlineStr">
        <is>
          <t xml:space="preserve">Closed</t>
        </is>
      </c>
      <c r="I1034" s="143" t="inlineStr">
        <is>
          <t xml:space="preserve">25-65</t>
        </is>
      </c>
      <c r="J1034" s="143"/>
    </row>
    <row r="1035" spans="1:10">
      <c r="A1035" s="143" t="inlineStr">
        <is>
          <t xml:space="preserve">894</t>
        </is>
      </c>
      <c r="B1035" s="143" t="inlineStr">
        <is>
          <t xml:space="preserve">32979661</t>
        </is>
      </c>
      <c r="C1035" s="143" t="inlineStr">
        <is>
          <t xml:space="preserve">FINDING (NRC) TASKCARD 353000-07-1 /CABIN/ NO CALLBACK PORTABLE OXYGEN MASK BEHIND SEAT 5 J WILL EXPIRE ON 09/2026</t>
        </is>
      </c>
      <c r="D1035" s="143">
        <v>1.0</v>
      </c>
      <c r="E1035" s="143">
        <v>0.0</v>
      </c>
      <c r="F1035" s="143">
        <v>1.0</v>
      </c>
      <c r="G1035" s="143">
        <v>1.0</v>
      </c>
      <c r="H1035" s="143" t="inlineStr">
        <is>
          <t xml:space="preserve">Closed</t>
        </is>
      </c>
      <c r="I1035" s="143" t="inlineStr">
        <is>
          <t xml:space="preserve">35-30</t>
        </is>
      </c>
      <c r="J1035" s="143"/>
    </row>
    <row r="1036" spans="1:10">
      <c r="A1036" s="143" t="inlineStr">
        <is>
          <t xml:space="preserve">895</t>
        </is>
      </c>
      <c r="B1036" s="143" t="inlineStr">
        <is>
          <t xml:space="preserve">32979731</t>
        </is>
      </c>
      <c r="C1036" s="143" t="inlineStr">
        <is>
          <t xml:space="preserve">FWD AVIO COMP DOOR---AVIO---CALLBACK REQ CLEANING OF THE FWD AVIONIC COMPT AND DOOR (811) TO FACILITATE INSPECTION.</t>
        </is>
      </c>
      <c r="D1036" s="143">
        <v>1.0</v>
      </c>
      <c r="E1036" s="143">
        <v>4.0</v>
      </c>
      <c r="F1036" s="143">
        <v>5.5</v>
      </c>
      <c r="G1036" s="143">
        <v>2.85</v>
      </c>
      <c r="H1036" s="143" t="inlineStr">
        <is>
          <t xml:space="preserve">Closed</t>
        </is>
      </c>
      <c r="I1036" s="143" t="inlineStr">
        <is>
          <t xml:space="preserve">05-28</t>
        </is>
      </c>
      <c r="J1036" s="143"/>
    </row>
    <row r="1037" spans="1:10">
      <c r="A1037" s="143" t="inlineStr">
        <is>
          <t xml:space="preserve">896</t>
        </is>
      </c>
      <c r="B1037" s="143" t="inlineStr">
        <is>
          <t xml:space="preserve">32979723</t>
        </is>
      </c>
      <c r="C1037" s="143" t="inlineStr">
        <is>
          <t xml:space="preserve">APU BLEED DUCT CONNECTION--AP--CALLBACK LEAK FOUND ON MISALIGNED FWD CLAMP OF VALVE ASSY-PRESSURE REGULATION</t>
        </is>
      </c>
      <c r="D1037" s="143">
        <v>1.0</v>
      </c>
      <c r="E1037" s="143">
        <v>4.0</v>
      </c>
      <c r="F1037" s="143">
        <v>13.0</v>
      </c>
      <c r="G1037" s="143">
        <v>8.0</v>
      </c>
      <c r="H1037" s="143" t="inlineStr">
        <is>
          <t xml:space="preserve">Closed</t>
        </is>
      </c>
      <c r="I1037" s="143" t="inlineStr">
        <is>
          <t xml:space="preserve">36-12</t>
        </is>
      </c>
      <c r="J1037" s="143"/>
    </row>
    <row r="1038" spans="1:10">
      <c r="A1038" s="143" t="inlineStr">
        <is>
          <t xml:space="preserve">897</t>
        </is>
      </c>
      <c r="B1038" s="143" t="inlineStr">
        <is>
          <t xml:space="preserve">32979981</t>
        </is>
      </c>
      <c r="C1038" s="143" t="inlineStr">
        <is>
          <t xml:space="preserve">FINDING (NRC) TASKCARD 25-SVA-05 (01) / ITEM ONE ALL G/C SEAT MAGAZINE SPRING LOOSE</t>
        </is>
      </c>
      <c r="D1038" s="143">
        <v>1.0</v>
      </c>
      <c r="E1038" s="143">
        <v>24.0</v>
      </c>
      <c r="F1038" s="143">
        <v>24.0</v>
      </c>
      <c r="G1038" s="143">
        <v>128.6</v>
      </c>
      <c r="H1038" s="143" t="inlineStr">
        <is>
          <t xml:space="preserve">Closed</t>
        </is>
      </c>
      <c r="I1038" s="143" t="inlineStr">
        <is>
          <t xml:space="preserve">25-21</t>
        </is>
      </c>
      <c r="J1038" s="143"/>
    </row>
    <row r="1039" spans="1:10">
      <c r="A1039" s="143" t="inlineStr">
        <is>
          <t xml:space="preserve">898</t>
        </is>
      </c>
      <c r="B1039" s="143" t="inlineStr">
        <is>
          <t xml:space="preserve">32980018</t>
        </is>
      </c>
      <c r="C1039" s="143" t="inlineStr">
        <is>
          <t xml:space="preserve">FINDING (NRC) TASKCARD 25-SVA-05 (01) / ITEM ONE ALL G/C SEAT STRUCTURE DIRTY</t>
        </is>
      </c>
      <c r="D1039" s="143">
        <v>1.0</v>
      </c>
      <c r="E1039" s="143">
        <v>24.0</v>
      </c>
      <c r="F1039" s="143">
        <v>24.0</v>
      </c>
      <c r="G1039" s="143">
        <v>8.0</v>
      </c>
      <c r="H1039" s="143" t="inlineStr">
        <is>
          <t xml:space="preserve">Closed</t>
        </is>
      </c>
      <c r="I1039" s="143" t="inlineStr">
        <is>
          <t xml:space="preserve">25-21</t>
        </is>
      </c>
      <c r="J1039" s="143"/>
    </row>
    <row r="1040" spans="1:10">
      <c r="A1040" s="143" t="inlineStr">
        <is>
          <t xml:space="preserve">899</t>
        </is>
      </c>
      <c r="B1040" s="143" t="inlineStr">
        <is>
          <t xml:space="preserve">32980020</t>
        </is>
      </c>
      <c r="C1040" s="143" t="inlineStr">
        <is>
          <t xml:space="preserve">FINDING (NRC) TASKCARD 25-SVA-05 (01) / ITEM ONE ALL G/C SEAT ARMREST LOOSE</t>
        </is>
      </c>
      <c r="D1040" s="143">
        <v>1.0</v>
      </c>
      <c r="E1040" s="143">
        <v>47.0</v>
      </c>
      <c r="F1040" s="143">
        <v>47.0</v>
      </c>
      <c r="G1040" s="143">
        <v>56.1</v>
      </c>
      <c r="H1040" s="143" t="inlineStr">
        <is>
          <t xml:space="preserve">Closed</t>
        </is>
      </c>
      <c r="I1040" s="143" t="inlineStr">
        <is>
          <t xml:space="preserve">25-21</t>
        </is>
      </c>
      <c r="J1040" s="143"/>
    </row>
    <row r="1041" spans="1:10">
      <c r="A1041" s="143" t="inlineStr">
        <is>
          <t xml:space="preserve">900</t>
        </is>
      </c>
      <c r="B1041" s="143" t="inlineStr">
        <is>
          <t xml:space="preserve">32980022</t>
        </is>
      </c>
      <c r="C1041" s="143" t="inlineStr">
        <is>
          <t xml:space="preserve">FINDING (NRC) TASKCARD 25-SVA-05 (01) / ITEM ONE ALL G/C SEAT HEADREST REQUIRE REMOVE FOR ACCESS</t>
        </is>
      </c>
      <c r="D1041" s="143">
        <v>1.0</v>
      </c>
      <c r="E1041" s="143">
        <v>52.0</v>
      </c>
      <c r="F1041" s="143">
        <v>52.0</v>
      </c>
      <c r="G1041" s="143">
        <v>627.4</v>
      </c>
      <c r="H1041" s="143" t="inlineStr">
        <is>
          <t xml:space="preserve">Closed</t>
        </is>
      </c>
      <c r="I1041" s="143" t="inlineStr">
        <is>
          <t xml:space="preserve">25-21</t>
        </is>
      </c>
      <c r="J1041" s="143"/>
    </row>
    <row r="1042" spans="1:10">
      <c r="A1042" s="143" t="inlineStr">
        <is>
          <t xml:space="preserve">901</t>
        </is>
      </c>
      <c r="B1042" s="143" t="inlineStr">
        <is>
          <t xml:space="preserve">32391506</t>
        </is>
      </c>
      <c r="C1042" s="143" t="inlineStr">
        <is>
          <t xml:space="preserve">114122014/CH1016136 LB(LUBRICATION) / LUB OF MLG AND DOORS</t>
        </is>
      </c>
      <c r="D1042" s="143">
        <v>1.0</v>
      </c>
      <c r="E1042" s="143">
        <v>2.0</v>
      </c>
      <c r="F1042" s="143">
        <v>2.67</v>
      </c>
      <c r="G1042" s="143">
        <v>329.8</v>
      </c>
      <c r="H1042" s="143" t="inlineStr">
        <is>
          <t xml:space="preserve">Closed</t>
        </is>
      </c>
      <c r="I1042" s="143" t="inlineStr">
        <is>
          <t xml:space="preserve">12-22</t>
        </is>
      </c>
      <c r="J1042" s="143" t="inlineStr">
        <is>
          <t xml:space="preserve">JOB-SETUP, TC/P, TC/P</t>
        </is>
      </c>
    </row>
    <row r="1043" spans="1:10">
      <c r="A1043" s="143" t="inlineStr">
        <is>
          <t xml:space="preserve">902</t>
        </is>
      </c>
      <c r="B1043" s="143" t="inlineStr">
        <is>
          <t xml:space="preserve">32439904</t>
        </is>
      </c>
      <c r="C1043" s="143" t="inlineStr">
        <is>
          <t xml:space="preserve">114122015/CH1009957 LB(LUBRICATION) / LUB OF MLG AND DOORS</t>
        </is>
      </c>
      <c r="D1043" s="143">
        <v>1.0</v>
      </c>
      <c r="E1043" s="143">
        <v>2.0</v>
      </c>
      <c r="F1043" s="143">
        <v>14.33</v>
      </c>
      <c r="G1043" s="143">
        <v>331.2</v>
      </c>
      <c r="H1043" s="143" t="inlineStr">
        <is>
          <t xml:space="preserve">Closed</t>
        </is>
      </c>
      <c r="I1043" s="143" t="inlineStr">
        <is>
          <t xml:space="preserve">12-22</t>
        </is>
      </c>
      <c r="J1043" s="143" t="inlineStr">
        <is>
          <t xml:space="preserve">JOB-SETUP, TC/P, TC/P</t>
        </is>
      </c>
    </row>
    <row r="1044" spans="1:10">
      <c r="A1044" s="143" t="inlineStr">
        <is>
          <t xml:space="preserve">906</t>
        </is>
      </c>
      <c r="B1044" s="143" t="inlineStr">
        <is>
          <t xml:space="preserve">94844831</t>
        </is>
      </c>
      <c r="C1044" s="143" t="inlineStr">
        <is>
          <t xml:space="preserve">DECAL BELLY LH LANDING GEAR ON GROUND AND YELLOW HYD BAY DECAL FOUND WORN</t>
        </is>
      </c>
      <c r="D1044" s="143" t="inlineStr">
        <is>
          <t xml:space="preserve">N</t>
        </is>
      </c>
      <c r="E1044" s="143">
        <v>2.0</v>
      </c>
      <c r="F1044" s="143">
        <v>2.0</v>
      </c>
      <c r="G1044" s="143">
        <v>1015.3</v>
      </c>
      <c r="H1044" s="143" t="inlineStr">
        <is>
          <t xml:space="preserve">Closed</t>
        </is>
      </c>
      <c r="I1044" s="143">
        <v>11.0</v>
      </c>
      <c r="J1044" s="143"/>
    </row>
    <row r="1045" spans="1:10">
      <c r="A1045" s="143" t="inlineStr">
        <is>
          <t xml:space="preserve">907</t>
        </is>
      </c>
      <c r="B1045" s="143" t="inlineStr">
        <is>
          <t xml:space="preserve">94844832</t>
        </is>
      </c>
      <c r="C1045" s="143" t="inlineStr">
        <is>
          <t xml:space="preserve">DECAL AFT BELLY WATER DRAIN VALVE AND FUEL LEAK MONITOR DECAL FOUND FADED</t>
        </is>
      </c>
      <c r="D1045" s="143" t="inlineStr">
        <is>
          <t xml:space="preserve">N</t>
        </is>
      </c>
      <c r="E1045" s="143">
        <v>3.0</v>
      </c>
      <c r="F1045" s="143">
        <v>1.5</v>
      </c>
      <c r="G1045" s="143">
        <v>1015.5</v>
      </c>
      <c r="H1045" s="143" t="inlineStr">
        <is>
          <t xml:space="preserve">Closed</t>
        </is>
      </c>
      <c r="I1045" s="143">
        <v>11.0</v>
      </c>
      <c r="J1045" s="143"/>
    </row>
    <row r="1046" spans="1:10">
      <c r="A1046" s="143" t="inlineStr">
        <is>
          <t xml:space="preserve">908</t>
        </is>
      </c>
      <c r="B1046" s="143" t="inlineStr">
        <is>
          <t xml:space="preserve">94844833</t>
        </is>
      </c>
      <c r="C1046" s="143" t="inlineStr">
        <is>
          <t xml:space="preserve">DECAL BELLY AIR CONDITIONING AND GROUND HYD CONNECTION BLUE DECAL FOUND FADED</t>
        </is>
      </c>
      <c r="D1046" s="143" t="inlineStr">
        <is>
          <t xml:space="preserve">N</t>
        </is>
      </c>
      <c r="E1046" s="143">
        <v>2.0</v>
      </c>
      <c r="F1046" s="143">
        <v>6.0</v>
      </c>
      <c r="G1046" s="143">
        <v>1016.1</v>
      </c>
      <c r="H1046" s="143" t="inlineStr">
        <is>
          <t xml:space="preserve">Closed</t>
        </is>
      </c>
      <c r="I1046" s="143">
        <v>11.0</v>
      </c>
      <c r="J1046" s="143"/>
    </row>
    <row r="1047" spans="1:10">
      <c r="A1047" s="143" t="inlineStr">
        <is>
          <t xml:space="preserve">909</t>
        </is>
      </c>
      <c r="B1047" s="143" t="inlineStr">
        <is>
          <t xml:space="preserve">94844834</t>
        </is>
      </c>
      <c r="C1047" s="143" t="inlineStr">
        <is>
          <t xml:space="preserve">DECAL AFT CARGO SELECTOR PANEL AUX OPS INSTRUCTIONS DECAL FOUND WORN</t>
        </is>
      </c>
      <c r="D1047" s="143" t="inlineStr">
        <is>
          <t xml:space="preserve">N</t>
        </is>
      </c>
      <c r="E1047" s="143">
        <v>2.0</v>
      </c>
      <c r="F1047" s="143">
        <v>3.0</v>
      </c>
      <c r="G1047" s="143">
        <v>1079.1</v>
      </c>
      <c r="H1047" s="143" t="inlineStr">
        <is>
          <t xml:space="preserve">Closed</t>
        </is>
      </c>
      <c r="I1047" s="143">
        <v>11.0</v>
      </c>
      <c r="J1047" s="143"/>
    </row>
    <row r="1048" spans="1:10">
      <c r="A1048" s="143" t="inlineStr">
        <is>
          <t xml:space="preserve">910</t>
        </is>
      </c>
      <c r="B1048" s="143" t="inlineStr">
        <is>
          <t xml:space="preserve">94844835</t>
        </is>
      </c>
      <c r="C1048" s="143" t="inlineStr">
        <is>
          <t xml:space="preserve">DECAL AFT BELLY APU CTR AND FUEL-DRAIN VENT DECAL FOUND TORN</t>
        </is>
      </c>
      <c r="D1048" s="143" t="inlineStr">
        <is>
          <t xml:space="preserve">N</t>
        </is>
      </c>
      <c r="E1048" s="143">
        <v>2.0</v>
      </c>
      <c r="F1048" s="143">
        <v>3.0</v>
      </c>
      <c r="G1048" s="143">
        <v>1017.4</v>
      </c>
      <c r="H1048" s="143" t="inlineStr">
        <is>
          <t xml:space="preserve">Closed</t>
        </is>
      </c>
      <c r="I1048" s="143">
        <v>11.0</v>
      </c>
      <c r="J1048" s="143"/>
    </row>
    <row r="1049" spans="1:10">
      <c r="A1049" s="143" t="inlineStr">
        <is>
          <t xml:space="preserve">911</t>
        </is>
      </c>
      <c r="B1049" s="143" t="inlineStr">
        <is>
          <t xml:space="preserve">94844836</t>
        </is>
      </c>
      <c r="C1049" s="143" t="inlineStr">
        <is>
          <t xml:space="preserve">RADIO ALTIMETER AFT BELLY RADIO ALTIMETER MARKINGS FOUND FADED</t>
        </is>
      </c>
      <c r="D1049" s="143" t="inlineStr">
        <is>
          <t xml:space="preserve">N</t>
        </is>
      </c>
      <c r="E1049" s="143">
        <v>7.0</v>
      </c>
      <c r="F1049" s="143">
        <v>7.0</v>
      </c>
      <c r="G1049" s="143">
        <v>911.0</v>
      </c>
      <c r="H1049" s="143" t="inlineStr">
        <is>
          <t xml:space="preserve">Closed</t>
        </is>
      </c>
      <c r="I1049" s="143">
        <v>11.0</v>
      </c>
      <c r="J1049" s="143"/>
    </row>
    <row r="1050" spans="1:10">
      <c r="A1050" s="143" t="inlineStr">
        <is>
          <t xml:space="preserve">913</t>
        </is>
      </c>
      <c r="B1050" s="143" t="inlineStr">
        <is>
          <t xml:space="preserve">32345876</t>
        </is>
      </c>
      <c r="C1050" s="143" t="inlineStr">
        <is>
          <t xml:space="preserve">EOD-320-11-00001-R00/ADD MARKING ON AVIONICS DOORS 811 AND 824</t>
        </is>
      </c>
      <c r="D1050" s="143" t="inlineStr">
        <is>
          <t xml:space="preserve">ACHK</t>
        </is>
      </c>
      <c r="E1050" s="143">
        <v>2.5</v>
      </c>
      <c r="F1050" s="143">
        <v>5.5</v>
      </c>
      <c r="G1050" s="143">
        <v>25.8</v>
      </c>
      <c r="H1050" s="143" t="inlineStr">
        <is>
          <t xml:space="preserve">Closed</t>
        </is>
      </c>
      <c r="I1050" s="143">
        <v>11.0</v>
      </c>
      <c r="J1050" s="143"/>
    </row>
    <row r="1051" spans="1:10">
      <c r="A1051" s="143" t="inlineStr">
        <is>
          <t xml:space="preserve">914</t>
        </is>
      </c>
      <c r="B1051" s="143" t="inlineStr">
        <is>
          <t xml:space="preserve">32850432</t>
        </is>
      </c>
      <c r="C1051" s="143" t="inlineStr">
        <is>
          <t xml:space="preserve">EOD-320-21-00005-R00/A320 - AIR CONDITIONING - INTRODUCE NEW CONTACTOR FOR BLOWER AND EXTRA</t>
        </is>
      </c>
      <c r="D1051" s="143" t="inlineStr">
        <is>
          <t xml:space="preserve">RON</t>
        </is>
      </c>
      <c r="E1051" s="143">
        <v>2.0</v>
      </c>
      <c r="F1051" s="143">
        <v>20.0</v>
      </c>
      <c r="G1051" s="143">
        <v>20.57</v>
      </c>
      <c r="H1051" s="143" t="inlineStr">
        <is>
          <t xml:space="preserve">Closed</t>
        </is>
      </c>
      <c r="I1051" s="143">
        <v>21.0</v>
      </c>
      <c r="J1051" s="143"/>
    </row>
    <row r="1052" spans="1:10">
      <c r="A1052" s="143" t="inlineStr">
        <is>
          <t xml:space="preserve">920</t>
        </is>
      </c>
      <c r="B1052" s="143" t="inlineStr">
        <is>
          <t xml:space="preserve">32822529</t>
        </is>
      </c>
      <c r="C1052" s="143" t="inlineStr">
        <is>
          <t xml:space="preserve">S31-D10211/(REPETITIVE) A320/321: ACARS OUTPUT RULE SETTING CHANGE.</t>
        </is>
      </c>
      <c r="D1052" s="143" t="inlineStr">
        <is>
          <t xml:space="preserve">RON</t>
        </is>
      </c>
      <c r="E1052" s="143">
        <v>1.0</v>
      </c>
      <c r="F1052" s="143">
        <v>6.0</v>
      </c>
      <c r="G1052" s="143">
        <v>2.05</v>
      </c>
      <c r="H1052" s="143" t="inlineStr">
        <is>
          <t xml:space="preserve">Closed</t>
        </is>
      </c>
      <c r="I1052" s="143">
        <v>31.0</v>
      </c>
      <c r="J1052" s="143"/>
    </row>
    <row r="1053" spans="1:10">
      <c r="A1053" s="143" t="inlineStr">
        <is>
          <t xml:space="preserve">921</t>
        </is>
      </c>
      <c r="B1053" s="143" t="inlineStr">
        <is>
          <t xml:space="preserve">30205720</t>
        </is>
      </c>
      <c r="C1053" s="143" t="inlineStr">
        <is>
          <t xml:space="preserve">S32-R10322/A320 - LANDING GEAR - NLG MAIN AND AFT DOOR INSPECTION</t>
        </is>
      </c>
      <c r="D1053" s="143" t="inlineStr">
        <is>
          <t xml:space="preserve">ACHK</t>
        </is>
      </c>
      <c r="E1053" s="143">
        <v>1.5</v>
      </c>
      <c r="F1053" s="143">
        <v>2.67</v>
      </c>
      <c r="G1053" s="143">
        <v>285.8</v>
      </c>
      <c r="H1053" s="143" t="inlineStr">
        <is>
          <t xml:space="preserve">Closed</t>
        </is>
      </c>
      <c r="I1053" s="143">
        <v>32.0</v>
      </c>
      <c r="J1053" s="143" t="inlineStr">
        <is>
          <t xml:space="preserve">INSPECTION</t>
        </is>
      </c>
    </row>
    <row r="1054" spans="1:10">
      <c r="A1054" s="143" t="inlineStr">
        <is>
          <t xml:space="preserve">924</t>
        </is>
      </c>
      <c r="B1054" s="143" t="inlineStr">
        <is>
          <t xml:space="preserve">32872501</t>
        </is>
      </c>
      <c r="C1054" s="143" t="inlineStr">
        <is>
          <t xml:space="preserve">S36-R10216/A32S - LEAK CHECK IN PACK BAY AREA COMPONENTS</t>
        </is>
      </c>
      <c r="D1054" s="143" t="inlineStr">
        <is>
          <t xml:space="preserve">LINE</t>
        </is>
      </c>
      <c r="E1054" s="143">
        <v>4.0</v>
      </c>
      <c r="F1054" s="143">
        <v>0.5</v>
      </c>
      <c r="G1054" s="143">
        <v>0.32</v>
      </c>
      <c r="H1054" s="143" t="inlineStr">
        <is>
          <t xml:space="preserve">Closed</t>
        </is>
      </c>
      <c r="I1054" s="143">
        <v>36.0</v>
      </c>
      <c r="J1054" s="143"/>
    </row>
    <row r="1055" spans="1:10">
      <c r="A1055" s="143" t="inlineStr">
        <is>
          <t xml:space="preserve">925</t>
        </is>
      </c>
      <c r="B1055" s="143" t="inlineStr">
        <is>
          <t xml:space="preserve">32930830</t>
        </is>
      </c>
      <c r="C1055" s="143" t="inlineStr">
        <is>
          <t xml:space="preserve">S38-D10019/A320/21 - VERIFICATION OF WATER-HEATER; LAVATORY</t>
        </is>
      </c>
      <c r="D1055" s="143" t="inlineStr">
        <is>
          <t xml:space="preserve">RON</t>
        </is>
      </c>
      <c r="E1055" s="143">
        <v>2.0</v>
      </c>
      <c r="F1055" s="143">
        <v>4.0</v>
      </c>
      <c r="G1055" s="143">
        <v>4.42</v>
      </c>
      <c r="H1055" s="143" t="inlineStr">
        <is>
          <t xml:space="preserve">Closed</t>
        </is>
      </c>
      <c r="I1055" s="143">
        <v>38.0</v>
      </c>
      <c r="J1055" s="143"/>
    </row>
    <row r="1056" spans="1:10">
      <c r="A1056" s="143" t="inlineStr">
        <is>
          <t xml:space="preserve">927</t>
        </is>
      </c>
      <c r="B1056" s="143" t="inlineStr">
        <is>
          <t xml:space="preserve">32980031</t>
        </is>
      </c>
      <c r="C1056" s="143" t="inlineStr">
        <is>
          <t xml:space="preserve">FINDING (NRC) TASKCARD 25-SVA-05 (01) / ITEM ONE G/C SEATS #30C LINER CRACKED</t>
        </is>
      </c>
      <c r="D1056" s="143">
        <v>1.0</v>
      </c>
      <c r="E1056" s="143">
        <v>1.0</v>
      </c>
      <c r="F1056" s="143">
        <v>1.0</v>
      </c>
      <c r="G1056" s="143">
        <v>1.0</v>
      </c>
      <c r="H1056" s="143" t="inlineStr">
        <is>
          <t xml:space="preserve">Closed</t>
        </is>
      </c>
      <c r="I1056" s="143" t="inlineStr">
        <is>
          <t xml:space="preserve">25-21</t>
        </is>
      </c>
      <c r="J1056" s="143"/>
    </row>
    <row r="1057" spans="1:10">
      <c r="A1057" s="143" t="inlineStr">
        <is>
          <t xml:space="preserve">928</t>
        </is>
      </c>
      <c r="B1057" s="143" t="inlineStr">
        <is>
          <t xml:space="preserve">32980047</t>
        </is>
      </c>
      <c r="C1057" s="143" t="inlineStr">
        <is>
          <t xml:space="preserve">LATERAL AVIO COMPT---STR---RII 2EA CRACK ON BRACKET ATTACHED TO CLAMP ALONG FR16 OF TOILET PIPE ASSY (ACCESS FROM AVN DOOR 812, DIMENSION (L= 0.47IN)</t>
        </is>
      </c>
      <c r="D1057" s="143">
        <v>1.0</v>
      </c>
      <c r="E1057" s="143">
        <v>8.0</v>
      </c>
      <c r="F1057" s="143">
        <v>24.8</v>
      </c>
      <c r="G1057" s="143">
        <v>460.0</v>
      </c>
      <c r="H1057" s="143" t="inlineStr">
        <is>
          <t xml:space="preserve">Closed</t>
        </is>
      </c>
      <c r="I1057" s="143" t="inlineStr">
        <is>
          <t xml:space="preserve">24-92</t>
        </is>
      </c>
      <c r="J1057" s="143"/>
    </row>
    <row r="1058" spans="1:10">
      <c r="A1058" s="143" t="inlineStr">
        <is>
          <t xml:space="preserve">929</t>
        </is>
      </c>
      <c r="B1058" s="143" t="inlineStr">
        <is>
          <t xml:space="preserve">32980064</t>
        </is>
      </c>
      <c r="C1058" s="143" t="inlineStr">
        <is>
          <t xml:space="preserve">LATERAL AVIO COMPT---STR---RII 1EA CRACK ON BRACKET ATTACHED TO CLAMP ALONG FR17 OF TOILET PIPE ASSY (ACCESS FROM AVN DOOR 812, DIMENSION (L= 0.45IN)</t>
        </is>
      </c>
      <c r="D1058" s="143">
        <v>1.0</v>
      </c>
      <c r="E1058" s="143">
        <v>8.0</v>
      </c>
      <c r="F1058" s="143">
        <v>44.8</v>
      </c>
      <c r="G1058" s="143">
        <v>785.5</v>
      </c>
      <c r="H1058" s="143" t="inlineStr">
        <is>
          <t xml:space="preserve">Closed</t>
        </is>
      </c>
      <c r="I1058" s="143" t="inlineStr">
        <is>
          <t xml:space="preserve">24-92</t>
        </is>
      </c>
      <c r="J1058" s="143"/>
    </row>
    <row r="1059" spans="1:10">
      <c r="A1059" s="143" t="inlineStr">
        <is>
          <t xml:space="preserve">930</t>
        </is>
      </c>
      <c r="B1059" s="143" t="inlineStr">
        <is>
          <t xml:space="preserve">32980065</t>
        </is>
      </c>
      <c r="C1059" s="143" t="inlineStr">
        <is>
          <t xml:space="preserve">LATERAL AVIO COMPT---STR---RII 1EA BROKEN BRACKET WITH CLAMP ATTACHED ALONG FR19 OF TOILET PIPE ASSY ACCESS FROM AVN DOOR 812</t>
        </is>
      </c>
      <c r="D1059" s="143">
        <v>1.0</v>
      </c>
      <c r="E1059" s="143">
        <v>0.0</v>
      </c>
      <c r="F1059" s="143">
        <v>1.5</v>
      </c>
      <c r="G1059" s="143">
        <v>2.22</v>
      </c>
      <c r="H1059" s="143" t="inlineStr">
        <is>
          <t xml:space="preserve">Closed</t>
        </is>
      </c>
      <c r="I1059" s="143" t="inlineStr">
        <is>
          <t xml:space="preserve">24-92</t>
        </is>
      </c>
      <c r="J1059" s="143"/>
    </row>
    <row r="1060" spans="1:10">
      <c r="A1060" s="143" t="inlineStr">
        <is>
          <t xml:space="preserve">931</t>
        </is>
      </c>
      <c r="B1060" s="143" t="inlineStr">
        <is>
          <t xml:space="preserve">32980071</t>
        </is>
      </c>
      <c r="C1060" s="143" t="inlineStr">
        <is>
          <t xml:space="preserve">LATERAL AVIO COMPT---AP---NO CALLBACK VALVE-BUTTERFLY,AIR (P/N:V2T152D) UPPER ATTACHMENT DETACHED (ACCESS FROM AVN DOOR 812)</t>
        </is>
      </c>
      <c r="D1060" s="143">
        <v>1.0</v>
      </c>
      <c r="E1060" s="143">
        <v>4.0</v>
      </c>
      <c r="F1060" s="143">
        <v>8.5</v>
      </c>
      <c r="G1060" s="143">
        <v>2.5</v>
      </c>
      <c r="H1060" s="143" t="inlineStr">
        <is>
          <t xml:space="preserve">Closed</t>
        </is>
      </c>
      <c r="I1060" s="143" t="inlineStr">
        <is>
          <t xml:space="preserve">24-92</t>
        </is>
      </c>
      <c r="J1060" s="143"/>
    </row>
    <row r="1061" spans="1:10">
      <c r="A1061" s="143" t="inlineStr">
        <is>
          <t xml:space="preserve">932</t>
        </is>
      </c>
      <c r="B1061" s="143" t="inlineStr">
        <is>
          <t xml:space="preserve">32980080</t>
        </is>
      </c>
      <c r="C1061" s="143" t="inlineStr">
        <is>
          <t xml:space="preserve">LATERAL AVIO COMPT---AP---NO CALLBACK 1EA BROKEN UPPER CLAMP ON TOILET PIPE ASSY (ACCESS FROM AVN DOOR 812)</t>
        </is>
      </c>
      <c r="D1061" s="143">
        <v>1.0</v>
      </c>
      <c r="E1061" s="143">
        <v>4.0</v>
      </c>
      <c r="F1061" s="143">
        <v>4.0</v>
      </c>
      <c r="G1061" s="143">
        <v>1.02</v>
      </c>
      <c r="H1061" s="143" t="inlineStr">
        <is>
          <t xml:space="preserve">Closed</t>
        </is>
      </c>
      <c r="I1061" s="143" t="inlineStr">
        <is>
          <t xml:space="preserve">24-92</t>
        </is>
      </c>
      <c r="J1061" s="143"/>
    </row>
    <row r="1062" spans="1:10">
      <c r="A1062" s="143" t="inlineStr">
        <is>
          <t xml:space="preserve">933</t>
        </is>
      </c>
      <c r="B1062" s="143" t="inlineStr">
        <is>
          <t xml:space="preserve">32980070</t>
        </is>
      </c>
      <c r="C1062" s="143" t="inlineStr">
        <is>
          <t xml:space="preserve">FINDING (NRC) TASKCARD 25-SVA-05 (01) / ITEM ONE G/C SEATS#30A,B,C,J,K,L  FOOD TRAY DIRTEY</t>
        </is>
      </c>
      <c r="D1062" s="143">
        <v>1.0</v>
      </c>
      <c r="E1062" s="143">
        <v>6.5</v>
      </c>
      <c r="F1062" s="143">
        <v>6.5</v>
      </c>
      <c r="G1062" s="143">
        <v>59.3</v>
      </c>
      <c r="H1062" s="143" t="inlineStr">
        <is>
          <t xml:space="preserve">Closed</t>
        </is>
      </c>
      <c r="I1062" s="143" t="inlineStr">
        <is>
          <t xml:space="preserve">25-21</t>
        </is>
      </c>
      <c r="J1062" s="143"/>
    </row>
    <row r="1063" spans="1:10">
      <c r="A1063" s="143" t="inlineStr">
        <is>
          <t xml:space="preserve">934</t>
        </is>
      </c>
      <c r="B1063" s="143" t="inlineStr">
        <is>
          <t xml:space="preserve">32980077</t>
        </is>
      </c>
      <c r="C1063" s="143" t="inlineStr">
        <is>
          <t xml:space="preserve">FINDING (NRC) TASKCARD ZL-500-02-1-001 (05) LH WING  AV--CALLBACK LH WING NAVIGATION TIP LIGHT WITH MISSING SEAL.</t>
        </is>
      </c>
      <c r="D1063" s="143">
        <v>1.0</v>
      </c>
      <c r="E1063" s="143">
        <v>8.0</v>
      </c>
      <c r="F1063" s="143">
        <v>19.0</v>
      </c>
      <c r="G1063" s="143">
        <v>243.8</v>
      </c>
      <c r="H1063" s="143" t="inlineStr">
        <is>
          <t xml:space="preserve">Closed</t>
        </is>
      </c>
      <c r="I1063" s="143" t="inlineStr">
        <is>
          <t xml:space="preserve">05-25</t>
        </is>
      </c>
      <c r="J1063" s="143"/>
    </row>
    <row r="1064" spans="1:10">
      <c r="A1064" s="143" t="inlineStr">
        <is>
          <t xml:space="preserve">935</t>
        </is>
      </c>
      <c r="B1064" s="143" t="inlineStr">
        <is>
          <t xml:space="preserve">523300-01-1</t>
        </is>
      </c>
      <c r="C1064" s="143" t="inlineStr">
        <is>
          <t xml:space="preserve">523300-01-1 (4) / BULK CARGO DOOR HANDLE AND HINGE LUB</t>
        </is>
      </c>
      <c r="D1064" s="143">
        <v>1.0</v>
      </c>
      <c r="E1064" s="143">
        <v>0.22</v>
      </c>
      <c r="F1064" s="143">
        <v>1.0</v>
      </c>
      <c r="G1064" s="143">
        <v>1.0</v>
      </c>
      <c r="H1064" s="143" t="inlineStr">
        <is>
          <t xml:space="preserve">Closed</t>
        </is>
      </c>
      <c r="I1064" s="143" t="inlineStr">
        <is>
          <t xml:space="preserve">12-22</t>
        </is>
      </c>
      <c r="J1064" s="143" t="inlineStr">
        <is>
          <t xml:space="preserve">TC/P</t>
        </is>
      </c>
    </row>
    <row r="1065" spans="1:10">
      <c r="A1065" s="143" t="inlineStr">
        <is>
          <t xml:space="preserve">936</t>
        </is>
      </c>
      <c r="B1065" s="143" t="inlineStr">
        <is>
          <t xml:space="preserve">32980091</t>
        </is>
      </c>
      <c r="C1065" s="143" t="inlineStr">
        <is>
          <t xml:space="preserve">FINDING (NRC) TASKCARD ZL-500-02-1-001 (05) LH WING-- AP--CALLBACK LH WING AROUND NAVIGATION TIP LIGHT WITH MISSING SEALANT.</t>
        </is>
      </c>
      <c r="D1065" s="143">
        <v>1.0</v>
      </c>
      <c r="E1065" s="143">
        <v>8.0</v>
      </c>
      <c r="F1065" s="143">
        <v>3.08</v>
      </c>
      <c r="G1065" s="143">
        <v>1.35</v>
      </c>
      <c r="H1065" s="143" t="inlineStr">
        <is>
          <t xml:space="preserve">Closed</t>
        </is>
      </c>
      <c r="I1065" s="143" t="inlineStr">
        <is>
          <t xml:space="preserve">05-25</t>
        </is>
      </c>
      <c r="J1065" s="143"/>
    </row>
    <row r="1066" spans="1:10">
      <c r="A1066" s="143" t="inlineStr">
        <is>
          <t xml:space="preserve">937</t>
        </is>
      </c>
      <c r="B1066" s="143" t="inlineStr">
        <is>
          <t xml:space="preserve">32980104</t>
        </is>
      </c>
      <c r="C1066" s="143" t="inlineStr">
        <is>
          <t xml:space="preserve">RH WING  S/M --CALLBACK / FINDING (NRC) TASKCARD ZL-500-02-1-001 (05) RH WING FLAP TRACK FAIRING NO#4 O/B AFT UPPER SEAL WITH CUT.</t>
        </is>
      </c>
      <c r="D1066" s="143">
        <v>1.0</v>
      </c>
      <c r="E1066" s="143">
        <v>8.0</v>
      </c>
      <c r="F1066" s="143">
        <v>10.67</v>
      </c>
      <c r="G1066" s="143">
        <v>117.9</v>
      </c>
      <c r="H1066" s="143" t="inlineStr">
        <is>
          <t xml:space="preserve">Closed</t>
        </is>
      </c>
      <c r="I1066" s="143" t="inlineStr">
        <is>
          <t xml:space="preserve">05-25</t>
        </is>
      </c>
      <c r="J1066" s="143"/>
    </row>
    <row r="1067" spans="1:10">
      <c r="A1067" s="143" t="inlineStr">
        <is>
          <t xml:space="preserve">938</t>
        </is>
      </c>
      <c r="B1067" s="143" t="inlineStr">
        <is>
          <t xml:space="preserve">32980083</t>
        </is>
      </c>
      <c r="C1067" s="143" t="inlineStr">
        <is>
          <t xml:space="preserve">LATERAL AVIO COMPT---AVN---NO CALLBACK MISSING LOCKWIRE  BETWEEN THE KNURLED NUT AND THE ELECTRICAL CONNECTOR ON BAT2</t>
        </is>
      </c>
      <c r="D1067" s="143">
        <v>1.0</v>
      </c>
      <c r="E1067" s="143">
        <v>0.0</v>
      </c>
      <c r="F1067" s="143">
        <v>6.0</v>
      </c>
      <c r="G1067" s="143">
        <v>216.1</v>
      </c>
      <c r="H1067" s="143" t="inlineStr">
        <is>
          <t xml:space="preserve">Closed</t>
        </is>
      </c>
      <c r="I1067" s="143" t="inlineStr">
        <is>
          <t xml:space="preserve">24-92</t>
        </is>
      </c>
      <c r="J1067" s="143"/>
    </row>
    <row r="1068" spans="1:10">
      <c r="A1068" s="143" t="inlineStr">
        <is>
          <t xml:space="preserve">940</t>
        </is>
      </c>
      <c r="B1068" s="143" t="inlineStr">
        <is>
          <t xml:space="preserve">32980087</t>
        </is>
      </c>
      <c r="C1068" s="143" t="inlineStr">
        <is>
          <t xml:space="preserve">FINDING (NRC) TASKCARD 25-SVA-05 (01) / ITEM ONE G/C SEATS# 33J, 34C,J ,37C, 38C, 40C, 41J AISLE BUMBER DAMAGE</t>
        </is>
      </c>
      <c r="D1068" s="143">
        <v>1.0</v>
      </c>
      <c r="E1068" s="143">
        <v>3.5</v>
      </c>
      <c r="F1068" s="143">
        <v>3.0</v>
      </c>
      <c r="G1068" s="143">
        <v>1.5</v>
      </c>
      <c r="H1068" s="143" t="inlineStr">
        <is>
          <t xml:space="preserve">Closed</t>
        </is>
      </c>
      <c r="I1068" s="143" t="inlineStr">
        <is>
          <t xml:space="preserve">25-21</t>
        </is>
      </c>
      <c r="J1068" s="143"/>
    </row>
    <row r="1069" spans="1:10">
      <c r="A1069" s="143" t="inlineStr">
        <is>
          <t xml:space="preserve">942</t>
        </is>
      </c>
      <c r="B1069" s="143" t="inlineStr">
        <is>
          <t xml:space="preserve">32980133</t>
        </is>
      </c>
      <c r="C1069" s="143" t="inlineStr">
        <is>
          <t xml:space="preserve">FINDING (NRC) TASKCARD 25-SVA-05 (01) / ITEM ONE ALL G/C SEATS BACKREST LOOSE</t>
        </is>
      </c>
      <c r="D1069" s="143">
        <v>1.0</v>
      </c>
      <c r="E1069" s="143">
        <v>29.0</v>
      </c>
      <c r="F1069" s="143">
        <v>29.0</v>
      </c>
      <c r="G1069" s="143">
        <v>128.6</v>
      </c>
      <c r="H1069" s="143" t="inlineStr">
        <is>
          <t xml:space="preserve">Closed</t>
        </is>
      </c>
      <c r="I1069" s="143" t="inlineStr">
        <is>
          <t xml:space="preserve">25-21</t>
        </is>
      </c>
      <c r="J1069" s="143"/>
    </row>
    <row r="1070" spans="1:10">
      <c r="A1070" s="143" t="inlineStr">
        <is>
          <t xml:space="preserve">946</t>
        </is>
      </c>
      <c r="B1070" s="143" t="inlineStr">
        <is>
          <t xml:space="preserve">32980135</t>
        </is>
      </c>
      <c r="C1070" s="143" t="inlineStr">
        <is>
          <t xml:space="preserve">FINDING (NRC) TASKCARD 25-SVA-05 (01) / ITEM ONE G/C SEAT#30L ARM MONITOR LOOSE</t>
        </is>
      </c>
      <c r="D1070" s="143">
        <v>1.0</v>
      </c>
      <c r="E1070" s="143">
        <v>2.0</v>
      </c>
      <c r="F1070" s="143">
        <v>2.0</v>
      </c>
      <c r="G1070" s="143">
        <v>2.0</v>
      </c>
      <c r="H1070" s="143" t="inlineStr">
        <is>
          <t xml:space="preserve">Closed</t>
        </is>
      </c>
      <c r="I1070" s="143" t="inlineStr">
        <is>
          <t xml:space="preserve">25-21</t>
        </is>
      </c>
      <c r="J1070" s="143"/>
    </row>
    <row r="1071" spans="1:10">
      <c r="A1071" s="143" t="inlineStr">
        <is>
          <t xml:space="preserve">949</t>
        </is>
      </c>
      <c r="B1071" s="143" t="inlineStr">
        <is>
          <t xml:space="preserve">32980140</t>
        </is>
      </c>
      <c r="C1071" s="143" t="inlineStr">
        <is>
          <t xml:space="preserve">FINDING (NRC) TASKCARD ZL-500-02-1-001 (05)  LH WING   AP--NO CALLBACK LH WING SLAT NO.#3 IN/B SIGN OF OIL LEAKAGE.</t>
        </is>
      </c>
      <c r="D1071" s="143">
        <v>1.0</v>
      </c>
      <c r="E1071" s="143">
        <v>6.0</v>
      </c>
      <c r="F1071" s="143">
        <v>5.5</v>
      </c>
      <c r="G1071" s="143">
        <v>2.75</v>
      </c>
      <c r="H1071" s="143" t="inlineStr">
        <is>
          <t xml:space="preserve">Closed</t>
        </is>
      </c>
      <c r="I1071" s="143" t="inlineStr">
        <is>
          <t xml:space="preserve">05-25</t>
        </is>
      </c>
      <c r="J1071" s="143"/>
    </row>
    <row r="1072" spans="1:10">
      <c r="A1072" s="143" t="inlineStr">
        <is>
          <t xml:space="preserve">950</t>
        </is>
      </c>
      <c r="B1072" s="143" t="inlineStr">
        <is>
          <t xml:space="preserve">32980164</t>
        </is>
      </c>
      <c r="C1072" s="143" t="inlineStr">
        <is>
          <t xml:space="preserve">FINDING (NRC) TASKCARD ZL-500-02-1-001 (05) / LH WING AP--NO CALLBACK LH WING FLAP TRACK NO.#3 SIGN OF OIL LEAKAGE.</t>
        </is>
      </c>
      <c r="D1072" s="143">
        <v>1.0</v>
      </c>
      <c r="E1072" s="143">
        <v>6.0</v>
      </c>
      <c r="F1072" s="143">
        <v>22.5</v>
      </c>
      <c r="G1072" s="143">
        <v>5.03</v>
      </c>
      <c r="H1072" s="143" t="inlineStr">
        <is>
          <t xml:space="preserve">Closed</t>
        </is>
      </c>
      <c r="I1072" s="143" t="inlineStr">
        <is>
          <t xml:space="preserve">05-25</t>
        </is>
      </c>
      <c r="J1072" s="143"/>
    </row>
    <row r="1073" spans="1:10">
      <c r="A1073" s="143" t="inlineStr">
        <is>
          <t xml:space="preserve">951</t>
        </is>
      </c>
      <c r="B1073" s="143" t="inlineStr">
        <is>
          <t xml:space="preserve">32980175</t>
        </is>
      </c>
      <c r="C1073" s="143" t="inlineStr">
        <is>
          <t xml:space="preserve">FINDING (NRC) TASKCARD ZL-500-02-1-001 (05) LH WING  AP--RII LH WING FLAP LWR KICK SEAL WITH CUT DIM: L=1 IN</t>
        </is>
      </c>
      <c r="D1073" s="143">
        <v>1.0</v>
      </c>
      <c r="E1073" s="143">
        <v>8.0</v>
      </c>
      <c r="F1073" s="143">
        <v>14.08</v>
      </c>
      <c r="G1073" s="143">
        <v>529.0</v>
      </c>
      <c r="H1073" s="143" t="inlineStr">
        <is>
          <t xml:space="preserve">Closed</t>
        </is>
      </c>
      <c r="I1073" s="143" t="inlineStr">
        <is>
          <t xml:space="preserve">05-25</t>
        </is>
      </c>
      <c r="J1073" s="143"/>
    </row>
    <row r="1074" spans="1:10">
      <c r="A1074" s="143" t="inlineStr">
        <is>
          <t xml:space="preserve">952</t>
        </is>
      </c>
      <c r="B1074" s="143" t="inlineStr">
        <is>
          <t xml:space="preserve">32980177</t>
        </is>
      </c>
      <c r="C1074" s="143" t="inlineStr">
        <is>
          <t xml:space="preserve">FINDING (NRC) TASKCARD ZL-500-02-1-001 (05) LH WING   PNT--NO CALLBACK LH WING IN/B FLAP AFT MID WITH PAINT PEELED OFF.</t>
        </is>
      </c>
      <c r="D1074" s="143">
        <v>1.0</v>
      </c>
      <c r="E1074" s="143">
        <v>4.0</v>
      </c>
      <c r="F1074" s="143">
        <v>5.0</v>
      </c>
      <c r="G1074" s="143">
        <v>2.0</v>
      </c>
      <c r="H1074" s="143" t="inlineStr">
        <is>
          <t xml:space="preserve">Closed</t>
        </is>
      </c>
      <c r="I1074" s="143" t="inlineStr">
        <is>
          <t xml:space="preserve">05-25</t>
        </is>
      </c>
      <c r="J1074" s="143"/>
    </row>
    <row r="1075" spans="1:10">
      <c r="A1075" s="143" t="inlineStr">
        <is>
          <t xml:space="preserve">954</t>
        </is>
      </c>
      <c r="B1075" s="143" t="inlineStr">
        <is>
          <t xml:space="preserve">32980176</t>
        </is>
      </c>
      <c r="C1075" s="143" t="inlineStr">
        <is>
          <t xml:space="preserve">REAR AVIONIC COMPARTMENT DOOR---AP---NO CALLBACK OLD CORROSION INHIBITING COMP (CIC) FLAKING ON REAR AVIONIC COMPARTMENT DOOR  (AFT DOOR 824)</t>
        </is>
      </c>
      <c r="D1075" s="143">
        <v>1.0</v>
      </c>
      <c r="E1075" s="143">
        <v>8.0</v>
      </c>
      <c r="F1075" s="143">
        <v>1.5</v>
      </c>
      <c r="G1075" s="143">
        <v>0.5</v>
      </c>
      <c r="H1075" s="143" t="inlineStr">
        <is>
          <t xml:space="preserve">Closed</t>
        </is>
      </c>
      <c r="I1075" s="143" t="inlineStr">
        <is>
          <t xml:space="preserve">05-28</t>
        </is>
      </c>
      <c r="J1075" s="143"/>
    </row>
    <row r="1076" spans="1:10">
      <c r="A1076" s="143" t="inlineStr">
        <is>
          <t xml:space="preserve">955</t>
        </is>
      </c>
      <c r="B1076" s="143" t="inlineStr">
        <is>
          <t xml:space="preserve">32980920</t>
        </is>
      </c>
      <c r="C1076" s="143" t="inlineStr">
        <is>
          <t xml:space="preserve">FINDING S71-D10554 (INLET COWL LIP)---STR---RII DURING INSP, FOUND BOTH ENGINES INLET COWL LIP SKIN WITH ALL AROUND SURFARCE DISCOLORATION.</t>
        </is>
      </c>
      <c r="D1076" s="143">
        <v>1.0</v>
      </c>
      <c r="E1076" s="143">
        <v>8.0</v>
      </c>
      <c r="F1076" s="143">
        <v>0.5</v>
      </c>
      <c r="G1076" s="143">
        <v>342.2</v>
      </c>
      <c r="H1076" s="143" t="inlineStr">
        <is>
          <t xml:space="preserve">Closed</t>
        </is>
      </c>
      <c r="I1076" s="143">
        <v>71.0</v>
      </c>
      <c r="J1076" s="143"/>
    </row>
    <row r="1077" spans="1:10">
      <c r="A1077" s="143" t="inlineStr">
        <is>
          <t xml:space="preserve">956</t>
        </is>
      </c>
      <c r="B1077" s="143" t="inlineStr">
        <is>
          <t xml:space="preserve">32981647</t>
        </is>
      </c>
      <c r="C1077" s="143" t="inlineStr">
        <is>
          <t xml:space="preserve">AFT R/H PAX/CREW DOOR---CAB---NO CALLBACK DURING INSP, FOUND AFT R/H PAX/CREW DOOR SEAL DUSTY</t>
        </is>
      </c>
      <c r="D1077" s="143">
        <v>1.0</v>
      </c>
      <c r="E1077" s="143">
        <v>0.0</v>
      </c>
      <c r="F1077" s="143">
        <v>14.0</v>
      </c>
      <c r="G1077" s="143">
        <v>3.27</v>
      </c>
      <c r="H1077" s="143" t="inlineStr">
        <is>
          <t xml:space="preserve">Closed</t>
        </is>
      </c>
      <c r="I1077" s="143" t="inlineStr">
        <is>
          <t xml:space="preserve">05-28</t>
        </is>
      </c>
      <c r="J1077" s="143"/>
    </row>
    <row r="1078" spans="1:10">
      <c r="A1078" s="143" t="inlineStr">
        <is>
          <t xml:space="preserve">958</t>
        </is>
      </c>
      <c r="B1078" s="143" t="inlineStr">
        <is>
          <t xml:space="preserve">32981716</t>
        </is>
      </c>
      <c r="C1078" s="143" t="inlineStr">
        <is>
          <t xml:space="preserve">FINDING (NRC) TASKCARD 25-SVA-03 (01) / ITEM ONE B/C SEAT#2L, 4L, COVER - ARM SHROUD MISSING.</t>
        </is>
      </c>
      <c r="D1078" s="143">
        <v>1.0</v>
      </c>
      <c r="E1078" s="143">
        <v>2.0</v>
      </c>
      <c r="F1078" s="143">
        <v>2.0</v>
      </c>
      <c r="G1078" s="143">
        <v>2.02</v>
      </c>
      <c r="H1078" s="143" t="inlineStr">
        <is>
          <t xml:space="preserve">Closed</t>
        </is>
      </c>
      <c r="I1078" s="143" t="inlineStr">
        <is>
          <t xml:space="preserve">25-21</t>
        </is>
      </c>
      <c r="J1078" s="143"/>
    </row>
    <row r="1079" spans="1:10">
      <c r="A1079" s="143" t="inlineStr">
        <is>
          <t xml:space="preserve">959</t>
        </is>
      </c>
      <c r="B1079" s="143" t="inlineStr">
        <is>
          <t xml:space="preserve">32981721</t>
        </is>
      </c>
      <c r="C1079" s="143" t="inlineStr">
        <is>
          <t xml:space="preserve">FINDING (NRC) TASKCARD 25-SVA-03 (01) / ITEM ONE B/C SEAT#1L, 2A,C, 3L, 4L, 5A, SEAT CLOSEOUT ASSEMBLY DAMAGED.</t>
        </is>
      </c>
      <c r="D1079" s="143">
        <v>1.0</v>
      </c>
      <c r="E1079" s="143">
        <v>6.0</v>
      </c>
      <c r="F1079" s="143">
        <v>6.0</v>
      </c>
      <c r="G1079" s="143">
        <v>6.02</v>
      </c>
      <c r="H1079" s="143" t="inlineStr">
        <is>
          <t xml:space="preserve">Closed</t>
        </is>
      </c>
      <c r="I1079" s="143" t="inlineStr">
        <is>
          <t xml:space="preserve">25-21</t>
        </is>
      </c>
      <c r="J1079" s="143"/>
    </row>
    <row r="1080" spans="1:10">
      <c r="A1080" s="143" t="inlineStr">
        <is>
          <t xml:space="preserve">960</t>
        </is>
      </c>
      <c r="B1080" s="143" t="inlineStr">
        <is>
          <t xml:space="preserve">32981726</t>
        </is>
      </c>
      <c r="C1080" s="143" t="inlineStr">
        <is>
          <t xml:space="preserve">FINDING (NRC) TASKCARD 25-SVA-03 (01) / ITEM ONE B/C SEAT# 1J, 2J, 3C, 4A,C,  5A,C,J,  LATCH - BACK MISSING</t>
        </is>
      </c>
      <c r="D1080" s="143">
        <v>1.0</v>
      </c>
      <c r="E1080" s="143">
        <v>6.0</v>
      </c>
      <c r="F1080" s="143">
        <v>6.5</v>
      </c>
      <c r="G1080" s="143">
        <v>6.5</v>
      </c>
      <c r="H1080" s="143" t="inlineStr">
        <is>
          <t xml:space="preserve">Closed</t>
        </is>
      </c>
      <c r="I1080" s="143" t="inlineStr">
        <is>
          <t xml:space="preserve">25-21</t>
        </is>
      </c>
      <c r="J1080" s="143"/>
    </row>
    <row r="1081" spans="1:10">
      <c r="A1081" s="143" t="inlineStr">
        <is>
          <t xml:space="preserve">961</t>
        </is>
      </c>
      <c r="B1081" s="143" t="inlineStr">
        <is>
          <t xml:space="preserve">32981754</t>
        </is>
      </c>
      <c r="C1081" s="143" t="inlineStr">
        <is>
          <t xml:space="preserve">FINDING (NRC) TASKCARD 25-SVA-03 (01) / ITEM ONE B/C SEAT# 1L, 3L, 4A, 5A,C LIFE VEST DOOR, DUAL PAWL ASSEMBLY - NON LOCKABLE DAMAGED.</t>
        </is>
      </c>
      <c r="D1081" s="143">
        <v>1.0</v>
      </c>
      <c r="E1081" s="143">
        <v>5.0</v>
      </c>
      <c r="F1081" s="143">
        <v>5.0</v>
      </c>
      <c r="G1081" s="143">
        <v>3.0</v>
      </c>
      <c r="H1081" s="143" t="inlineStr">
        <is>
          <t xml:space="preserve">Closed</t>
        </is>
      </c>
      <c r="I1081" s="143" t="inlineStr">
        <is>
          <t xml:space="preserve">25-21</t>
        </is>
      </c>
      <c r="J1081" s="143"/>
    </row>
    <row r="1082" spans="1:10">
      <c r="A1082" s="143" t="inlineStr">
        <is>
          <t xml:space="preserve">962</t>
        </is>
      </c>
      <c r="B1082" s="143" t="inlineStr">
        <is>
          <t xml:space="preserve">32981772</t>
        </is>
      </c>
      <c r="C1082" s="143" t="inlineStr">
        <is>
          <t xml:space="preserve">FINDING (NRC) TASKCARD 25-SVA-03 (01) / ITEM ONE B/C SEAT#2A, 4J  PANEL ASSEMBLY - ACCESS DAMAGED.</t>
        </is>
      </c>
      <c r="D1082" s="143">
        <v>1.0</v>
      </c>
      <c r="E1082" s="143">
        <v>2.0</v>
      </c>
      <c r="F1082" s="143">
        <v>2.0</v>
      </c>
      <c r="G1082" s="143">
        <v>44.3</v>
      </c>
      <c r="H1082" s="143" t="inlineStr">
        <is>
          <t xml:space="preserve">Closed</t>
        </is>
      </c>
      <c r="I1082" s="143" t="inlineStr">
        <is>
          <t xml:space="preserve">25-21</t>
        </is>
      </c>
      <c r="J1082" s="143"/>
    </row>
    <row r="1083" spans="1:10">
      <c r="A1083" s="143" t="inlineStr">
        <is>
          <t xml:space="preserve">963</t>
        </is>
      </c>
      <c r="B1083" s="143" t="inlineStr">
        <is>
          <t xml:space="preserve">32981774</t>
        </is>
      </c>
      <c r="C1083" s="143" t="inlineStr">
        <is>
          <t xml:space="preserve">FINDING (NRC) TASKCARD 25-SVA-03 (01) / ITEM ONE B/C SEAT#3JL COCKTAIL TABLE ASSEMBLY  WITH SCRATCH.</t>
        </is>
      </c>
      <c r="D1083" s="143">
        <v>1.0</v>
      </c>
      <c r="E1083" s="143">
        <v>2.0</v>
      </c>
      <c r="F1083" s="143">
        <v>2.0</v>
      </c>
      <c r="G1083" s="143">
        <v>2.02</v>
      </c>
      <c r="H1083" s="143" t="inlineStr">
        <is>
          <t xml:space="preserve">Closed</t>
        </is>
      </c>
      <c r="I1083" s="143" t="inlineStr">
        <is>
          <t xml:space="preserve">25-21</t>
        </is>
      </c>
      <c r="J1083" s="143"/>
    </row>
    <row r="1084" spans="1:10">
      <c r="A1084" s="143" t="inlineStr">
        <is>
          <t xml:space="preserve">964</t>
        </is>
      </c>
      <c r="B1084" s="143" t="inlineStr">
        <is>
          <t xml:space="preserve">32981816</t>
        </is>
      </c>
      <c r="C1084" s="143" t="inlineStr">
        <is>
          <t xml:space="preserve">FINDING (NRC) TASKCARD 25-SVA-03 (01) / ITEM ONE B/C SEAT#1J, 2A,L, 4A, 5J, SHROUD - CONSOLE SIDE DAMAGED.</t>
        </is>
      </c>
      <c r="D1084" s="143">
        <v>1.0</v>
      </c>
      <c r="E1084" s="143">
        <v>32.5</v>
      </c>
      <c r="F1084" s="143">
        <v>32.5</v>
      </c>
      <c r="G1084" s="143">
        <v>27.8</v>
      </c>
      <c r="H1084" s="143" t="inlineStr">
        <is>
          <t xml:space="preserve">Closed</t>
        </is>
      </c>
      <c r="I1084" s="143" t="inlineStr">
        <is>
          <t xml:space="preserve">25-21</t>
        </is>
      </c>
      <c r="J1084" s="143"/>
    </row>
    <row r="1085" spans="1:10">
      <c r="A1085" s="143" t="inlineStr">
        <is>
          <t xml:space="preserve">967</t>
        </is>
      </c>
      <c r="B1085" s="143" t="inlineStr">
        <is>
          <t xml:space="preserve">32982191</t>
        </is>
      </c>
      <c r="C1085" s="143" t="inlineStr">
        <is>
          <t xml:space="preserve">S/M L2 STOWAGE LOWER DIVIDER PACKER WITH 4 EACH FROZEN SCREWS</t>
        </is>
      </c>
      <c r="D1085" s="143">
        <v>1.0</v>
      </c>
      <c r="E1085" s="143">
        <v>0.0</v>
      </c>
      <c r="F1085" s="143">
        <v>6.0</v>
      </c>
      <c r="G1085" s="143">
        <v>2.17</v>
      </c>
      <c r="H1085" s="143" t="inlineStr">
        <is>
          <t xml:space="preserve">Closed</t>
        </is>
      </c>
      <c r="I1085" s="143" t="inlineStr">
        <is>
          <t xml:space="preserve">25-30</t>
        </is>
      </c>
      <c r="J1085" s="143"/>
    </row>
    <row r="1086" spans="1:10">
      <c r="A1086" s="143" t="inlineStr">
        <is>
          <t xml:space="preserve">969</t>
        </is>
      </c>
      <c r="B1086" s="143" t="inlineStr">
        <is>
          <t xml:space="preserve">32982195</t>
        </is>
      </c>
      <c r="C1086" s="143" t="inlineStr">
        <is>
          <t xml:space="preserve">S/M NO CALLBACK L2 STOWAGE RAMP ASSY FOUND ALL INSERTS REMOVED</t>
        </is>
      </c>
      <c r="D1086" s="143">
        <v>1.0</v>
      </c>
      <c r="E1086" s="143">
        <v>0.0</v>
      </c>
      <c r="F1086" s="143">
        <v>0.5</v>
      </c>
      <c r="G1086" s="143">
        <v>0.5</v>
      </c>
      <c r="H1086" s="143" t="inlineStr">
        <is>
          <t xml:space="preserve">Closed</t>
        </is>
      </c>
      <c r="I1086" s="143" t="inlineStr">
        <is>
          <t xml:space="preserve">25-30</t>
        </is>
      </c>
      <c r="J1086" s="143"/>
    </row>
    <row r="1087" spans="1:10">
      <c r="A1087" s="143" t="inlineStr">
        <is>
          <t xml:space="preserve">975</t>
        </is>
      </c>
      <c r="B1087" s="143" t="inlineStr">
        <is>
          <t xml:space="preserve">32982253</t>
        </is>
      </c>
      <c r="C1087" s="143" t="inlineStr">
        <is>
          <t xml:space="preserve">L/H WING MULTABLE PANELS FROZEN SCREWS ----SM-----NO CALL LEFT HAND WING PANELS     -(522KB, 522QB AND 522UB)     -(575LB AND 575KB)     -(522AT UPPER SURFACE)  HAVE MULTIPLE FROZEN AND ROUNDED SCREWS (MARKED WITH TAPE) REQ S/M ACTION</t>
        </is>
      </c>
      <c r="D1087" s="143">
        <v>1.0</v>
      </c>
      <c r="E1087" s="143">
        <v>0.0</v>
      </c>
      <c r="F1087" s="143">
        <v>66.5</v>
      </c>
      <c r="G1087" s="143">
        <v>18.93</v>
      </c>
      <c r="H1087" s="143" t="inlineStr">
        <is>
          <t xml:space="preserve">Closed</t>
        </is>
      </c>
      <c r="I1087" s="143" t="inlineStr">
        <is>
          <t xml:space="preserve">27-84</t>
        </is>
      </c>
      <c r="J1087" s="143"/>
    </row>
    <row r="1088" spans="1:10">
      <c r="A1088" s="143" t="inlineStr">
        <is>
          <t xml:space="preserve">976</t>
        </is>
      </c>
      <c r="B1088" s="143" t="inlineStr">
        <is>
          <t xml:space="preserve">32982260</t>
        </is>
      </c>
      <c r="C1088" s="143" t="inlineStr">
        <is>
          <t xml:space="preserve">R/H WING MULTABLE PANELS FROZEN SCREWS ----SM-----NO CALL RIGHT HAND WING PANELS     -(621AB)      -(622CB, 622HB AND 622JB)  HAVE MULTIPLE FROZEN SCREWS (MARKED WITH TAPE) REQ S/M ACTION</t>
        </is>
      </c>
      <c r="D1088" s="143">
        <v>1.0</v>
      </c>
      <c r="E1088" s="143">
        <v>0.0</v>
      </c>
      <c r="F1088" s="143">
        <v>68.0</v>
      </c>
      <c r="G1088" s="143">
        <v>19.5</v>
      </c>
      <c r="H1088" s="143" t="inlineStr">
        <is>
          <t xml:space="preserve">Closed</t>
        </is>
      </c>
      <c r="I1088" s="143" t="inlineStr">
        <is>
          <t xml:space="preserve">27-84</t>
        </is>
      </c>
      <c r="J1088" s="143"/>
    </row>
    <row r="1089" spans="1:10">
      <c r="A1089" s="143" t="inlineStr">
        <is>
          <t xml:space="preserve">977</t>
        </is>
      </c>
      <c r="B1089" s="143" t="inlineStr">
        <is>
          <t xml:space="preserve">32982263</t>
        </is>
      </c>
      <c r="C1089" s="143" t="inlineStr">
        <is>
          <t xml:space="preserve">BELLY FAIRING PANELS FROZEN SCREWS ----SM-----NO CALLBACK BELLY FAIRING PANELS     -(192AB 1EA SCREW)     -(192LB 1 EA SCREW)     -( FWD PANEL STRIP 1 EA SCREW)  HAVE MULTIPLE FROZEN SCREWS (MARKED WITH TAPE) REQ S/M ACTION</t>
        </is>
      </c>
      <c r="D1089" s="143">
        <v>1.0</v>
      </c>
      <c r="E1089" s="143">
        <v>0.0</v>
      </c>
      <c r="F1089" s="143">
        <v>15.92</v>
      </c>
      <c r="G1089" s="143">
        <v>9.33</v>
      </c>
      <c r="H1089" s="143" t="inlineStr">
        <is>
          <t xml:space="preserve">Closed</t>
        </is>
      </c>
      <c r="I1089" s="143" t="inlineStr">
        <is>
          <t xml:space="preserve">53-41</t>
        </is>
      </c>
      <c r="J1089" s="143"/>
    </row>
    <row r="1090" spans="1:10">
      <c r="A1090" s="143" t="inlineStr">
        <is>
          <t xml:space="preserve">978</t>
        </is>
      </c>
      <c r="B1090" s="143" t="inlineStr">
        <is>
          <t xml:space="preserve">32983857</t>
        </is>
      </c>
      <c r="C1090" s="143" t="inlineStr">
        <is>
          <t xml:space="preserve">PRE---ENG NO#02---RII---SM ENG NO#02 R/H FAN COWL FWD SIDE NEAR IDG OIL LEVEL ACCESS DOOR, EDGE PROTECTOR FOUND DETACHED WITH SHEARED RIVETS.</t>
        </is>
      </c>
      <c r="D1090" s="143">
        <v>1.0</v>
      </c>
      <c r="E1090" s="143">
        <v>4.0</v>
      </c>
      <c r="F1090" s="143">
        <v>31.2</v>
      </c>
      <c r="G1090" s="143">
        <v>572.6</v>
      </c>
      <c r="H1090" s="143" t="inlineStr">
        <is>
          <t xml:space="preserve">Closed</t>
        </is>
      </c>
      <c r="I1090" s="143" t="inlineStr">
        <is>
          <t xml:space="preserve">05-24</t>
        </is>
      </c>
      <c r="J1090" s="143"/>
    </row>
    <row r="1091" spans="1:10">
      <c r="A1091" s="143" t="inlineStr">
        <is>
          <t xml:space="preserve">979</t>
        </is>
      </c>
      <c r="B1091" s="143" t="inlineStr">
        <is>
          <t xml:space="preserve">32983861</t>
        </is>
      </c>
      <c r="C1091" s="143" t="inlineStr">
        <is>
          <t xml:space="preserve">PRE---R/H AIR COND---NOCALLBACK---AP R/H AIR CONDITION PACK COMPT AFT AREA EXHAUST ASSY, INSIDE COMPT, I/B UPPER  ATTACHMENT NUT FOUND MISSING.</t>
        </is>
      </c>
      <c r="D1091" s="143">
        <v>1.0</v>
      </c>
      <c r="E1091" s="143">
        <v>8.0</v>
      </c>
      <c r="F1091" s="143">
        <v>10.02</v>
      </c>
      <c r="G1091" s="143">
        <v>24.6</v>
      </c>
      <c r="H1091" s="143" t="inlineStr">
        <is>
          <t xml:space="preserve">Closed</t>
        </is>
      </c>
      <c r="I1091" s="143" t="inlineStr">
        <is>
          <t xml:space="preserve">05-21</t>
        </is>
      </c>
      <c r="J1091" s="143"/>
    </row>
    <row r="1092" spans="1:10">
      <c r="A1092" s="143" t="inlineStr">
        <is>
          <t xml:space="preserve">980</t>
        </is>
      </c>
      <c r="B1092" s="143" t="inlineStr">
        <is>
          <t xml:space="preserve">32983866</t>
        </is>
      </c>
      <c r="C1092" s="143" t="inlineStr">
        <is>
          <t xml:space="preserve">PRE--MLG W/W---NOCALLBACK---FS MLG WHEELWELL KEEL BEAM AREA FOUND EXCESSIVE DIRTY WITH ACCUMULATED WATER.</t>
        </is>
      </c>
      <c r="D1092" s="143">
        <v>1.0</v>
      </c>
      <c r="E1092" s="143">
        <v>8.0</v>
      </c>
      <c r="F1092" s="143">
        <v>8.0</v>
      </c>
      <c r="G1092" s="143">
        <v>4.02</v>
      </c>
      <c r="H1092" s="143" t="inlineStr">
        <is>
          <t xml:space="preserve">Closed</t>
        </is>
      </c>
      <c r="I1092" s="143" t="inlineStr">
        <is>
          <t xml:space="preserve">05-21</t>
        </is>
      </c>
      <c r="J1092" s="143"/>
    </row>
    <row r="1093" spans="1:10">
      <c r="A1093" s="143" t="inlineStr">
        <is>
          <t xml:space="preserve">981</t>
        </is>
      </c>
      <c r="B1093" s="143" t="inlineStr">
        <is>
          <t xml:space="preserve">32983876</t>
        </is>
      </c>
      <c r="C1093" s="143" t="inlineStr">
        <is>
          <t xml:space="preserve">PRE--MLG W/W---NOCALLBACK---FS L/H AND R/H MLG WHEEL WELL FWD CUTOUT EDGE SEAL FOUND WORNOUT, TORN WITH CUTS.</t>
        </is>
      </c>
      <c r="D1093" s="143">
        <v>1.0</v>
      </c>
      <c r="E1093" s="143">
        <v>12.0</v>
      </c>
      <c r="F1093" s="143">
        <v>2.0</v>
      </c>
      <c r="G1093" s="143">
        <v>2.0</v>
      </c>
      <c r="H1093" s="143" t="inlineStr">
        <is>
          <t xml:space="preserve">Closed</t>
        </is>
      </c>
      <c r="I1093" s="143" t="inlineStr">
        <is>
          <t xml:space="preserve">05-21</t>
        </is>
      </c>
      <c r="J1093" s="143"/>
    </row>
    <row r="1094" spans="1:10">
      <c r="A1094" s="143" t="inlineStr">
        <is>
          <t xml:space="preserve">982</t>
        </is>
      </c>
      <c r="B1094" s="143" t="inlineStr">
        <is>
          <t xml:space="preserve">32983882</t>
        </is>
      </c>
      <c r="C1094" s="143" t="inlineStr">
        <is>
          <t xml:space="preserve">PRE--MLG W/W---NOCALLBACK---PNT L/H AND R/H WHEEL WELL MULTIPLE RIVET HEADS FOUND WITH MISSING PAINT APPLICATION.</t>
        </is>
      </c>
      <c r="D1094" s="143">
        <v>1.0</v>
      </c>
      <c r="E1094" s="143">
        <v>4.0</v>
      </c>
      <c r="F1094" s="143">
        <v>5.5</v>
      </c>
      <c r="G1094" s="143">
        <v>2.5</v>
      </c>
      <c r="H1094" s="143" t="inlineStr">
        <is>
          <t xml:space="preserve">Closed</t>
        </is>
      </c>
      <c r="I1094" s="143" t="inlineStr">
        <is>
          <t xml:space="preserve">05-21</t>
        </is>
      </c>
      <c r="J1094" s="143"/>
    </row>
    <row r="1095" spans="1:10">
      <c r="A1095" s="143" t="inlineStr">
        <is>
          <t xml:space="preserve">983</t>
        </is>
      </c>
      <c r="B1095" s="143" t="inlineStr">
        <is>
          <t xml:space="preserve">32983893</t>
        </is>
      </c>
      <c r="C1095" s="143" t="inlineStr">
        <is>
          <t xml:space="preserve">PRE---HYD COMPT---NOCALLBACK---PNT R/H HYD COMPT PANEL 196 BB OUTER AND INNER AREA DECALS FOUND MISSIN, TORN AND WORNOUT.</t>
        </is>
      </c>
      <c r="D1095" s="143">
        <v>1.0</v>
      </c>
      <c r="E1095" s="143">
        <v>3.0</v>
      </c>
      <c r="F1095" s="143">
        <v>3.5</v>
      </c>
      <c r="G1095" s="143">
        <v>3.5</v>
      </c>
      <c r="H1095" s="143" t="inlineStr">
        <is>
          <t xml:space="preserve">Closed</t>
        </is>
      </c>
      <c r="I1095" s="143" t="inlineStr">
        <is>
          <t xml:space="preserve">05-21</t>
        </is>
      </c>
      <c r="J1095" s="143"/>
    </row>
    <row r="1096" spans="1:10">
      <c r="A1096" s="143" t="inlineStr">
        <is>
          <t xml:space="preserve">984</t>
        </is>
      </c>
      <c r="B1096" s="143" t="inlineStr">
        <is>
          <t xml:space="preserve">32983896</t>
        </is>
      </c>
      <c r="C1096" s="143" t="inlineStr">
        <is>
          <t xml:space="preserve">LH WING INBORAD/OUTBOARD FIXED L/E---AP---CALLBACK REQ CLEANING OF  INBOARD/OUTBOARD FIXED LEADING EDGE STRUCTURE TO FACILITATE INSPECTION</t>
        </is>
      </c>
      <c r="D1096" s="143">
        <v>1.0</v>
      </c>
      <c r="E1096" s="143">
        <v>13.0</v>
      </c>
      <c r="F1096" s="143">
        <v>20.5</v>
      </c>
      <c r="G1096" s="143">
        <v>22.8</v>
      </c>
      <c r="H1096" s="143" t="inlineStr">
        <is>
          <t xml:space="preserve">Closed</t>
        </is>
      </c>
      <c r="I1096" s="143" t="inlineStr">
        <is>
          <t xml:space="preserve">05-25</t>
        </is>
      </c>
      <c r="J1096" s="143"/>
    </row>
    <row r="1097" spans="1:10">
      <c r="A1097" s="143" t="inlineStr">
        <is>
          <t xml:space="preserve">985</t>
        </is>
      </c>
      <c r="B1097" s="143" t="inlineStr">
        <is>
          <t xml:space="preserve">32983897</t>
        </is>
      </c>
      <c r="C1097" s="143" t="inlineStr">
        <is>
          <t xml:space="preserve">PRE---HYD COMPT---NOCALLBACK---AP L/H AND R/H HYD COMPT PANELS 195 BB AND 196 BB INNER AREA EDGE SEAL FOUND MISSING AND DETACHED WITH CUTS.</t>
        </is>
      </c>
      <c r="D1097" s="143">
        <v>1.0</v>
      </c>
      <c r="E1097" s="143">
        <v>8.0</v>
      </c>
      <c r="F1097" s="143">
        <v>18.0</v>
      </c>
      <c r="G1097" s="143">
        <v>6.0</v>
      </c>
      <c r="H1097" s="143" t="inlineStr">
        <is>
          <t xml:space="preserve">Closed</t>
        </is>
      </c>
      <c r="I1097" s="143" t="inlineStr">
        <is>
          <t xml:space="preserve">05-21</t>
        </is>
      </c>
      <c r="J1097" s="143"/>
    </row>
    <row r="1098" spans="1:10">
      <c r="A1098" s="143" t="inlineStr">
        <is>
          <t xml:space="preserve">986</t>
        </is>
      </c>
      <c r="B1098" s="143" t="inlineStr">
        <is>
          <t xml:space="preserve">32983910</t>
        </is>
      </c>
      <c r="C1098" s="143" t="inlineStr">
        <is>
          <t xml:space="preserve">PRE---HYD COMPT---NOCALLBACK---AVN L/H AND R/H HYD COMPT ACCESS THROUGH PANELS 195 BB AND 196 BB INNER AREA, 02 EA CEILING LIGHT LAMPS FOUND BUSTED.</t>
        </is>
      </c>
      <c r="D1098" s="143">
        <v>1.0</v>
      </c>
      <c r="E1098" s="143">
        <v>0.0</v>
      </c>
      <c r="F1098" s="143">
        <v>5.0</v>
      </c>
      <c r="G1098" s="143">
        <v>125.5</v>
      </c>
      <c r="H1098" s="143" t="inlineStr">
        <is>
          <t xml:space="preserve">Closed</t>
        </is>
      </c>
      <c r="I1098" s="143" t="inlineStr">
        <is>
          <t xml:space="preserve">05-21</t>
        </is>
      </c>
      <c r="J1098" s="143"/>
    </row>
    <row r="1099" spans="1:10">
      <c r="A1099" s="143" t="inlineStr">
        <is>
          <t xml:space="preserve">987</t>
        </is>
      </c>
      <c r="B1099" s="143" t="inlineStr">
        <is>
          <t xml:space="preserve">32983929</t>
        </is>
      </c>
      <c r="C1099" s="143" t="inlineStr">
        <is>
          <t xml:space="preserve">PRE---HYD COMPT---NOCALLBACK---AP LOWER FUSELAGE R/H HYD COMPT ACCESS THROUG PANEL 196 BB, YELLOW ELECTRIC PUMP LOWER AREA FOUND WITH SIGN OF HYD LEAK.</t>
        </is>
      </c>
      <c r="D1099" s="143">
        <v>1.0</v>
      </c>
      <c r="E1099" s="143">
        <v>6.0</v>
      </c>
      <c r="F1099" s="143">
        <v>16.5</v>
      </c>
      <c r="G1099" s="143">
        <v>5.25</v>
      </c>
      <c r="H1099" s="143" t="inlineStr">
        <is>
          <t xml:space="preserve">Closed</t>
        </is>
      </c>
      <c r="I1099" s="143" t="inlineStr">
        <is>
          <t xml:space="preserve">05-21</t>
        </is>
      </c>
      <c r="J1099" s="143"/>
    </row>
    <row r="1100" spans="1:10">
      <c r="A1100" s="143" t="inlineStr">
        <is>
          <t xml:space="preserve">989</t>
        </is>
      </c>
      <c r="B1100" s="143" t="inlineStr">
        <is>
          <t xml:space="preserve">32983944</t>
        </is>
      </c>
      <c r="C1100" s="143" t="inlineStr">
        <is>
          <t xml:space="preserve">PRE---HYD COMPT---NOCALLBACK---AP LOWER FUSELAGE L/H HYD COMPT ACCESS THROUG PANEL 195 BB, FWD WALL R/H SIDE AIR COND PACK EXHAUST FITTING, 02 EA BOLTS FOUND LOOSE.</t>
        </is>
      </c>
      <c r="D1100" s="143">
        <v>1.0</v>
      </c>
      <c r="E1100" s="143">
        <v>6.0</v>
      </c>
      <c r="F1100" s="143">
        <v>0.02</v>
      </c>
      <c r="G1100" s="143">
        <v>0.02</v>
      </c>
      <c r="H1100" s="143" t="inlineStr">
        <is>
          <t xml:space="preserve">Closed</t>
        </is>
      </c>
      <c r="I1100" s="143" t="inlineStr">
        <is>
          <t xml:space="preserve">05-21</t>
        </is>
      </c>
      <c r="J1100" s="143"/>
    </row>
    <row r="1101" spans="1:10">
      <c r="A1101" s="143" t="inlineStr">
        <is>
          <t xml:space="preserve">990</t>
        </is>
      </c>
      <c r="B1101" s="143" t="inlineStr">
        <is>
          <t xml:space="preserve">32983950</t>
        </is>
      </c>
      <c r="C1101" s="143" t="inlineStr">
        <is>
          <t xml:space="preserve">PRE---HYD COMPT---NOCALLBACK---PNT LOWER FUSELAGE ACCESS THROUGH L/H AND R/H HYD COMPT PANELS 195 BB AND 196 BB INNER AREA EDGE AND CORNER FITTING FOUND WITH MISSING PAINT APPLICATION.</t>
        </is>
      </c>
      <c r="D1101" s="143">
        <v>1.0</v>
      </c>
      <c r="E1101" s="143">
        <v>4.0</v>
      </c>
      <c r="F1101" s="143">
        <v>4.0</v>
      </c>
      <c r="G1101" s="143">
        <v>2.0</v>
      </c>
      <c r="H1101" s="143" t="inlineStr">
        <is>
          <t xml:space="preserve">Closed</t>
        </is>
      </c>
      <c r="I1101" s="143" t="inlineStr">
        <is>
          <t xml:space="preserve">05-21</t>
        </is>
      </c>
      <c r="J1101" s="143"/>
    </row>
    <row r="1102" spans="1:10">
      <c r="A1102" s="143" t="inlineStr">
        <is>
          <t xml:space="preserve">991</t>
        </is>
      </c>
      <c r="B1102" s="143" t="inlineStr">
        <is>
          <t xml:space="preserve">32983948</t>
        </is>
      </c>
      <c r="C1102" s="143" t="inlineStr">
        <is>
          <t xml:space="preserve">OUTBOARD FIXED TRAILING EDGE STR---PNT---NO CALLBACK CHIPPED  PAINT ON THE LOWER SURFACE OF ALL SPOILERS</t>
        </is>
      </c>
      <c r="D1102" s="143">
        <v>1.0</v>
      </c>
      <c r="E1102" s="143">
        <v>6.0</v>
      </c>
      <c r="F1102" s="143">
        <v>32.5</v>
      </c>
      <c r="G1102" s="143">
        <v>408.9</v>
      </c>
      <c r="H1102" s="143" t="inlineStr">
        <is>
          <t xml:space="preserve">Closed</t>
        </is>
      </c>
      <c r="I1102" s="143" t="inlineStr">
        <is>
          <t xml:space="preserve">05-25</t>
        </is>
      </c>
      <c r="J1102" s="143"/>
    </row>
    <row r="1103" spans="1:10">
      <c r="A1103" s="143" t="inlineStr">
        <is>
          <t xml:space="preserve">992</t>
        </is>
      </c>
      <c r="B1103" s="143" t="inlineStr">
        <is>
          <t xml:space="preserve">32983996</t>
        </is>
      </c>
      <c r="C1103" s="143" t="inlineStr">
        <is>
          <t xml:space="preserve">CAB - NO CALLBACK - LIFE VESTS ALL LIFE VESTS WILL EXPIRE WITHIN 3 YEARS.</t>
        </is>
      </c>
      <c r="D1103" s="143">
        <v>1.0</v>
      </c>
      <c r="E1103" s="143">
        <v>8.5</v>
      </c>
      <c r="F1103" s="143">
        <v>11.0</v>
      </c>
      <c r="G1103" s="143">
        <v>26.5</v>
      </c>
      <c r="H1103" s="143" t="inlineStr">
        <is>
          <t xml:space="preserve">Closed</t>
        </is>
      </c>
      <c r="I1103" s="143">
        <v>25.0</v>
      </c>
      <c r="J1103" s="143"/>
    </row>
    <row r="1104" spans="1:10">
      <c r="A1104" s="143" t="inlineStr">
        <is>
          <t xml:space="preserve">993</t>
        </is>
      </c>
      <c r="B1104" s="143" t="inlineStr">
        <is>
          <t xml:space="preserve">32984016</t>
        </is>
      </c>
      <c r="C1104" s="143" t="inlineStr">
        <is>
          <t xml:space="preserve">OUTBOARD FIXED TRAILING EDGE STR---AP---NO CALLBACK 1EA BROKEN BONDING STRAP ON SPOILER 4 (INBOARD SIDE)</t>
        </is>
      </c>
      <c r="D1104" s="143">
        <v>1.0</v>
      </c>
      <c r="E1104" s="143">
        <v>3.0</v>
      </c>
      <c r="F1104" s="143">
        <v>9.33</v>
      </c>
      <c r="G1104" s="143">
        <v>166.6</v>
      </c>
      <c r="H1104" s="143" t="inlineStr">
        <is>
          <t xml:space="preserve">Closed</t>
        </is>
      </c>
      <c r="I1104" s="143" t="inlineStr">
        <is>
          <t xml:space="preserve">05-25</t>
        </is>
      </c>
      <c r="J1104" s="143"/>
    </row>
    <row r="1105" spans="1:10">
      <c r="A1105" s="143" t="inlineStr">
        <is>
          <t xml:space="preserve">994</t>
        </is>
      </c>
      <c r="B1105" s="143" t="inlineStr">
        <is>
          <t xml:space="preserve">32984140</t>
        </is>
      </c>
      <c r="C1105" s="143" t="inlineStr">
        <is>
          <t xml:space="preserve">AP---CALLBACK---RH ENG RH ENG I/B FAN COWL FWD LATCH CENTERING PIN CHAFFED</t>
        </is>
      </c>
      <c r="D1105" s="143">
        <v>1.0</v>
      </c>
      <c r="E1105" s="143">
        <v>6.0</v>
      </c>
      <c r="F1105" s="143">
        <v>10.33</v>
      </c>
      <c r="G1105" s="143">
        <v>243.0</v>
      </c>
      <c r="H1105" s="143" t="inlineStr">
        <is>
          <t xml:space="preserve">Closed</t>
        </is>
      </c>
      <c r="I1105" s="143" t="inlineStr">
        <is>
          <t xml:space="preserve">71-13</t>
        </is>
      </c>
      <c r="J1105" s="143"/>
    </row>
    <row r="1106" spans="1:10">
      <c r="A1106" s="143" t="inlineStr">
        <is>
          <t xml:space="preserve">995</t>
        </is>
      </c>
      <c r="B1106" s="143" t="inlineStr">
        <is>
          <t xml:space="preserve">32984158</t>
        </is>
      </c>
      <c r="C1106" s="143" t="inlineStr">
        <is>
          <t xml:space="preserve">PAINT---CALLBACK---LH ENG LH ENG FAN COWL RED LATCHES PAINT PEELED</t>
        </is>
      </c>
      <c r="D1106" s="143">
        <v>1.0</v>
      </c>
      <c r="E1106" s="143">
        <v>3.0</v>
      </c>
      <c r="F1106" s="143">
        <v>4.5</v>
      </c>
      <c r="G1106" s="143">
        <v>134.7</v>
      </c>
      <c r="H1106" s="143" t="inlineStr">
        <is>
          <t xml:space="preserve">Closed</t>
        </is>
      </c>
      <c r="I1106" s="143" t="inlineStr">
        <is>
          <t xml:space="preserve">71-13</t>
        </is>
      </c>
      <c r="J1106" s="143"/>
    </row>
    <row r="1107" spans="1:10">
      <c r="A1107" s="143" t="inlineStr">
        <is>
          <t xml:space="preserve">996</t>
        </is>
      </c>
      <c r="B1107" s="143" t="inlineStr">
        <is>
          <t xml:space="preserve">32984174</t>
        </is>
      </c>
      <c r="C1107" s="143" t="inlineStr">
        <is>
          <t xml:space="preserve">PRE---L/H WHEEL WELL---NOCALLBACK---AVN L/H MLG WHEEL WELL CEILING LIGHT 01 EA LAMP FOUND BUSTED.</t>
        </is>
      </c>
      <c r="D1107" s="143">
        <v>1.0</v>
      </c>
      <c r="E1107" s="143">
        <v>2.0</v>
      </c>
      <c r="F1107" s="143">
        <v>2.0</v>
      </c>
      <c r="G1107" s="143">
        <v>1.22</v>
      </c>
      <c r="H1107" s="143" t="inlineStr">
        <is>
          <t xml:space="preserve">Closed</t>
        </is>
      </c>
      <c r="I1107" s="143" t="inlineStr">
        <is>
          <t xml:space="preserve">05-21</t>
        </is>
      </c>
      <c r="J1107" s="143"/>
    </row>
    <row r="1108" spans="1:10">
      <c r="A1108" s="143" t="inlineStr">
        <is>
          <t xml:space="preserve">997</t>
        </is>
      </c>
      <c r="B1108" s="143" t="inlineStr">
        <is>
          <t xml:space="preserve">32984360</t>
        </is>
      </c>
      <c r="C1108" s="143" t="inlineStr">
        <is>
          <t xml:space="preserve">FLAP TRACK NO. 4 AND FAIRINGS---AP---NO CALLBACK 2EA AFT BONDING STRAP BROKEN ON FLAP TRACK NO. 4</t>
        </is>
      </c>
      <c r="D1108" s="143">
        <v>1.0</v>
      </c>
      <c r="E1108" s="143">
        <v>6.0</v>
      </c>
      <c r="F1108" s="143">
        <v>8.0</v>
      </c>
      <c r="G1108" s="143">
        <v>460.5</v>
      </c>
      <c r="H1108" s="143" t="inlineStr">
        <is>
          <t xml:space="preserve">Closed</t>
        </is>
      </c>
      <c r="I1108" s="143" t="inlineStr">
        <is>
          <t xml:space="preserve">05-25</t>
        </is>
      </c>
      <c r="J1108" s="143"/>
    </row>
    <row r="1109" spans="1:10">
      <c r="A1109" s="143" t="inlineStr">
        <is>
          <t xml:space="preserve">998</t>
        </is>
      </c>
      <c r="B1109" s="143" t="inlineStr">
        <is>
          <t xml:space="preserve">32984375</t>
        </is>
      </c>
      <c r="C1109" s="143" t="inlineStr">
        <is>
          <t xml:space="preserve">FLAP TRACK AND FAIRINGS---PNT---NO CALLBACK CHIPPED PAINT ON 533 AB, 532 AB PANEL</t>
        </is>
      </c>
      <c r="D1109" s="143">
        <v>1.0</v>
      </c>
      <c r="E1109" s="143">
        <v>4.0</v>
      </c>
      <c r="F1109" s="143">
        <v>4.0</v>
      </c>
      <c r="G1109" s="143">
        <v>2.0</v>
      </c>
      <c r="H1109" s="143" t="inlineStr">
        <is>
          <t xml:space="preserve">Closed</t>
        </is>
      </c>
      <c r="I1109" s="143" t="inlineStr">
        <is>
          <t xml:space="preserve">05-25</t>
        </is>
      </c>
      <c r="J1109" s="143"/>
    </row>
    <row r="1110" spans="1:10">
      <c r="A1110" s="143" t="inlineStr">
        <is>
          <t xml:space="preserve">999</t>
        </is>
      </c>
      <c r="B1110" s="143" t="inlineStr">
        <is>
          <t xml:space="preserve">32984263</t>
        </is>
      </c>
      <c r="C1110" s="143" t="inlineStr">
        <is>
          <t xml:space="preserve">FINDING (NRC) TASKCARD 25-SVA-03 (01) / ITEM ONE ALL B/C SEAT FOOTWELL ASSEMBLY REQUIRE REMOVE FOR ACCESS</t>
        </is>
      </c>
      <c r="D1110" s="143">
        <v>1.0</v>
      </c>
      <c r="E1110" s="143">
        <v>10.0</v>
      </c>
      <c r="F1110" s="143">
        <v>10.0</v>
      </c>
      <c r="G1110" s="143">
        <v>816.3</v>
      </c>
      <c r="H1110" s="143" t="inlineStr">
        <is>
          <t xml:space="preserve">Closed</t>
        </is>
      </c>
      <c r="I1110" s="143" t="inlineStr">
        <is>
          <t xml:space="preserve">25-21</t>
        </is>
      </c>
      <c r="J1110" s="143"/>
    </row>
    <row r="1111" spans="1:10">
      <c r="A1111" s="143" t="inlineStr">
        <is>
          <t xml:space="preserve">1000</t>
        </is>
      </c>
      <c r="B1111" s="143" t="inlineStr">
        <is>
          <t xml:space="preserve">32984479</t>
        </is>
      </c>
      <c r="C1111" s="143" t="inlineStr">
        <is>
          <t xml:space="preserve">INBOARD/OUTBOARD FIXED TRAILING EDGE STR---FS---CALLBACK REQ CLEANING OF INBOARD/OUTBOARD FIXED TRAILING EDGE STRUCTURE TO FACILITATE INSPECTION</t>
        </is>
      </c>
      <c r="D1111" s="143">
        <v>1.0</v>
      </c>
      <c r="E1111" s="143">
        <v>18.0</v>
      </c>
      <c r="F1111" s="143">
        <v>19.0</v>
      </c>
      <c r="G1111" s="143">
        <v>14.45</v>
      </c>
      <c r="H1111" s="143" t="inlineStr">
        <is>
          <t xml:space="preserve">Closed</t>
        </is>
      </c>
      <c r="I1111" s="143" t="inlineStr">
        <is>
          <t xml:space="preserve">05-25</t>
        </is>
      </c>
      <c r="J1111" s="143"/>
    </row>
    <row r="1112" spans="1:10">
      <c r="A1112" s="143" t="inlineStr">
        <is>
          <t xml:space="preserve">1001</t>
        </is>
      </c>
      <c r="B1112" s="143" t="inlineStr">
        <is>
          <t xml:space="preserve">32984513</t>
        </is>
      </c>
      <c r="C1112" s="143" t="inlineStr">
        <is>
          <t xml:space="preserve">R/H INBOARD/OUTBOARD FIXED L/E STRUCTURE---FS---CALLBACK REQ CLEANING OF R/H INBOARD/OUTBOARD FIXED L/E STRUCTURE TO FACILITATE INSPECTION</t>
        </is>
      </c>
      <c r="D1112" s="143">
        <v>1.0</v>
      </c>
      <c r="E1112" s="143">
        <v>18.0</v>
      </c>
      <c r="F1112" s="143">
        <v>18.25</v>
      </c>
      <c r="G1112" s="143">
        <v>23.07</v>
      </c>
      <c r="H1112" s="143" t="inlineStr">
        <is>
          <t xml:space="preserve">Closed</t>
        </is>
      </c>
      <c r="I1112" s="143" t="inlineStr">
        <is>
          <t xml:space="preserve">05-25</t>
        </is>
      </c>
      <c r="J1112" s="143"/>
    </row>
    <row r="1113" spans="1:10">
      <c r="A1113" s="143" t="inlineStr">
        <is>
          <t xml:space="preserve">1002</t>
        </is>
      </c>
      <c r="B1113" s="143" t="inlineStr">
        <is>
          <t xml:space="preserve">32984550</t>
        </is>
      </c>
      <c r="C1113" s="143" t="inlineStr">
        <is>
          <t xml:space="preserve">R/H INBOARD/OUTBOARD FIXED T/E STRUCTURE---FS---CALLBACK REQ CLEANING OF R/H INBOARD/OUTBOARD FIXED T/E STRUCTURE TO FACILITATE INSPECTION</t>
        </is>
      </c>
      <c r="D1113" s="143">
        <v>1.0</v>
      </c>
      <c r="E1113" s="143">
        <v>18.0</v>
      </c>
      <c r="F1113" s="143">
        <v>19.0</v>
      </c>
      <c r="G1113" s="143">
        <v>14.48</v>
      </c>
      <c r="H1113" s="143" t="inlineStr">
        <is>
          <t xml:space="preserve">Closed</t>
        </is>
      </c>
      <c r="I1113" s="143" t="inlineStr">
        <is>
          <t xml:space="preserve">05-25</t>
        </is>
      </c>
      <c r="J1113" s="143"/>
    </row>
    <row r="1114" spans="1:10">
      <c r="A1114" s="143" t="inlineStr">
        <is>
          <t xml:space="preserve">1003</t>
        </is>
      </c>
      <c r="B1114" s="143" t="inlineStr">
        <is>
          <t xml:space="preserve">32984585</t>
        </is>
      </c>
      <c r="C1114" s="143" t="inlineStr">
        <is>
          <t xml:space="preserve">FINDING (NRC) TASKCARD 25-SVA-03 (01) / ITEM ONE ALL B/C SEAT PANEL ASSEMBLY - ACCESS REQUIRE REMOVE FOR ACCESS</t>
        </is>
      </c>
      <c r="D1114" s="143">
        <v>1.0</v>
      </c>
      <c r="E1114" s="143">
        <v>12.0</v>
      </c>
      <c r="F1114" s="143">
        <v>12.0</v>
      </c>
      <c r="G1114" s="143">
        <v>844.8</v>
      </c>
      <c r="H1114" s="143" t="inlineStr">
        <is>
          <t xml:space="preserve">Closed</t>
        </is>
      </c>
      <c r="I1114" s="143" t="inlineStr">
        <is>
          <t xml:space="preserve">25-21</t>
        </is>
      </c>
      <c r="J1114" s="143"/>
    </row>
    <row r="1115" spans="1:10">
      <c r="A1115" s="143" t="inlineStr">
        <is>
          <t xml:space="preserve">1004</t>
        </is>
      </c>
      <c r="B1115" s="143" t="inlineStr">
        <is>
          <t xml:space="preserve">32984729</t>
        </is>
      </c>
      <c r="C1115" s="143" t="inlineStr">
        <is>
          <t xml:space="preserve">CAB - NO CALLBACK - AFT GALLEY AFT GALLEY COUNTERTOP SEALANT DETERIORATED.</t>
        </is>
      </c>
      <c r="D1115" s="143">
        <v>1.0</v>
      </c>
      <c r="E1115" s="143">
        <v>3.0</v>
      </c>
      <c r="F1115" s="143">
        <v>2.5</v>
      </c>
      <c r="G1115" s="143">
        <v>2.5</v>
      </c>
      <c r="H1115" s="143" t="inlineStr">
        <is>
          <t xml:space="preserve">Closed</t>
        </is>
      </c>
      <c r="I1115" s="143">
        <v>25.0</v>
      </c>
      <c r="J1115" s="143"/>
    </row>
    <row r="1116" spans="1:10">
      <c r="A1116" s="143" t="inlineStr">
        <is>
          <t xml:space="preserve">1005</t>
        </is>
      </c>
      <c r="B1116" s="143" t="inlineStr">
        <is>
          <t xml:space="preserve">32984742</t>
        </is>
      </c>
      <c r="C1116" s="143" t="inlineStr">
        <is>
          <t xml:space="preserve">CAB - NO CALLBACK - AFT GALLEY AFT 7 EA LONG AND 7 EA SHORT CART TURN CATCHES PAINT DETERIORATED.</t>
        </is>
      </c>
      <c r="D1116" s="143">
        <v>1.0</v>
      </c>
      <c r="E1116" s="143">
        <v>2.0</v>
      </c>
      <c r="F1116" s="143">
        <v>3.0</v>
      </c>
      <c r="G1116" s="143">
        <v>2.0</v>
      </c>
      <c r="H1116" s="143" t="inlineStr">
        <is>
          <t xml:space="preserve">Closed</t>
        </is>
      </c>
      <c r="I1116" s="143">
        <v>25.0</v>
      </c>
      <c r="J1116" s="143"/>
    </row>
    <row r="1117" spans="1:10">
      <c r="A1117" s="143" t="inlineStr">
        <is>
          <t xml:space="preserve">1006</t>
        </is>
      </c>
      <c r="B1117" s="143" t="inlineStr">
        <is>
          <t xml:space="preserve">32984765</t>
        </is>
      </c>
      <c r="C1117" s="143" t="inlineStr">
        <is>
          <t xml:space="preserve">CAB - NO CALLBACK - AFT GALLEY AFT GALLEY COMPT. 517 UPPER COVER IS MISSING.</t>
        </is>
      </c>
      <c r="D1117" s="143">
        <v>1.0</v>
      </c>
      <c r="E1117" s="143">
        <v>2.0</v>
      </c>
      <c r="F1117" s="143">
        <v>2.0</v>
      </c>
      <c r="G1117" s="143">
        <v>2.0</v>
      </c>
      <c r="H1117" s="143" t="inlineStr">
        <is>
          <t xml:space="preserve">Closed</t>
        </is>
      </c>
      <c r="I1117" s="143">
        <v>25.0</v>
      </c>
      <c r="J1117" s="143"/>
    </row>
    <row r="1118" spans="1:10">
      <c r="A1118" s="143" t="inlineStr">
        <is>
          <t xml:space="preserve">1007</t>
        </is>
      </c>
      <c r="B1118" s="143" t="inlineStr">
        <is>
          <t xml:space="preserve">32984781</t>
        </is>
      </c>
      <c r="C1118" s="143" t="inlineStr">
        <is>
          <t xml:space="preserve">CAB - NO CALLBACK - FWD GALLEY G1 GALLEY 4 EA LONG AND 4 EA SMALL CART TURN CATCHES PAINT DETERIORATED.</t>
        </is>
      </c>
      <c r="D1118" s="143">
        <v>1.0</v>
      </c>
      <c r="E1118" s="143">
        <v>2.0</v>
      </c>
      <c r="F1118" s="143">
        <v>3.0</v>
      </c>
      <c r="G1118" s="143">
        <v>3.0</v>
      </c>
      <c r="H1118" s="143" t="inlineStr">
        <is>
          <t xml:space="preserve">Closed</t>
        </is>
      </c>
      <c r="I1118" s="143">
        <v>25.0</v>
      </c>
      <c r="J1118" s="143"/>
    </row>
    <row r="1119" spans="1:10">
      <c r="A1119" s="143" t="inlineStr">
        <is>
          <t xml:space="preserve">1008</t>
        </is>
      </c>
      <c r="B1119" s="143" t="inlineStr">
        <is>
          <t xml:space="preserve">32984766</t>
        </is>
      </c>
      <c r="C1119" s="143" t="inlineStr">
        <is>
          <t xml:space="preserve">CABIN AREA -AV -NO CALL BACK (NRC) TASKCARD 25-SVA-02 (01) / ITEM ONE PSU LIGTH COVER NOT SECUERD ABOVE SEAT 32C,38L</t>
        </is>
      </c>
      <c r="D1119" s="143">
        <v>1.0</v>
      </c>
      <c r="E1119" s="143">
        <v>2.0</v>
      </c>
      <c r="F1119" s="143">
        <v>6.0</v>
      </c>
      <c r="G1119" s="143">
        <v>2.32</v>
      </c>
      <c r="H1119" s="143" t="inlineStr">
        <is>
          <t xml:space="preserve">Closed</t>
        </is>
      </c>
      <c r="I1119" s="143">
        <v>25.0</v>
      </c>
      <c r="J1119" s="143"/>
    </row>
    <row r="1120" spans="1:10">
      <c r="A1120" s="143" t="inlineStr">
        <is>
          <t xml:space="preserve">1010</t>
        </is>
      </c>
      <c r="B1120" s="143" t="inlineStr">
        <is>
          <t xml:space="preserve">32984820</t>
        </is>
      </c>
      <c r="C1120" s="143" t="inlineStr">
        <is>
          <t xml:space="preserve">CABIN AREA -AV -NO CALL BACK (NRC) TASKCARD 25-SVA-02 (01) / ITEM ONE PSU SEAT BELT LIGTH INOP AT ABOVE SEAT NO 43K</t>
        </is>
      </c>
      <c r="D1120" s="143">
        <v>1.0</v>
      </c>
      <c r="E1120" s="143">
        <v>2.0</v>
      </c>
      <c r="F1120" s="143">
        <v>6.0</v>
      </c>
      <c r="G1120" s="143">
        <v>2.37</v>
      </c>
      <c r="H1120" s="143" t="inlineStr">
        <is>
          <t xml:space="preserve">Closed</t>
        </is>
      </c>
      <c r="I1120" s="143">
        <v>25.0</v>
      </c>
      <c r="J1120" s="143"/>
    </row>
    <row r="1121" spans="1:10">
      <c r="A1121" s="143" t="inlineStr">
        <is>
          <t xml:space="preserve">1011</t>
        </is>
      </c>
      <c r="B1121" s="143" t="inlineStr">
        <is>
          <t xml:space="preserve">32984829</t>
        </is>
      </c>
      <c r="C1121" s="143" t="inlineStr">
        <is>
          <t xml:space="preserve">CAB - NO CALLBACK - G2 GALLEY G2 GALLEY 4 EA LONG AND 4 EA SMALL CART TURN CATCHES PAINT DETERIORATED.</t>
        </is>
      </c>
      <c r="D1121" s="143">
        <v>1.0</v>
      </c>
      <c r="E1121" s="143">
        <v>2.0</v>
      </c>
      <c r="F1121" s="143">
        <v>3.0</v>
      </c>
      <c r="G1121" s="143">
        <v>3.0</v>
      </c>
      <c r="H1121" s="143" t="inlineStr">
        <is>
          <t xml:space="preserve">Closed</t>
        </is>
      </c>
      <c r="I1121" s="143">
        <v>25.0</v>
      </c>
      <c r="J1121" s="143"/>
    </row>
    <row r="1122" spans="1:10">
      <c r="A1122" s="143" t="inlineStr">
        <is>
          <t xml:space="preserve">1012</t>
        </is>
      </c>
      <c r="B1122" s="143" t="inlineStr">
        <is>
          <t xml:space="preserve">32984848</t>
        </is>
      </c>
      <c r="C1122" s="143" t="inlineStr">
        <is>
          <t xml:space="preserve">SM - NO CALLBACK - GALLEY G2 G2 GALLEY COMP.  205, 202, AND 209 MISSING STRIKER.</t>
        </is>
      </c>
      <c r="D1122" s="143">
        <v>1.0</v>
      </c>
      <c r="E1122" s="143">
        <v>0.0</v>
      </c>
      <c r="F1122" s="143">
        <v>21.83</v>
      </c>
      <c r="G1122" s="143">
        <v>566.2</v>
      </c>
      <c r="H1122" s="143" t="inlineStr">
        <is>
          <t xml:space="preserve">Closed</t>
        </is>
      </c>
      <c r="I1122" s="143" t="inlineStr">
        <is>
          <t xml:space="preserve">25-10</t>
        </is>
      </c>
      <c r="J1122" s="143"/>
    </row>
    <row r="1123" spans="1:10">
      <c r="A1123" s="143" t="inlineStr">
        <is>
          <t xml:space="preserve">1013</t>
        </is>
      </c>
      <c r="B1123" s="143" t="inlineStr">
        <is>
          <t xml:space="preserve">32984883</t>
        </is>
      </c>
      <c r="C1123" s="143" t="inlineStr">
        <is>
          <t xml:space="preserve">PNT - NO CALLBACK - LAV A LAV A BABY NUSRING TABLE PAINT FADED.</t>
        </is>
      </c>
      <c r="D1123" s="143">
        <v>1.0</v>
      </c>
      <c r="E1123" s="143">
        <v>4.0</v>
      </c>
      <c r="F1123" s="143">
        <v>4.0</v>
      </c>
      <c r="G1123" s="143">
        <v>4.0</v>
      </c>
      <c r="H1123" s="143" t="inlineStr">
        <is>
          <t xml:space="preserve">Closed</t>
        </is>
      </c>
      <c r="I1123" s="143" t="inlineStr">
        <is>
          <t xml:space="preserve">25-10</t>
        </is>
      </c>
      <c r="J1123" s="143"/>
    </row>
    <row r="1124" spans="1:10">
      <c r="A1124" s="143" t="inlineStr">
        <is>
          <t xml:space="preserve">1015</t>
        </is>
      </c>
      <c r="B1124" s="143" t="inlineStr">
        <is>
          <t xml:space="preserve">32984905</t>
        </is>
      </c>
      <c r="C1124" s="143" t="inlineStr">
        <is>
          <t xml:space="preserve">PNT - NO CALLBACK - LAV A LAV A DECAL "PLEASE LOCK THE DOOR" AND FINE DECAL DISCOLORED.</t>
        </is>
      </c>
      <c r="D1124" s="143">
        <v>1.0</v>
      </c>
      <c r="E1124" s="143">
        <v>2.0</v>
      </c>
      <c r="F1124" s="143">
        <v>2.0</v>
      </c>
      <c r="G1124" s="143">
        <v>1.0</v>
      </c>
      <c r="H1124" s="143" t="inlineStr">
        <is>
          <t xml:space="preserve">Closed</t>
        </is>
      </c>
      <c r="I1124" s="143" t="inlineStr">
        <is>
          <t xml:space="preserve">25-10</t>
        </is>
      </c>
      <c r="J1124" s="143"/>
    </row>
    <row r="1125" spans="1:10">
      <c r="A1125" s="143" t="inlineStr">
        <is>
          <t xml:space="preserve">1016</t>
        </is>
      </c>
      <c r="B1125" s="143" t="inlineStr">
        <is>
          <t xml:space="preserve">32984942</t>
        </is>
      </c>
      <c r="C1125" s="143" t="inlineStr">
        <is>
          <t xml:space="preserve">FLAP TRACK NO. 3 AND FAIRING---FS---NO CALLBACK DURING INSP, FOUND FLAP TRACK NO. 3 FAIRINGS UPPER SURFACE DIRTY</t>
        </is>
      </c>
      <c r="D1125" s="143">
        <v>1.0</v>
      </c>
      <c r="E1125" s="143">
        <v>8.0</v>
      </c>
      <c r="F1125" s="143">
        <v>10.67</v>
      </c>
      <c r="G1125" s="143">
        <v>6.68</v>
      </c>
      <c r="H1125" s="143" t="inlineStr">
        <is>
          <t xml:space="preserve">Closed</t>
        </is>
      </c>
      <c r="I1125" s="143" t="inlineStr">
        <is>
          <t xml:space="preserve">05-25</t>
        </is>
      </c>
      <c r="J1125" s="143"/>
    </row>
    <row r="1126" spans="1:10">
      <c r="A1126" s="143" t="inlineStr">
        <is>
          <t xml:space="preserve">1017</t>
        </is>
      </c>
      <c r="B1126" s="143" t="inlineStr">
        <is>
          <t xml:space="preserve">32984945</t>
        </is>
      </c>
      <c r="C1126" s="143" t="inlineStr">
        <is>
          <t xml:space="preserve">PNT - NO CALLBACK - GALLEY G2 GALLEY G2 COMP. 209 DOOR PAINT CHIPPED.</t>
        </is>
      </c>
      <c r="D1126" s="143">
        <v>1.0</v>
      </c>
      <c r="E1126" s="143">
        <v>3.0</v>
      </c>
      <c r="F1126" s="143">
        <v>4.02</v>
      </c>
      <c r="G1126" s="143">
        <v>4.02</v>
      </c>
      <c r="H1126" s="143" t="inlineStr">
        <is>
          <t xml:space="preserve">Closed</t>
        </is>
      </c>
      <c r="I1126" s="143" t="inlineStr">
        <is>
          <t xml:space="preserve">25-10</t>
        </is>
      </c>
      <c r="J1126" s="143"/>
    </row>
    <row r="1127" spans="1:10">
      <c r="A1127" s="143" t="inlineStr">
        <is>
          <t xml:space="preserve">1018</t>
        </is>
      </c>
      <c r="B1127" s="143" t="inlineStr">
        <is>
          <t xml:space="preserve">32984975</t>
        </is>
      </c>
      <c r="C1127" s="143" t="inlineStr">
        <is>
          <t xml:space="preserve">PRE---APU COMPT---NOCALLBACK---AP APU COMPT, EXHAUST BELLOW AFT CLAMP FOUND LOOSE.</t>
        </is>
      </c>
      <c r="D1127" s="143">
        <v>1.0</v>
      </c>
      <c r="E1127" s="143">
        <v>6.0</v>
      </c>
      <c r="F1127" s="143">
        <v>2.0</v>
      </c>
      <c r="G1127" s="143">
        <v>2.0</v>
      </c>
      <c r="H1127" s="143" t="inlineStr">
        <is>
          <t xml:space="preserve">Closed</t>
        </is>
      </c>
      <c r="I1127" s="143" t="inlineStr">
        <is>
          <t xml:space="preserve">05-23</t>
        </is>
      </c>
      <c r="J1127" s="143"/>
    </row>
    <row r="1128" spans="1:10">
      <c r="A1128" s="143" t="inlineStr">
        <is>
          <t xml:space="preserve">1019</t>
        </is>
      </c>
      <c r="B1128" s="143" t="inlineStr">
        <is>
          <t xml:space="preserve">32984986</t>
        </is>
      </c>
      <c r="C1128" s="143" t="inlineStr">
        <is>
          <t xml:space="preserve">AP---CALLBACK---ENG. 1 EGT THERMOCOUPLE CHAFFED AT ENG. 1 AT 12 O`CLOCK</t>
        </is>
      </c>
      <c r="D1128" s="143">
        <v>1.0</v>
      </c>
      <c r="E1128" s="143">
        <v>8.0</v>
      </c>
      <c r="F1128" s="143">
        <v>21.5</v>
      </c>
      <c r="G1128" s="143">
        <v>47.3</v>
      </c>
      <c r="H1128" s="143" t="inlineStr">
        <is>
          <t xml:space="preserve">Closed</t>
        </is>
      </c>
      <c r="I1128" s="143" t="inlineStr">
        <is>
          <t xml:space="preserve">05-24</t>
        </is>
      </c>
      <c r="J1128" s="143"/>
    </row>
    <row r="1129" spans="1:10">
      <c r="A1129" s="143" t="inlineStr">
        <is>
          <t xml:space="preserve">1020</t>
        </is>
      </c>
      <c r="B1129" s="143" t="inlineStr">
        <is>
          <t xml:space="preserve">32984983</t>
        </is>
      </c>
      <c r="C1129" s="143" t="inlineStr">
        <is>
          <t xml:space="preserve">PRE---APU COMPT---RII---AP APU COMPT, AFT WALL LOWER AREA, 02 EA POINTS FIRE SEAL FOUND WITH CUT AND PUNCTURE.</t>
        </is>
      </c>
      <c r="D1129" s="143">
        <v>1.0</v>
      </c>
      <c r="E1129" s="143">
        <v>8.0</v>
      </c>
      <c r="F1129" s="143">
        <v>15.5</v>
      </c>
      <c r="G1129" s="143">
        <v>74.3</v>
      </c>
      <c r="H1129" s="143" t="inlineStr">
        <is>
          <t xml:space="preserve">Closed</t>
        </is>
      </c>
      <c r="I1129" s="143" t="inlineStr">
        <is>
          <t xml:space="preserve">05-23</t>
        </is>
      </c>
      <c r="J1129" s="143"/>
    </row>
    <row r="1130" spans="1:10">
      <c r="A1130" s="143" t="inlineStr">
        <is>
          <t xml:space="preserve">1022</t>
        </is>
      </c>
      <c r="B1130" s="143" t="inlineStr">
        <is>
          <t xml:space="preserve">32985009</t>
        </is>
      </c>
      <c r="C1130" s="143" t="inlineStr">
        <is>
          <t xml:space="preserve">PRE---APU COMPT---NOCALLBACK---AVN APU COMPT, FWD WALL ILLUMINATION LIGHT, 02 EA LAMPS FOUND BUSTED.</t>
        </is>
      </c>
      <c r="D1130" s="143">
        <v>1.0</v>
      </c>
      <c r="E1130" s="143">
        <v>0.0</v>
      </c>
      <c r="F1130" s="143">
        <v>4.0</v>
      </c>
      <c r="G1130" s="143">
        <v>124.5</v>
      </c>
      <c r="H1130" s="143" t="inlineStr">
        <is>
          <t xml:space="preserve">Closed</t>
        </is>
      </c>
      <c r="I1130" s="143" t="inlineStr">
        <is>
          <t xml:space="preserve">05-23</t>
        </is>
      </c>
      <c r="J1130" s="143"/>
    </row>
    <row r="1131" spans="1:10">
      <c r="A1131" s="143" t="inlineStr">
        <is>
          <t xml:space="preserve">1023</t>
        </is>
      </c>
      <c r="B1131" s="143" t="inlineStr">
        <is>
          <t xml:space="preserve">32984981</t>
        </is>
      </c>
      <c r="C1131" s="143" t="inlineStr">
        <is>
          <t xml:space="preserve">DBC/DOCUMENT S51-R10008- RH WING --RII--SM REF TO WO#22`044`538  DURING DBC REVIEW FOUND THE FOLLOWING  RH WING INBOARD T/EDGE FLAP ASSY T/EDGE WEDGE LOWER EXTERIOR SURFACE ZONE 2 WITH 5 EACH SMALL DENTS LOCATED BETWEEN FLAP RIB STATION 3 TO 6. DE...</t>
        </is>
      </c>
      <c r="D1131" s="143">
        <v>1.0</v>
      </c>
      <c r="E1131" s="143">
        <v>4.0</v>
      </c>
      <c r="F1131" s="143">
        <v>5.28</v>
      </c>
      <c r="G1131" s="143">
        <v>269.5</v>
      </c>
      <c r="H1131" s="143" t="inlineStr">
        <is>
          <t xml:space="preserve">Closed</t>
        </is>
      </c>
      <c r="I1131" s="143">
        <v>51.0</v>
      </c>
      <c r="J1131" s="143"/>
    </row>
    <row r="1132" spans="1:10">
      <c r="A1132" s="143" t="inlineStr">
        <is>
          <t xml:space="preserve">1024</t>
        </is>
      </c>
      <c r="B1132" s="143" t="inlineStr">
        <is>
          <t xml:space="preserve">32985016</t>
        </is>
      </c>
      <c r="C1132" s="143" t="inlineStr">
        <is>
          <t xml:space="preserve">PRE---APU COMPT---RII---AP APU COMPT, FWD L/H AND R/H APU MOUNT ISOLATER BOLT HEADS FOUND RUSTY.</t>
        </is>
      </c>
      <c r="D1132" s="143">
        <v>1.0</v>
      </c>
      <c r="E1132" s="143">
        <v>8.0</v>
      </c>
      <c r="F1132" s="143">
        <v>2.92</v>
      </c>
      <c r="G1132" s="143">
        <v>4.17</v>
      </c>
      <c r="H1132" s="143" t="inlineStr">
        <is>
          <t xml:space="preserve">Closed</t>
        </is>
      </c>
      <c r="I1132" s="143" t="inlineStr">
        <is>
          <t xml:space="preserve">05-23</t>
        </is>
      </c>
      <c r="J1132" s="143"/>
    </row>
    <row r="1133" spans="1:10">
      <c r="A1133" s="143" t="inlineStr">
        <is>
          <t xml:space="preserve">1025</t>
        </is>
      </c>
      <c r="B1133" s="143" t="inlineStr">
        <is>
          <t xml:space="preserve">32985033</t>
        </is>
      </c>
      <c r="C1133" s="143" t="inlineStr">
        <is>
          <t xml:space="preserve">PRE---APU COMPT---NOCALLBACK---AP APU COMPT, R/H DOOR FWD INNER EDGE SEALANT FOUND DETACHED.</t>
        </is>
      </c>
      <c r="D1133" s="143">
        <v>1.0</v>
      </c>
      <c r="E1133" s="143">
        <v>8.0</v>
      </c>
      <c r="F1133" s="143">
        <v>7.5</v>
      </c>
      <c r="G1133" s="143">
        <v>8.57</v>
      </c>
      <c r="H1133" s="143" t="inlineStr">
        <is>
          <t xml:space="preserve">Closed</t>
        </is>
      </c>
      <c r="I1133" s="143" t="inlineStr">
        <is>
          <t xml:space="preserve">05-23</t>
        </is>
      </c>
      <c r="J1133" s="143"/>
    </row>
    <row r="1134" spans="1:10">
      <c r="A1134" s="143" t="inlineStr">
        <is>
          <t xml:space="preserve">1026</t>
        </is>
      </c>
      <c r="B1134" s="143" t="inlineStr">
        <is>
          <t xml:space="preserve">32985022</t>
        </is>
      </c>
      <c r="C1134" s="143" t="inlineStr">
        <is>
          <t xml:space="preserve">--SM--NO CALL BACK FROZEN SCREWS REQUIRE REMOVAL FOUND ON PANELS, 192LB,191JB,191GB AND 192AB</t>
        </is>
      </c>
      <c r="D1134" s="143">
        <v>1.0</v>
      </c>
      <c r="E1134" s="143">
        <v>4.0</v>
      </c>
      <c r="F1134" s="143">
        <v>3.0</v>
      </c>
      <c r="G1134" s="143">
        <v>1.5</v>
      </c>
      <c r="H1134" s="143" t="inlineStr">
        <is>
          <t xml:space="preserve">Closed</t>
        </is>
      </c>
      <c r="I1134" s="143" t="inlineStr">
        <is>
          <t xml:space="preserve">53-79</t>
        </is>
      </c>
      <c r="J1134" s="143"/>
    </row>
    <row r="1135" spans="1:10">
      <c r="A1135" s="143" t="inlineStr">
        <is>
          <t xml:space="preserve">1027</t>
        </is>
      </c>
      <c r="B1135" s="143" t="inlineStr">
        <is>
          <t xml:space="preserve">32985067</t>
        </is>
      </c>
      <c r="C1135" s="143" t="inlineStr">
        <is>
          <t xml:space="preserve">CAB - NO CALLBACK - G1 GALLEY G1 GALLEY WORK SLIDING TABLE STUCK.</t>
        </is>
      </c>
      <c r="D1135" s="143">
        <v>1.0</v>
      </c>
      <c r="E1135" s="143">
        <v>2.0</v>
      </c>
      <c r="F1135" s="143">
        <v>0.5</v>
      </c>
      <c r="G1135" s="143">
        <v>0.5</v>
      </c>
      <c r="H1135" s="143" t="inlineStr">
        <is>
          <t xml:space="preserve">Closed</t>
        </is>
      </c>
      <c r="I1135" s="143">
        <v>25.0</v>
      </c>
      <c r="J1135" s="143"/>
    </row>
    <row r="1136" spans="1:10">
      <c r="A1136" s="143" t="inlineStr">
        <is>
          <t xml:space="preserve">1028</t>
        </is>
      </c>
      <c r="B1136" s="143" t="inlineStr">
        <is>
          <t xml:space="preserve">32985066</t>
        </is>
      </c>
      <c r="C1136" s="143" t="inlineStr">
        <is>
          <t xml:space="preserve">PRE---TAIL SECTION---NOCALLBACK---AVN AFT FUSELAGE TAIL SECTION, STROBE LIGHT LENSE FOUND FOGGY AND DIRTY.</t>
        </is>
      </c>
      <c r="D1136" s="143">
        <v>1.0</v>
      </c>
      <c r="E1136" s="143">
        <v>4.0</v>
      </c>
      <c r="F1136" s="143">
        <v>11.0</v>
      </c>
      <c r="G1136" s="143">
        <v>152.7</v>
      </c>
      <c r="H1136" s="143" t="inlineStr">
        <is>
          <t xml:space="preserve">Closed</t>
        </is>
      </c>
      <c r="I1136" s="143" t="inlineStr">
        <is>
          <t xml:space="preserve">05-23</t>
        </is>
      </c>
      <c r="J1136" s="143"/>
    </row>
    <row r="1137" spans="1:10">
      <c r="A1137" s="143" t="inlineStr">
        <is>
          <t xml:space="preserve">1029</t>
        </is>
      </c>
      <c r="B1137" s="143" t="inlineStr">
        <is>
          <t xml:space="preserve">32985072</t>
        </is>
      </c>
      <c r="C1137" s="143" t="inlineStr">
        <is>
          <t xml:space="preserve">PRE---TAIL SECTION---NOCALLBACK---PNT AFT FUSELAGE TAIL SECTION, TAIL CONE IDENTIFICATION DECAL FOUND FADED AND WORNOUT.</t>
        </is>
      </c>
      <c r="D1137" s="143">
        <v>1.0</v>
      </c>
      <c r="E1137" s="143">
        <v>2.0</v>
      </c>
      <c r="F1137" s="143">
        <v>2.5</v>
      </c>
      <c r="G1137" s="143">
        <v>359.8</v>
      </c>
      <c r="H1137" s="143" t="inlineStr">
        <is>
          <t xml:space="preserve">Closed</t>
        </is>
      </c>
      <c r="I1137" s="143" t="inlineStr">
        <is>
          <t xml:space="preserve">05-23</t>
        </is>
      </c>
      <c r="J1137" s="143"/>
    </row>
    <row r="1138" spans="1:10">
      <c r="A1138" s="143" t="inlineStr">
        <is>
          <t xml:space="preserve">1030</t>
        </is>
      </c>
      <c r="B1138" s="143" t="inlineStr">
        <is>
          <t xml:space="preserve">32985083</t>
        </is>
      </c>
      <c r="C1138" s="143" t="inlineStr">
        <is>
          <t xml:space="preserve">CAB - NO CALLBACK - G1 GALLEY G1 GALLEY COUNTERTOP SEALANT DETERIORATED.</t>
        </is>
      </c>
      <c r="D1138" s="143">
        <v>1.0</v>
      </c>
      <c r="E1138" s="143">
        <v>2.0</v>
      </c>
      <c r="F1138" s="143">
        <v>4.5</v>
      </c>
      <c r="G1138" s="143">
        <v>2.5</v>
      </c>
      <c r="H1138" s="143" t="inlineStr">
        <is>
          <t xml:space="preserve">Closed</t>
        </is>
      </c>
      <c r="I1138" s="143">
        <v>25.0</v>
      </c>
      <c r="J1138" s="143"/>
    </row>
    <row r="1139" spans="1:10">
      <c r="A1139" s="143" t="inlineStr">
        <is>
          <t xml:space="preserve">1031</t>
        </is>
      </c>
      <c r="B1139" s="143" t="inlineStr">
        <is>
          <t xml:space="preserve">32985088</t>
        </is>
      </c>
      <c r="C1139" s="143" t="inlineStr">
        <is>
          <t xml:space="preserve">CAB - NO CALLBACK - G2 GALLEY G2 GALLEY COUNTERTOP SEALANT DETERIORATED.</t>
        </is>
      </c>
      <c r="D1139" s="143">
        <v>1.0</v>
      </c>
      <c r="E1139" s="143">
        <v>2.0</v>
      </c>
      <c r="F1139" s="143">
        <v>4.5</v>
      </c>
      <c r="G1139" s="143">
        <v>2.5</v>
      </c>
      <c r="H1139" s="143" t="inlineStr">
        <is>
          <t xml:space="preserve">Closed</t>
        </is>
      </c>
      <c r="I1139" s="143">
        <v>25.0</v>
      </c>
      <c r="J1139" s="143"/>
    </row>
    <row r="1140" spans="1:10">
      <c r="A1140" s="143" t="inlineStr">
        <is>
          <t xml:space="preserve">1032</t>
        </is>
      </c>
      <c r="B1140" s="143" t="inlineStr">
        <is>
          <t xml:space="preserve">32985081</t>
        </is>
      </c>
      <c r="C1140" s="143" t="inlineStr">
        <is>
          <t xml:space="preserve">PRE---TAIL SECTION---NOCALLBACK---PNT AFT FUSELAGE TAIL SECTION, TAIL CONE HOIST POINT COVERS FOUND MISSING AND WORNOUT.</t>
        </is>
      </c>
      <c r="D1140" s="143">
        <v>1.0</v>
      </c>
      <c r="E1140" s="143">
        <v>2.0</v>
      </c>
      <c r="F1140" s="143">
        <v>2.0</v>
      </c>
      <c r="G1140" s="143">
        <v>2.0</v>
      </c>
      <c r="H1140" s="143" t="inlineStr">
        <is>
          <t xml:space="preserve">Closed</t>
        </is>
      </c>
      <c r="I1140" s="143" t="inlineStr">
        <is>
          <t xml:space="preserve">05-24</t>
        </is>
      </c>
      <c r="J1140" s="143"/>
    </row>
    <row r="1141" spans="1:10">
      <c r="A1141" s="143" t="inlineStr">
        <is>
          <t xml:space="preserve">1033</t>
        </is>
      </c>
      <c r="B1141" s="143" t="inlineStr">
        <is>
          <t xml:space="preserve">32985124</t>
        </is>
      </c>
      <c r="C1141" s="143" t="inlineStr">
        <is>
          <t xml:space="preserve">PRE---TAIL SECTION---RII---AP APU FIRE BOTTLE DISCHARGE DISK FOUND FADED AND WORNOUT.</t>
        </is>
      </c>
      <c r="D1141" s="143">
        <v>1.0</v>
      </c>
      <c r="E1141" s="143">
        <v>8.0</v>
      </c>
      <c r="F1141" s="143">
        <v>3.5</v>
      </c>
      <c r="G1141" s="143">
        <v>1.83</v>
      </c>
      <c r="H1141" s="143" t="inlineStr">
        <is>
          <t xml:space="preserve">Closed</t>
        </is>
      </c>
      <c r="I1141" s="143" t="inlineStr">
        <is>
          <t xml:space="preserve">05-24</t>
        </is>
      </c>
      <c r="J1141" s="143"/>
    </row>
    <row r="1142" spans="1:10">
      <c r="A1142" s="143" t="inlineStr">
        <is>
          <t xml:space="preserve">1034</t>
        </is>
      </c>
      <c r="B1142" s="143" t="inlineStr">
        <is>
          <t xml:space="preserve">32985127</t>
        </is>
      </c>
      <c r="C1142" s="143" t="inlineStr">
        <is>
          <t xml:space="preserve">CAB - RII - DESCENT DEVICE FLIGHT DECK FIRST OFFICER EMERGENCY DESCENT DEVICE COVER DETACHED.</t>
        </is>
      </c>
      <c r="D1142" s="143">
        <v>1.0</v>
      </c>
      <c r="E1142" s="143">
        <v>2.0</v>
      </c>
      <c r="F1142" s="143">
        <v>2.58</v>
      </c>
      <c r="G1142" s="143">
        <v>31.0</v>
      </c>
      <c r="H1142" s="143" t="inlineStr">
        <is>
          <t xml:space="preserve">Closed</t>
        </is>
      </c>
      <c r="I1142" s="143" t="inlineStr">
        <is>
          <t xml:space="preserve">25-61</t>
        </is>
      </c>
      <c r="J1142" s="143"/>
    </row>
    <row r="1143" spans="1:10">
      <c r="A1143" s="143" t="inlineStr">
        <is>
          <t xml:space="preserve">1035</t>
        </is>
      </c>
      <c r="B1143" s="143" t="inlineStr">
        <is>
          <t xml:space="preserve">32985290</t>
        </is>
      </c>
      <c r="C1143" s="143" t="inlineStr">
        <is>
          <t xml:space="preserve">CAB - NO CALLBACK L1 DOOR INBOARD F/A SEAT UPPER BACK CUSHION WORN OUT</t>
        </is>
      </c>
      <c r="D1143" s="143">
        <v>1.0</v>
      </c>
      <c r="E1143" s="143">
        <v>0.0</v>
      </c>
      <c r="F1143" s="143">
        <v>2.0</v>
      </c>
      <c r="G1143" s="143">
        <v>2.0</v>
      </c>
      <c r="H1143" s="143" t="inlineStr">
        <is>
          <t xml:space="preserve">Closed</t>
        </is>
      </c>
      <c r="I1143" s="143">
        <v>25.0</v>
      </c>
      <c r="J1143" s="143"/>
    </row>
    <row r="1144" spans="1:10">
      <c r="A1144" s="143" t="inlineStr">
        <is>
          <t xml:space="preserve">1036</t>
        </is>
      </c>
      <c r="B1144" s="143" t="inlineStr">
        <is>
          <t xml:space="preserve">32985304</t>
        </is>
      </c>
      <c r="C1144" s="143" t="inlineStr">
        <is>
          <t xml:space="preserve">CAB - NO CALLBACK L1 DOOR INBOARD F/A SEAT LOWER BACK CUSHION WORN OUT</t>
        </is>
      </c>
      <c r="D1144" s="143">
        <v>1.0</v>
      </c>
      <c r="E1144" s="143">
        <v>0.0</v>
      </c>
      <c r="F1144" s="143">
        <v>2.0</v>
      </c>
      <c r="G1144" s="143">
        <v>1.0</v>
      </c>
      <c r="H1144" s="143" t="inlineStr">
        <is>
          <t xml:space="preserve">Closed</t>
        </is>
      </c>
      <c r="I1144" s="143">
        <v>25.0</v>
      </c>
      <c r="J1144" s="143"/>
    </row>
    <row r="1145" spans="1:10">
      <c r="A1145" s="143" t="inlineStr">
        <is>
          <t xml:space="preserve">1037</t>
        </is>
      </c>
      <c r="B1145" s="143" t="inlineStr">
        <is>
          <t xml:space="preserve">32985321</t>
        </is>
      </c>
      <c r="C1145" s="143" t="inlineStr">
        <is>
          <t xml:space="preserve">CAB - NO CALLBACK L1 DOOR INBOARD F/A SEAT BOTTOM CUSHION WORN OUT</t>
        </is>
      </c>
      <c r="D1145" s="143">
        <v>1.0</v>
      </c>
      <c r="E1145" s="143">
        <v>0.0</v>
      </c>
      <c r="F1145" s="143">
        <v>2.0</v>
      </c>
      <c r="G1145" s="143">
        <v>2.0</v>
      </c>
      <c r="H1145" s="143" t="inlineStr">
        <is>
          <t xml:space="preserve">Closed</t>
        </is>
      </c>
      <c r="I1145" s="143">
        <v>25.0</v>
      </c>
      <c r="J1145" s="143"/>
    </row>
    <row r="1146" spans="1:10">
      <c r="A1146" s="143" t="inlineStr">
        <is>
          <t xml:space="preserve">1039</t>
        </is>
      </c>
      <c r="B1146" s="143" t="inlineStr">
        <is>
          <t xml:space="preserve">32985334</t>
        </is>
      </c>
      <c r="C1146" s="143" t="inlineStr">
        <is>
          <t xml:space="preserve">PNT - NO CALLBACK L1 DOOR INBOARD F/A SEAT LOWER BOTTOM CASE PAINT FADED</t>
        </is>
      </c>
      <c r="D1146" s="143">
        <v>1.0</v>
      </c>
      <c r="E1146" s="143">
        <v>4.0</v>
      </c>
      <c r="F1146" s="143">
        <v>5.83</v>
      </c>
      <c r="G1146" s="143">
        <v>2.12</v>
      </c>
      <c r="H1146" s="143" t="inlineStr">
        <is>
          <t xml:space="preserve">Closed</t>
        </is>
      </c>
      <c r="I1146" s="143">
        <v>25.0</v>
      </c>
      <c r="J1146" s="143"/>
    </row>
    <row r="1147" spans="1:10">
      <c r="A1147" s="143" t="inlineStr">
        <is>
          <t xml:space="preserve">1040</t>
        </is>
      </c>
      <c r="B1147" s="143" t="inlineStr">
        <is>
          <t xml:space="preserve">32985336</t>
        </is>
      </c>
      <c r="C1147" s="143" t="inlineStr">
        <is>
          <t xml:space="preserve">PNT - NO CALLBACK L1 DOOR INBOARD F/A SEAT LEFT SIDE PAINT FADED</t>
        </is>
      </c>
      <c r="D1147" s="143">
        <v>1.0</v>
      </c>
      <c r="E1147" s="143">
        <v>4.0</v>
      </c>
      <c r="F1147" s="143">
        <v>6.17</v>
      </c>
      <c r="G1147" s="143">
        <v>2.55</v>
      </c>
      <c r="H1147" s="143" t="inlineStr">
        <is>
          <t xml:space="preserve">Closed</t>
        </is>
      </c>
      <c r="I1147" s="143">
        <v>25.0</v>
      </c>
      <c r="J1147" s="143"/>
    </row>
    <row r="1148" spans="1:10">
      <c r="A1148" s="143" t="inlineStr">
        <is>
          <t xml:space="preserve">1041</t>
        </is>
      </c>
      <c r="B1148" s="143" t="inlineStr">
        <is>
          <t xml:space="preserve">32985337</t>
        </is>
      </c>
      <c r="C1148" s="143" t="inlineStr">
        <is>
          <t xml:space="preserve">CAB - NO CALLBACK R2 DOOR F/A SWIVEL SEAT BOTTOM CUSHION WORN OUT</t>
        </is>
      </c>
      <c r="D1148" s="143">
        <v>1.0</v>
      </c>
      <c r="E1148" s="143">
        <v>0.0</v>
      </c>
      <c r="F1148" s="143">
        <v>1.0</v>
      </c>
      <c r="G1148" s="143">
        <v>1.0</v>
      </c>
      <c r="H1148" s="143" t="inlineStr">
        <is>
          <t xml:space="preserve">Closed</t>
        </is>
      </c>
      <c r="I1148" s="143">
        <v>25.0</v>
      </c>
      <c r="J1148" s="143"/>
    </row>
    <row r="1149" spans="1:10">
      <c r="A1149" s="143" t="inlineStr">
        <is>
          <t xml:space="preserve">1042</t>
        </is>
      </c>
      <c r="B1149" s="143" t="inlineStr">
        <is>
          <t xml:space="preserve">32985338</t>
        </is>
      </c>
      <c r="C1149" s="143" t="inlineStr">
        <is>
          <t xml:space="preserve">PNT - NO CALLBACK R2 DOOR F/A SWIVEL SEAT BOTH SIDES PAINT FADED</t>
        </is>
      </c>
      <c r="D1149" s="143">
        <v>1.0</v>
      </c>
      <c r="E1149" s="143">
        <v>0.0</v>
      </c>
      <c r="F1149" s="143">
        <v>3.5</v>
      </c>
      <c r="G1149" s="143">
        <v>3.5</v>
      </c>
      <c r="H1149" s="143" t="inlineStr">
        <is>
          <t xml:space="preserve">Closed</t>
        </is>
      </c>
      <c r="I1149" s="143">
        <v>25.0</v>
      </c>
      <c r="J1149" s="143"/>
    </row>
    <row r="1150" spans="1:10">
      <c r="A1150" s="143" t="inlineStr">
        <is>
          <t xml:space="preserve">1043</t>
        </is>
      </c>
      <c r="B1150" s="143" t="inlineStr">
        <is>
          <t xml:space="preserve">32985341</t>
        </is>
      </c>
      <c r="C1150" s="143" t="inlineStr">
        <is>
          <t xml:space="preserve">PNT - NO CALLBACK R2 DOOR F/A SWIVEL SEAT HEAD CASE PAINT FADED</t>
        </is>
      </c>
      <c r="D1150" s="143">
        <v>1.0</v>
      </c>
      <c r="E1150" s="143">
        <v>0.0</v>
      </c>
      <c r="F1150" s="143">
        <v>3.0</v>
      </c>
      <c r="G1150" s="143">
        <v>3.0</v>
      </c>
      <c r="H1150" s="143" t="inlineStr">
        <is>
          <t xml:space="preserve">Closed</t>
        </is>
      </c>
      <c r="I1150" s="143">
        <v>25.0</v>
      </c>
      <c r="J1150" s="143"/>
    </row>
    <row r="1151" spans="1:10">
      <c r="A1151" s="143" t="inlineStr">
        <is>
          <t xml:space="preserve">1044</t>
        </is>
      </c>
      <c r="B1151" s="143" t="inlineStr">
        <is>
          <t xml:space="preserve">32985342</t>
        </is>
      </c>
      <c r="C1151" s="143" t="inlineStr">
        <is>
          <t xml:space="preserve">PNT - NO CALLBACK R2 DOOR F/A SWIVEL SEAT DOWN CASE PAINT FADED</t>
        </is>
      </c>
      <c r="D1151" s="143">
        <v>1.0</v>
      </c>
      <c r="E1151" s="143">
        <v>4.0</v>
      </c>
      <c r="F1151" s="143">
        <v>4.0</v>
      </c>
      <c r="G1151" s="143">
        <v>2.0</v>
      </c>
      <c r="H1151" s="143" t="inlineStr">
        <is>
          <t xml:space="preserve">Closed</t>
        </is>
      </c>
      <c r="I1151" s="143">
        <v>25.0</v>
      </c>
      <c r="J1151" s="143"/>
    </row>
    <row r="1152" spans="1:10">
      <c r="A1152" s="143" t="inlineStr">
        <is>
          <t xml:space="preserve">1046</t>
        </is>
      </c>
      <c r="B1152" s="143" t="inlineStr">
        <is>
          <t xml:space="preserve">32985344</t>
        </is>
      </c>
      <c r="C1152" s="143" t="inlineStr">
        <is>
          <t xml:space="preserve">CAB - NO CALLBACK L1 DOOR OUTBOARD F/A SEAT UPPER BUMPER DAMAGED</t>
        </is>
      </c>
      <c r="D1152" s="143">
        <v>1.0</v>
      </c>
      <c r="E1152" s="143">
        <v>0.0</v>
      </c>
      <c r="F1152" s="143">
        <v>2.0</v>
      </c>
      <c r="G1152" s="143">
        <v>2.0</v>
      </c>
      <c r="H1152" s="143" t="inlineStr">
        <is>
          <t xml:space="preserve">Closed</t>
        </is>
      </c>
      <c r="I1152" s="143">
        <v>25.0</v>
      </c>
      <c r="J1152" s="143"/>
    </row>
    <row r="1153" spans="1:10">
      <c r="A1153" s="143" t="inlineStr">
        <is>
          <t xml:space="preserve">1047</t>
        </is>
      </c>
      <c r="B1153" s="143" t="inlineStr">
        <is>
          <t xml:space="preserve">32985347</t>
        </is>
      </c>
      <c r="C1153" s="143" t="inlineStr">
        <is>
          <t xml:space="preserve">PNT - NO CALLBACK L1 DOOR OUTBOARD F/A SEAT LOWER BOTTOM CASE PAINT FADED</t>
        </is>
      </c>
      <c r="D1153" s="143">
        <v>1.0</v>
      </c>
      <c r="E1153" s="143">
        <v>0.0</v>
      </c>
      <c r="F1153" s="143">
        <v>3.5</v>
      </c>
      <c r="G1153" s="143">
        <v>3.5</v>
      </c>
      <c r="H1153" s="143" t="inlineStr">
        <is>
          <t xml:space="preserve">Closed</t>
        </is>
      </c>
      <c r="I1153" s="143">
        <v>25.0</v>
      </c>
      <c r="J1153" s="143"/>
    </row>
    <row r="1154" spans="1:10">
      <c r="A1154" s="143" t="inlineStr">
        <is>
          <t xml:space="preserve">1048</t>
        </is>
      </c>
      <c r="B1154" s="143" t="inlineStr">
        <is>
          <t xml:space="preserve">32985349</t>
        </is>
      </c>
      <c r="C1154" s="143" t="inlineStr">
        <is>
          <t xml:space="preserve">CAB - NO CALLBACK L1 DOOR OUTBOARD F/A SEAT BOTTOM CUSHION WORN OUT</t>
        </is>
      </c>
      <c r="D1154" s="143">
        <v>1.0</v>
      </c>
      <c r="E1154" s="143">
        <v>0.0</v>
      </c>
      <c r="F1154" s="143">
        <v>2.0</v>
      </c>
      <c r="G1154" s="143">
        <v>2.0</v>
      </c>
      <c r="H1154" s="143" t="inlineStr">
        <is>
          <t xml:space="preserve">Closed</t>
        </is>
      </c>
      <c r="I1154" s="143">
        <v>25.0</v>
      </c>
      <c r="J1154" s="143"/>
    </row>
    <row r="1155" spans="1:10">
      <c r="A1155" s="143" t="inlineStr">
        <is>
          <t xml:space="preserve">1049</t>
        </is>
      </c>
      <c r="B1155" s="143" t="inlineStr">
        <is>
          <t xml:space="preserve">32985350</t>
        </is>
      </c>
      <c r="C1155" s="143" t="inlineStr">
        <is>
          <t xml:space="preserve">CAB - NO CALLBACK L1 DOOR OUTBOARD F/A SEAT LOWER BACK CUSHION WORN OUT</t>
        </is>
      </c>
      <c r="D1155" s="143">
        <v>1.0</v>
      </c>
      <c r="E1155" s="143">
        <v>0.0</v>
      </c>
      <c r="F1155" s="143">
        <v>16.0</v>
      </c>
      <c r="G1155" s="143">
        <v>13.13</v>
      </c>
      <c r="H1155" s="143" t="inlineStr">
        <is>
          <t xml:space="preserve">Closed</t>
        </is>
      </c>
      <c r="I1155" s="143">
        <v>25.0</v>
      </c>
      <c r="J1155" s="143"/>
    </row>
    <row r="1156" spans="1:10">
      <c r="A1156" s="143" t="inlineStr">
        <is>
          <t xml:space="preserve">1050</t>
        </is>
      </c>
      <c r="B1156" s="143" t="inlineStr">
        <is>
          <t xml:space="preserve">32985351</t>
        </is>
      </c>
      <c r="C1156" s="143" t="inlineStr">
        <is>
          <t xml:space="preserve">PNT - NO CALLBACK L2 DOOR F/A SEAT LEFT SIDE PAINT FADED</t>
        </is>
      </c>
      <c r="D1156" s="143">
        <v>1.0</v>
      </c>
      <c r="E1156" s="143">
        <v>0.0</v>
      </c>
      <c r="F1156" s="143">
        <v>3.5</v>
      </c>
      <c r="G1156" s="143">
        <v>3.5</v>
      </c>
      <c r="H1156" s="143" t="inlineStr">
        <is>
          <t xml:space="preserve">Closed</t>
        </is>
      </c>
      <c r="I1156" s="143">
        <v>25.0</v>
      </c>
      <c r="J1156" s="143"/>
    </row>
    <row r="1157" spans="1:10">
      <c r="A1157" s="143" t="inlineStr">
        <is>
          <t xml:space="preserve">1051</t>
        </is>
      </c>
      <c r="B1157" s="143" t="inlineStr">
        <is>
          <t xml:space="preserve">32985352</t>
        </is>
      </c>
      <c r="C1157" s="143" t="inlineStr">
        <is>
          <t xml:space="preserve">PNT - NO CALLBACK L2 DOOR F/A SEAT LOWER BOTTOM CASE PAINT FADED</t>
        </is>
      </c>
      <c r="D1157" s="143">
        <v>1.0</v>
      </c>
      <c r="E1157" s="143">
        <v>0.0</v>
      </c>
      <c r="F1157" s="143">
        <v>3.0</v>
      </c>
      <c r="G1157" s="143">
        <v>3.0</v>
      </c>
      <c r="H1157" s="143" t="inlineStr">
        <is>
          <t xml:space="preserve">Closed</t>
        </is>
      </c>
      <c r="I1157" s="143">
        <v>25.0</v>
      </c>
      <c r="J1157" s="143"/>
    </row>
    <row r="1158" spans="1:10">
      <c r="A1158" s="143" t="inlineStr">
        <is>
          <t xml:space="preserve">1052</t>
        </is>
      </c>
      <c r="B1158" s="143" t="inlineStr">
        <is>
          <t xml:space="preserve">32985353</t>
        </is>
      </c>
      <c r="C1158" s="143" t="inlineStr">
        <is>
          <t xml:space="preserve">CAB - NO CALLBACK L2 DOOR F/A SEAT BOTTOM CUSHION WORN OUT</t>
        </is>
      </c>
      <c r="D1158" s="143">
        <v>1.0</v>
      </c>
      <c r="E1158" s="143">
        <v>0.0</v>
      </c>
      <c r="F1158" s="143">
        <v>1.0</v>
      </c>
      <c r="G1158" s="143">
        <v>1.0</v>
      </c>
      <c r="H1158" s="143" t="inlineStr">
        <is>
          <t xml:space="preserve">Closed</t>
        </is>
      </c>
      <c r="I1158" s="143">
        <v>25.0</v>
      </c>
      <c r="J1158" s="143"/>
    </row>
    <row r="1159" spans="1:10">
      <c r="A1159" s="143" t="inlineStr">
        <is>
          <t xml:space="preserve">1053</t>
        </is>
      </c>
      <c r="B1159" s="143" t="inlineStr">
        <is>
          <t xml:space="preserve">32985354</t>
        </is>
      </c>
      <c r="C1159" s="143" t="inlineStr">
        <is>
          <t xml:space="preserve">CAB - NO CALLBACK L2 DOOR F/A SEAT LOWER BACK CUSHION WORN OUT</t>
        </is>
      </c>
      <c r="D1159" s="143">
        <v>1.0</v>
      </c>
      <c r="E1159" s="143">
        <v>0.0</v>
      </c>
      <c r="F1159" s="143">
        <v>2.0</v>
      </c>
      <c r="G1159" s="143">
        <v>1.0</v>
      </c>
      <c r="H1159" s="143" t="inlineStr">
        <is>
          <t xml:space="preserve">Closed</t>
        </is>
      </c>
      <c r="I1159" s="143">
        <v>25.0</v>
      </c>
      <c r="J1159" s="143"/>
    </row>
    <row r="1160" spans="1:10">
      <c r="A1160" s="143" t="inlineStr">
        <is>
          <t xml:space="preserve">1054</t>
        </is>
      </c>
      <c r="B1160" s="143" t="inlineStr">
        <is>
          <t xml:space="preserve">32985355</t>
        </is>
      </c>
      <c r="C1160" s="143" t="inlineStr">
        <is>
          <t xml:space="preserve">PNT - NO CALLBACK R2 DOOR F/A SEAT LOWER BOTTOM CASE PAINT FADED</t>
        </is>
      </c>
      <c r="D1160" s="143">
        <v>1.0</v>
      </c>
      <c r="E1160" s="143">
        <v>0.0</v>
      </c>
      <c r="F1160" s="143">
        <v>3.0</v>
      </c>
      <c r="G1160" s="143">
        <v>3.0</v>
      </c>
      <c r="H1160" s="143" t="inlineStr">
        <is>
          <t xml:space="preserve">Closed</t>
        </is>
      </c>
      <c r="I1160" s="143">
        <v>25.0</v>
      </c>
      <c r="J1160" s="143"/>
    </row>
    <row r="1161" spans="1:10">
      <c r="A1161" s="143" t="inlineStr">
        <is>
          <t xml:space="preserve">1055</t>
        </is>
      </c>
      <c r="B1161" s="143" t="inlineStr">
        <is>
          <t xml:space="preserve">32985357</t>
        </is>
      </c>
      <c r="C1161" s="143" t="inlineStr">
        <is>
          <t xml:space="preserve">CAB - NO CALLBACK R2 DOOR F/A SEAT BOTTOM CUSHION WORN OUT</t>
        </is>
      </c>
      <c r="D1161" s="143">
        <v>1.0</v>
      </c>
      <c r="E1161" s="143">
        <v>0.0</v>
      </c>
      <c r="F1161" s="143">
        <v>1.0</v>
      </c>
      <c r="G1161" s="143">
        <v>1.0</v>
      </c>
      <c r="H1161" s="143" t="inlineStr">
        <is>
          <t xml:space="preserve">Closed</t>
        </is>
      </c>
      <c r="I1161" s="143">
        <v>25.0</v>
      </c>
      <c r="J1161" s="143"/>
    </row>
    <row r="1162" spans="1:10">
      <c r="A1162" s="143" t="inlineStr">
        <is>
          <t xml:space="preserve">1056</t>
        </is>
      </c>
      <c r="B1162" s="143" t="inlineStr">
        <is>
          <t xml:space="preserve">32985503</t>
        </is>
      </c>
      <c r="C1162" s="143" t="inlineStr">
        <is>
          <t xml:space="preserve">VERTICAL STABILIZER======FS=====CALL BACK REF TO TASK CARD 272100-07-1, ZL-325-01-1, VERTICAL STABILIZER TRAILING EDGE EXCESSIVE DIRTY REQUIRE CLEANING TO FASCILITATE INSP</t>
        </is>
      </c>
      <c r="D1162" s="143">
        <v>1.0</v>
      </c>
      <c r="E1162" s="143">
        <v>10.0</v>
      </c>
      <c r="F1162" s="143">
        <v>12.5</v>
      </c>
      <c r="G1162" s="143">
        <v>48.7</v>
      </c>
      <c r="H1162" s="143" t="inlineStr">
        <is>
          <t xml:space="preserve">Closed</t>
        </is>
      </c>
      <c r="I1162" s="143" t="inlineStr">
        <is>
          <t xml:space="preserve">27-21</t>
        </is>
      </c>
      <c r="J1162" s="143"/>
    </row>
    <row r="1163" spans="1:10">
      <c r="A1163" s="143" t="inlineStr">
        <is>
          <t xml:space="preserve">1057</t>
        </is>
      </c>
      <c r="B1163" s="143" t="inlineStr">
        <is>
          <t xml:space="preserve">32985575</t>
        </is>
      </c>
      <c r="C1163" s="143" t="inlineStr">
        <is>
          <t xml:space="preserve">RH HORIZONTAL STABILIZER--SM-- RH HORIZONTAL STABILIZER PNL 344GB WITH 1 EA WORN HEAD SCREW</t>
        </is>
      </c>
      <c r="D1163" s="143">
        <v>1.0</v>
      </c>
      <c r="E1163" s="143">
        <v>0.0</v>
      </c>
      <c r="F1163" s="143">
        <v>19.08</v>
      </c>
      <c r="G1163" s="143">
        <v>7.5</v>
      </c>
      <c r="H1163" s="143" t="inlineStr">
        <is>
          <t xml:space="preserve">Closed</t>
        </is>
      </c>
      <c r="I1163" s="143" t="inlineStr">
        <is>
          <t xml:space="preserve">05-23</t>
        </is>
      </c>
      <c r="J1163" s="143"/>
    </row>
    <row r="1164" spans="1:10">
      <c r="A1164" s="143" t="inlineStr">
        <is>
          <t xml:space="preserve">1058</t>
        </is>
      </c>
      <c r="B1164" s="143" t="inlineStr">
        <is>
          <t xml:space="preserve">32985619</t>
        </is>
      </c>
      <c r="C1164" s="143" t="inlineStr">
        <is>
          <t xml:space="preserve">ENG.1 AND ENG.2  PYLON PANELS FROZEN SCREWS ----SM-----NO CALLBACK ENG.1 AND ENG.2  PYLON PANELS FROZEN    (413DT AND 423DT)  HAVE MULTIPLE FROZEN AND ROUNDED SCREWS (MARKED WITH GREEN TAPE) REQ S/M ACTION</t>
        </is>
      </c>
      <c r="D1164" s="143">
        <v>1.0</v>
      </c>
      <c r="E1164" s="143">
        <v>0.0</v>
      </c>
      <c r="F1164" s="143">
        <v>2.58</v>
      </c>
      <c r="G1164" s="143">
        <v>1.33</v>
      </c>
      <c r="H1164" s="143" t="inlineStr">
        <is>
          <t xml:space="preserve">Closed</t>
        </is>
      </c>
      <c r="I1164" s="143" t="inlineStr">
        <is>
          <t xml:space="preserve">26-21</t>
        </is>
      </c>
      <c r="J1164" s="143" t="inlineStr">
        <is>
          <t xml:space="preserve">OPEN-UP</t>
        </is>
      </c>
    </row>
    <row r="1165" spans="1:10">
      <c r="A1165" s="143" t="inlineStr">
        <is>
          <t xml:space="preserve">1059</t>
        </is>
      </c>
      <c r="B1165" s="143" t="inlineStr">
        <is>
          <t xml:space="preserve">32985582</t>
        </is>
      </c>
      <c r="C1165" s="143" t="inlineStr">
        <is>
          <t xml:space="preserve">L/H WING MULTABLE PANELS FROZEN SCREWS ----SM-----NO CALLBACK LEFT HAND WING PANELS    (522CB, 522NB AND 522AB) HAVE MULTIPLE FROZEN AND ROUNDED SCREWS (MARKED WITH GREEN TAPE) REQ S/M ACTION</t>
        </is>
      </c>
      <c r="D1165" s="143">
        <v>1.0</v>
      </c>
      <c r="E1165" s="143">
        <v>0.0</v>
      </c>
      <c r="F1165" s="143">
        <v>4.0</v>
      </c>
      <c r="G1165" s="143">
        <v>2.17</v>
      </c>
      <c r="H1165" s="143" t="inlineStr">
        <is>
          <t xml:space="preserve">Closed</t>
        </is>
      </c>
      <c r="I1165" s="143" t="inlineStr">
        <is>
          <t xml:space="preserve">57-41</t>
        </is>
      </c>
      <c r="J1165" s="143" t="inlineStr">
        <is>
          <t xml:space="preserve">OPEN-UP</t>
        </is>
      </c>
    </row>
    <row r="1166" spans="1:10">
      <c r="A1166" s="143" t="inlineStr">
        <is>
          <t xml:space="preserve">1060</t>
        </is>
      </c>
      <c r="B1166" s="143" t="inlineStr">
        <is>
          <t xml:space="preserve">32985655</t>
        </is>
      </c>
      <c r="C1166" s="143" t="inlineStr">
        <is>
          <t xml:space="preserve">BELLY FAIRING MULTABLE PANELS FROZEN SCREWS ----SM-----NO CALLBACK BELLY FAIRING  PANELS     (192LB AND 192MB)  HAVE MULTIPLE FROZEN AND ROUNDED SCREWS (MARKED WITH GREEN TAPE) REQ S/M ACTION</t>
        </is>
      </c>
      <c r="D1166" s="143">
        <v>1.0</v>
      </c>
      <c r="E1166" s="143">
        <v>0.0</v>
      </c>
      <c r="F1166" s="143">
        <v>0.17</v>
      </c>
      <c r="G1166" s="143">
        <v>0.17</v>
      </c>
      <c r="H1166" s="143" t="inlineStr">
        <is>
          <t xml:space="preserve">Closed</t>
        </is>
      </c>
      <c r="I1166" s="143" t="inlineStr">
        <is>
          <t xml:space="preserve">24-92</t>
        </is>
      </c>
      <c r="J1166" s="143"/>
    </row>
    <row r="1167" spans="1:10">
      <c r="A1167" s="143" t="inlineStr">
        <is>
          <t xml:space="preserve">1063</t>
        </is>
      </c>
      <c r="B1167" s="143" t="inlineStr">
        <is>
          <t xml:space="preserve">32985836</t>
        </is>
      </c>
      <c r="C1167" s="143" t="inlineStr">
        <is>
          <t xml:space="preserve">RH THS TRAILING EDGE---AP---NO CALL BACK R/H THS TRAILING EDGE  HING FITTINGS/ ACTUATOR ATTACHMENT 06EA BOINGING JUMPER BROKEN/FRAYED</t>
        </is>
      </c>
      <c r="D1167" s="143">
        <v>1.0</v>
      </c>
      <c r="E1167" s="143">
        <v>6.0</v>
      </c>
      <c r="F1167" s="143">
        <v>10.0</v>
      </c>
      <c r="G1167" s="143">
        <v>580.3</v>
      </c>
      <c r="H1167" s="143" t="inlineStr">
        <is>
          <t xml:space="preserve">Closed</t>
        </is>
      </c>
      <c r="I1167" s="143" t="inlineStr">
        <is>
          <t xml:space="preserve">05-23</t>
        </is>
      </c>
      <c r="J1167" s="143"/>
    </row>
    <row r="1168" spans="1:10">
      <c r="A1168" s="143" t="inlineStr">
        <is>
          <t xml:space="preserve">1064</t>
        </is>
      </c>
      <c r="B1168" s="143" t="inlineStr">
        <is>
          <t xml:space="preserve">32985860</t>
        </is>
      </c>
      <c r="C1168" s="143" t="inlineStr">
        <is>
          <t xml:space="preserve">L/H THS TRAILING EDGE---AP---NO CALL BACK L/H THS TRAILING EDGE  HING FITTINGS/ ACT ATTACHMENT 05EA BONDING JUMPER BROKEN/FRAYED</t>
        </is>
      </c>
      <c r="D1168" s="143">
        <v>1.0</v>
      </c>
      <c r="E1168" s="143">
        <v>8.0</v>
      </c>
      <c r="F1168" s="143">
        <v>20.5</v>
      </c>
      <c r="G1168" s="143">
        <v>536.4</v>
      </c>
      <c r="H1168" s="143" t="inlineStr">
        <is>
          <t xml:space="preserve">Closed</t>
        </is>
      </c>
      <c r="I1168" s="143" t="inlineStr">
        <is>
          <t xml:space="preserve">05-23</t>
        </is>
      </c>
      <c r="J1168" s="143"/>
    </row>
    <row r="1169" spans="1:10">
      <c r="A1169" s="143" t="inlineStr">
        <is>
          <t xml:space="preserve">1065</t>
        </is>
      </c>
      <c r="B1169" s="143" t="inlineStr">
        <is>
          <t xml:space="preserve">32985861</t>
        </is>
      </c>
      <c r="C1169" s="143" t="inlineStr">
        <is>
          <t xml:space="preserve">THS COMPT======FS====CALL BACK FINAL REF TO TASK CARD ZL-313-01-1 THS COMPT ACCESS THR PNL 314AR FLOOR AREA AROUND APU INTAKE DIRTY REQ CLEANING TO FASCILITATE THE INSP</t>
        </is>
      </c>
      <c r="D1169" s="143">
        <v>1.0</v>
      </c>
      <c r="E1169" s="143">
        <v>10.0</v>
      </c>
      <c r="F1169" s="143">
        <v>14.0</v>
      </c>
      <c r="G1169" s="143">
        <v>30.0</v>
      </c>
      <c r="H1169" s="143" t="inlineStr">
        <is>
          <t xml:space="preserve">Closed</t>
        </is>
      </c>
      <c r="I1169" s="143" t="inlineStr">
        <is>
          <t xml:space="preserve">05-23</t>
        </is>
      </c>
      <c r="J1169" s="143"/>
    </row>
    <row r="1170" spans="1:10">
      <c r="A1170" s="143" t="inlineStr">
        <is>
          <t xml:space="preserve">1066</t>
        </is>
      </c>
      <c r="B1170" s="143" t="inlineStr">
        <is>
          <t xml:space="preserve">32985871</t>
        </is>
      </c>
      <c r="C1170" s="143" t="inlineStr">
        <is>
          <t xml:space="preserve">APU EXHAUST AREA======FS=====CALL BACK REF TO TASK CARD ZL-317-01-1 TAIL CONE APU EXHAUST AREA ACCES THRU 317AL LWR SIDE DIRTY REQUIRE CLEANING TO FASCILITATE THE INSP</t>
        </is>
      </c>
      <c r="D1170" s="143">
        <v>1.0</v>
      </c>
      <c r="E1170" s="143">
        <v>8.0</v>
      </c>
      <c r="F1170" s="143">
        <v>9.0</v>
      </c>
      <c r="G1170" s="143">
        <v>12.58</v>
      </c>
      <c r="H1170" s="143" t="inlineStr">
        <is>
          <t xml:space="preserve">Closed</t>
        </is>
      </c>
      <c r="I1170" s="143" t="inlineStr">
        <is>
          <t xml:space="preserve">05-23</t>
        </is>
      </c>
      <c r="J1170" s="143"/>
    </row>
    <row r="1171" spans="1:10">
      <c r="A1171" s="143" t="inlineStr">
        <is>
          <t xml:space="preserve">1067</t>
        </is>
      </c>
      <c r="B1171" s="143" t="inlineStr">
        <is>
          <t xml:space="preserve">32985872</t>
        </is>
      </c>
      <c r="C1171" s="143" t="inlineStr">
        <is>
          <t xml:space="preserve">THS TRAILING EDGE=======FS=====NO CALL BACK LH AND RH THS TRAILING EDGE 04EA SERVO CONTROL AND ADJACENT AREA DIRTY</t>
        </is>
      </c>
      <c r="D1171" s="143">
        <v>1.0</v>
      </c>
      <c r="E1171" s="143">
        <v>8.0</v>
      </c>
      <c r="F1171" s="143">
        <v>8.0</v>
      </c>
      <c r="G1171" s="143">
        <v>5.02</v>
      </c>
      <c r="H1171" s="143" t="inlineStr">
        <is>
          <t xml:space="preserve">Closed</t>
        </is>
      </c>
      <c r="I1171" s="143" t="inlineStr">
        <is>
          <t xml:space="preserve">05-23</t>
        </is>
      </c>
      <c r="J1171" s="143"/>
    </row>
    <row r="1172" spans="1:10">
      <c r="A1172" s="143" t="inlineStr">
        <is>
          <t xml:space="preserve">1068</t>
        </is>
      </c>
      <c r="B1172" s="143" t="inlineStr">
        <is>
          <t xml:space="preserve">32985870</t>
        </is>
      </c>
      <c r="C1172" s="143" t="inlineStr">
        <is>
          <t xml:space="preserve">L/H THS ---SM--RII LH THS TRAILING EDGE HINGE FITTING NO 6, INBOARD SIDE WITH CHAFING MARKS  DIMENSION  L= 0.5 INCH W=0.3 INCH D= 0.1 INCH</t>
        </is>
      </c>
      <c r="D1172" s="143">
        <v>1.0</v>
      </c>
      <c r="E1172" s="143">
        <v>0.0</v>
      </c>
      <c r="F1172" s="143">
        <v>2.0</v>
      </c>
      <c r="G1172" s="143">
        <v>139.8</v>
      </c>
      <c r="H1172" s="143" t="inlineStr">
        <is>
          <t xml:space="preserve">Closed</t>
        </is>
      </c>
      <c r="I1172" s="143" t="inlineStr">
        <is>
          <t xml:space="preserve">05-23</t>
        </is>
      </c>
      <c r="J1172" s="143"/>
    </row>
    <row r="1173" spans="1:10">
      <c r="A1173" s="143" t="inlineStr">
        <is>
          <t xml:space="preserve">1069</t>
        </is>
      </c>
      <c r="B1173" s="143" t="inlineStr">
        <is>
          <t xml:space="preserve">32985875</t>
        </is>
      </c>
      <c r="C1173" s="143" t="inlineStr">
        <is>
          <t xml:space="preserve">ENG #1 PRE COOLER SEAL --AP--RII ENG#1 ,UPPER FWD PYLON PER COOLER UPPER  SIDE SEAL TORN OFF.</t>
        </is>
      </c>
      <c r="D1173" s="143">
        <v>1.0</v>
      </c>
      <c r="E1173" s="143">
        <v>8.0</v>
      </c>
      <c r="F1173" s="143">
        <v>16.05</v>
      </c>
      <c r="G1173" s="143">
        <v>3.85</v>
      </c>
      <c r="H1173" s="143" t="inlineStr">
        <is>
          <t xml:space="preserve">Closed</t>
        </is>
      </c>
      <c r="I1173" s="143" t="inlineStr">
        <is>
          <t xml:space="preserve">05-24</t>
        </is>
      </c>
      <c r="J1173" s="143"/>
    </row>
    <row r="1174" spans="1:10">
      <c r="A1174" s="143" t="inlineStr">
        <is>
          <t xml:space="preserve">1070</t>
        </is>
      </c>
      <c r="B1174" s="143" t="inlineStr">
        <is>
          <t xml:space="preserve">32985877</t>
        </is>
      </c>
      <c r="C1174" s="143" t="inlineStr">
        <is>
          <t xml:space="preserve">ENG #2 PRE COOLER SEAL --AP--RII ENG#2 ,UPPER FWD PYLON PER COOLER UPPER SIDE SEAL TORN OFF.</t>
        </is>
      </c>
      <c r="D1174" s="143">
        <v>1.0</v>
      </c>
      <c r="E1174" s="143">
        <v>8.0</v>
      </c>
      <c r="F1174" s="143">
        <v>5.03</v>
      </c>
      <c r="G1174" s="143">
        <v>4.57</v>
      </c>
      <c r="H1174" s="143" t="inlineStr">
        <is>
          <t xml:space="preserve">Closed</t>
        </is>
      </c>
      <c r="I1174" s="143" t="inlineStr">
        <is>
          <t xml:space="preserve">05-24</t>
        </is>
      </c>
      <c r="J1174" s="143"/>
    </row>
    <row r="1175" spans="1:10">
      <c r="A1175" s="143" t="inlineStr">
        <is>
          <t xml:space="preserve">1071</t>
        </is>
      </c>
      <c r="B1175" s="143" t="inlineStr">
        <is>
          <t xml:space="preserve">32985880</t>
        </is>
      </c>
      <c r="C1175" s="143" t="inlineStr">
        <is>
          <t xml:space="preserve">R/H BELLY FAIRING MULTABLE PANELS FROZEN SCREWS ----SM-----NO CALLBACK R/H BELLY FAIRING  PANEL      (192BT)  HAVE MULTIPLE FROZEN AND ROUNDED SCREWS (MARKED WITH GREEN TAPE) REQ S/M ACTION</t>
        </is>
      </c>
      <c r="D1175" s="143">
        <v>1.0</v>
      </c>
      <c r="E1175" s="143">
        <v>0.0</v>
      </c>
      <c r="F1175" s="143">
        <v>28.8</v>
      </c>
      <c r="G1175" s="143">
        <v>16.33</v>
      </c>
      <c r="H1175" s="143" t="inlineStr">
        <is>
          <t xml:space="preserve">Closed</t>
        </is>
      </c>
      <c r="I1175" s="143" t="inlineStr">
        <is>
          <t xml:space="preserve">53-41</t>
        </is>
      </c>
      <c r="J1175" s="143" t="inlineStr">
        <is>
          <t xml:space="preserve">OPEN-UP</t>
        </is>
      </c>
    </row>
    <row r="1176" spans="1:10">
      <c r="A1176" s="143" t="inlineStr">
        <is>
          <t xml:space="preserve">1072</t>
        </is>
      </c>
      <c r="B1176" s="143" t="inlineStr">
        <is>
          <t xml:space="preserve">32986985</t>
        </is>
      </c>
      <c r="C1176" s="143" t="inlineStr">
        <is>
          <t xml:space="preserve">PRE---REAR AVIONICS COMPT---CALLBACK---AVN REAR AVIONICS COMPT 63VU, 80VU, 187 VU AND 188 VU ELECTRICAL CONNECTIONS AND LOWER ATTACHMETS REQ CLEANING TO FACILITATE THE INSPECTION.</t>
        </is>
      </c>
      <c r="D1176" s="143">
        <v>1.0</v>
      </c>
      <c r="E1176" s="143">
        <v>6.0</v>
      </c>
      <c r="F1176" s="143">
        <v>6.5</v>
      </c>
      <c r="G1176" s="143">
        <v>409.2</v>
      </c>
      <c r="H1176" s="143" t="inlineStr">
        <is>
          <t xml:space="preserve">Closed</t>
        </is>
      </c>
      <c r="I1176" s="143" t="inlineStr">
        <is>
          <t xml:space="preserve">24-92</t>
        </is>
      </c>
      <c r="J1176" s="143"/>
    </row>
    <row r="1177" spans="1:10">
      <c r="A1177" s="143" t="inlineStr">
        <is>
          <t xml:space="preserve">1073</t>
        </is>
      </c>
      <c r="B1177" s="143" t="inlineStr">
        <is>
          <t xml:space="preserve">32987001</t>
        </is>
      </c>
      <c r="C1177" s="143" t="inlineStr">
        <is>
          <t xml:space="preserve">DBC/DOCUMENT S51-R10008- LH WING --RII--SM REF TO WO#26`191`406 DURING DBC REVIEW FOUND THE FOLLOWING  DURING COMPLIANCE OF LH WING DBC SCANNING FOUND LH WING INBOARD FLAPS LOWER SKIN SURFACE AT THE TRAILING EDGE AT FLAP RIB STATION 4 WITH MULTIPL...</t>
        </is>
      </c>
      <c r="D1177" s="143">
        <v>1.0</v>
      </c>
      <c r="E1177" s="143">
        <v>0.0</v>
      </c>
      <c r="F1177" s="143">
        <v>10.83</v>
      </c>
      <c r="G1177" s="143">
        <v>169.2</v>
      </c>
      <c r="H1177" s="143" t="inlineStr">
        <is>
          <t xml:space="preserve">Closed</t>
        </is>
      </c>
      <c r="I1177" s="143">
        <v>51.0</v>
      </c>
      <c r="J1177" s="143"/>
    </row>
    <row r="1178" spans="1:10">
      <c r="A1178" s="143" t="inlineStr">
        <is>
          <t xml:space="preserve">1074</t>
        </is>
      </c>
      <c r="B1178" s="143" t="inlineStr">
        <is>
          <t xml:space="preserve">32987040</t>
        </is>
      </c>
      <c r="C1178" s="143" t="inlineStr">
        <is>
          <t xml:space="preserve">DBC/DOCUMENT S51-R10008- LH WING --RII--SM REF TO WO# 26191411  DURING DBC REVIEW FOUND THE FOLLOWING   DURING COMPLIANCE OF LH WING DBC SCANNING FOUND LH WING INBOARD FLAPS UPPER SKIN SURFACE 9 INCHES FROM THE TRAILING EDGE OF THE INBOARD FLAP AT...</t>
        </is>
      </c>
      <c r="D1178" s="143">
        <v>1.0</v>
      </c>
      <c r="E1178" s="143">
        <v>0.0</v>
      </c>
      <c r="F1178" s="143">
        <v>3.5</v>
      </c>
      <c r="G1178" s="143">
        <v>169.0</v>
      </c>
      <c r="H1178" s="143" t="inlineStr">
        <is>
          <t xml:space="preserve">Closed</t>
        </is>
      </c>
      <c r="I1178" s="143">
        <v>51.0</v>
      </c>
      <c r="J1178" s="143"/>
    </row>
    <row r="1179" spans="1:10">
      <c r="A1179" s="143" t="inlineStr">
        <is>
          <t xml:space="preserve">1075</t>
        </is>
      </c>
      <c r="B1179" s="143" t="inlineStr">
        <is>
          <t xml:space="preserve">32987066</t>
        </is>
      </c>
      <c r="C1179" s="143" t="inlineStr">
        <is>
          <t xml:space="preserve">FINDING (NRC) TASKCARD 25-SVA-05 (01) / ITEM ONE G/C SEAT# 30A,B,C, 30J,K,L Y-BELT ASSEMBLY DIRTY</t>
        </is>
      </c>
      <c r="D1179" s="143">
        <v>1.0</v>
      </c>
      <c r="E1179" s="143">
        <v>6.0</v>
      </c>
      <c r="F1179" s="143">
        <v>8.5</v>
      </c>
      <c r="G1179" s="143">
        <v>7.57</v>
      </c>
      <c r="H1179" s="143" t="inlineStr">
        <is>
          <t xml:space="preserve">Closed</t>
        </is>
      </c>
      <c r="I1179" s="143" t="inlineStr">
        <is>
          <t xml:space="preserve">25-21</t>
        </is>
      </c>
      <c r="J1179" s="143"/>
    </row>
    <row r="1180" spans="1:10">
      <c r="A1180" s="143" t="inlineStr">
        <is>
          <t xml:space="preserve">1076</t>
        </is>
      </c>
      <c r="B1180" s="143" t="inlineStr">
        <is>
          <t xml:space="preserve">32987146</t>
        </is>
      </c>
      <c r="C1180" s="143" t="inlineStr">
        <is>
          <t xml:space="preserve">AP---RII---LH ELEV LH ELEVATOR HINGE NO. 6 FITTING WEARED WITH CHAFFING MARKS</t>
        </is>
      </c>
      <c r="D1180" s="143">
        <v>1.0</v>
      </c>
      <c r="E1180" s="143">
        <v>16.0</v>
      </c>
      <c r="F1180" s="143">
        <v>20.0</v>
      </c>
      <c r="G1180" s="143">
        <v>8.05</v>
      </c>
      <c r="H1180" s="143" t="inlineStr">
        <is>
          <t xml:space="preserve">Closed</t>
        </is>
      </c>
      <c r="I1180" s="143" t="inlineStr">
        <is>
          <t xml:space="preserve">20-00</t>
        </is>
      </c>
      <c r="J1180" s="143"/>
    </row>
    <row r="1181" spans="1:10">
      <c r="A1181" s="143" t="inlineStr">
        <is>
          <t xml:space="preserve">1077</t>
        </is>
      </c>
      <c r="B1181" s="143" t="inlineStr">
        <is>
          <t xml:space="preserve">32987097</t>
        </is>
      </c>
      <c r="C1181" s="143" t="inlineStr">
        <is>
          <t xml:space="preserve">CABIN FLOOR PANELS - CAB -CALLBACK COCKPIT PANEL # 211FF AND CABIN FLOOR PANEL NO: 232WF, 241EF, 241KF, 241LF,  242FF, 242KF, AND 242LF REQUIRES REMOVAL FOR ACCESS.</t>
        </is>
      </c>
      <c r="D1181" s="143">
        <v>1.0</v>
      </c>
      <c r="E1181" s="143">
        <v>0.0</v>
      </c>
      <c r="F1181" s="143">
        <v>63.2</v>
      </c>
      <c r="G1181" s="143">
        <v>814.1</v>
      </c>
      <c r="H1181" s="143" t="inlineStr">
        <is>
          <t xml:space="preserve">Closed</t>
        </is>
      </c>
      <c r="I1181" s="143" t="inlineStr">
        <is>
          <t xml:space="preserve">32-33</t>
        </is>
      </c>
      <c r="J1181" s="143"/>
    </row>
    <row r="1182" spans="1:10">
      <c r="A1182" s="143" t="inlineStr">
        <is>
          <t xml:space="preserve">1078</t>
        </is>
      </c>
      <c r="B1182" s="143" t="inlineStr">
        <is>
          <t xml:space="preserve">32987238</t>
        </is>
      </c>
      <c r="C1182" s="143" t="inlineStr">
        <is>
          <t xml:space="preserve">LOWER FUSELAGE PANELS - FS -NO CALLBACK LOWER FUSELAGE PANEL # 197BB, 198BB,198GB, 197GB, 192KB, 191KB, 191BB, 197AB, 191GB, 192FB, 192EB, 191HB AND 191AB REQUIRES CLEANING.</t>
        </is>
      </c>
      <c r="D1182" s="143">
        <v>1.0</v>
      </c>
      <c r="E1182" s="143">
        <v>0.0</v>
      </c>
      <c r="F1182" s="143">
        <v>22.5</v>
      </c>
      <c r="G1182" s="143">
        <v>471.7</v>
      </c>
      <c r="H1182" s="143" t="inlineStr">
        <is>
          <t xml:space="preserve">Closed</t>
        </is>
      </c>
      <c r="I1182" s="143" t="inlineStr">
        <is>
          <t xml:space="preserve">53-41</t>
        </is>
      </c>
      <c r="J1182" s="143"/>
    </row>
    <row r="1183" spans="1:10">
      <c r="A1183" s="143" t="inlineStr">
        <is>
          <t xml:space="preserve">1079</t>
        </is>
      </c>
      <c r="B1183" s="143" t="inlineStr">
        <is>
          <t xml:space="preserve">32987295</t>
        </is>
      </c>
      <c r="C1183" s="143" t="inlineStr">
        <is>
          <t xml:space="preserve">PRE---F/O FIXED WINDOW---RII---AP R/H SIDE F/O FIXED WINDOW WEATHER SEAL UPPER AREA FOUND WITH MISSING MATERIAL/WORNOUT AND AFT LOWER AREA FOUND WITH OLD IMPROPER REPAIR.</t>
        </is>
      </c>
      <c r="D1183" s="143">
        <v>1.0</v>
      </c>
      <c r="E1183" s="143">
        <v>8.0</v>
      </c>
      <c r="F1183" s="143">
        <v>5.6</v>
      </c>
      <c r="G1183" s="143">
        <v>298.3</v>
      </c>
      <c r="H1183" s="143" t="inlineStr">
        <is>
          <t xml:space="preserve">Closed</t>
        </is>
      </c>
      <c r="I1183" s="143" t="inlineStr">
        <is>
          <t xml:space="preserve">56-10</t>
        </is>
      </c>
      <c r="J1183" s="143"/>
    </row>
    <row r="1184" spans="1:10">
      <c r="A1184" s="143" t="inlineStr">
        <is>
          <t xml:space="preserve">1080</t>
        </is>
      </c>
      <c r="B1184" s="143" t="inlineStr">
        <is>
          <t xml:space="preserve">32987301</t>
        </is>
      </c>
      <c r="C1184" s="143" t="inlineStr">
        <is>
          <t xml:space="preserve">DBC---F/O FIXED WINDOW---RII---AP R/H SIDE F/O FIXED WINDOW AFT LOWER CORNER FOUND WITH MULTIPLE BUBBLES. L= 03 INCH W= 1 INCH FROM INNER EDGE.</t>
        </is>
      </c>
      <c r="D1184" s="143">
        <v>1.0</v>
      </c>
      <c r="E1184" s="143">
        <v>16.0</v>
      </c>
      <c r="F1184" s="143">
        <v>5.67</v>
      </c>
      <c r="G1184" s="143">
        <v>432.6</v>
      </c>
      <c r="H1184" s="143" t="inlineStr">
        <is>
          <t xml:space="preserve">Closed</t>
        </is>
      </c>
      <c r="I1184" s="143" t="inlineStr">
        <is>
          <t xml:space="preserve">56-10</t>
        </is>
      </c>
      <c r="J1184" s="143"/>
    </row>
    <row r="1185" spans="1:10">
      <c r="A1185" s="143" t="inlineStr">
        <is>
          <t xml:space="preserve">1081</t>
        </is>
      </c>
      <c r="B1185" s="143" t="inlineStr">
        <is>
          <t xml:space="preserve">32987455</t>
        </is>
      </c>
      <c r="C1185" s="143" t="inlineStr">
        <is>
          <t xml:space="preserve">PRE---F/O SLIDING WINDOW---RII---AP R/H SIDE F/O SLIDING WINDOW OUTER SURFACE AFT UPPER AND LOWER WEATHER SEAL FOUND DAMAGE.</t>
        </is>
      </c>
      <c r="D1185" s="143">
        <v>1.0</v>
      </c>
      <c r="E1185" s="143">
        <v>8.0</v>
      </c>
      <c r="F1185" s="143">
        <v>5.15</v>
      </c>
      <c r="G1185" s="143">
        <v>25.0</v>
      </c>
      <c r="H1185" s="143" t="inlineStr">
        <is>
          <t xml:space="preserve">Closed</t>
        </is>
      </c>
      <c r="I1185" s="143" t="inlineStr">
        <is>
          <t xml:space="preserve">56-10</t>
        </is>
      </c>
      <c r="J1185" s="143"/>
    </row>
    <row r="1186" spans="1:10">
      <c r="A1186" s="143" t="inlineStr">
        <is>
          <t xml:space="preserve">1082</t>
        </is>
      </c>
      <c r="B1186" s="143" t="inlineStr">
        <is>
          <t xml:space="preserve">94844868</t>
        </is>
      </c>
      <c r="C1186" s="143" t="inlineStr">
        <is>
          <t xml:space="preserve">L2 PAX DOOR REF. TO W/O: 94844866 LH-AFT PASSENGER DOOR SEAL RETAINER WITH DENT ON LOWER EDGE. L= 1.3"IN. W= 0.3"IN. D= 0.284"IN.</t>
        </is>
      </c>
      <c r="D1186" s="143" t="inlineStr">
        <is>
          <t xml:space="preserve">N</t>
        </is>
      </c>
      <c r="E1186" s="143">
        <v>0.0</v>
      </c>
      <c r="F1186" s="143">
        <v>36.6</v>
      </c>
      <c r="G1186" s="143">
        <v>763.1</v>
      </c>
      <c r="H1186" s="143" t="inlineStr">
        <is>
          <t xml:space="preserve">Closed</t>
        </is>
      </c>
      <c r="I1186" s="143">
        <v>52.0</v>
      </c>
      <c r="J1186" s="143"/>
    </row>
    <row r="1187" spans="1:10">
      <c r="A1187" s="143" t="inlineStr">
        <is>
          <t xml:space="preserve">1083</t>
        </is>
      </c>
      <c r="B1187" s="143" t="inlineStr">
        <is>
          <t xml:space="preserve">32968390</t>
        </is>
      </c>
      <c r="C1187" s="143" t="inlineStr">
        <is>
          <t xml:space="preserve">S25-D10305/A320 - PORTABLE (ELT) UNIT AND PROGRAMMING DONGLE (AIM)</t>
        </is>
      </c>
      <c r="D1187" s="143" t="inlineStr">
        <is>
          <t xml:space="preserve">RON</t>
        </is>
      </c>
      <c r="E1187" s="143">
        <v>0.58</v>
      </c>
      <c r="F1187" s="143">
        <v>10.0</v>
      </c>
      <c r="G1187" s="143">
        <v>4.22</v>
      </c>
      <c r="H1187" s="143" t="inlineStr">
        <is>
          <t xml:space="preserve">Closed</t>
        </is>
      </c>
      <c r="I1187" s="143" t="inlineStr">
        <is>
          <t xml:space="preserve">25-60</t>
        </is>
      </c>
      <c r="J1187" s="143"/>
    </row>
    <row r="1188" spans="1:10">
      <c r="A1188" s="143" t="inlineStr">
        <is>
          <t xml:space="preserve">1088</t>
        </is>
      </c>
      <c r="B1188" s="143" t="inlineStr">
        <is>
          <t xml:space="preserve">32987715</t>
        </is>
      </c>
      <c r="C1188" s="143" t="inlineStr">
        <is>
          <t xml:space="preserve">PRE---F/O WIND SHIELD---RII---AP R/H SIDE F/O WINDSHIELD OUTER SURFACE UPPER SURFACE WEATHER SEAL FOUND WITH IMPROPER REPAIR APPLICATION AND R/H SIDE WEATHER SEAL FOUND WITH ROUGH REPAIR.</t>
        </is>
      </c>
      <c r="D1188" s="143">
        <v>1.0</v>
      </c>
      <c r="E1188" s="143">
        <v>8.0</v>
      </c>
      <c r="F1188" s="143">
        <v>4.55</v>
      </c>
      <c r="G1188" s="143">
        <v>3.2</v>
      </c>
      <c r="H1188" s="143" t="inlineStr">
        <is>
          <t xml:space="preserve">Closed</t>
        </is>
      </c>
      <c r="I1188" s="143" t="inlineStr">
        <is>
          <t xml:space="preserve">56-10</t>
        </is>
      </c>
      <c r="J1188" s="143"/>
    </row>
    <row r="1189" spans="1:10">
      <c r="A1189" s="143" t="inlineStr">
        <is>
          <t xml:space="preserve">1089</t>
        </is>
      </c>
      <c r="B1189" s="143" t="inlineStr">
        <is>
          <t xml:space="preserve">32987725</t>
        </is>
      </c>
      <c r="C1189" s="143" t="inlineStr">
        <is>
          <t xml:space="preserve">PRE---F/O WIND SHIELD---RII---AP R/H SIDE F/O WINDSHIELD FOUND WITH BUBBLES AROUND EDGES AS :  UPPER EDGE L= 15 INCH W= 02 INCHES FROM INNER EDGE  LOWER EDGE L= 13 INCH W= 0.5 INCHES FROM INNER EDGE  L/H SIDE EDGE L= 11 INCH W= 1.8 INCHES FROM INN...</t>
        </is>
      </c>
      <c r="D1189" s="143">
        <v>1.0</v>
      </c>
      <c r="E1189" s="143">
        <v>16.0</v>
      </c>
      <c r="F1189" s="143">
        <v>0.83</v>
      </c>
      <c r="G1189" s="143">
        <v>141.8</v>
      </c>
      <c r="H1189" s="143" t="inlineStr">
        <is>
          <t xml:space="preserve">Closed</t>
        </is>
      </c>
      <c r="I1189" s="143" t="inlineStr">
        <is>
          <t xml:space="preserve">56-10</t>
        </is>
      </c>
      <c r="J1189" s="143"/>
    </row>
    <row r="1190" spans="1:10">
      <c r="A1190" s="143" t="inlineStr">
        <is>
          <t xml:space="preserve">1090</t>
        </is>
      </c>
      <c r="B1190" s="143" t="inlineStr">
        <is>
          <t xml:space="preserve">32987776</t>
        </is>
      </c>
      <c r="C1190" s="143" t="inlineStr">
        <is>
          <t xml:space="preserve">--SM--NO CALLBACK PANEL (191AT) HAS FROZEN SCREWS REQUIRE REMOVAL.</t>
        </is>
      </c>
      <c r="D1190" s="143">
        <v>1.0</v>
      </c>
      <c r="E1190" s="143">
        <v>0.0</v>
      </c>
      <c r="F1190" s="143">
        <v>29.0</v>
      </c>
      <c r="G1190" s="143">
        <v>23.5</v>
      </c>
      <c r="H1190" s="143" t="inlineStr">
        <is>
          <t xml:space="preserve">Closed</t>
        </is>
      </c>
      <c r="I1190" s="143" t="inlineStr">
        <is>
          <t xml:space="preserve">11-21</t>
        </is>
      </c>
      <c r="J1190" s="143"/>
    </row>
    <row r="1191" spans="1:10">
      <c r="A1191" s="143" t="inlineStr">
        <is>
          <t xml:space="preserve">1091</t>
        </is>
      </c>
      <c r="B1191" s="143" t="inlineStr">
        <is>
          <t xml:space="preserve">32987890</t>
        </is>
      </c>
      <c r="C1191" s="143" t="inlineStr">
        <is>
          <t xml:space="preserve">DBC/DOCUMENT S51-R10008- LH HORIZONTAL STABILIZER LE --RII--SM REF TO WO#26`191`424 DURING DBC REVIEW FOUND THE FOLLOWING  DURING COMPLIANCE OF EMPENNAGE DBC SCANNING FOUND LH HORIZONTAL STABILIZER LEADING EDGE LOWER SKIN SURFACE SECTION BETWEEN T...</t>
        </is>
      </c>
      <c r="D1191" s="143">
        <v>1.0</v>
      </c>
      <c r="E1191" s="143">
        <v>0.0</v>
      </c>
      <c r="F1191" s="143">
        <v>2.0</v>
      </c>
      <c r="G1191" s="143">
        <v>313.0</v>
      </c>
      <c r="H1191" s="143" t="inlineStr">
        <is>
          <t xml:space="preserve">Closed</t>
        </is>
      </c>
      <c r="I1191" s="143">
        <v>51.0</v>
      </c>
      <c r="J1191" s="143"/>
    </row>
    <row r="1192" spans="1:10">
      <c r="A1192" s="143" t="inlineStr">
        <is>
          <t xml:space="preserve">1092</t>
        </is>
      </c>
      <c r="B1192" s="143" t="inlineStr">
        <is>
          <t xml:space="preserve">32987935</t>
        </is>
      </c>
      <c r="C1192" s="143" t="inlineStr">
        <is>
          <t xml:space="preserve">DBC/DOCUMENT S51-R10008- LH HORIZONTAL STABILIZER LE --RII--SM REF TO WO#26`191`432 DURING DBC REVIEW FOUND THE FOLLOWING  DURING COMPLIANCE OF EMPENNAGE DBC SCANNING FOUND LH HORIZONTAL STABILIZER LEADING EDGE LOWER SKIN SURFACE SECTION BETWEEN T...</t>
        </is>
      </c>
      <c r="D1192" s="143">
        <v>1.0</v>
      </c>
      <c r="E1192" s="143">
        <v>0.0</v>
      </c>
      <c r="F1192" s="143">
        <v>1.83</v>
      </c>
      <c r="G1192" s="143">
        <v>290.5</v>
      </c>
      <c r="H1192" s="143" t="inlineStr">
        <is>
          <t xml:space="preserve">Closed</t>
        </is>
      </c>
      <c r="I1192" s="143">
        <v>51.0</v>
      </c>
      <c r="J1192" s="143"/>
    </row>
    <row r="1193" spans="1:10">
      <c r="A1193" s="143" t="inlineStr">
        <is>
          <t xml:space="preserve">1093</t>
        </is>
      </c>
      <c r="B1193" s="143" t="inlineStr">
        <is>
          <t xml:space="preserve">32987952</t>
        </is>
      </c>
      <c r="C1193" s="143" t="inlineStr">
        <is>
          <t xml:space="preserve">CAB---RII---CKCPT DR COCKPIT DOOR LATCH TENONS NEED ADJUSTMENT</t>
        </is>
      </c>
      <c r="D1193" s="143">
        <v>1.0</v>
      </c>
      <c r="E1193" s="143">
        <v>0.0</v>
      </c>
      <c r="F1193" s="143">
        <v>3.5</v>
      </c>
      <c r="G1193" s="143">
        <v>5.6</v>
      </c>
      <c r="H1193" s="143" t="inlineStr">
        <is>
          <t xml:space="preserve">Closed</t>
        </is>
      </c>
      <c r="I1193" s="143" t="inlineStr">
        <is>
          <t xml:space="preserve">52-51</t>
        </is>
      </c>
      <c r="J1193" s="143"/>
    </row>
    <row r="1194" spans="1:10">
      <c r="A1194" s="143" t="inlineStr">
        <is>
          <t xml:space="preserve">1094</t>
        </is>
      </c>
      <c r="B1194" s="143" t="inlineStr">
        <is>
          <t xml:space="preserve">32987951</t>
        </is>
      </c>
      <c r="C1194" s="143" t="inlineStr">
        <is>
          <t xml:space="preserve">PRE---CPT SLIDING WINDOW---RII---AP L/H SIDE CPT SLIDING WINDOW OUTER SURFACE AFT AND LOWER SIDE WEATHER SEAL FOUND WITH ROUGH REPAIR APPLICATION.</t>
        </is>
      </c>
      <c r="D1194" s="143">
        <v>1.0</v>
      </c>
      <c r="E1194" s="143">
        <v>8.0</v>
      </c>
      <c r="F1194" s="143">
        <v>4.05</v>
      </c>
      <c r="G1194" s="143">
        <v>3.15</v>
      </c>
      <c r="H1194" s="143" t="inlineStr">
        <is>
          <t xml:space="preserve">Closed</t>
        </is>
      </c>
      <c r="I1194" s="143" t="inlineStr">
        <is>
          <t xml:space="preserve">56-10</t>
        </is>
      </c>
      <c r="J1194" s="143"/>
    </row>
    <row r="1195" spans="1:10">
      <c r="A1195" s="143" t="inlineStr">
        <is>
          <t xml:space="preserve">1095</t>
        </is>
      </c>
      <c r="B1195" s="143" t="inlineStr">
        <is>
          <t xml:space="preserve">32987959</t>
        </is>
      </c>
      <c r="C1195" s="143" t="inlineStr">
        <is>
          <t xml:space="preserve">PRE---CAPT FIXED WINDOW---RII---AP L/H SIDE CAPT FIXED WINDOW WEATHER SEAL AFT LOWER CORNER AREA FOUND  DAMAGE.</t>
        </is>
      </c>
      <c r="D1195" s="143">
        <v>1.0</v>
      </c>
      <c r="E1195" s="143">
        <v>8.0</v>
      </c>
      <c r="F1195" s="143">
        <v>5.15</v>
      </c>
      <c r="G1195" s="143">
        <v>3.13</v>
      </c>
      <c r="H1195" s="143" t="inlineStr">
        <is>
          <t xml:space="preserve">Closed</t>
        </is>
      </c>
      <c r="I1195" s="143" t="inlineStr">
        <is>
          <t xml:space="preserve">56-10</t>
        </is>
      </c>
      <c r="J1195" s="143"/>
    </row>
    <row r="1196" spans="1:10">
      <c r="A1196" s="143" t="inlineStr">
        <is>
          <t xml:space="preserve">1096</t>
        </is>
      </c>
      <c r="B1196" s="143" t="inlineStr">
        <is>
          <t xml:space="preserve">32987947</t>
        </is>
      </c>
      <c r="C1196" s="143" t="inlineStr">
        <is>
          <t xml:space="preserve">DBC/DOCUMENT S51-R10008- LH WING--RII--SM REF TO WO#26191340  DURING COMPLIANCE OF LH WING DBC SCANNING FOUND LH WING INBOARD FLAPS LOWER SKIN SURFACE AT THE TRAILING EDGE BETWEEN FLAP RIB STATION 6 TO 7 WITH MULTIPLE SMALL DENTS  LARGEST DIMENSIO...</t>
        </is>
      </c>
      <c r="D1196" s="143">
        <v>1.0</v>
      </c>
      <c r="E1196" s="143">
        <v>0.0</v>
      </c>
      <c r="F1196" s="143">
        <v>0.67</v>
      </c>
      <c r="G1196" s="143">
        <v>289.7</v>
      </c>
      <c r="H1196" s="143" t="inlineStr">
        <is>
          <t xml:space="preserve">Closed</t>
        </is>
      </c>
      <c r="I1196" s="143">
        <v>51.0</v>
      </c>
      <c r="J1196" s="143"/>
    </row>
    <row r="1197" spans="1:10">
      <c r="A1197" s="143" t="inlineStr">
        <is>
          <t xml:space="preserve">1097</t>
        </is>
      </c>
      <c r="B1197" s="143" t="inlineStr">
        <is>
          <t xml:space="preserve">32987964</t>
        </is>
      </c>
      <c r="C1197" s="143" t="inlineStr">
        <is>
          <t xml:space="preserve">DBC---CAPT FIXED WINDOW---RII---AP L/H SIDE CAPT FIXED WINDOW AFT LOWER CORNER FOUND WITH MULTIPLE BUBBLES.  L= 03 INCH  W= 2 INCH FROM INNER EDGE.</t>
        </is>
      </c>
      <c r="D1197" s="143">
        <v>1.0</v>
      </c>
      <c r="E1197" s="143">
        <v>16.0</v>
      </c>
      <c r="F1197" s="143">
        <v>6.17</v>
      </c>
      <c r="G1197" s="143">
        <v>815.0</v>
      </c>
      <c r="H1197" s="143" t="inlineStr">
        <is>
          <t xml:space="preserve">Closed</t>
        </is>
      </c>
      <c r="I1197" s="143" t="inlineStr">
        <is>
          <t xml:space="preserve">56-10</t>
        </is>
      </c>
      <c r="J1197" s="143"/>
    </row>
    <row r="1198" spans="1:10">
      <c r="A1198" s="143" t="inlineStr">
        <is>
          <t xml:space="preserve">1098</t>
        </is>
      </c>
      <c r="B1198" s="143" t="inlineStr">
        <is>
          <t xml:space="preserve">32987966</t>
        </is>
      </c>
      <c r="C1198" s="143" t="inlineStr">
        <is>
          <t xml:space="preserve">CAB---RII---CKCPT DR COCKPIT DOOR CLEARANCES A, C &amp; P OUT OF LIMIT</t>
        </is>
      </c>
      <c r="D1198" s="143">
        <v>1.0</v>
      </c>
      <c r="E1198" s="143">
        <v>0.0</v>
      </c>
      <c r="F1198" s="143">
        <v>4.0</v>
      </c>
      <c r="G1198" s="143">
        <v>6.0</v>
      </c>
      <c r="H1198" s="143" t="inlineStr">
        <is>
          <t xml:space="preserve">Closed</t>
        </is>
      </c>
      <c r="I1198" s="143" t="inlineStr">
        <is>
          <t xml:space="preserve">52-51</t>
        </is>
      </c>
      <c r="J1198" s="143"/>
    </row>
    <row r="1199" spans="1:10">
      <c r="A1199" s="143" t="inlineStr">
        <is>
          <t xml:space="preserve">1099</t>
        </is>
      </c>
      <c r="B1199" s="143" t="inlineStr">
        <is>
          <t xml:space="preserve">32987973</t>
        </is>
      </c>
      <c r="C1199" s="143" t="inlineStr">
        <is>
          <t xml:space="preserve">DBC/DOCUMENT S51-R10008- RH WING--RII--SM REF TO WO#26`191`414  DURING COMPLIANCE OF RH WING DBC SCANNING FOUND RH WING INBOARD FLAPS LOWER SKIN SURFACE AT THE TRAILING EDGE SECTION BETWEEN FLAP RIB STATION 4 TO 5 WITH MULTIPLE SMALL DENTS  LARGES...</t>
        </is>
      </c>
      <c r="D1199" s="143">
        <v>1.0</v>
      </c>
      <c r="E1199" s="143">
        <v>0.0</v>
      </c>
      <c r="F1199" s="143">
        <v>6.17</v>
      </c>
      <c r="G1199" s="143">
        <v>245.7</v>
      </c>
      <c r="H1199" s="143" t="inlineStr">
        <is>
          <t xml:space="preserve">Closed</t>
        </is>
      </c>
      <c r="I1199" s="143">
        <v>51.0</v>
      </c>
      <c r="J1199" s="143"/>
    </row>
    <row r="1200" spans="1:10">
      <c r="A1200" s="143" t="inlineStr">
        <is>
          <t xml:space="preserve">1101</t>
        </is>
      </c>
      <c r="B1200" s="143" t="inlineStr">
        <is>
          <t xml:space="preserve">32987983</t>
        </is>
      </c>
      <c r="C1200" s="143" t="inlineStr">
        <is>
          <t xml:space="preserve">PRE---AFT CARGO---NOCALLBACK---AP AFT AND BULK CARGO COMPT DOOR NET,  IDENTIFICATION LABEL AND DIVIDER NET FOUND EXCESSIVE DIRTY WITH STAIN MARKS.</t>
        </is>
      </c>
      <c r="D1200" s="143">
        <v>1.0</v>
      </c>
      <c r="E1200" s="143">
        <v>6.0</v>
      </c>
      <c r="F1200" s="143">
        <v>2.0</v>
      </c>
      <c r="G1200" s="143">
        <v>1.05</v>
      </c>
      <c r="H1200" s="143" t="inlineStr">
        <is>
          <t xml:space="preserve">Closed</t>
        </is>
      </c>
      <c r="I1200" s="143" t="inlineStr">
        <is>
          <t xml:space="preserve">25-50</t>
        </is>
      </c>
      <c r="J1200" s="143"/>
    </row>
    <row r="1201" spans="1:10">
      <c r="A1201" s="143" t="inlineStr">
        <is>
          <t xml:space="preserve">1102</t>
        </is>
      </c>
      <c r="B1201" s="143" t="inlineStr">
        <is>
          <t xml:space="preserve">32987979</t>
        </is>
      </c>
      <c r="C1201" s="143" t="inlineStr">
        <is>
          <t xml:space="preserve">DBC/DOCUMENT S51-R10008-RH HORIZONTAL STABILIZER LE- RII--SM REF TO WO#26`191`479  DURING COMPLIANCE OF EMPENNAGE DBC SCANNING FOUND RH HORIZONTAL STABILIZER LEADING EDGE LOWER SKIN SURFACE SECTION BETWEEN THS RIB STATION 9 WITH MULTIPLE SMALL DEN...</t>
        </is>
      </c>
      <c r="D1201" s="143">
        <v>1.0</v>
      </c>
      <c r="E1201" s="143">
        <v>0.0</v>
      </c>
      <c r="F1201" s="143">
        <v>0.83</v>
      </c>
      <c r="G1201" s="143">
        <v>289.5</v>
      </c>
      <c r="H1201" s="143" t="inlineStr">
        <is>
          <t xml:space="preserve">Closed</t>
        </is>
      </c>
      <c r="I1201" s="143">
        <v>51.0</v>
      </c>
      <c r="J1201" s="143"/>
    </row>
    <row r="1202" spans="1:10">
      <c r="A1202" s="143" t="inlineStr">
        <is>
          <t xml:space="preserve">1103</t>
        </is>
      </c>
      <c r="B1202" s="143" t="inlineStr">
        <is>
          <t xml:space="preserve">32988009</t>
        </is>
      </c>
      <c r="C1202" s="143" t="inlineStr">
        <is>
          <t xml:space="preserve">PRE---L/H WING FIXED L/E---NOCALLBACK---AP L/H WING FIXED LEADING EDGE (FROM ROOT TO TIP) INNER STRUCTURE,  SURFACE PROTECTION FOUND CHIPPED AND MISSING.</t>
        </is>
      </c>
      <c r="D1202" s="143">
        <v>1.0</v>
      </c>
      <c r="E1202" s="143">
        <v>8.0</v>
      </c>
      <c r="F1202" s="143">
        <v>2.0</v>
      </c>
      <c r="G1202" s="143">
        <v>1.02</v>
      </c>
      <c r="H1202" s="143" t="inlineStr">
        <is>
          <t xml:space="preserve">Closed</t>
        </is>
      </c>
      <c r="I1202" s="143" t="inlineStr">
        <is>
          <t xml:space="preserve">05-25</t>
        </is>
      </c>
      <c r="J1202" s="143"/>
    </row>
    <row r="1203" spans="1:10">
      <c r="A1203" s="143" t="inlineStr">
        <is>
          <t xml:space="preserve">1104</t>
        </is>
      </c>
      <c r="B1203" s="143" t="inlineStr">
        <is>
          <t xml:space="preserve">32988013</t>
        </is>
      </c>
      <c r="C1203" s="143" t="inlineStr">
        <is>
          <t xml:space="preserve">PRE---R/H WING FIXED L/E---NOCALLBACK---AP R/H WING FIXED LEADING EDGE (FROM ROOT TO TIP) INNER STRUCTURE,  SURFACE PROTECTION FOUND CHIPPED AND MISSING.</t>
        </is>
      </c>
      <c r="D1203" s="143">
        <v>1.0</v>
      </c>
      <c r="E1203" s="143">
        <v>8.0</v>
      </c>
      <c r="F1203" s="143">
        <v>7.0</v>
      </c>
      <c r="G1203" s="143">
        <v>7.08</v>
      </c>
      <c r="H1203" s="143" t="inlineStr">
        <is>
          <t xml:space="preserve">Closed</t>
        </is>
      </c>
      <c r="I1203" s="143" t="inlineStr">
        <is>
          <t xml:space="preserve">05-25</t>
        </is>
      </c>
      <c r="J1203" s="143"/>
    </row>
    <row r="1204" spans="1:10">
      <c r="A1204" s="143" t="inlineStr">
        <is>
          <t xml:space="preserve">1105</t>
        </is>
      </c>
      <c r="B1204" s="143" t="inlineStr">
        <is>
          <t xml:space="preserve">32988015</t>
        </is>
      </c>
      <c r="C1204" s="143" t="inlineStr">
        <is>
          <t xml:space="preserve">PRE---L/H WING FIXED L/E---RII---AP L/H WING I/B FIXED L/E ACCESS THROUGH PANEL 521 BB, LOWER FIRE LOOP PASS THROUGH TEFLON CONNECTOR FOUND DISPLACED AND DETACHED</t>
        </is>
      </c>
      <c r="D1204" s="143">
        <v>1.0</v>
      </c>
      <c r="E1204" s="143">
        <v>8.0</v>
      </c>
      <c r="F1204" s="143">
        <v>1.5</v>
      </c>
      <c r="G1204" s="143">
        <v>7.67</v>
      </c>
      <c r="H1204" s="143" t="inlineStr">
        <is>
          <t xml:space="preserve">Closed</t>
        </is>
      </c>
      <c r="I1204" s="143" t="inlineStr">
        <is>
          <t xml:space="preserve">05-25</t>
        </is>
      </c>
      <c r="J1204" s="143"/>
    </row>
    <row r="1205" spans="1:10">
      <c r="A1205" s="143" t="inlineStr">
        <is>
          <t xml:space="preserve">1106</t>
        </is>
      </c>
      <c r="B1205" s="143" t="inlineStr">
        <is>
          <t xml:space="preserve">32988202</t>
        </is>
      </c>
      <c r="C1205" s="143" t="inlineStr">
        <is>
          <t xml:space="preserve">RUDDER ACTUATOR-AP-RII DURING RUDDER SERVO CONTROL FUNCTIONAL CHECK FOUND YELLOW RUDDER SERVO ACTUATOR OUT OF LIMITS</t>
        </is>
      </c>
      <c r="D1205" s="143">
        <v>1.0</v>
      </c>
      <c r="E1205" s="143">
        <v>16.0</v>
      </c>
      <c r="F1205" s="143">
        <v>36.7</v>
      </c>
      <c r="G1205" s="143">
        <v>141.7</v>
      </c>
      <c r="H1205" s="143" t="inlineStr">
        <is>
          <t xml:space="preserve">Closed</t>
        </is>
      </c>
      <c r="I1205" s="143" t="inlineStr">
        <is>
          <t xml:space="preserve">27-24</t>
        </is>
      </c>
      <c r="J1205" s="143"/>
    </row>
    <row r="1206" spans="1:10">
      <c r="A1206" s="143" t="inlineStr">
        <is>
          <t xml:space="preserve">1109</t>
        </is>
      </c>
      <c r="B1206" s="143" t="inlineStr">
        <is>
          <t xml:space="preserve">32988470</t>
        </is>
      </c>
      <c r="C1206" s="143" t="inlineStr">
        <is>
          <t xml:space="preserve">CAB - NO CALL BACK - L2 DOOR ASSIST HANDLE LOOSE AT L2 DOOR.</t>
        </is>
      </c>
      <c r="D1206" s="143">
        <v>1.0</v>
      </c>
      <c r="E1206" s="143">
        <v>1.5</v>
      </c>
      <c r="F1206" s="143">
        <v>11.0</v>
      </c>
      <c r="G1206" s="143">
        <v>3.0</v>
      </c>
      <c r="H1206" s="143" t="inlineStr">
        <is>
          <t xml:space="preserve">Closed</t>
        </is>
      </c>
      <c r="I1206" s="143" t="inlineStr">
        <is>
          <t xml:space="preserve">25-10</t>
        </is>
      </c>
      <c r="J1206" s="143"/>
    </row>
    <row r="1207" spans="1:10">
      <c r="A1207" s="143" t="inlineStr">
        <is>
          <t xml:space="preserve">1110</t>
        </is>
      </c>
      <c r="B1207" s="143" t="inlineStr">
        <is>
          <t xml:space="preserve">32988479</t>
        </is>
      </c>
      <c r="C1207" s="143" t="inlineStr">
        <is>
          <t xml:space="preserve">CAB - NO CALL BACK - OSB OSB UPPER TRIM BROKEN AT 44 LKJ</t>
        </is>
      </c>
      <c r="D1207" s="143">
        <v>1.0</v>
      </c>
      <c r="E1207" s="143">
        <v>1.5</v>
      </c>
      <c r="F1207" s="143">
        <v>2.5</v>
      </c>
      <c r="G1207" s="143">
        <v>2.5</v>
      </c>
      <c r="H1207" s="143" t="inlineStr">
        <is>
          <t xml:space="preserve">Closed</t>
        </is>
      </c>
      <c r="I1207" s="143" t="inlineStr">
        <is>
          <t xml:space="preserve">25-10</t>
        </is>
      </c>
      <c r="J1207" s="143"/>
    </row>
    <row r="1208" spans="1:10">
      <c r="A1208" s="143" t="inlineStr">
        <is>
          <t xml:space="preserve">1111</t>
        </is>
      </c>
      <c r="B1208" s="143" t="inlineStr">
        <is>
          <t xml:space="preserve">32988506</t>
        </is>
      </c>
      <c r="C1208" s="143" t="inlineStr">
        <is>
          <t xml:space="preserve">CAB - NO CALL BACK - GLLY SLIDING TABLE 2EA RETAINER FADED</t>
        </is>
      </c>
      <c r="D1208" s="143">
        <v>1.0</v>
      </c>
      <c r="E1208" s="143">
        <v>0.0</v>
      </c>
      <c r="F1208" s="143">
        <v>2.0</v>
      </c>
      <c r="G1208" s="143">
        <v>2.0</v>
      </c>
      <c r="H1208" s="143" t="inlineStr">
        <is>
          <t xml:space="preserve">Closed</t>
        </is>
      </c>
      <c r="I1208" s="143" t="inlineStr">
        <is>
          <t xml:space="preserve">25-10</t>
        </is>
      </c>
      <c r="J1208" s="143"/>
    </row>
    <row r="1209" spans="1:10">
      <c r="A1209" s="143" t="inlineStr">
        <is>
          <t xml:space="preserve">1114</t>
        </is>
      </c>
      <c r="B1209" s="143" t="inlineStr">
        <is>
          <t xml:space="preserve">32988706</t>
        </is>
      </c>
      <c r="C1209" s="143" t="inlineStr">
        <is>
          <t xml:space="preserve">CAB - NO CALL BACK - EMERGENCY CHART EMERGENCY CHART HOLDER FOUND DAMAGED</t>
        </is>
      </c>
      <c r="D1209" s="143">
        <v>1.0</v>
      </c>
      <c r="E1209" s="143">
        <v>1.0</v>
      </c>
      <c r="F1209" s="143">
        <v>2.0</v>
      </c>
      <c r="G1209" s="143">
        <v>1.0</v>
      </c>
      <c r="H1209" s="143" t="inlineStr">
        <is>
          <t xml:space="preserve">Closed</t>
        </is>
      </c>
      <c r="I1209" s="143" t="inlineStr">
        <is>
          <t xml:space="preserve">25-10</t>
        </is>
      </c>
      <c r="J1209" s="143"/>
    </row>
    <row r="1210" spans="1:10">
      <c r="A1210" s="143" t="inlineStr">
        <is>
          <t xml:space="preserve">1115</t>
        </is>
      </c>
      <c r="B1210" s="143" t="inlineStr">
        <is>
          <t xml:space="preserve">32988779</t>
        </is>
      </c>
      <c r="C1210" s="143" t="inlineStr">
        <is>
          <t xml:space="preserve">CAB - NO CALL BACK - OSB OSB UPPER LINER BROKEN AT 3 CA</t>
        </is>
      </c>
      <c r="D1210" s="143">
        <v>1.0</v>
      </c>
      <c r="E1210" s="143">
        <v>1.5</v>
      </c>
      <c r="F1210" s="143">
        <v>7.0</v>
      </c>
      <c r="G1210" s="143">
        <v>10.02</v>
      </c>
      <c r="H1210" s="143" t="inlineStr">
        <is>
          <t xml:space="preserve">Closed</t>
        </is>
      </c>
      <c r="I1210" s="143" t="inlineStr">
        <is>
          <t xml:space="preserve">25-10</t>
        </is>
      </c>
      <c r="J1210" s="143"/>
    </row>
    <row r="1211" spans="1:10">
      <c r="A1211" s="143" t="inlineStr">
        <is>
          <t xml:space="preserve">1117</t>
        </is>
      </c>
      <c r="B1211" s="143" t="inlineStr">
        <is>
          <t xml:space="preserve">32988794</t>
        </is>
      </c>
      <c r="C1211" s="143" t="inlineStr">
        <is>
          <t xml:space="preserve">PAINT - NO CALL BACK - WINDOW SHADE WINDOW SHADE PAINT CHIPPED AT 41 CBA</t>
        </is>
      </c>
      <c r="D1211" s="143">
        <v>1.0</v>
      </c>
      <c r="E1211" s="143">
        <v>2.0</v>
      </c>
      <c r="F1211" s="143">
        <v>3.0</v>
      </c>
      <c r="G1211" s="143">
        <v>416.0</v>
      </c>
      <c r="H1211" s="143" t="inlineStr">
        <is>
          <t xml:space="preserve">Closed</t>
        </is>
      </c>
      <c r="I1211" s="143" t="inlineStr">
        <is>
          <t xml:space="preserve">25-10</t>
        </is>
      </c>
      <c r="J1211" s="143"/>
    </row>
    <row r="1212" spans="1:10">
      <c r="A1212" s="143" t="inlineStr">
        <is>
          <t xml:space="preserve">1118</t>
        </is>
      </c>
      <c r="B1212" s="143" t="inlineStr">
        <is>
          <t xml:space="preserve">32988998</t>
        </is>
      </c>
      <c r="C1212" s="143" t="inlineStr">
        <is>
          <t xml:space="preserve">PRE---FWD CARGO---NOCALLBACK---AP FWD CARGO COMPT CNTR TANK FWD BKHD INSULATION BLANKET FOUND DUSTY AND DIRTY.</t>
        </is>
      </c>
      <c r="D1212" s="143">
        <v>1.0</v>
      </c>
      <c r="E1212" s="143">
        <v>8.0</v>
      </c>
      <c r="F1212" s="143">
        <v>8.5</v>
      </c>
      <c r="G1212" s="143">
        <v>1.53</v>
      </c>
      <c r="H1212" s="143" t="inlineStr">
        <is>
          <t xml:space="preserve">Closed</t>
        </is>
      </c>
      <c r="I1212" s="143" t="inlineStr">
        <is>
          <t xml:space="preserve">28-18</t>
        </is>
      </c>
      <c r="J1212" s="143"/>
    </row>
    <row r="1213" spans="1:10">
      <c r="A1213" s="143" t="inlineStr">
        <is>
          <t xml:space="preserve">1119</t>
        </is>
      </c>
      <c r="B1213" s="143" t="inlineStr">
        <is>
          <t xml:space="preserve">32989018</t>
        </is>
      </c>
      <c r="C1213" s="143" t="inlineStr">
        <is>
          <t xml:space="preserve">PRE---AFT LOWER FUSELAGE---NOCALLBACK---FS AFT LOWER FUSELAGE REAR FAIRING ATTACHMENTS FOUND DIRTY.</t>
        </is>
      </c>
      <c r="D1213" s="143">
        <v>1.0</v>
      </c>
      <c r="E1213" s="143">
        <v>19.5</v>
      </c>
      <c r="F1213" s="143">
        <v>19.5</v>
      </c>
      <c r="G1213" s="143">
        <v>6.52</v>
      </c>
      <c r="H1213" s="143" t="inlineStr">
        <is>
          <t xml:space="preserve">Closed</t>
        </is>
      </c>
      <c r="I1213" s="143" t="inlineStr">
        <is>
          <t xml:space="preserve">05-21</t>
        </is>
      </c>
      <c r="J1213" s="143"/>
    </row>
    <row r="1214" spans="1:10">
      <c r="A1214" s="143" t="inlineStr">
        <is>
          <t xml:space="preserve">1120</t>
        </is>
      </c>
      <c r="B1214" s="143" t="inlineStr">
        <is>
          <t xml:space="preserve">32989039</t>
        </is>
      </c>
      <c r="C1214" s="143" t="inlineStr">
        <is>
          <t xml:space="preserve">PRE---VERTICAL STAB---NOCALLBACK---FS VERTICAL STAB TIP AREA ELEMENT FIT ON HARNES 4202VB AND 4204VB SURROUNDING AREA FOUND DUSTY AND DIRTY.</t>
        </is>
      </c>
      <c r="D1214" s="143">
        <v>1.0</v>
      </c>
      <c r="E1214" s="143">
        <v>0.0</v>
      </c>
      <c r="F1214" s="143">
        <v>11.0</v>
      </c>
      <c r="G1214" s="143">
        <v>129.2</v>
      </c>
      <c r="H1214" s="143" t="inlineStr">
        <is>
          <t xml:space="preserve">Closed</t>
        </is>
      </c>
      <c r="I1214" s="143" t="inlineStr">
        <is>
          <t xml:space="preserve">24-92</t>
        </is>
      </c>
      <c r="J1214" s="143"/>
    </row>
    <row r="1215" spans="1:10">
      <c r="A1215" s="143" t="inlineStr">
        <is>
          <t xml:space="preserve">1121</t>
        </is>
      </c>
      <c r="B1215" s="143" t="inlineStr">
        <is>
          <t xml:space="preserve">32988850</t>
        </is>
      </c>
      <c r="C1215" s="143" t="inlineStr">
        <is>
          <t xml:space="preserve">CAB - NO CALLBACK - FWD GALLEY FWD GALLEY 8 EA AIR FLAP SEAL DETERIORATED.</t>
        </is>
      </c>
      <c r="D1215" s="143">
        <v>1.0</v>
      </c>
      <c r="E1215" s="143">
        <v>0.0</v>
      </c>
      <c r="F1215" s="143">
        <v>3.0</v>
      </c>
      <c r="G1215" s="143">
        <v>1.5</v>
      </c>
      <c r="H1215" s="143" t="inlineStr">
        <is>
          <t xml:space="preserve">Closed</t>
        </is>
      </c>
      <c r="I1215" s="143" t="inlineStr">
        <is>
          <t xml:space="preserve">25-10</t>
        </is>
      </c>
      <c r="J1215" s="143"/>
    </row>
    <row r="1216" spans="1:10">
      <c r="A1216" s="143" t="inlineStr">
        <is>
          <t xml:space="preserve">1122</t>
        </is>
      </c>
      <c r="B1216" s="143" t="inlineStr">
        <is>
          <t xml:space="preserve">32989105</t>
        </is>
      </c>
      <c r="C1216" s="143" t="inlineStr">
        <is>
          <t xml:space="preserve">PRE---L/H THS---NOCALLBACK---AP L/H HORIZONTAL STAB TRAILING EDGE ACCESS THROUGH PANELS  ( 334 FB,  01 EA ), ( 334 DB,  02 EA ) AND  ( 334 BB,  01 EA ) BONDING WIRES FOUND BROKEN.</t>
        </is>
      </c>
      <c r="D1216" s="143">
        <v>1.0</v>
      </c>
      <c r="E1216" s="143">
        <v>8.0</v>
      </c>
      <c r="F1216" s="143">
        <v>16.0</v>
      </c>
      <c r="G1216" s="143">
        <v>464.8</v>
      </c>
      <c r="H1216" s="143" t="inlineStr">
        <is>
          <t xml:space="preserve">Closed</t>
        </is>
      </c>
      <c r="I1216" s="143" t="inlineStr">
        <is>
          <t xml:space="preserve">24-92</t>
        </is>
      </c>
      <c r="J1216" s="143"/>
    </row>
    <row r="1217" spans="1:10">
      <c r="A1217" s="143" t="inlineStr">
        <is>
          <t xml:space="preserve">1123</t>
        </is>
      </c>
      <c r="B1217" s="143" t="inlineStr">
        <is>
          <t xml:space="preserve">32989125</t>
        </is>
      </c>
      <c r="C1217" s="143" t="inlineStr">
        <is>
          <t xml:space="preserve">PRE---R/H THS---NOCALLBACK---AP R/H HORIZONTAL STAB TRAILING EDGE ACCESS THROUGH PANELS ( 334 BB,334 CB AND 334 DB ) 05 EA BONDING WIRES FOUND BROKEN.</t>
        </is>
      </c>
      <c r="D1217" s="143">
        <v>1.0</v>
      </c>
      <c r="E1217" s="143">
        <v>8.0</v>
      </c>
      <c r="F1217" s="143">
        <v>10.0</v>
      </c>
      <c r="G1217" s="143">
        <v>459.9</v>
      </c>
      <c r="H1217" s="143" t="inlineStr">
        <is>
          <t xml:space="preserve">Closed</t>
        </is>
      </c>
      <c r="I1217" s="143" t="inlineStr">
        <is>
          <t xml:space="preserve">24-92</t>
        </is>
      </c>
      <c r="J1217" s="143"/>
    </row>
    <row r="1218" spans="1:10">
      <c r="A1218" s="143" t="inlineStr">
        <is>
          <t xml:space="preserve">1124</t>
        </is>
      </c>
      <c r="B1218" s="143" t="inlineStr">
        <is>
          <t xml:space="preserve">32989133</t>
        </is>
      </c>
      <c r="C1218" s="143" t="inlineStr">
        <is>
          <t xml:space="preserve">CAB - NO CALL BACK - GLLY G2 GALLEY SEVERAL RUB STRIP FADED</t>
        </is>
      </c>
      <c r="D1218" s="143">
        <v>1.0</v>
      </c>
      <c r="E1218" s="143">
        <v>0.0</v>
      </c>
      <c r="F1218" s="143">
        <v>2.5</v>
      </c>
      <c r="G1218" s="143">
        <v>2.5</v>
      </c>
      <c r="H1218" s="143" t="inlineStr">
        <is>
          <t xml:space="preserve">Closed</t>
        </is>
      </c>
      <c r="I1218" s="143" t="inlineStr">
        <is>
          <t xml:space="preserve">25-10</t>
        </is>
      </c>
      <c r="J1218" s="143"/>
    </row>
    <row r="1219" spans="1:10">
      <c r="A1219" s="143" t="inlineStr">
        <is>
          <t xml:space="preserve">1125</t>
        </is>
      </c>
      <c r="B1219" s="143" t="inlineStr">
        <is>
          <t xml:space="preserve">32989174</t>
        </is>
      </c>
      <c r="C1219" s="143" t="inlineStr">
        <is>
          <t xml:space="preserve">BOTH WINGS.....FS....NO CALLBACK L/H AND R/H WINGS ALL MOVABLE FAIRING DIRTY</t>
        </is>
      </c>
      <c r="D1219" s="143">
        <v>1.0</v>
      </c>
      <c r="E1219" s="143">
        <v>19.5</v>
      </c>
      <c r="F1219" s="143">
        <v>19.5</v>
      </c>
      <c r="G1219" s="143">
        <v>6.5</v>
      </c>
      <c r="H1219" s="143" t="inlineStr">
        <is>
          <t xml:space="preserve">Closed</t>
        </is>
      </c>
      <c r="I1219" s="143" t="inlineStr">
        <is>
          <t xml:space="preserve">57-56</t>
        </is>
      </c>
      <c r="J1219" s="143"/>
    </row>
    <row r="1220" spans="1:10">
      <c r="A1220" s="143" t="inlineStr">
        <is>
          <t xml:space="preserve">1126</t>
        </is>
      </c>
      <c r="B1220" s="143" t="inlineStr">
        <is>
          <t xml:space="preserve">32989457</t>
        </is>
      </c>
      <c r="C1220" s="143" t="inlineStr">
        <is>
          <t xml:space="preserve">CABIN FLOOR PANELS - CAB - CALLBACK COCKPIT/CABIN FLOOR PANELS 211FF REQUIRE REMOVAL FOR ACCESS.</t>
        </is>
      </c>
      <c r="D1220" s="143">
        <v>1.0</v>
      </c>
      <c r="E1220" s="143">
        <v>0.0</v>
      </c>
      <c r="F1220" s="143">
        <v>7.17</v>
      </c>
      <c r="G1220" s="143">
        <v>625.3</v>
      </c>
      <c r="H1220" s="143" t="inlineStr">
        <is>
          <t xml:space="preserve">Closed</t>
        </is>
      </c>
      <c r="I1220" s="143">
        <v>25.0</v>
      </c>
      <c r="J1220" s="143"/>
    </row>
    <row r="1221" spans="1:10">
      <c r="A1221" s="143" t="inlineStr">
        <is>
          <t xml:space="preserve">1127</t>
        </is>
      </c>
      <c r="B1221" s="143" t="inlineStr">
        <is>
          <t xml:space="preserve">32989455</t>
        </is>
      </c>
      <c r="C1221" s="143" t="inlineStr">
        <is>
          <t xml:space="preserve">CAB - NO CALL BACK - AFT GALLEY 502 AFT GALLEY COMPARTMENT 502 SLAM LATCH INOP</t>
        </is>
      </c>
      <c r="D1221" s="143">
        <v>1.0</v>
      </c>
      <c r="E1221" s="143">
        <v>0.0</v>
      </c>
      <c r="F1221" s="143">
        <v>2.0</v>
      </c>
      <c r="G1221" s="143">
        <v>1.0</v>
      </c>
      <c r="H1221" s="143" t="inlineStr">
        <is>
          <t xml:space="preserve">Closed</t>
        </is>
      </c>
      <c r="I1221" s="143" t="inlineStr">
        <is>
          <t xml:space="preserve">25-00</t>
        </is>
      </c>
      <c r="J1221" s="143"/>
    </row>
    <row r="1222" spans="1:10">
      <c r="A1222" s="143" t="inlineStr">
        <is>
          <t xml:space="preserve">1128</t>
        </is>
      </c>
      <c r="B1222" s="143" t="inlineStr">
        <is>
          <t xml:space="preserve">32989472</t>
        </is>
      </c>
      <c r="C1222" s="143" t="inlineStr">
        <is>
          <t xml:space="preserve">CAB - NO CALL BACK - B/C HOUSEKEEPING B/C 1A AND 2C REQUIRE HOUSEKEEPING</t>
        </is>
      </c>
      <c r="D1222" s="143">
        <v>1.0</v>
      </c>
      <c r="E1222" s="143">
        <v>0.0</v>
      </c>
      <c r="F1222" s="143">
        <v>2.0</v>
      </c>
      <c r="G1222" s="143">
        <v>2.0</v>
      </c>
      <c r="H1222" s="143" t="inlineStr">
        <is>
          <t xml:space="preserve">Closed</t>
        </is>
      </c>
      <c r="I1222" s="143" t="inlineStr">
        <is>
          <t xml:space="preserve">25-00</t>
        </is>
      </c>
      <c r="J1222" s="143"/>
    </row>
    <row r="1223" spans="1:10">
      <c r="A1223" s="143" t="inlineStr">
        <is>
          <t xml:space="preserve">1130</t>
        </is>
      </c>
      <c r="B1223" s="143" t="inlineStr">
        <is>
          <t xml:space="preserve">32989476</t>
        </is>
      </c>
      <c r="C1223" s="143" t="inlineStr">
        <is>
          <t xml:space="preserve">CAB - NO CALL BACK - B/C 4C SHELF GLUE RESIDUE B/C 4C SHELF GLUE RESIDUE</t>
        </is>
      </c>
      <c r="D1223" s="143">
        <v>1.0</v>
      </c>
      <c r="E1223" s="143">
        <v>0.0</v>
      </c>
      <c r="F1223" s="143">
        <v>4.0</v>
      </c>
      <c r="G1223" s="143">
        <v>2.0</v>
      </c>
      <c r="H1223" s="143" t="inlineStr">
        <is>
          <t xml:space="preserve">Closed</t>
        </is>
      </c>
      <c r="I1223" s="143" t="inlineStr">
        <is>
          <t xml:space="preserve">25-00</t>
        </is>
      </c>
      <c r="J1223" s="143"/>
    </row>
    <row r="1224" spans="1:10">
      <c r="A1224" s="143" t="inlineStr">
        <is>
          <t xml:space="preserve">1131</t>
        </is>
      </c>
      <c r="B1224" s="143" t="inlineStr">
        <is>
          <t xml:space="preserve">32989482</t>
        </is>
      </c>
      <c r="C1224" s="143" t="inlineStr">
        <is>
          <t xml:space="preserve">CAB - NO CALL BACK - COMPT. 108 FWD GALLEY COMPT. 108 CARTS COOLING RUBBER WORN OUT</t>
        </is>
      </c>
      <c r="D1224" s="143">
        <v>1.0</v>
      </c>
      <c r="E1224" s="143">
        <v>0.0</v>
      </c>
      <c r="F1224" s="143">
        <v>4.0</v>
      </c>
      <c r="G1224" s="143">
        <v>2.0</v>
      </c>
      <c r="H1224" s="143" t="inlineStr">
        <is>
          <t xml:space="preserve">Closed</t>
        </is>
      </c>
      <c r="I1224" s="143">
        <v>25.0</v>
      </c>
      <c r="J1224" s="143"/>
    </row>
    <row r="1225" spans="1:10">
      <c r="A1225" s="143" t="inlineStr">
        <is>
          <t xml:space="preserve">1132</t>
        </is>
      </c>
      <c r="B1225" s="143" t="inlineStr">
        <is>
          <t xml:space="preserve">32989491</t>
        </is>
      </c>
      <c r="C1225" s="143" t="inlineStr">
        <is>
          <t xml:space="preserve">CAB - NO CALL BACK - GALLEY COMPT. 108 BUMPERS GALLEY COMPT. 108 BUMPERS DEATTACHED.</t>
        </is>
      </c>
      <c r="D1225" s="143">
        <v>1.0</v>
      </c>
      <c r="E1225" s="143">
        <v>0.0</v>
      </c>
      <c r="F1225" s="143">
        <v>2.0</v>
      </c>
      <c r="G1225" s="143">
        <v>1.0</v>
      </c>
      <c r="H1225" s="143" t="inlineStr">
        <is>
          <t xml:space="preserve">Closed</t>
        </is>
      </c>
      <c r="I1225" s="143">
        <v>25.0</v>
      </c>
      <c r="J1225" s="143"/>
    </row>
    <row r="1226" spans="1:10">
      <c r="A1226" s="143" t="inlineStr">
        <is>
          <t xml:space="preserve">1133</t>
        </is>
      </c>
      <c r="B1226" s="143" t="inlineStr">
        <is>
          <t xml:space="preserve">32989492</t>
        </is>
      </c>
      <c r="C1226" s="143" t="inlineStr">
        <is>
          <t xml:space="preserve">CAB - NO CALL BACK - COMPT. 111 FWD GALLEY COMPT. 111 CARTS COOLING RUBBER WORN OUT</t>
        </is>
      </c>
      <c r="D1226" s="143">
        <v>1.0</v>
      </c>
      <c r="E1226" s="143">
        <v>0.0</v>
      </c>
      <c r="F1226" s="143">
        <v>10.0</v>
      </c>
      <c r="G1226" s="143">
        <v>125.0</v>
      </c>
      <c r="H1226" s="143" t="inlineStr">
        <is>
          <t xml:space="preserve">Closed</t>
        </is>
      </c>
      <c r="I1226" s="143">
        <v>25.0</v>
      </c>
      <c r="J1226" s="143"/>
    </row>
    <row r="1227" spans="1:10">
      <c r="A1227" s="143" t="inlineStr">
        <is>
          <t xml:space="preserve">1134</t>
        </is>
      </c>
      <c r="B1227" s="143" t="inlineStr">
        <is>
          <t xml:space="preserve">32989497</t>
        </is>
      </c>
      <c r="C1227" s="143" t="inlineStr">
        <is>
          <t xml:space="preserve">CAB - NO CALL BACK - GALLEY 201 DAMAGED FWD GALLEY COMPT. 201 DOOR TRIM DAMAGED</t>
        </is>
      </c>
      <c r="D1227" s="143">
        <v>1.0</v>
      </c>
      <c r="E1227" s="143">
        <v>0.0</v>
      </c>
      <c r="F1227" s="143">
        <v>2.0</v>
      </c>
      <c r="G1227" s="143">
        <v>2.0</v>
      </c>
      <c r="H1227" s="143" t="inlineStr">
        <is>
          <t xml:space="preserve">Closed</t>
        </is>
      </c>
      <c r="I1227" s="143">
        <v>25.0</v>
      </c>
      <c r="J1227" s="143"/>
    </row>
    <row r="1228" spans="1:10">
      <c r="A1228" s="143" t="inlineStr">
        <is>
          <t xml:space="preserve">1136</t>
        </is>
      </c>
      <c r="B1228" s="143" t="inlineStr">
        <is>
          <t xml:space="preserve">32989545</t>
        </is>
      </c>
      <c r="C1228" s="143" t="inlineStr">
        <is>
          <t xml:space="preserve">L/H WING--FS--CALL BACK REF TO TASK CARD NO :ZL-531-02-1-001, L/H FLAP TRACK NO2 AND FAIRINGS REQ CLEANING TO FACILITATE THE INSP.</t>
        </is>
      </c>
      <c r="D1228" s="143">
        <v>1.0</v>
      </c>
      <c r="E1228" s="143">
        <v>13.0</v>
      </c>
      <c r="F1228" s="143">
        <v>13.58</v>
      </c>
      <c r="G1228" s="143">
        <v>122.5</v>
      </c>
      <c r="H1228" s="143" t="inlineStr">
        <is>
          <t xml:space="preserve">Closed</t>
        </is>
      </c>
      <c r="I1228" s="143" t="inlineStr">
        <is>
          <t xml:space="preserve">05-25</t>
        </is>
      </c>
      <c r="J1228" s="143"/>
    </row>
    <row r="1229" spans="1:10">
      <c r="A1229" s="143" t="inlineStr">
        <is>
          <t xml:space="preserve">1137</t>
        </is>
      </c>
      <c r="B1229" s="143" t="inlineStr">
        <is>
          <t xml:space="preserve">32989556</t>
        </is>
      </c>
      <c r="C1229" s="143" t="inlineStr">
        <is>
          <t xml:space="preserve">R/H WING--FS--CALL BACK REF TO TASK CARD NO :ZL-531-02-1-002, ZL-532-01-1-002, , ZL-532-02-1-002 AND , ZL-533-01-1-002  R/H FLAP TRACK AND FAIRINGS NO 2,  R/H FLAP TRACK AND FAIRINGS NO 3   R/H FLAP TRACK AND FAIRINGS NO 4  REQ CLEANING TO FACILIT...</t>
        </is>
      </c>
      <c r="D1229" s="143">
        <v>1.0</v>
      </c>
      <c r="E1229" s="143">
        <v>30.0</v>
      </c>
      <c r="F1229" s="143">
        <v>33.0</v>
      </c>
      <c r="G1229" s="143">
        <v>676.8</v>
      </c>
      <c r="H1229" s="143" t="inlineStr">
        <is>
          <t xml:space="preserve">Closed</t>
        </is>
      </c>
      <c r="I1229" s="143" t="inlineStr">
        <is>
          <t xml:space="preserve">05-25</t>
        </is>
      </c>
      <c r="J1229" s="143"/>
    </row>
    <row r="1230" spans="1:10">
      <c r="A1230" s="143" t="inlineStr">
        <is>
          <t xml:space="preserve">1138</t>
        </is>
      </c>
      <c r="B1230" s="143" t="inlineStr">
        <is>
          <t xml:space="preserve">32989575</t>
        </is>
      </c>
      <c r="C1230" s="143" t="inlineStr">
        <is>
          <t xml:space="preserve">PNT - NO CALL BACK - R2 DOOR R2 DOOR DECORATIVE COVER OF THE ESCAPE SLIDE/RAFT NEEDS PAINT</t>
        </is>
      </c>
      <c r="D1230" s="143">
        <v>1.0</v>
      </c>
      <c r="E1230" s="143">
        <v>4.0</v>
      </c>
      <c r="F1230" s="143">
        <v>4.0</v>
      </c>
      <c r="G1230" s="143">
        <v>2.0</v>
      </c>
      <c r="H1230" s="143" t="inlineStr">
        <is>
          <t xml:space="preserve">Closed</t>
        </is>
      </c>
      <c r="I1230" s="143">
        <v>25.0</v>
      </c>
      <c r="J1230" s="143"/>
    </row>
    <row r="1231" spans="1:10">
      <c r="A1231" s="143" t="inlineStr">
        <is>
          <t xml:space="preserve">1139</t>
        </is>
      </c>
      <c r="B1231" s="143" t="inlineStr">
        <is>
          <t xml:space="preserve">32989577</t>
        </is>
      </c>
      <c r="C1231" s="143" t="inlineStr">
        <is>
          <t xml:space="preserve">BULK CARGO UNDER FLOOR ----FS--- CALL BACK----- REQ CLEANING OF THE UNDER FLOOR  IN THE BULK CARGO  FRAME 59 TO 70 FOR INSPECTION</t>
        </is>
      </c>
      <c r="D1231" s="143">
        <v>1.0</v>
      </c>
      <c r="E1231" s="143">
        <v>20.0</v>
      </c>
      <c r="F1231" s="143">
        <v>22.35</v>
      </c>
      <c r="G1231" s="143">
        <v>81.8</v>
      </c>
      <c r="H1231" s="143" t="inlineStr">
        <is>
          <t xml:space="preserve">Closed</t>
        </is>
      </c>
      <c r="I1231" s="143" t="inlineStr">
        <is>
          <t xml:space="preserve">50-11-33</t>
        </is>
      </c>
      <c r="J1231" s="143"/>
    </row>
    <row r="1232" spans="1:10">
      <c r="A1232" s="143" t="inlineStr">
        <is>
          <t xml:space="preserve">1140</t>
        </is>
      </c>
      <c r="B1232" s="143" t="inlineStr">
        <is>
          <t xml:space="preserve">32989579</t>
        </is>
      </c>
      <c r="C1232" s="143" t="inlineStr">
        <is>
          <t xml:space="preserve">AFT CAB UNDERFLOOR COMP--FS--CALL BACK REF TO TASK CARD NO: ZL-171-01-2 AFT CAB UNDER FLOOR COMPT REQ CLEANING TO FACILITATE THE INSPECTION.</t>
        </is>
      </c>
      <c r="D1232" s="143">
        <v>1.0</v>
      </c>
      <c r="E1232" s="143">
        <v>15.0</v>
      </c>
      <c r="F1232" s="143">
        <v>12.08</v>
      </c>
      <c r="G1232" s="143">
        <v>99.1</v>
      </c>
      <c r="H1232" s="143" t="inlineStr">
        <is>
          <t xml:space="preserve">Closed</t>
        </is>
      </c>
      <c r="I1232" s="143" t="inlineStr">
        <is>
          <t xml:space="preserve">05-21</t>
        </is>
      </c>
      <c r="J1232" s="143"/>
    </row>
    <row r="1233" spans="1:10">
      <c r="A1233" s="143" t="inlineStr">
        <is>
          <t xml:space="preserve">1141</t>
        </is>
      </c>
      <c r="B1233" s="143" t="inlineStr">
        <is>
          <t xml:space="preserve">32989728</t>
        </is>
      </c>
      <c r="C1233" s="143" t="inlineStr">
        <is>
          <t xml:space="preserve">CAB - NO CALLBACK - LAV E LAV E SHROUD SCREW MISSING</t>
        </is>
      </c>
      <c r="D1233" s="143">
        <v>1.0</v>
      </c>
      <c r="E1233" s="143">
        <v>0.0</v>
      </c>
      <c r="F1233" s="143">
        <v>1.0</v>
      </c>
      <c r="G1233" s="143">
        <v>1.0</v>
      </c>
      <c r="H1233" s="143" t="inlineStr">
        <is>
          <t xml:space="preserve">Closed</t>
        </is>
      </c>
      <c r="I1233" s="143">
        <v>25.0</v>
      </c>
      <c r="J1233" s="143"/>
    </row>
    <row r="1234" spans="1:10">
      <c r="A1234" s="143" t="inlineStr">
        <is>
          <t xml:space="preserve">1142</t>
        </is>
      </c>
      <c r="B1234" s="143" t="inlineStr">
        <is>
          <t xml:space="preserve">32989743</t>
        </is>
      </c>
      <c r="C1234" s="143" t="inlineStr">
        <is>
          <t xml:space="preserve">CAB - NO CALLBACK - LAV E LAV E BABY BASSINET LOWER STOPPER  MISSING</t>
        </is>
      </c>
      <c r="D1234" s="143">
        <v>1.0</v>
      </c>
      <c r="E1234" s="143">
        <v>0.0</v>
      </c>
      <c r="F1234" s="143">
        <v>1.0</v>
      </c>
      <c r="G1234" s="143">
        <v>1.0</v>
      </c>
      <c r="H1234" s="143" t="inlineStr">
        <is>
          <t xml:space="preserve">Closed</t>
        </is>
      </c>
      <c r="I1234" s="143">
        <v>25.0</v>
      </c>
      <c r="J1234" s="143"/>
    </row>
    <row r="1235" spans="1:10">
      <c r="A1235" s="143" t="inlineStr">
        <is>
          <t xml:space="preserve">1143</t>
        </is>
      </c>
      <c r="B1235" s="143" t="inlineStr">
        <is>
          <t xml:space="preserve">32989796</t>
        </is>
      </c>
      <c r="C1235" s="143" t="inlineStr">
        <is>
          <t xml:space="preserve">CAB - NO CALL BACK - AIR VENTILATION ALL LAV AIR VENTILATION FILTERS DIRTY</t>
        </is>
      </c>
      <c r="D1235" s="143">
        <v>1.0</v>
      </c>
      <c r="E1235" s="143">
        <v>0.0</v>
      </c>
      <c r="F1235" s="143">
        <v>2.0</v>
      </c>
      <c r="G1235" s="143">
        <v>2.0</v>
      </c>
      <c r="H1235" s="143" t="inlineStr">
        <is>
          <t xml:space="preserve">Closed</t>
        </is>
      </c>
      <c r="I1235" s="143">
        <v>25.0</v>
      </c>
      <c r="J1235" s="143"/>
    </row>
    <row r="1236" spans="1:10">
      <c r="A1236" s="143" t="inlineStr">
        <is>
          <t xml:space="preserve">1145</t>
        </is>
      </c>
      <c r="B1236" s="143" t="inlineStr">
        <is>
          <t xml:space="preserve">32989800</t>
        </is>
      </c>
      <c r="C1236" s="143" t="inlineStr">
        <is>
          <t xml:space="preserve">CAB - NO CALLBACK - LAV E LAV E DOOR WASHBASIN SCREW MISSING</t>
        </is>
      </c>
      <c r="D1236" s="143">
        <v>1.0</v>
      </c>
      <c r="E1236" s="143">
        <v>0.0</v>
      </c>
      <c r="F1236" s="143">
        <v>1.0</v>
      </c>
      <c r="G1236" s="143">
        <v>1.0</v>
      </c>
      <c r="H1236" s="143" t="inlineStr">
        <is>
          <t xml:space="preserve">Closed</t>
        </is>
      </c>
      <c r="I1236" s="143">
        <v>25.0</v>
      </c>
      <c r="J1236" s="143"/>
    </row>
    <row r="1237" spans="1:10">
      <c r="A1237" s="143" t="inlineStr">
        <is>
          <t xml:space="preserve">1146</t>
        </is>
      </c>
      <c r="B1237" s="143" t="inlineStr">
        <is>
          <t xml:space="preserve">32989825</t>
        </is>
      </c>
      <c r="C1237" s="143" t="inlineStr">
        <is>
          <t xml:space="preserve">CAB - NO CALL BACK - KICK STRIP KICK STRIP IN FRONT OF 1LJ SEALANT MISSING</t>
        </is>
      </c>
      <c r="D1237" s="143">
        <v>1.0</v>
      </c>
      <c r="E1237" s="143">
        <v>0.0</v>
      </c>
      <c r="F1237" s="143">
        <v>2.5</v>
      </c>
      <c r="G1237" s="143">
        <v>2.5</v>
      </c>
      <c r="H1237" s="143" t="inlineStr">
        <is>
          <t xml:space="preserve">Closed</t>
        </is>
      </c>
      <c r="I1237" s="143">
        <v>25.0</v>
      </c>
      <c r="J1237" s="143"/>
    </row>
    <row r="1238" spans="1:10">
      <c r="A1238" s="143" t="inlineStr">
        <is>
          <t xml:space="preserve">1147</t>
        </is>
      </c>
      <c r="B1238" s="143" t="inlineStr">
        <is>
          <t xml:space="preserve">32989853</t>
        </is>
      </c>
      <c r="C1238" s="143" t="inlineStr">
        <is>
          <t xml:space="preserve">CAB - NO CALL BACK - ICE BOX FWD GALLEY COMPT. 208 ICE BOX FULL OF WATER</t>
        </is>
      </c>
      <c r="D1238" s="143">
        <v>1.0</v>
      </c>
      <c r="E1238" s="143">
        <v>1.0</v>
      </c>
      <c r="F1238" s="143">
        <v>2.2</v>
      </c>
      <c r="G1238" s="143">
        <v>470.9</v>
      </c>
      <c r="H1238" s="143" t="inlineStr">
        <is>
          <t xml:space="preserve">Closed</t>
        </is>
      </c>
      <c r="I1238" s="143">
        <v>25.0</v>
      </c>
      <c r="J1238" s="143"/>
    </row>
    <row r="1239" spans="1:10">
      <c r="A1239" s="143" t="inlineStr">
        <is>
          <t xml:space="preserve">1148</t>
        </is>
      </c>
      <c r="B1239" s="143" t="inlineStr">
        <is>
          <t xml:space="preserve">32989854</t>
        </is>
      </c>
      <c r="C1239" s="143" t="inlineStr">
        <is>
          <t xml:space="preserve">CAB - NO CALL BACK - FWD GALLEY COMPT. 209 DOOR TEDLAR DAMAGE</t>
        </is>
      </c>
      <c r="D1239" s="143">
        <v>1.0</v>
      </c>
      <c r="E1239" s="143">
        <v>0.0</v>
      </c>
      <c r="F1239" s="143">
        <v>13.0</v>
      </c>
      <c r="G1239" s="143">
        <v>6.5</v>
      </c>
      <c r="H1239" s="143" t="inlineStr">
        <is>
          <t xml:space="preserve">Closed</t>
        </is>
      </c>
      <c r="I1239" s="143">
        <v>25.0</v>
      </c>
      <c r="J1239" s="143"/>
    </row>
    <row r="1240" spans="1:10">
      <c r="A1240" s="143" t="inlineStr">
        <is>
          <t xml:space="preserve">1149</t>
        </is>
      </c>
      <c r="B1240" s="143" t="inlineStr">
        <is>
          <t xml:space="preserve">32989860</t>
        </is>
      </c>
      <c r="C1240" s="143" t="inlineStr">
        <is>
          <t xml:space="preserve">CAB - NO CALL BACK - LAV A SEALANT LAV A ABOVE TOILET SEAT SEALANT MISSING</t>
        </is>
      </c>
      <c r="D1240" s="143">
        <v>1.0</v>
      </c>
      <c r="E1240" s="143">
        <v>0.0</v>
      </c>
      <c r="F1240" s="143">
        <v>2.5</v>
      </c>
      <c r="G1240" s="143">
        <v>2.5</v>
      </c>
      <c r="H1240" s="143" t="inlineStr">
        <is>
          <t xml:space="preserve">Closed</t>
        </is>
      </c>
      <c r="I1240" s="143">
        <v>25.0</v>
      </c>
      <c r="J1240" s="143"/>
    </row>
    <row r="1241" spans="1:10">
      <c r="A1241" s="143" t="inlineStr">
        <is>
          <t xml:space="preserve">1150</t>
        </is>
      </c>
      <c r="B1241" s="143" t="inlineStr">
        <is>
          <t xml:space="preserve">32989874</t>
        </is>
      </c>
      <c r="C1241" s="143" t="inlineStr">
        <is>
          <t xml:space="preserve">CAB - NO CALLBACK-LAV E LAV E PAN FLOOR STRIP SCREW MISSING</t>
        </is>
      </c>
      <c r="D1241" s="143">
        <v>1.0</v>
      </c>
      <c r="E1241" s="143">
        <v>0.0</v>
      </c>
      <c r="F1241" s="143">
        <v>1.0</v>
      </c>
      <c r="G1241" s="143">
        <v>1.0</v>
      </c>
      <c r="H1241" s="143" t="inlineStr">
        <is>
          <t xml:space="preserve">Closed</t>
        </is>
      </c>
      <c r="I1241" s="143">
        <v>25.0</v>
      </c>
      <c r="J1241" s="143"/>
    </row>
    <row r="1242" spans="1:10">
      <c r="A1242" s="143" t="inlineStr">
        <is>
          <t xml:space="preserve">1151</t>
        </is>
      </c>
      <c r="B1242" s="143" t="inlineStr">
        <is>
          <t xml:space="preserve">32989888</t>
        </is>
      </c>
      <c r="C1242" s="143" t="inlineStr">
        <is>
          <t xml:space="preserve">PNT - NO CALL BACK - L2 DOOR DECORATIVE COVER L2 DOOR DECORATIVE COVER OF THE ESCAPE SLIDE/RAFT NEEDS PAINT</t>
        </is>
      </c>
      <c r="D1242" s="143">
        <v>1.0</v>
      </c>
      <c r="E1242" s="143">
        <v>4.0</v>
      </c>
      <c r="F1242" s="143">
        <v>4.0</v>
      </c>
      <c r="G1242" s="143">
        <v>2.0</v>
      </c>
      <c r="H1242" s="143" t="inlineStr">
        <is>
          <t xml:space="preserve">Closed</t>
        </is>
      </c>
      <c r="I1242" s="143">
        <v>25.0</v>
      </c>
      <c r="J1242" s="143"/>
    </row>
    <row r="1243" spans="1:10">
      <c r="A1243" s="143" t="inlineStr">
        <is>
          <t xml:space="preserve">1152</t>
        </is>
      </c>
      <c r="B1243" s="143" t="inlineStr">
        <is>
          <t xml:space="preserve">32989938</t>
        </is>
      </c>
      <c r="C1243" s="143" t="inlineStr">
        <is>
          <t xml:space="preserve">PAINT-NO CALLBACK (LAV E) LAV E ASHTRAY DECAL IN DOOR  AND OUTDOOR  DISCOLORATION.</t>
        </is>
      </c>
      <c r="D1243" s="143">
        <v>1.0</v>
      </c>
      <c r="E1243" s="143">
        <v>0.0</v>
      </c>
      <c r="F1243" s="143">
        <v>2.0</v>
      </c>
      <c r="G1243" s="143">
        <v>2.0</v>
      </c>
      <c r="H1243" s="143" t="inlineStr">
        <is>
          <t xml:space="preserve">Closed</t>
        </is>
      </c>
      <c r="I1243" s="143" t="inlineStr">
        <is>
          <t xml:space="preserve">25-10</t>
        </is>
      </c>
      <c r="J1243" s="143"/>
    </row>
    <row r="1244" spans="1:10">
      <c r="A1244" s="143" t="inlineStr">
        <is>
          <t xml:space="preserve">1153</t>
        </is>
      </c>
      <c r="B1244" s="143" t="inlineStr">
        <is>
          <t xml:space="preserve">32989942</t>
        </is>
      </c>
      <c r="C1244" s="143" t="inlineStr">
        <is>
          <t xml:space="preserve">#2 ENG - L/H AND R/H FAN COWLS - BULB SEAL - AP - RII #2 ENG L/H AND R/H FAN COWLS FOUND DRAIN MAST BULB SEAL DETERIORATED .</t>
        </is>
      </c>
      <c r="D1244" s="143">
        <v>1.0</v>
      </c>
      <c r="E1244" s="143">
        <v>8.0</v>
      </c>
      <c r="F1244" s="143">
        <v>17.58</v>
      </c>
      <c r="G1244" s="143">
        <v>26.4</v>
      </c>
      <c r="H1244" s="143" t="inlineStr">
        <is>
          <t xml:space="preserve">Closed</t>
        </is>
      </c>
      <c r="I1244" s="143" t="inlineStr">
        <is>
          <t xml:space="preserve">71-13</t>
        </is>
      </c>
      <c r="J1244" s="143"/>
    </row>
    <row r="1245" spans="1:10">
      <c r="A1245" s="143" t="inlineStr">
        <is>
          <t xml:space="preserve">1154</t>
        </is>
      </c>
      <c r="B1245" s="143" t="inlineStr">
        <is>
          <t xml:space="preserve">32989943</t>
        </is>
      </c>
      <c r="C1245" s="143" t="inlineStr">
        <is>
          <t xml:space="preserve">CAB-NO CALL BACK (LAV E) LAV E DOOR HINGE  WITH MISSING SCREW 1EA.</t>
        </is>
      </c>
      <c r="D1245" s="143">
        <v>1.0</v>
      </c>
      <c r="E1245" s="143">
        <v>0.0</v>
      </c>
      <c r="F1245" s="143">
        <v>1.0</v>
      </c>
      <c r="G1245" s="143">
        <v>1.0</v>
      </c>
      <c r="H1245" s="143" t="inlineStr">
        <is>
          <t xml:space="preserve">Closed</t>
        </is>
      </c>
      <c r="I1245" s="143" t="inlineStr">
        <is>
          <t xml:space="preserve">25-10</t>
        </is>
      </c>
      <c r="J1245" s="143"/>
    </row>
    <row r="1246" spans="1:10">
      <c r="A1246" s="143" t="inlineStr">
        <is>
          <t xml:space="preserve">1155</t>
        </is>
      </c>
      <c r="B1246" s="143" t="inlineStr">
        <is>
          <t xml:space="preserve">32989944</t>
        </is>
      </c>
      <c r="C1246" s="143" t="inlineStr">
        <is>
          <t xml:space="preserve">#2 ENG - L/H FAN COWL - GUIDE PIN - AP - NO CALL BACK #2 ENG L/H FAN COWL FOUND FWD GUIDE PIN (AFT OF #1 LATCH) WITH DEEP CHAFFING . DISTANCE TO NEAREST EDGE :- 0 INCH.  DIM:-    L=0.46 INCH.                ,W=0.25 INCH.                  ,D= 0.03...</t>
        </is>
      </c>
      <c r="D1246" s="143">
        <v>1.0</v>
      </c>
      <c r="E1246" s="143">
        <v>8.0</v>
      </c>
      <c r="F1246" s="143">
        <v>11.0</v>
      </c>
      <c r="G1246" s="143">
        <v>2.02</v>
      </c>
      <c r="H1246" s="143" t="inlineStr">
        <is>
          <t xml:space="preserve">Closed</t>
        </is>
      </c>
      <c r="I1246" s="143" t="inlineStr">
        <is>
          <t xml:space="preserve">71-13</t>
        </is>
      </c>
      <c r="J1246" s="143"/>
    </row>
    <row r="1247" spans="1:10">
      <c r="A1247" s="143" t="inlineStr">
        <is>
          <t xml:space="preserve">1156</t>
        </is>
      </c>
      <c r="B1247" s="143" t="inlineStr">
        <is>
          <t xml:space="preserve">32989952</t>
        </is>
      </c>
      <c r="C1247" s="143" t="inlineStr">
        <is>
          <t xml:space="preserve">CAB - NO CALLBACK - (LAV E) LAV E DOOR LOCK VACANT IS FADED.</t>
        </is>
      </c>
      <c r="D1247" s="143">
        <v>1.0</v>
      </c>
      <c r="E1247" s="143">
        <v>0.0</v>
      </c>
      <c r="F1247" s="143">
        <v>5.0</v>
      </c>
      <c r="G1247" s="143">
        <v>2.5</v>
      </c>
      <c r="H1247" s="143" t="inlineStr">
        <is>
          <t xml:space="preserve">Closed</t>
        </is>
      </c>
      <c r="I1247" s="143" t="inlineStr">
        <is>
          <t xml:space="preserve">25-10</t>
        </is>
      </c>
      <c r="J1247" s="143"/>
    </row>
    <row r="1248" spans="1:10">
      <c r="A1248" s="143" t="inlineStr">
        <is>
          <t xml:space="preserve">1157</t>
        </is>
      </c>
      <c r="B1248" s="143" t="inlineStr">
        <is>
          <t xml:space="preserve">32989954</t>
        </is>
      </c>
      <c r="C1248" s="143" t="inlineStr">
        <is>
          <t xml:space="preserve">#2 ENG - R/H FAN COWL - CLEVIS DECAL - PNT - NO CALL BACK #2 ENG - R/H FAN COWL INNER SIDE FOUND " NEVER TURN CLEVIS" DECAL FADED AND EDGES PEELED-OFF .</t>
        </is>
      </c>
      <c r="D1248" s="143">
        <v>1.0</v>
      </c>
      <c r="E1248" s="143">
        <v>2.0</v>
      </c>
      <c r="F1248" s="143">
        <v>2.0</v>
      </c>
      <c r="G1248" s="143">
        <v>2.0</v>
      </c>
      <c r="H1248" s="143" t="inlineStr">
        <is>
          <t xml:space="preserve">Closed</t>
        </is>
      </c>
      <c r="I1248" s="143" t="inlineStr">
        <is>
          <t xml:space="preserve">71-13</t>
        </is>
      </c>
      <c r="J1248" s="143"/>
    </row>
    <row r="1249" spans="1:10">
      <c r="A1249" s="143" t="inlineStr">
        <is>
          <t xml:space="preserve">1158</t>
        </is>
      </c>
      <c r="B1249" s="143" t="inlineStr">
        <is>
          <t xml:space="preserve">32989962</t>
        </is>
      </c>
      <c r="C1249" s="143" t="inlineStr">
        <is>
          <t xml:space="preserve">#2 ENG - R/H FAN COWL - AFT EDGE PROTEC - SM - RII #2 ENG R/H FAN COWL FOUND AFT EDGE PROTECTOR AND LWER AFT EDGE PROTECTOR WITH PITTING CORROSION AT LOWER SIDE .   AFT EDGE PROTECTOR CORROSION DISTANCE TO NEAREST EDGE :- 0 INCH . (CORROSION REACH...</t>
        </is>
      </c>
      <c r="D1249" s="143">
        <v>1.0</v>
      </c>
      <c r="E1249" s="143">
        <v>0.0</v>
      </c>
      <c r="F1249" s="143">
        <v>40.5</v>
      </c>
      <c r="G1249" s="143">
        <v>535.5</v>
      </c>
      <c r="H1249" s="143" t="inlineStr">
        <is>
          <t xml:space="preserve">Closed</t>
        </is>
      </c>
      <c r="I1249" s="143" t="inlineStr">
        <is>
          <t xml:space="preserve">71-13</t>
        </is>
      </c>
      <c r="J1249" s="143"/>
    </row>
    <row r="1250" spans="1:10">
      <c r="A1250" s="143" t="inlineStr">
        <is>
          <t xml:space="preserve">1159</t>
        </is>
      </c>
      <c r="B1250" s="143" t="inlineStr">
        <is>
          <t xml:space="preserve">32989953</t>
        </is>
      </c>
      <c r="C1250" s="143" t="inlineStr">
        <is>
          <t xml:space="preserve">FWD CARGO UNDER FLOOR ----FS---  NO CALL BACK----- REQ CLEANING OF THE UNDER FLOOR BAY  IN THE  FORWARD CARGO  COMPARTMENT  FRAME 24 TO FRAME  34 FOR INSPECTION</t>
        </is>
      </c>
      <c r="D1250" s="143">
        <v>1.0</v>
      </c>
      <c r="E1250" s="143">
        <v>30.0</v>
      </c>
      <c r="F1250" s="143">
        <v>29.0</v>
      </c>
      <c r="G1250" s="143">
        <v>6.53</v>
      </c>
      <c r="H1250" s="143" t="inlineStr">
        <is>
          <t xml:space="preserve">Closed</t>
        </is>
      </c>
      <c r="I1250" s="143" t="inlineStr">
        <is>
          <t xml:space="preserve">11-35</t>
        </is>
      </c>
      <c r="J1250" s="143"/>
    </row>
    <row r="1251" spans="1:10">
      <c r="A1251" s="143" t="inlineStr">
        <is>
          <t xml:space="preserve">1160</t>
        </is>
      </c>
      <c r="B1251" s="143" t="inlineStr">
        <is>
          <t xml:space="preserve">32989963</t>
        </is>
      </c>
      <c r="C1251" s="143" t="inlineStr">
        <is>
          <t xml:space="preserve">#2 ENG - L/H AND R/H FAN COWL - HAZARD DECAL - PNT - NO CALL BACK #2 ENG L/H AND R/H FAN COWLS EXTIROIR SURFACE FOUND ALL "STAY CLEAR OF HAZARD AREA DURING ENGINE RUNNING" DECALS FADED AND EDGES PEELED-OFF.</t>
        </is>
      </c>
      <c r="D1251" s="143">
        <v>1.0</v>
      </c>
      <c r="E1251" s="143">
        <v>6.0</v>
      </c>
      <c r="F1251" s="143">
        <v>7.75</v>
      </c>
      <c r="G1251" s="143">
        <v>408.4</v>
      </c>
      <c r="H1251" s="143" t="inlineStr">
        <is>
          <t xml:space="preserve">Closed</t>
        </is>
      </c>
      <c r="I1251" s="143" t="inlineStr">
        <is>
          <t xml:space="preserve">71-13</t>
        </is>
      </c>
      <c r="J1251" s="143"/>
    </row>
    <row r="1252" spans="1:10">
      <c r="A1252" s="143" t="inlineStr">
        <is>
          <t xml:space="preserve">1161</t>
        </is>
      </c>
      <c r="B1252" s="143" t="inlineStr">
        <is>
          <t xml:space="preserve">32989964</t>
        </is>
      </c>
      <c r="C1252" s="143" t="inlineStr">
        <is>
          <t xml:space="preserve">#2 ENG - L/H AND R/H FAN COWLS - PRIMER - PNT - NO CALL BACK #2 ENG L/H AND R/H FAN COWLS INNER SURFACE FOUND WITH PRIMER CHIPPED-OFF AND WITH MISMATCHED PRIMER SPOTS ALL OVER FAN COWLS INNER SURFACES .</t>
        </is>
      </c>
      <c r="D1252" s="143">
        <v>1.0</v>
      </c>
      <c r="E1252" s="143">
        <v>6.0</v>
      </c>
      <c r="F1252" s="143">
        <v>6.5</v>
      </c>
      <c r="G1252" s="143">
        <v>2.5</v>
      </c>
      <c r="H1252" s="143" t="inlineStr">
        <is>
          <t xml:space="preserve">Closed</t>
        </is>
      </c>
      <c r="I1252" s="143" t="inlineStr">
        <is>
          <t xml:space="preserve">71-13</t>
        </is>
      </c>
      <c r="J1252" s="143"/>
    </row>
    <row r="1253" spans="1:10">
      <c r="A1253" s="143" t="inlineStr">
        <is>
          <t xml:space="preserve">1162</t>
        </is>
      </c>
      <c r="B1253" s="143" t="inlineStr">
        <is>
          <t xml:space="preserve">32989965</t>
        </is>
      </c>
      <c r="C1253" s="143" t="inlineStr">
        <is>
          <t xml:space="preserve">#2 ENG - FWD ANTI ICE DUCT - MUSCLE LINE - AP - NO CALL BACK #2 ENG FAN FRAME ASSEMBLY AT 04:00 O`CLOCK POSTION FOUND FWD ANTI-ICE DUCT MUSCLE LINE JAM NUT INSTALLED WRONG POSITION (JAM NUT SECURED AT HOSE END NOT ON BRACKET).</t>
        </is>
      </c>
      <c r="D1253" s="143">
        <v>1.0</v>
      </c>
      <c r="E1253" s="143">
        <v>3.0</v>
      </c>
      <c r="F1253" s="143">
        <v>2.5</v>
      </c>
      <c r="G1253" s="143">
        <v>234.8</v>
      </c>
      <c r="H1253" s="143" t="inlineStr">
        <is>
          <t xml:space="preserve">Closed</t>
        </is>
      </c>
      <c r="I1253" s="143" t="inlineStr">
        <is>
          <t xml:space="preserve">30-21</t>
        </is>
      </c>
      <c r="J1253" s="143"/>
    </row>
    <row r="1254" spans="1:10">
      <c r="A1254" s="143" t="inlineStr">
        <is>
          <t xml:space="preserve">1164</t>
        </is>
      </c>
      <c r="B1254" s="143" t="inlineStr">
        <is>
          <t xml:space="preserve">32989967</t>
        </is>
      </c>
      <c r="C1254" s="143" t="inlineStr">
        <is>
          <t xml:space="preserve">#2 ENG - IDG FEEDER CABLES CONNECTOR - AVN - NO CALL BACK #2 ENG AT ELECTRICAL CONNECTION JUNCTION BOX FOUND IDG FEEDER CABLE CONNECTOR WITH MISSING SAFTEY WIRE.</t>
        </is>
      </c>
      <c r="D1254" s="143">
        <v>1.0</v>
      </c>
      <c r="E1254" s="143">
        <v>4.0</v>
      </c>
      <c r="F1254" s="143">
        <v>3.0</v>
      </c>
      <c r="G1254" s="143">
        <v>215.4</v>
      </c>
      <c r="H1254" s="143" t="inlineStr">
        <is>
          <t xml:space="preserve">Closed</t>
        </is>
      </c>
      <c r="I1254" s="143" t="inlineStr">
        <is>
          <t xml:space="preserve">24-92</t>
        </is>
      </c>
      <c r="J1254" s="143"/>
    </row>
    <row r="1255" spans="1:10">
      <c r="A1255" s="143" t="inlineStr">
        <is>
          <t xml:space="preserve">1167</t>
        </is>
      </c>
      <c r="B1255" s="143" t="inlineStr">
        <is>
          <t xml:space="preserve">32989975</t>
        </is>
      </c>
      <c r="C1255" s="143" t="inlineStr">
        <is>
          <t xml:space="preserve">#2 ENG - L/H AND R/H T/REV - COOLING HOSE - AP - NO CALL BACK #2 ENG L/H AND R/H THRUST REVERSERS INNER SIDE FOUND THRUST REVERSER OPENING ACTUATORS COOLING HOSES DETERIORATED .</t>
        </is>
      </c>
      <c r="D1255" s="143">
        <v>1.0</v>
      </c>
      <c r="E1255" s="143">
        <v>4.0</v>
      </c>
      <c r="F1255" s="143">
        <v>1.0</v>
      </c>
      <c r="G1255" s="143">
        <v>0.58</v>
      </c>
      <c r="H1255" s="143" t="inlineStr">
        <is>
          <t xml:space="preserve">Closed</t>
        </is>
      </c>
      <c r="I1255" s="143" t="inlineStr">
        <is>
          <t xml:space="preserve">05-24</t>
        </is>
      </c>
      <c r="J1255" s="143"/>
    </row>
    <row r="1256" spans="1:10">
      <c r="A1256" s="143" t="inlineStr">
        <is>
          <t xml:space="preserve">1168</t>
        </is>
      </c>
      <c r="B1256" s="143" t="inlineStr">
        <is>
          <t xml:space="preserve">32989976</t>
        </is>
      </c>
      <c r="C1256" s="143" t="inlineStr">
        <is>
          <t xml:space="preserve">#2 ENG - R/H T/REV - OPENING ACT - AP - NO CALL BACK #2 ENG R/H THRUST REVERSER FOUND  THRUST REVERSER OPENING ACTUATOR WITH HEAVY LEAK .</t>
        </is>
      </c>
      <c r="D1256" s="143">
        <v>1.0</v>
      </c>
      <c r="E1256" s="143">
        <v>4.0</v>
      </c>
      <c r="F1256" s="143">
        <v>0.5</v>
      </c>
      <c r="G1256" s="143">
        <v>0.5</v>
      </c>
      <c r="H1256" s="143" t="inlineStr">
        <is>
          <t xml:space="preserve">Closed</t>
        </is>
      </c>
      <c r="I1256" s="143" t="inlineStr">
        <is>
          <t xml:space="preserve">05-24</t>
        </is>
      </c>
      <c r="J1256" s="143"/>
    </row>
    <row r="1257" spans="1:10">
      <c r="A1257" s="143" t="inlineStr">
        <is>
          <t xml:space="preserve">1169</t>
        </is>
      </c>
      <c r="B1257" s="143" t="inlineStr">
        <is>
          <t xml:space="preserve">32989982</t>
        </is>
      </c>
      <c r="C1257" s="143" t="inlineStr">
        <is>
          <t xml:space="preserve">#2 ENG - R/H T/REV - HEAT SHIELD - SM - RII #2 ENG R/H THRUST REVERSER AT INNER  FWD SIDE FOUND HEAT SHILED WITH 8 CHAFFING MARKS (T/REV CHAFFING AGAINST ANI-ICE MUSCLE LINE AND ITS BRACKETS).   #1 CHAFFING DISTANCE TO NEAREST EDGE :- 4 INCH.  DIM...</t>
        </is>
      </c>
      <c r="D1257" s="143">
        <v>1.0</v>
      </c>
      <c r="E1257" s="143">
        <v>0.0</v>
      </c>
      <c r="F1257" s="143">
        <v>9.25</v>
      </c>
      <c r="G1257" s="143">
        <v>402.5</v>
      </c>
      <c r="H1257" s="143" t="inlineStr">
        <is>
          <t xml:space="preserve">Closed</t>
        </is>
      </c>
      <c r="I1257" s="143" t="inlineStr">
        <is>
          <t xml:space="preserve">05-24</t>
        </is>
      </c>
      <c r="J1257" s="143"/>
    </row>
    <row r="1258" spans="1:10">
      <c r="A1258" s="143" t="inlineStr">
        <is>
          <t xml:space="preserve">1170</t>
        </is>
      </c>
      <c r="B1258" s="143" t="inlineStr">
        <is>
          <t xml:space="preserve">32989993</t>
        </is>
      </c>
      <c r="C1258" s="143" t="inlineStr">
        <is>
          <t xml:space="preserve">#2 ENG - L/H TREV - THERMAL BLANKET - SM - RII #2 ENG L/H THRUST REVERSER INNER SIDE FOUND THERMAL BLANKET TORN ( T/REV CHAFFING AGAINST T495 THERMOCOUPLE HARNESS AT 08:00 OCLOCK POSITION) DISTANCE TO NEAREST EDGE :- 2.5 INCH.  DIM:- L= 2.31 INCH....</t>
        </is>
      </c>
      <c r="D1258" s="143">
        <v>1.0</v>
      </c>
      <c r="E1258" s="143">
        <v>0.0</v>
      </c>
      <c r="F1258" s="143">
        <v>1.75</v>
      </c>
      <c r="G1258" s="143">
        <v>710.3</v>
      </c>
      <c r="H1258" s="143" t="inlineStr">
        <is>
          <t xml:space="preserve">Closed</t>
        </is>
      </c>
      <c r="I1258" s="143" t="inlineStr">
        <is>
          <t xml:space="preserve">05-24</t>
        </is>
      </c>
      <c r="J1258" s="143"/>
    </row>
    <row r="1259" spans="1:10">
      <c r="A1259" s="143" t="inlineStr">
        <is>
          <t xml:space="preserve">1172</t>
        </is>
      </c>
      <c r="B1259" s="143" t="inlineStr">
        <is>
          <t xml:space="preserve">32989994</t>
        </is>
      </c>
      <c r="C1259" s="143" t="inlineStr">
        <is>
          <t xml:space="preserve">#2 ENG - L/H T/REV - HEAT SHIELD - SM - RII #2 ENG L/H THRUST REVERSER INNER FWD SIDE FOUND HEAT SHIELD WITH 5 CHAFFING MARKS ( T/REV CHAFFING AGAINST DRIAN LINE AND CONNECTOR JUNCTION BOX).   #1 CHAFFING DISTANCE TO NEAREST EDGE :- 0 INCH. (CHAFF...</t>
        </is>
      </c>
      <c r="D1259" s="143">
        <v>1.0</v>
      </c>
      <c r="E1259" s="143">
        <v>0.0</v>
      </c>
      <c r="F1259" s="143">
        <v>6.42</v>
      </c>
      <c r="G1259" s="143">
        <v>408.3</v>
      </c>
      <c r="H1259" s="143" t="inlineStr">
        <is>
          <t xml:space="preserve">Closed</t>
        </is>
      </c>
      <c r="I1259" s="143" t="inlineStr">
        <is>
          <t xml:space="preserve">05-24</t>
        </is>
      </c>
      <c r="J1259" s="143"/>
    </row>
    <row r="1260" spans="1:10">
      <c r="A1260" s="143" t="inlineStr">
        <is>
          <t xml:space="preserve">1173</t>
        </is>
      </c>
      <c r="B1260" s="143" t="inlineStr">
        <is>
          <t xml:space="preserve">32990006</t>
        </is>
      </c>
      <c r="C1260" s="143" t="inlineStr">
        <is>
          <t xml:space="preserve">CAB PAX SEAT---SEAT SHOP-- NO CALL BACK SEAT NO 30 J,K,L BAGAGE ROD NUT MISSSING.</t>
        </is>
      </c>
      <c r="D1260" s="143">
        <v>1.0</v>
      </c>
      <c r="E1260" s="143">
        <v>1.5</v>
      </c>
      <c r="F1260" s="143">
        <v>1.5</v>
      </c>
      <c r="G1260" s="143">
        <v>1.68</v>
      </c>
      <c r="H1260" s="143" t="inlineStr">
        <is>
          <t xml:space="preserve">Closed</t>
        </is>
      </c>
      <c r="I1260" s="143" t="inlineStr">
        <is>
          <t xml:space="preserve">25-21</t>
        </is>
      </c>
      <c r="J1260" s="143"/>
    </row>
    <row r="1261" spans="1:10">
      <c r="A1261" s="143" t="inlineStr">
        <is>
          <t xml:space="preserve">1175</t>
        </is>
      </c>
      <c r="B1261" s="143" t="inlineStr">
        <is>
          <t xml:space="preserve">32990007</t>
        </is>
      </c>
      <c r="C1261" s="143" t="inlineStr">
        <is>
          <t xml:space="preserve">PAX SEAT--- AV-- NO CALL BACK PAX SEAT , POWER SOCKET SHROUD NOT SECURED SEAT NO:33L,34JL,35K,37JL</t>
        </is>
      </c>
      <c r="D1261" s="143">
        <v>1.0</v>
      </c>
      <c r="E1261" s="143">
        <v>8.0</v>
      </c>
      <c r="F1261" s="143">
        <v>8.0</v>
      </c>
      <c r="G1261" s="143">
        <v>2.07</v>
      </c>
      <c r="H1261" s="143" t="inlineStr">
        <is>
          <t xml:space="preserve">Closed</t>
        </is>
      </c>
      <c r="I1261" s="143" t="inlineStr">
        <is>
          <t xml:space="preserve">25-21</t>
        </is>
      </c>
      <c r="J1261" s="143"/>
    </row>
    <row r="1262" spans="1:10">
      <c r="A1262" s="143" t="inlineStr">
        <is>
          <t xml:space="preserve">1176</t>
        </is>
      </c>
      <c r="B1262" s="143" t="inlineStr">
        <is>
          <t xml:space="preserve">32990011</t>
        </is>
      </c>
      <c r="C1262" s="143" t="inlineStr">
        <is>
          <t xml:space="preserve">PAX SEAT--- AV-- NO CALL BACK PAX SEAT , POWER SOCKET SHROUD NOT SECURED SEAT NO: 38J,K   39J,K,L   40 J,K,L    41 J,K,L  42J,K  43 J,K,L</t>
        </is>
      </c>
      <c r="D1262" s="143">
        <v>1.0</v>
      </c>
      <c r="E1262" s="143">
        <v>8.0</v>
      </c>
      <c r="F1262" s="143">
        <v>8.0</v>
      </c>
      <c r="G1262" s="143">
        <v>2.08</v>
      </c>
      <c r="H1262" s="143" t="inlineStr">
        <is>
          <t xml:space="preserve">Closed</t>
        </is>
      </c>
      <c r="I1262" s="143" t="inlineStr">
        <is>
          <t xml:space="preserve">25-21</t>
        </is>
      </c>
      <c r="J1262" s="143"/>
    </row>
    <row r="1263" spans="1:10">
      <c r="A1263" s="143" t="inlineStr">
        <is>
          <t xml:space="preserve">1177</t>
        </is>
      </c>
      <c r="B1263" s="143" t="inlineStr">
        <is>
          <t xml:space="preserve">32990012</t>
        </is>
      </c>
      <c r="C1263" s="143" t="inlineStr">
        <is>
          <t xml:space="preserve">PAX SEAT--- AV-- NO CALL BACK PAX SEAT , POWER SOCKET SHROUD NOT SECURED SEAT NO:  43 A,C   42 B,C    40A,C   39A,C AND  38A,B,C</t>
        </is>
      </c>
      <c r="D1263" s="143">
        <v>1.0</v>
      </c>
      <c r="E1263" s="143">
        <v>6.0</v>
      </c>
      <c r="F1263" s="143">
        <v>8.0</v>
      </c>
      <c r="G1263" s="143">
        <v>2.03</v>
      </c>
      <c r="H1263" s="143" t="inlineStr">
        <is>
          <t xml:space="preserve">Closed</t>
        </is>
      </c>
      <c r="I1263" s="143" t="inlineStr">
        <is>
          <t xml:space="preserve">25-21</t>
        </is>
      </c>
      <c r="J1263" s="143"/>
    </row>
    <row r="1264" spans="1:10">
      <c r="A1264" s="143" t="inlineStr">
        <is>
          <t xml:space="preserve">1178</t>
        </is>
      </c>
      <c r="B1264" s="143" t="inlineStr">
        <is>
          <t xml:space="preserve">32990013</t>
        </is>
      </c>
      <c r="C1264" s="143" t="inlineStr">
        <is>
          <t xml:space="preserve">PAX SEAT--- AV-- NO CALL BACK PAX SEAT , POWER SOCKET SHROUD NOT SECURED SEAT NO: 37A,B,C  36A,B,C  35C  34A,B,C</t>
        </is>
      </c>
      <c r="D1264" s="143">
        <v>1.0</v>
      </c>
      <c r="E1264" s="143">
        <v>6.0</v>
      </c>
      <c r="F1264" s="143">
        <v>9.0</v>
      </c>
      <c r="G1264" s="143">
        <v>3.1</v>
      </c>
      <c r="H1264" s="143" t="inlineStr">
        <is>
          <t xml:space="preserve">Closed</t>
        </is>
      </c>
      <c r="I1264" s="143" t="inlineStr">
        <is>
          <t xml:space="preserve">25-21</t>
        </is>
      </c>
      <c r="J1264" s="143"/>
    </row>
    <row r="1265" spans="1:10">
      <c r="A1265" s="143" t="inlineStr">
        <is>
          <t xml:space="preserve">1179</t>
        </is>
      </c>
      <c r="B1265" s="143" t="inlineStr">
        <is>
          <t xml:space="preserve">32990020</t>
        </is>
      </c>
      <c r="C1265" s="143" t="inlineStr">
        <is>
          <t xml:space="preserve">PAX SEAT--- AV-- NO CALL BACK PAX SEAT , POWER SOCKET SHROUD NOT SECURED SEAT NO: 33B,C   32A,B,C  AND 31A,B</t>
        </is>
      </c>
      <c r="D1265" s="143">
        <v>1.0</v>
      </c>
      <c r="E1265" s="143">
        <v>4.0</v>
      </c>
      <c r="F1265" s="143">
        <v>8.0</v>
      </c>
      <c r="G1265" s="143">
        <v>2.05</v>
      </c>
      <c r="H1265" s="143" t="inlineStr">
        <is>
          <t xml:space="preserve">Closed</t>
        </is>
      </c>
      <c r="I1265" s="143" t="inlineStr">
        <is>
          <t xml:space="preserve">25-21</t>
        </is>
      </c>
      <c r="J1265" s="143"/>
    </row>
    <row r="1266" spans="1:10">
      <c r="A1266" s="143" t="inlineStr">
        <is>
          <t xml:space="preserve">1180</t>
        </is>
      </c>
      <c r="B1266" s="143" t="inlineStr">
        <is>
          <t xml:space="preserve">32990021</t>
        </is>
      </c>
      <c r="C1266" s="143" t="inlineStr">
        <is>
          <t xml:space="preserve">CAB PAX SEAT--- SEAT SHOP-- NO CALL BACK PAX SEAT 43 J,K   ACTUATOR NUT MISSING.</t>
        </is>
      </c>
      <c r="D1266" s="143">
        <v>1.0</v>
      </c>
      <c r="E1266" s="143">
        <v>0.0</v>
      </c>
      <c r="F1266" s="143">
        <v>1.5</v>
      </c>
      <c r="G1266" s="143">
        <v>1.75</v>
      </c>
      <c r="H1266" s="143" t="inlineStr">
        <is>
          <t xml:space="preserve">Closed</t>
        </is>
      </c>
      <c r="I1266" s="143" t="inlineStr">
        <is>
          <t xml:space="preserve">25-21</t>
        </is>
      </c>
      <c r="J1266" s="143"/>
    </row>
    <row r="1267" spans="1:10">
      <c r="A1267" s="143" t="inlineStr">
        <is>
          <t xml:space="preserve">1181</t>
        </is>
      </c>
      <c r="B1267" s="143" t="inlineStr">
        <is>
          <t xml:space="preserve">32990026</t>
        </is>
      </c>
      <c r="C1267" s="143" t="inlineStr">
        <is>
          <t xml:space="preserve">CAB--PAX SEAT--- RII CAB  PAX SEAT 43C FWD BEAM WITH CRACK.</t>
        </is>
      </c>
      <c r="D1267" s="143">
        <v>1.0</v>
      </c>
      <c r="E1267" s="143">
        <v>0.0</v>
      </c>
      <c r="F1267" s="143">
        <v>2.08</v>
      </c>
      <c r="G1267" s="143">
        <v>30.8</v>
      </c>
      <c r="H1267" s="143" t="inlineStr">
        <is>
          <t xml:space="preserve">Closed</t>
        </is>
      </c>
      <c r="I1267" s="143" t="inlineStr">
        <is>
          <t xml:space="preserve">25-21</t>
        </is>
      </c>
      <c r="J1267" s="143"/>
    </row>
    <row r="1268" spans="1:10">
      <c r="A1268" s="143" t="inlineStr">
        <is>
          <t xml:space="preserve">1182</t>
        </is>
      </c>
      <c r="B1268" s="143" t="inlineStr">
        <is>
          <t xml:space="preserve">32990029</t>
        </is>
      </c>
      <c r="C1268" s="143" t="inlineStr">
        <is>
          <t xml:space="preserve">CAB--PAX SEAT--- RII CAB  PAX SEAT 40C FWD BEAM WITH CRACK.</t>
        </is>
      </c>
      <c r="D1268" s="143">
        <v>1.0</v>
      </c>
      <c r="E1268" s="143">
        <v>0.0</v>
      </c>
      <c r="F1268" s="143">
        <v>2.08</v>
      </c>
      <c r="G1268" s="143">
        <v>29.7</v>
      </c>
      <c r="H1268" s="143" t="inlineStr">
        <is>
          <t xml:space="preserve">Closed</t>
        </is>
      </c>
      <c r="I1268" s="143" t="inlineStr">
        <is>
          <t xml:space="preserve">25-21</t>
        </is>
      </c>
      <c r="J1268" s="143"/>
    </row>
    <row r="1269" spans="1:10">
      <c r="A1269" s="143" t="inlineStr">
        <is>
          <t xml:space="preserve">1183</t>
        </is>
      </c>
      <c r="B1269" s="143" t="inlineStr">
        <is>
          <t xml:space="preserve">32990034</t>
        </is>
      </c>
      <c r="C1269" s="143" t="inlineStr">
        <is>
          <t xml:space="preserve">CAB--PAX SEAT--- RII CAB  PAX SEAT NO 35C FWD BEAM WITH CRACK.</t>
        </is>
      </c>
      <c r="D1269" s="143">
        <v>1.0</v>
      </c>
      <c r="E1269" s="143">
        <v>0.0</v>
      </c>
      <c r="F1269" s="143">
        <v>2.08</v>
      </c>
      <c r="G1269" s="143">
        <v>30.7</v>
      </c>
      <c r="H1269" s="143" t="inlineStr">
        <is>
          <t xml:space="preserve">Closed</t>
        </is>
      </c>
      <c r="I1269" s="143" t="inlineStr">
        <is>
          <t xml:space="preserve">25-21</t>
        </is>
      </c>
      <c r="J1269" s="143"/>
    </row>
    <row r="1270" spans="1:10">
      <c r="A1270" s="143" t="inlineStr">
        <is>
          <t xml:space="preserve">1184</t>
        </is>
      </c>
      <c r="B1270" s="143" t="inlineStr">
        <is>
          <t xml:space="preserve">32990037</t>
        </is>
      </c>
      <c r="C1270" s="143" t="inlineStr">
        <is>
          <t xml:space="preserve">CAB--PAX SEAT--- RII CAB  PAX SEAT NO 33C FWD BEAM WITH CRACK.</t>
        </is>
      </c>
      <c r="D1270" s="143">
        <v>1.0</v>
      </c>
      <c r="E1270" s="143">
        <v>0.0</v>
      </c>
      <c r="F1270" s="143">
        <v>2.08</v>
      </c>
      <c r="G1270" s="143">
        <v>30.7</v>
      </c>
      <c r="H1270" s="143" t="inlineStr">
        <is>
          <t xml:space="preserve">Closed</t>
        </is>
      </c>
      <c r="I1270" s="143" t="inlineStr">
        <is>
          <t xml:space="preserve">25-21</t>
        </is>
      </c>
      <c r="J1270" s="143"/>
    </row>
    <row r="1271" spans="1:10">
      <c r="A1271" s="143" t="inlineStr">
        <is>
          <t xml:space="preserve">1185</t>
        </is>
      </c>
      <c r="B1271" s="143" t="inlineStr">
        <is>
          <t xml:space="preserve">32990036</t>
        </is>
      </c>
      <c r="C1271" s="143" t="inlineStr">
        <is>
          <t xml:space="preserve">#1 ENG - L/H AND R/H FAN COWLS - BULB SEAL - AP - RII #1 ENG L/H AND R/H FAN COWLS FOUND DRAIN MAST BULB SEAL DETERIORATED .</t>
        </is>
      </c>
      <c r="D1271" s="143">
        <v>1.0</v>
      </c>
      <c r="E1271" s="143">
        <v>8.0</v>
      </c>
      <c r="F1271" s="143">
        <v>24.1</v>
      </c>
      <c r="G1271" s="143">
        <v>99.0</v>
      </c>
      <c r="H1271" s="143" t="inlineStr">
        <is>
          <t xml:space="preserve">Closed</t>
        </is>
      </c>
      <c r="I1271" s="143" t="inlineStr">
        <is>
          <t xml:space="preserve">71-13</t>
        </is>
      </c>
      <c r="J1271" s="143"/>
    </row>
    <row r="1272" spans="1:10">
      <c r="A1272" s="143" t="inlineStr">
        <is>
          <t xml:space="preserve">1186</t>
        </is>
      </c>
      <c r="B1272" s="143" t="inlineStr">
        <is>
          <t xml:space="preserve">32990048</t>
        </is>
      </c>
      <c r="C1272" s="143" t="inlineStr">
        <is>
          <t xml:space="preserve">#1 ENG - L/H FAN COWL - SM - RII #1 ENG L/H FAN COWL INNER SURFACE FOUND WITH GOUGE BETWEEN #2 LATCH AND #3 LATCH (ZONE D1) DISTANCE TO NEAREST EDGE :- 3.97 INCH.  DIM:-      L=0.5 INCH.                            ,W=0.12 INCH....</t>
        </is>
      </c>
      <c r="D1272" s="143">
        <v>1.0</v>
      </c>
      <c r="E1272" s="143">
        <v>8.0</v>
      </c>
      <c r="F1272" s="143">
        <v>116.6</v>
      </c>
      <c r="G1272" s="143">
        <v>541.5</v>
      </c>
      <c r="H1272" s="143" t="inlineStr">
        <is>
          <t xml:space="preserve">Closed</t>
        </is>
      </c>
      <c r="I1272" s="143" t="inlineStr">
        <is>
          <t xml:space="preserve">71-13</t>
        </is>
      </c>
      <c r="J1272" s="143"/>
    </row>
    <row r="1273" spans="1:10">
      <c r="A1273" s="143" t="inlineStr">
        <is>
          <t xml:space="preserve">1187</t>
        </is>
      </c>
      <c r="B1273" s="143" t="inlineStr">
        <is>
          <t xml:space="preserve">32990053</t>
        </is>
      </c>
      <c r="C1273" s="143" t="inlineStr">
        <is>
          <t xml:space="preserve">#1 ENG - L/H FAN COWLS - DENT - SM - RII #1 ENG L/H FAN COWL INNER SURFACE FOUND WITH DENT AT THE  MIDDLE  (ZONE D3) DISTANCE TO NEAREST EDGE :- 5.75 INCH.  DIM:-      L=0.61 INCH.                            ,W=0.5  INCH.                       D=0...</t>
        </is>
      </c>
      <c r="D1273" s="143">
        <v>1.0</v>
      </c>
      <c r="E1273" s="143">
        <v>8.0</v>
      </c>
      <c r="F1273" s="143">
        <v>29.7</v>
      </c>
      <c r="G1273" s="143">
        <v>557.0</v>
      </c>
      <c r="H1273" s="143" t="inlineStr">
        <is>
          <t xml:space="preserve">Closed</t>
        </is>
      </c>
      <c r="I1273" s="143" t="inlineStr">
        <is>
          <t xml:space="preserve">71-13</t>
        </is>
      </c>
      <c r="J1273" s="143"/>
    </row>
    <row r="1274" spans="1:10">
      <c r="A1274" s="143" t="inlineStr">
        <is>
          <t xml:space="preserve">1188</t>
        </is>
      </c>
      <c r="B1274" s="143" t="inlineStr">
        <is>
          <t xml:space="preserve">32990054</t>
        </is>
      </c>
      <c r="C1274" s="143" t="inlineStr">
        <is>
          <t xml:space="preserve">#1 ENG - L/H FAN COWL - AFT EDGE PROTEC - SM - RII #1 ENG L/H FAN COWL FOUND AFT EDGE PROTECTOR  WITH PITTING CORROSION AT LOWER SIDE DISTANCE TO NEARST EDGE :- 0 INCH . (CORROSION REACHED EDGE)  AFT EDGE PROTECTOR CORROSION DISTANCE TO NEAREST ED...</t>
        </is>
      </c>
      <c r="D1274" s="143">
        <v>1.0</v>
      </c>
      <c r="E1274" s="143">
        <v>3.0</v>
      </c>
      <c r="F1274" s="143">
        <v>27.2</v>
      </c>
      <c r="G1274" s="143">
        <v>486.4</v>
      </c>
      <c r="H1274" s="143" t="inlineStr">
        <is>
          <t xml:space="preserve">Closed</t>
        </is>
      </c>
      <c r="I1274" s="143" t="inlineStr">
        <is>
          <t xml:space="preserve">71-13</t>
        </is>
      </c>
      <c r="J1274" s="143"/>
    </row>
    <row r="1275" spans="1:10">
      <c r="A1275" s="143" t="inlineStr">
        <is>
          <t xml:space="preserve">1189</t>
        </is>
      </c>
      <c r="B1275" s="143" t="inlineStr">
        <is>
          <t xml:space="preserve">32990067</t>
        </is>
      </c>
      <c r="C1275" s="143" t="inlineStr">
        <is>
          <t xml:space="preserve">#1 ENG - R/H FAN COWL - AFT EDGE PROTEC - SM - RII #1 ENG R/H FAN COWL FOUND AFT EDGE PROTECTOR AND LWER AFT EDGE PROTECTOR WITH PITTING CORROSION AT LOWER SIDE .   AFT EDGE PROTECTOR CORROSION DISTANCE TO NEAREST EDGE :- 0 INCH . (CORROSION REACH...</t>
        </is>
      </c>
      <c r="D1275" s="143">
        <v>1.0</v>
      </c>
      <c r="E1275" s="143">
        <v>4.0</v>
      </c>
      <c r="F1275" s="143">
        <v>35.5</v>
      </c>
      <c r="G1275" s="143">
        <v>482.4</v>
      </c>
      <c r="H1275" s="143" t="inlineStr">
        <is>
          <t xml:space="preserve">Closed</t>
        </is>
      </c>
      <c r="I1275" s="143" t="inlineStr">
        <is>
          <t xml:space="preserve">71-13</t>
        </is>
      </c>
      <c r="J1275" s="143"/>
    </row>
    <row r="1276" spans="1:10">
      <c r="A1276" s="143" t="inlineStr">
        <is>
          <t xml:space="preserve">1190</t>
        </is>
      </c>
      <c r="B1276" s="143" t="inlineStr">
        <is>
          <t xml:space="preserve">32990167</t>
        </is>
      </c>
      <c r="C1276" s="143" t="inlineStr">
        <is>
          <t xml:space="preserve">#1 ENG - R/H FAN COWL - CLEVIS DECAL - PNT - NO CALL BACK #1 ENG - R/H FAN COWL INNER SIDE FOUND " NEVER TURN CLEVIS" DECAL FADED AND EDGES PEELED-OFF .</t>
        </is>
      </c>
      <c r="D1276" s="143">
        <v>1.0</v>
      </c>
      <c r="E1276" s="143">
        <v>2.0</v>
      </c>
      <c r="F1276" s="143">
        <v>2.0</v>
      </c>
      <c r="G1276" s="143">
        <v>2.0</v>
      </c>
      <c r="H1276" s="143" t="inlineStr">
        <is>
          <t xml:space="preserve">Closed</t>
        </is>
      </c>
      <c r="I1276" s="143" t="inlineStr">
        <is>
          <t xml:space="preserve">71-13</t>
        </is>
      </c>
      <c r="J1276" s="143"/>
    </row>
    <row r="1277" spans="1:10">
      <c r="A1277" s="143" t="inlineStr">
        <is>
          <t xml:space="preserve">1191</t>
        </is>
      </c>
      <c r="B1277" s="143" t="inlineStr">
        <is>
          <t xml:space="preserve">32990169</t>
        </is>
      </c>
      <c r="C1277" s="143" t="inlineStr">
        <is>
          <t xml:space="preserve">#1 ENG - R/H FAN COWL - HAZARD DECAL - PNT - NO CALL BACK #1 ENG R/H FAN COWLS EXTIROIR SURFACE FOUND ALL "STAY CLEAR OF HAZARD AREA DURING ENGINE RUNNING" DECALS FADED AND EDGES PEALED-OFF.</t>
        </is>
      </c>
      <c r="D1277" s="143">
        <v>1.0</v>
      </c>
      <c r="E1277" s="143">
        <v>3.0</v>
      </c>
      <c r="F1277" s="143">
        <v>4.25</v>
      </c>
      <c r="G1277" s="143">
        <v>249.5</v>
      </c>
      <c r="H1277" s="143" t="inlineStr">
        <is>
          <t xml:space="preserve">Closed</t>
        </is>
      </c>
      <c r="I1277" s="143" t="inlineStr">
        <is>
          <t xml:space="preserve">71-13</t>
        </is>
      </c>
      <c r="J1277" s="143"/>
    </row>
    <row r="1278" spans="1:10">
      <c r="A1278" s="143" t="inlineStr">
        <is>
          <t xml:space="preserve">1193</t>
        </is>
      </c>
      <c r="B1278" s="143" t="inlineStr">
        <is>
          <t xml:space="preserve">32990171</t>
        </is>
      </c>
      <c r="C1278" s="143" t="inlineStr">
        <is>
          <t xml:space="preserve">#1 ENG - L/H FAN COWL - METAL STRIP - SM - RII #1 ENG L/H FAN COWL UPPER SIDE FOUND METAL STRIP (BEHIND FAN COWL HINGES) WITH GOUGE AT FWD SIDE DISTANCE TO NEAREST EDGE :- 0.12 INCH.  DIM:-  L= 5.5 INCH.                         ,W=0.25 INCH....</t>
        </is>
      </c>
      <c r="D1278" s="143">
        <v>1.0</v>
      </c>
      <c r="E1278" s="143">
        <v>5.5</v>
      </c>
      <c r="F1278" s="143">
        <v>109.8</v>
      </c>
      <c r="G1278" s="143">
        <v>514.0</v>
      </c>
      <c r="H1278" s="143" t="inlineStr">
        <is>
          <t xml:space="preserve">Closed</t>
        </is>
      </c>
      <c r="I1278" s="143" t="inlineStr">
        <is>
          <t xml:space="preserve">71-13</t>
        </is>
      </c>
      <c r="J1278" s="143"/>
    </row>
    <row r="1279" spans="1:10">
      <c r="A1279" s="143" t="inlineStr">
        <is>
          <t xml:space="preserve">1194</t>
        </is>
      </c>
      <c r="B1279" s="143" t="inlineStr">
        <is>
          <t xml:space="preserve">32990173</t>
        </is>
      </c>
      <c r="C1279" s="143" t="inlineStr">
        <is>
          <t xml:space="preserve">#1 ENG - FAN FR - ASSY - IDG QAD - AP - NO CALL BACK #1 ENG FAN FRAME ASSEMBLY AT 05:30 O`CLOCK POSITION FOUND IDG QUICK ATTACH/DETACH (QAD) BOLT WITH WRONG DIRECTION SAFETY WIRE.</t>
        </is>
      </c>
      <c r="D1279" s="143">
        <v>1.0</v>
      </c>
      <c r="E1279" s="143">
        <v>4.0</v>
      </c>
      <c r="F1279" s="143">
        <v>10.25</v>
      </c>
      <c r="G1279" s="143">
        <v>385.8</v>
      </c>
      <c r="H1279" s="143" t="inlineStr">
        <is>
          <t xml:space="preserve">Closed</t>
        </is>
      </c>
      <c r="I1279" s="143" t="inlineStr">
        <is>
          <t xml:space="preserve">24-92</t>
        </is>
      </c>
      <c r="J1279" s="143"/>
    </row>
    <row r="1280" spans="1:10">
      <c r="A1280" s="143" t="inlineStr">
        <is>
          <t xml:space="preserve">1197</t>
        </is>
      </c>
      <c r="B1280" s="143" t="inlineStr">
        <is>
          <t xml:space="preserve">32990203</t>
        </is>
      </c>
      <c r="C1280" s="143" t="inlineStr">
        <is>
          <t xml:space="preserve">#1 ENG - L/H AND R/H T/REV - COOLING HOSE - AP - NO CALL BACK #1 ENG L/H AND R/H THRUST REVERSERS INNER SIDE FOUND THRUST REVERSER OPENING ACTUATORS COOLING HOSES DETERIORATED .</t>
        </is>
      </c>
      <c r="D1280" s="143">
        <v>1.0</v>
      </c>
      <c r="E1280" s="143">
        <v>8.0</v>
      </c>
      <c r="F1280" s="143">
        <v>1.0</v>
      </c>
      <c r="G1280" s="143">
        <v>0.62</v>
      </c>
      <c r="H1280" s="143" t="inlineStr">
        <is>
          <t xml:space="preserve">Closed</t>
        </is>
      </c>
      <c r="I1280" s="143" t="inlineStr">
        <is>
          <t xml:space="preserve">05-24</t>
        </is>
      </c>
      <c r="J1280" s="143"/>
    </row>
    <row r="1281" spans="1:10">
      <c r="A1281" s="143" t="inlineStr">
        <is>
          <t xml:space="preserve">1198</t>
        </is>
      </c>
      <c r="B1281" s="143" t="inlineStr">
        <is>
          <t xml:space="preserve">32990219</t>
        </is>
      </c>
      <c r="C1281" s="143" t="inlineStr">
        <is>
          <t xml:space="preserve">#1 ENG - R/H T/REV - HEAT SHIELD - SM - RII #1 ENG R/H THRUST REVERSER AT INNER  FWD SIDE FOUND HEAT SHILED WITH 4 CHAFFING MARKS (T/REV CHAFFING AGAINST ANI-ICE MUSCLE LINE AND ITS BRACKETS AND CONNECTION JUNCTION BOX).  #1 CHAFFING DISTANCE TO N...</t>
        </is>
      </c>
      <c r="D1281" s="143">
        <v>1.0</v>
      </c>
      <c r="E1281" s="143">
        <v>0.0</v>
      </c>
      <c r="F1281" s="143">
        <v>10.17</v>
      </c>
      <c r="G1281" s="143">
        <v>404.2</v>
      </c>
      <c r="H1281" s="143" t="inlineStr">
        <is>
          <t xml:space="preserve">Closed</t>
        </is>
      </c>
      <c r="I1281" s="143" t="inlineStr">
        <is>
          <t xml:space="preserve">05-24</t>
        </is>
      </c>
      <c r="J1281" s="143"/>
    </row>
    <row r="1282" spans="1:10">
      <c r="A1282" s="143" t="inlineStr">
        <is>
          <t xml:space="preserve">1199</t>
        </is>
      </c>
      <c r="B1282" s="143" t="inlineStr">
        <is>
          <t xml:space="preserve">32991206</t>
        </is>
      </c>
      <c r="C1282" s="143" t="inlineStr">
        <is>
          <t xml:space="preserve">CAB - NO CALL BACK - OSB OSB MISSING RUBBER BUMBER 20 EA</t>
        </is>
      </c>
      <c r="D1282" s="143">
        <v>1.0</v>
      </c>
      <c r="E1282" s="143">
        <v>0.0</v>
      </c>
      <c r="F1282" s="143">
        <v>11.5</v>
      </c>
      <c r="G1282" s="143">
        <v>475.4</v>
      </c>
      <c r="H1282" s="143" t="inlineStr">
        <is>
          <t xml:space="preserve">Closed</t>
        </is>
      </c>
      <c r="I1282" s="143" t="inlineStr">
        <is>
          <t xml:space="preserve">25-10</t>
        </is>
      </c>
      <c r="J1282" s="143"/>
    </row>
    <row r="1283" spans="1:10">
      <c r="A1283" s="143" t="inlineStr">
        <is>
          <t xml:space="preserve">1201</t>
        </is>
      </c>
      <c r="B1283" s="143" t="inlineStr">
        <is>
          <t xml:space="preserve">32991499</t>
        </is>
      </c>
      <c r="C1283" s="143" t="inlineStr">
        <is>
          <t xml:space="preserve">PNT - RII - LAV A LAV A ACCESS DOOR WASTE COMPARTMENT HAS SMALL SCRATCHES ON UPPER SIDE.</t>
        </is>
      </c>
      <c r="D1283" s="143">
        <v>1.0</v>
      </c>
      <c r="E1283" s="143">
        <v>0.0</v>
      </c>
      <c r="F1283" s="143">
        <v>3.0</v>
      </c>
      <c r="G1283" s="143">
        <v>3.0</v>
      </c>
      <c r="H1283" s="143" t="inlineStr">
        <is>
          <t xml:space="preserve">Closed</t>
        </is>
      </c>
      <c r="I1283" s="143">
        <v>25.0</v>
      </c>
      <c r="J1283" s="143"/>
    </row>
    <row r="1284" spans="1:10">
      <c r="A1284" s="143" t="inlineStr">
        <is>
          <t xml:space="preserve">1203</t>
        </is>
      </c>
      <c r="B1284" s="143" t="inlineStr">
        <is>
          <t xml:space="preserve">32991517</t>
        </is>
      </c>
      <c r="C1284" s="143" t="inlineStr">
        <is>
          <t xml:space="preserve">PNT - NO CALLBACK - LAV D LAV D ACCESS DOOR WASTE COMPARTMENT INSIDE PAINT SCRATCHED.</t>
        </is>
      </c>
      <c r="D1284" s="143">
        <v>1.0</v>
      </c>
      <c r="E1284" s="143">
        <v>5.0</v>
      </c>
      <c r="F1284" s="143">
        <v>5.0</v>
      </c>
      <c r="G1284" s="143">
        <v>86.1</v>
      </c>
      <c r="H1284" s="143" t="inlineStr">
        <is>
          <t xml:space="preserve">Closed</t>
        </is>
      </c>
      <c r="I1284" s="143">
        <v>25.0</v>
      </c>
      <c r="J1284" s="143"/>
    </row>
    <row r="1285" spans="1:10">
      <c r="A1285" s="143" t="inlineStr">
        <is>
          <t xml:space="preserve">1204</t>
        </is>
      </c>
      <c r="B1285" s="143" t="inlineStr">
        <is>
          <t xml:space="preserve">32991518</t>
        </is>
      </c>
      <c r="C1285" s="143" t="inlineStr">
        <is>
          <t xml:space="preserve">FINDING (NRC) TASKCARD ZL-531-02-1-001 (01) LH WING  AP-- NO CALLBACK LH WING FLAP TRACK NO#2 AFT BONDING WIRE WITH CUT.</t>
        </is>
      </c>
      <c r="D1285" s="143">
        <v>1.0</v>
      </c>
      <c r="E1285" s="143">
        <v>6.0</v>
      </c>
      <c r="F1285" s="143">
        <v>17.0</v>
      </c>
      <c r="G1285" s="143">
        <v>537.5</v>
      </c>
      <c r="H1285" s="143" t="inlineStr">
        <is>
          <t xml:space="preserve">Closed</t>
        </is>
      </c>
      <c r="I1285" s="143" t="inlineStr">
        <is>
          <t xml:space="preserve">05-25</t>
        </is>
      </c>
      <c r="J1285" s="143"/>
    </row>
    <row r="1286" spans="1:10">
      <c r="A1286" s="143" t="inlineStr">
        <is>
          <t xml:space="preserve">1208</t>
        </is>
      </c>
      <c r="B1286" s="143" t="inlineStr">
        <is>
          <t xml:space="preserve">32991585</t>
        </is>
      </c>
      <c r="C1286" s="143" t="inlineStr">
        <is>
          <t xml:space="preserve">FINDING (NRC) TASKCARD 25-SVA-03 (01) / ITEM ONE B/C SEAT# 2C  CLOSEOUT - VIDEO, AISLE LOOSE.</t>
        </is>
      </c>
      <c r="D1286" s="143">
        <v>1.0</v>
      </c>
      <c r="E1286" s="143">
        <v>2.0</v>
      </c>
      <c r="F1286" s="143">
        <v>2.0</v>
      </c>
      <c r="G1286" s="143">
        <v>2.0</v>
      </c>
      <c r="H1286" s="143" t="inlineStr">
        <is>
          <t xml:space="preserve">Closed</t>
        </is>
      </c>
      <c r="I1286" s="143" t="inlineStr">
        <is>
          <t xml:space="preserve">25-21</t>
        </is>
      </c>
      <c r="J1286" s="143"/>
    </row>
    <row r="1287" spans="1:10">
      <c r="A1287" s="143" t="inlineStr">
        <is>
          <t xml:space="preserve">1214</t>
        </is>
      </c>
      <c r="B1287" s="143" t="inlineStr">
        <is>
          <t xml:space="preserve">32991955</t>
        </is>
      </c>
      <c r="C1287" s="143" t="inlineStr">
        <is>
          <t xml:space="preserve">FINDING (NRC) TASKCARD ZL-532-01-1-002 (04) RH WING  AP--NO CALLBACK RH WING FLAP TRACK NO#3 AFT BONDING WIRE WITH CUT .</t>
        </is>
      </c>
      <c r="D1287" s="143">
        <v>1.0</v>
      </c>
      <c r="E1287" s="143">
        <v>6.0</v>
      </c>
      <c r="F1287" s="143">
        <v>15.0</v>
      </c>
      <c r="G1287" s="143">
        <v>537.8</v>
      </c>
      <c r="H1287" s="143" t="inlineStr">
        <is>
          <t xml:space="preserve">Closed</t>
        </is>
      </c>
      <c r="I1287" s="143" t="inlineStr">
        <is>
          <t xml:space="preserve">05-25</t>
        </is>
      </c>
      <c r="J1287" s="143"/>
    </row>
    <row r="1288" spans="1:10">
      <c r="A1288" s="143" t="inlineStr">
        <is>
          <t xml:space="preserve">1218</t>
        </is>
      </c>
      <c r="B1288" s="143" t="inlineStr">
        <is>
          <t xml:space="preserve">32992461</t>
        </is>
      </c>
      <c r="C1288" s="143" t="inlineStr">
        <is>
          <t xml:space="preserve">MACHINIST - NO CALLBACK - FWD GALLEY G2 FWD G2 GALLEY  COMP. 209 HINGE SCREW THREAD FOUND WITH BROKEN SCREW.</t>
        </is>
      </c>
      <c r="D1288" s="143">
        <v>1.0</v>
      </c>
      <c r="E1288" s="143">
        <v>0.0</v>
      </c>
      <c r="F1288" s="143">
        <v>6.67</v>
      </c>
      <c r="G1288" s="143">
        <v>10.67</v>
      </c>
      <c r="H1288" s="143" t="inlineStr">
        <is>
          <t xml:space="preserve">Closed</t>
        </is>
      </c>
      <c r="I1288" s="143">
        <v>25.0</v>
      </c>
      <c r="J1288" s="143"/>
    </row>
    <row r="1289" spans="1:10">
      <c r="A1289" s="143" t="inlineStr">
        <is>
          <t xml:space="preserve">1226</t>
        </is>
      </c>
      <c r="B1289" s="143" t="inlineStr">
        <is>
          <t xml:space="preserve">32992522</t>
        </is>
      </c>
      <c r="C1289" s="143" t="inlineStr">
        <is>
          <t xml:space="preserve">RH THS UPPER TRAILING EDGE PANEL -SM - NO CALLBACK RH THS UPPER TRAILING EDGE PANEL WITH FROZEN SCREW ON PANEL 344AT, 344 BT AND 344 CT</t>
        </is>
      </c>
      <c r="D1289" s="143">
        <v>1.0</v>
      </c>
      <c r="E1289" s="143">
        <v>0.0</v>
      </c>
      <c r="F1289" s="143">
        <v>62.8</v>
      </c>
      <c r="G1289" s="143">
        <v>96.2</v>
      </c>
      <c r="H1289" s="143" t="inlineStr">
        <is>
          <t xml:space="preserve">Closed</t>
        </is>
      </c>
      <c r="I1289" s="143" t="inlineStr">
        <is>
          <t xml:space="preserve">55-10-00</t>
        </is>
      </c>
      <c r="J1289" s="143"/>
    </row>
    <row r="1290" spans="1:10">
      <c r="A1290" s="143" t="inlineStr">
        <is>
          <t xml:space="preserve">1227</t>
        </is>
      </c>
      <c r="B1290" s="143" t="inlineStr">
        <is>
          <t xml:space="preserve">32992699</t>
        </is>
      </c>
      <c r="C1290" s="143" t="inlineStr">
        <is>
          <t xml:space="preserve">CAB - NO CALLBACK - LAV D LAV D DOOR HINGE SCREW MISSING</t>
        </is>
      </c>
      <c r="D1290" s="143">
        <v>1.0</v>
      </c>
      <c r="E1290" s="143">
        <v>0.0</v>
      </c>
      <c r="F1290" s="143">
        <v>1.0</v>
      </c>
      <c r="G1290" s="143">
        <v>1.0</v>
      </c>
      <c r="H1290" s="143" t="inlineStr">
        <is>
          <t xml:space="preserve">Closed</t>
        </is>
      </c>
      <c r="I1290" s="143" t="inlineStr">
        <is>
          <t xml:space="preserve">25-10</t>
        </is>
      </c>
      <c r="J1290" s="143"/>
    </row>
    <row r="1291" spans="1:10">
      <c r="A1291" s="143" t="inlineStr">
        <is>
          <t xml:space="preserve">1228</t>
        </is>
      </c>
      <c r="B1291" s="143" t="inlineStr">
        <is>
          <t xml:space="preserve">32992702</t>
        </is>
      </c>
      <c r="C1291" s="143" t="inlineStr">
        <is>
          <t xml:space="preserve">CAB - NO CALLBACK - LAV D LAV D LOWER CABINET LATCH SCREW MISSING</t>
        </is>
      </c>
      <c r="D1291" s="143">
        <v>1.0</v>
      </c>
      <c r="E1291" s="143">
        <v>0.0</v>
      </c>
      <c r="F1291" s="143">
        <v>1.0</v>
      </c>
      <c r="G1291" s="143">
        <v>1.0</v>
      </c>
      <c r="H1291" s="143" t="inlineStr">
        <is>
          <t xml:space="preserve">Closed</t>
        </is>
      </c>
      <c r="I1291" s="143" t="inlineStr">
        <is>
          <t xml:space="preserve">25-10</t>
        </is>
      </c>
      <c r="J1291" s="143"/>
    </row>
    <row r="1292" spans="1:10">
      <c r="A1292" s="143" t="inlineStr">
        <is>
          <t xml:space="preserve">1229</t>
        </is>
      </c>
      <c r="B1292" s="143" t="inlineStr">
        <is>
          <t xml:space="preserve">32992708</t>
        </is>
      </c>
      <c r="C1292" s="143" t="inlineStr">
        <is>
          <t xml:space="preserve">CAB - NO CALLBACK - LAV D LAV D DOOR FRAME SCREW MISSING</t>
        </is>
      </c>
      <c r="D1292" s="143">
        <v>1.0</v>
      </c>
      <c r="E1292" s="143">
        <v>0.0</v>
      </c>
      <c r="F1292" s="143">
        <v>1.0</v>
      </c>
      <c r="G1292" s="143">
        <v>1.0</v>
      </c>
      <c r="H1292" s="143" t="inlineStr">
        <is>
          <t xml:space="preserve">Closed</t>
        </is>
      </c>
      <c r="I1292" s="143" t="inlineStr">
        <is>
          <t xml:space="preserve">25-10</t>
        </is>
      </c>
      <c r="J1292" s="143"/>
    </row>
    <row r="1293" spans="1:10">
      <c r="A1293" s="143" t="inlineStr">
        <is>
          <t xml:space="preserve">1230</t>
        </is>
      </c>
      <c r="B1293" s="143" t="inlineStr">
        <is>
          <t xml:space="preserve">32992709</t>
        </is>
      </c>
      <c r="C1293" s="143" t="inlineStr">
        <is>
          <t xml:space="preserve">CAB - NO CALLBACK - LAV D LAV D THRESHOLD SCREW MISSING</t>
        </is>
      </c>
      <c r="D1293" s="143">
        <v>1.0</v>
      </c>
      <c r="E1293" s="143">
        <v>0.0</v>
      </c>
      <c r="F1293" s="143">
        <v>1.5</v>
      </c>
      <c r="G1293" s="143">
        <v>1.0</v>
      </c>
      <c r="H1293" s="143" t="inlineStr">
        <is>
          <t xml:space="preserve">Closed</t>
        </is>
      </c>
      <c r="I1293" s="143" t="inlineStr">
        <is>
          <t xml:space="preserve">25-10</t>
        </is>
      </c>
      <c r="J1293" s="143"/>
    </row>
    <row r="1294" spans="1:10">
      <c r="A1294" s="143" t="inlineStr">
        <is>
          <t xml:space="preserve">1231</t>
        </is>
      </c>
      <c r="B1294" s="143" t="inlineStr">
        <is>
          <t xml:space="preserve">32992712</t>
        </is>
      </c>
      <c r="C1294" s="143" t="inlineStr">
        <is>
          <t xml:space="preserve">CAB - NO CALLBACK - LAV D LAV D TOILET SHROUD NOT SECURED</t>
        </is>
      </c>
      <c r="D1294" s="143">
        <v>1.0</v>
      </c>
      <c r="E1294" s="143">
        <v>0.0</v>
      </c>
      <c r="F1294" s="143">
        <v>1.0</v>
      </c>
      <c r="G1294" s="143">
        <v>1.0</v>
      </c>
      <c r="H1294" s="143" t="inlineStr">
        <is>
          <t xml:space="preserve">Closed</t>
        </is>
      </c>
      <c r="I1294" s="143" t="inlineStr">
        <is>
          <t xml:space="preserve">25-10</t>
        </is>
      </c>
      <c r="J1294" s="143"/>
    </row>
    <row r="1295" spans="1:10">
      <c r="A1295" s="143" t="inlineStr">
        <is>
          <t xml:space="preserve">1232</t>
        </is>
      </c>
      <c r="B1295" s="143" t="inlineStr">
        <is>
          <t xml:space="preserve">32992717</t>
        </is>
      </c>
      <c r="C1295" s="143" t="inlineStr">
        <is>
          <t xml:space="preserve">CAB - NO CALLBACK - LAV D LAV D TOILET SEAT COVER BROKEN</t>
        </is>
      </c>
      <c r="D1295" s="143">
        <v>1.0</v>
      </c>
      <c r="E1295" s="143">
        <v>0.0</v>
      </c>
      <c r="F1295" s="143">
        <v>4.0</v>
      </c>
      <c r="G1295" s="143">
        <v>2.0</v>
      </c>
      <c r="H1295" s="143" t="inlineStr">
        <is>
          <t xml:space="preserve">Closed</t>
        </is>
      </c>
      <c r="I1295" s="143" t="inlineStr">
        <is>
          <t xml:space="preserve">25-10</t>
        </is>
      </c>
      <c r="J1295" s="143"/>
    </row>
    <row r="1296" spans="1:10">
      <c r="A1296" s="143" t="inlineStr">
        <is>
          <t xml:space="preserve">1233</t>
        </is>
      </c>
      <c r="B1296" s="143" t="inlineStr">
        <is>
          <t xml:space="preserve">32992719</t>
        </is>
      </c>
      <c r="C1296" s="143" t="inlineStr">
        <is>
          <t xml:space="preserve">CAB - NO CALLBACK - LAV D LAV D DOOR LOCK LABLE FADED</t>
        </is>
      </c>
      <c r="D1296" s="143">
        <v>1.0</v>
      </c>
      <c r="E1296" s="143">
        <v>0.0</v>
      </c>
      <c r="F1296" s="143">
        <v>19.0</v>
      </c>
      <c r="G1296" s="143">
        <v>12.15</v>
      </c>
      <c r="H1296" s="143" t="inlineStr">
        <is>
          <t xml:space="preserve">Closed</t>
        </is>
      </c>
      <c r="I1296" s="143" t="inlineStr">
        <is>
          <t xml:space="preserve">25-10</t>
        </is>
      </c>
      <c r="J1296" s="143"/>
    </row>
    <row r="1297" spans="1:10">
      <c r="A1297" s="143" t="inlineStr">
        <is>
          <t xml:space="preserve">1236</t>
        </is>
      </c>
      <c r="B1297" s="143" t="inlineStr">
        <is>
          <t xml:space="preserve">32993162</t>
        </is>
      </c>
      <c r="C1297" s="143" t="inlineStr">
        <is>
          <t xml:space="preserve">UPPER AFT FUSELAGE SKIN=====SM====RII ACCESS THRU VERTICAL STABILIZER LEADING EDGE PNL 321AL FUSELAGE SKIN AREA AROUND 02EA HARNESS CONNECTION (4202VB, 4204VB) FOUND WITH PITTING CORROSION  AROUND THE WHOLE CIRCUMFERENCE MAXIMUM LENGTH = 0.9"</t>
        </is>
      </c>
      <c r="D1297" s="143">
        <v>1.0</v>
      </c>
      <c r="E1297" s="143">
        <v>0.0</v>
      </c>
      <c r="F1297" s="143">
        <v>55.8</v>
      </c>
      <c r="G1297" s="143">
        <v>564.6</v>
      </c>
      <c r="H1297" s="143" t="inlineStr">
        <is>
          <t xml:space="preserve">Closed</t>
        </is>
      </c>
      <c r="I1297" s="143" t="inlineStr">
        <is>
          <t xml:space="preserve">24-92</t>
        </is>
      </c>
      <c r="J1297" s="143"/>
    </row>
    <row r="1298" spans="1:10">
      <c r="A1298" s="143" t="inlineStr">
        <is>
          <t xml:space="preserve">1237</t>
        </is>
      </c>
      <c r="B1298" s="143" t="inlineStr">
        <is>
          <t xml:space="preserve">32993180</t>
        </is>
      </c>
      <c r="C1298" s="143" t="inlineStr">
        <is>
          <t xml:space="preserve">FUEL TANK ACCESS PANELS WITH FROZEN SCREW--NO CALL BACK LH WING FUEL TANK ACCESS PANELS 540HB (5EA) , 540JB (2EA) , 540KB (3EA) AND 540QB (1EA) WITH FROZEN SCREW.</t>
        </is>
      </c>
      <c r="D1298" s="143">
        <v>1.0</v>
      </c>
      <c r="E1298" s="143">
        <v>0.0</v>
      </c>
      <c r="F1298" s="143">
        <v>6.83</v>
      </c>
      <c r="G1298" s="143">
        <v>61.3</v>
      </c>
      <c r="H1298" s="143" t="inlineStr">
        <is>
          <t xml:space="preserve">Closed</t>
        </is>
      </c>
      <c r="I1298" s="143" t="inlineStr">
        <is>
          <t xml:space="preserve">57-21</t>
        </is>
      </c>
      <c r="J1298" s="143"/>
    </row>
    <row r="1299" spans="1:10">
      <c r="A1299" s="143" t="inlineStr">
        <is>
          <t xml:space="preserve">1238</t>
        </is>
      </c>
      <c r="B1299" s="143" t="inlineStr">
        <is>
          <t xml:space="preserve">32993201</t>
        </is>
      </c>
      <c r="C1299" s="143" t="inlineStr">
        <is>
          <t xml:space="preserve">L/H AND R/H WINGS KIDNEY PANELS DIRTY ---FS---  NO CALL BACK PANELS NUMBER: 574AB AND 574BB FOR LEFT WING, AND 674AB, 674BB FOR RIGHT WING, AREA INSIDE FOUND DIRTY REQ FS ACTION</t>
        </is>
      </c>
      <c r="D1299" s="143">
        <v>1.0</v>
      </c>
      <c r="E1299" s="143">
        <v>19.0</v>
      </c>
      <c r="F1299" s="143">
        <v>13.0</v>
      </c>
      <c r="G1299" s="143">
        <v>6.52</v>
      </c>
      <c r="H1299" s="143" t="inlineStr">
        <is>
          <t xml:space="preserve">Closed</t>
        </is>
      </c>
      <c r="I1299" s="143" t="inlineStr">
        <is>
          <t xml:space="preserve">05-25</t>
        </is>
      </c>
      <c r="J1299" s="143"/>
    </row>
    <row r="1300" spans="1:10">
      <c r="A1300" s="143" t="inlineStr">
        <is>
          <t xml:space="preserve">1239</t>
        </is>
      </c>
      <c r="B1300" s="143" t="inlineStr">
        <is>
          <t xml:space="preserve">32993252</t>
        </is>
      </c>
      <c r="C1300" s="143" t="inlineStr">
        <is>
          <t xml:space="preserve">ENGINE#2  PYLON DRAIN--AP--NO CALL BACK ENGINE #2 PYLON ALL 03EA DRAIN LINE GRIL ENTRY POINT AND ADJACENT AREA DIRTY WITH ACCUMULATED DIRT</t>
        </is>
      </c>
      <c r="D1300" s="143">
        <v>1.0</v>
      </c>
      <c r="E1300" s="143">
        <v>8.0</v>
      </c>
      <c r="F1300" s="143">
        <v>4.25</v>
      </c>
      <c r="G1300" s="143">
        <v>2.0</v>
      </c>
      <c r="H1300" s="143" t="inlineStr">
        <is>
          <t xml:space="preserve">Closed</t>
        </is>
      </c>
      <c r="I1300" s="143" t="inlineStr">
        <is>
          <t xml:space="preserve">54-50</t>
        </is>
      </c>
      <c r="J1300" s="143"/>
    </row>
    <row r="1301" spans="1:10">
      <c r="A1301" s="143" t="inlineStr">
        <is>
          <t xml:space="preserve">1240</t>
        </is>
      </c>
      <c r="B1301" s="143" t="inlineStr">
        <is>
          <t xml:space="preserve">32993255</t>
        </is>
      </c>
      <c r="C1301" s="143" t="inlineStr">
        <is>
          <t xml:space="preserve">R/H WING TRAILING EDGE---AP---- NO CALL BACK R/H WING TRAILING EDGE, SPOILER #5 OUT BOARD HINGE BONDING JUMPER BROKEN.</t>
        </is>
      </c>
      <c r="D1301" s="143">
        <v>1.0</v>
      </c>
      <c r="E1301" s="143">
        <v>6.0</v>
      </c>
      <c r="F1301" s="143">
        <v>12.33</v>
      </c>
      <c r="G1301" s="143">
        <v>167.0</v>
      </c>
      <c r="H1301" s="143" t="inlineStr">
        <is>
          <t xml:space="preserve">Closed</t>
        </is>
      </c>
      <c r="I1301" s="143" t="inlineStr">
        <is>
          <t xml:space="preserve">05-25</t>
        </is>
      </c>
      <c r="J1301" s="143"/>
    </row>
    <row r="1302" spans="1:10">
      <c r="A1302" s="143" t="inlineStr">
        <is>
          <t xml:space="preserve">1241</t>
        </is>
      </c>
      <c r="B1302" s="143" t="inlineStr">
        <is>
          <t xml:space="preserve">32993268</t>
        </is>
      </c>
      <c r="C1302" s="143" t="inlineStr">
        <is>
          <t xml:space="preserve">R/H WING TRAILING EDGE---AP---- NO CALL BACK R/H WING TRAILING EDGE, SPOILER #4  IN BOARD HINGE BONDING JUMPER BROKEN.</t>
        </is>
      </c>
      <c r="D1302" s="143">
        <v>1.0</v>
      </c>
      <c r="E1302" s="143">
        <v>6.0</v>
      </c>
      <c r="F1302" s="143">
        <v>8.33</v>
      </c>
      <c r="G1302" s="143">
        <v>165.4</v>
      </c>
      <c r="H1302" s="143" t="inlineStr">
        <is>
          <t xml:space="preserve">Closed</t>
        </is>
      </c>
      <c r="I1302" s="143" t="inlineStr">
        <is>
          <t xml:space="preserve">05-25</t>
        </is>
      </c>
      <c r="J1302" s="143"/>
    </row>
    <row r="1303" spans="1:10">
      <c r="A1303" s="143" t="inlineStr">
        <is>
          <t xml:space="preserve">1242</t>
        </is>
      </c>
      <c r="B1303" s="143" t="inlineStr">
        <is>
          <t xml:space="preserve">32993275</t>
        </is>
      </c>
      <c r="C1303" s="143" t="inlineStr">
        <is>
          <t xml:space="preserve">R/H WING TRAILING EDGE---SM---- NO CALL BACK R/H WING TRAILING EDGE UPPER SKIN/TOP SKIN, SPOILER #3  NEAR CENTER ATTACHMENT 03EA RIVET LOOSE/SHEARD.</t>
        </is>
      </c>
      <c r="D1303" s="143">
        <v>1.0</v>
      </c>
      <c r="E1303" s="143">
        <v>0.0</v>
      </c>
      <c r="F1303" s="143">
        <v>38.8</v>
      </c>
      <c r="G1303" s="143">
        <v>451.0</v>
      </c>
      <c r="H1303" s="143" t="inlineStr">
        <is>
          <t xml:space="preserve">Closed</t>
        </is>
      </c>
      <c r="I1303" s="143" t="inlineStr">
        <is>
          <t xml:space="preserve">05-25</t>
        </is>
      </c>
      <c r="J1303" s="143"/>
    </row>
    <row r="1304" spans="1:10">
      <c r="A1304" s="143" t="inlineStr">
        <is>
          <t xml:space="preserve">1243</t>
        </is>
      </c>
      <c r="B1304" s="143" t="inlineStr">
        <is>
          <t xml:space="preserve">32993277</t>
        </is>
      </c>
      <c r="C1304" s="143" t="inlineStr">
        <is>
          <t xml:space="preserve">R/H WING TRAILING EDGE---SM---- NO CALL BACK R/H WING TRAILING EDGE, SPOILER #2  NEAR CENTER HING TOP SKIN 1EA RIVET LOOSE AND 1EA IS MISSING.</t>
        </is>
      </c>
      <c r="D1304" s="143">
        <v>1.0</v>
      </c>
      <c r="E1304" s="143">
        <v>0.0</v>
      </c>
      <c r="F1304" s="143">
        <v>23.33</v>
      </c>
      <c r="G1304" s="143">
        <v>454.0</v>
      </c>
      <c r="H1304" s="143" t="inlineStr">
        <is>
          <t xml:space="preserve">Closed</t>
        </is>
      </c>
      <c r="I1304" s="143" t="inlineStr">
        <is>
          <t xml:space="preserve">05-25</t>
        </is>
      </c>
      <c r="J1304" s="143"/>
    </row>
    <row r="1305" spans="1:10">
      <c r="A1305" s="143" t="inlineStr">
        <is>
          <t xml:space="preserve">1244</t>
        </is>
      </c>
      <c r="B1305" s="143" t="inlineStr">
        <is>
          <t xml:space="preserve">32993284</t>
        </is>
      </c>
      <c r="C1305" s="143" t="inlineStr">
        <is>
          <t xml:space="preserve">R/H WING TRAILING EDGE---SM---- NO CALL BACK R/H WING TRAILING EDGE, SPOILER #2  IN BOARD HINGE TOP SKIN 1EA RIVET LOOSE.</t>
        </is>
      </c>
      <c r="D1305" s="143">
        <v>1.0</v>
      </c>
      <c r="E1305" s="143">
        <v>0.0</v>
      </c>
      <c r="F1305" s="143">
        <v>19.33</v>
      </c>
      <c r="G1305" s="143">
        <v>455.5</v>
      </c>
      <c r="H1305" s="143" t="inlineStr">
        <is>
          <t xml:space="preserve">Closed</t>
        </is>
      </c>
      <c r="I1305" s="143" t="inlineStr">
        <is>
          <t xml:space="preserve">05-25</t>
        </is>
      </c>
      <c r="J1305" s="143"/>
    </row>
    <row r="1306" spans="1:10">
      <c r="A1306" s="143" t="inlineStr">
        <is>
          <t xml:space="preserve">1245</t>
        </is>
      </c>
      <c r="B1306" s="143" t="inlineStr">
        <is>
          <t xml:space="preserve">32993287</t>
        </is>
      </c>
      <c r="C1306" s="143" t="inlineStr">
        <is>
          <t xml:space="preserve">R/H WING TRAILING EDGE---AP---- NO CALL BACK R/H WING TRAILING EDGE, FROM RIB 08 TO RIB 27 HYD TUBE LINE MULTIPLE AREA TIE WRAP BROKEN</t>
        </is>
      </c>
      <c r="D1306" s="143">
        <v>1.0</v>
      </c>
      <c r="E1306" s="143">
        <v>6.0</v>
      </c>
      <c r="F1306" s="143">
        <v>21.3</v>
      </c>
      <c r="G1306" s="143">
        <v>39.0</v>
      </c>
      <c r="H1306" s="143" t="inlineStr">
        <is>
          <t xml:space="preserve">Closed</t>
        </is>
      </c>
      <c r="I1306" s="143" t="inlineStr">
        <is>
          <t xml:space="preserve">05-25</t>
        </is>
      </c>
      <c r="J1306" s="143"/>
    </row>
    <row r="1307" spans="1:10">
      <c r="A1307" s="143" t="inlineStr">
        <is>
          <t xml:space="preserve">1246</t>
        </is>
      </c>
      <c r="B1307" s="143" t="inlineStr">
        <is>
          <t xml:space="preserve">32993288</t>
        </is>
      </c>
      <c r="C1307" s="143" t="inlineStr">
        <is>
          <t xml:space="preserve">R/H WING TRAILING EDGE---AP---- NO CALL BACK R/H WING TRAILING EDGE, NEAR SPOILER #4,  2EA HYD TUBE LINE TIE WRAP BROKEN.</t>
        </is>
      </c>
      <c r="D1307" s="143">
        <v>1.0</v>
      </c>
      <c r="E1307" s="143">
        <v>6.0</v>
      </c>
      <c r="F1307" s="143">
        <v>16.65</v>
      </c>
      <c r="G1307" s="143">
        <v>252.7</v>
      </c>
      <c r="H1307" s="143" t="inlineStr">
        <is>
          <t xml:space="preserve">Closed</t>
        </is>
      </c>
      <c r="I1307" s="143" t="inlineStr">
        <is>
          <t xml:space="preserve">05-25</t>
        </is>
      </c>
      <c r="J1307" s="143"/>
    </row>
    <row r="1308" spans="1:10">
      <c r="A1308" s="143" t="inlineStr">
        <is>
          <t xml:space="preserve">1247</t>
        </is>
      </c>
      <c r="B1308" s="143" t="inlineStr">
        <is>
          <t xml:space="preserve">32994020</t>
        </is>
      </c>
      <c r="C1308" s="143" t="inlineStr">
        <is>
          <t xml:space="preserve">FINDING (NRC) TASKCARD 25-SVA-03 (01) / ITEM ONE ALL B/C SEAT DIAPHRAGM - SEATPAN REQUIRE REMOVE FOR ACCESS</t>
        </is>
      </c>
      <c r="D1308" s="143">
        <v>1.0</v>
      </c>
      <c r="E1308" s="143">
        <v>24.0</v>
      </c>
      <c r="F1308" s="143">
        <v>24.0</v>
      </c>
      <c r="G1308" s="143">
        <v>8.02</v>
      </c>
      <c r="H1308" s="143" t="inlineStr">
        <is>
          <t xml:space="preserve">Closed</t>
        </is>
      </c>
      <c r="I1308" s="143" t="inlineStr">
        <is>
          <t xml:space="preserve">25-21</t>
        </is>
      </c>
      <c r="J1308" s="143"/>
    </row>
    <row r="1309" spans="1:10">
      <c r="A1309" s="143" t="inlineStr">
        <is>
          <t xml:space="preserve">1248</t>
        </is>
      </c>
      <c r="B1309" s="143" t="inlineStr">
        <is>
          <t xml:space="preserve">32994039</t>
        </is>
      </c>
      <c r="C1309" s="143" t="inlineStr">
        <is>
          <t xml:space="preserve">FINDING (NRC) TASKCARD 25-SVA-05 (01) / ITEM ONE ALL G/C SEAT DIAPHRAGM – BOTTOM REQUIRE REMOVE FOR ACCESS</t>
        </is>
      </c>
      <c r="D1309" s="143">
        <v>1.0</v>
      </c>
      <c r="E1309" s="143">
        <v>12.0</v>
      </c>
      <c r="F1309" s="143">
        <v>12.0</v>
      </c>
      <c r="G1309" s="143">
        <v>61.4</v>
      </c>
      <c r="H1309" s="143" t="inlineStr">
        <is>
          <t xml:space="preserve">Closed</t>
        </is>
      </c>
      <c r="I1309" s="143" t="inlineStr">
        <is>
          <t xml:space="preserve">25-21</t>
        </is>
      </c>
      <c r="J1309" s="143"/>
    </row>
    <row r="1310" spans="1:10">
      <c r="A1310" s="143" t="inlineStr">
        <is>
          <t xml:space="preserve">1249</t>
        </is>
      </c>
      <c r="B1310" s="143" t="inlineStr">
        <is>
          <t xml:space="preserve">32994166</t>
        </is>
      </c>
      <c r="C1310" s="143" t="inlineStr">
        <is>
          <t xml:space="preserve">FINDING (NRC) TASKCARD 712212-01-1-001 (02) / ENG#2   AP---CALL BACK ENG#2 FWD MOUNT LINK LUGS REQ CLEANING TO FACILITATE THE INSPECTION</t>
        </is>
      </c>
      <c r="D1310" s="143">
        <v>1.0</v>
      </c>
      <c r="E1310" s="143">
        <v>0.0</v>
      </c>
      <c r="F1310" s="143">
        <v>7.0</v>
      </c>
      <c r="G1310" s="143">
        <v>2.92</v>
      </c>
      <c r="H1310" s="143" t="inlineStr">
        <is>
          <t xml:space="preserve">Closed</t>
        </is>
      </c>
      <c r="I1310" s="143" t="inlineStr">
        <is>
          <t xml:space="preserve">71-22</t>
        </is>
      </c>
      <c r="J1310" s="143"/>
    </row>
    <row r="1311" spans="1:10">
      <c r="A1311" s="143" t="inlineStr">
        <is>
          <t xml:space="preserve">1250</t>
        </is>
      </c>
      <c r="B1311" s="143" t="inlineStr">
        <is>
          <t xml:space="preserve">32994149</t>
        </is>
      </c>
      <c r="C1311" s="143" t="inlineStr">
        <is>
          <t xml:space="preserve">FINDING (NRC) TASKCARD 25-SVA-03 (01) / ITEM ONE ALL B/C SEAT FOODTRAYS ARE NOT ADJUSTABLE.</t>
        </is>
      </c>
      <c r="D1311" s="143">
        <v>1.0</v>
      </c>
      <c r="E1311" s="143">
        <v>22.5</v>
      </c>
      <c r="F1311" s="143">
        <v>22.0</v>
      </c>
      <c r="G1311" s="143">
        <v>651.0</v>
      </c>
      <c r="H1311" s="143" t="inlineStr">
        <is>
          <t xml:space="preserve">Closed</t>
        </is>
      </c>
      <c r="I1311" s="143" t="inlineStr">
        <is>
          <t xml:space="preserve">25-25</t>
        </is>
      </c>
      <c r="J1311" s="143"/>
    </row>
    <row r="1312" spans="1:10">
      <c r="A1312" s="143" t="inlineStr">
        <is>
          <t xml:space="preserve">1251</t>
        </is>
      </c>
      <c r="B1312" s="143" t="inlineStr">
        <is>
          <t xml:space="preserve">32994173</t>
        </is>
      </c>
      <c r="C1312" s="143" t="inlineStr">
        <is>
          <t xml:space="preserve">FINDING (NRC) TASKCARD 712112-01-1-002 (03) ENG#2  AP-- CALLBACK ENG#2 AFT MOUNT LINK LUGS REQ CLEANING TO FACILITATE THE INSPECTION</t>
        </is>
      </c>
      <c r="D1312" s="143">
        <v>1.0</v>
      </c>
      <c r="E1312" s="143">
        <v>0.0</v>
      </c>
      <c r="F1312" s="143">
        <v>5.0</v>
      </c>
      <c r="G1312" s="143">
        <v>8.43</v>
      </c>
      <c r="H1312" s="143" t="inlineStr">
        <is>
          <t xml:space="preserve">Closed</t>
        </is>
      </c>
      <c r="I1312" s="143" t="inlineStr">
        <is>
          <t xml:space="preserve">71-21</t>
        </is>
      </c>
      <c r="J1312" s="143"/>
    </row>
    <row r="1313" spans="1:10">
      <c r="A1313" s="143" t="inlineStr">
        <is>
          <t xml:space="preserve">1252</t>
        </is>
      </c>
      <c r="B1313" s="143" t="inlineStr">
        <is>
          <t xml:space="preserve">32994187</t>
        </is>
      </c>
      <c r="C1313" s="143" t="inlineStr">
        <is>
          <t xml:space="preserve">FINDING (NRC) TASKCARD 712112-01-1-001 (03) ENG#1   AP---CALLBACK ENG#1 FWD MOUNT LINK LUGS REQ CLEANING TO FACILITATE THE INSPECTION</t>
        </is>
      </c>
      <c r="D1313" s="143">
        <v>1.0</v>
      </c>
      <c r="E1313" s="143">
        <v>0.0</v>
      </c>
      <c r="F1313" s="143">
        <v>4.58</v>
      </c>
      <c r="G1313" s="143">
        <v>458.6</v>
      </c>
      <c r="H1313" s="143" t="inlineStr">
        <is>
          <t xml:space="preserve">Closed</t>
        </is>
      </c>
      <c r="I1313" s="143" t="inlineStr">
        <is>
          <t xml:space="preserve">71-21</t>
        </is>
      </c>
      <c r="J1313" s="143"/>
    </row>
    <row r="1314" spans="1:10">
      <c r="A1314" s="143" t="inlineStr">
        <is>
          <t xml:space="preserve">1253</t>
        </is>
      </c>
      <c r="B1314" s="143" t="inlineStr">
        <is>
          <t xml:space="preserve">32994193</t>
        </is>
      </c>
      <c r="C1314" s="143" t="inlineStr">
        <is>
          <t xml:space="preserve">FINDING (NRC) TASKCARD 712212-01-1-002 (02) ENG#1   AP--CALLBACK ENG#1 AFT MOUNT LINK LUGS REQ CLEANING TO FACILITATE THE INSPECTION</t>
        </is>
      </c>
      <c r="D1314" s="143">
        <v>1.0</v>
      </c>
      <c r="E1314" s="143">
        <v>0.0</v>
      </c>
      <c r="F1314" s="143">
        <v>4.08</v>
      </c>
      <c r="G1314" s="143">
        <v>2.43</v>
      </c>
      <c r="H1314" s="143" t="inlineStr">
        <is>
          <t xml:space="preserve">Closed</t>
        </is>
      </c>
      <c r="I1314" s="143" t="inlineStr">
        <is>
          <t xml:space="preserve">71-22</t>
        </is>
      </c>
      <c r="J1314" s="143"/>
    </row>
    <row r="1315" spans="1:10">
      <c r="A1315" s="143" t="inlineStr">
        <is>
          <t xml:space="preserve">1254</t>
        </is>
      </c>
      <c r="B1315" s="143" t="inlineStr">
        <is>
          <t xml:space="preserve">32994746</t>
        </is>
      </c>
      <c r="C1315" s="143" t="inlineStr">
        <is>
          <t xml:space="preserve">FINDING (NRC) TASKCARD 25-SVA-03 (01) / ITEM ONE ALL B/C SEAT HEADREST REQUIRE REMOVE FOR ACCESS</t>
        </is>
      </c>
      <c r="D1315" s="143">
        <v>1.0</v>
      </c>
      <c r="E1315" s="143">
        <v>2.0</v>
      </c>
      <c r="F1315" s="143">
        <v>2.0</v>
      </c>
      <c r="G1315" s="143">
        <v>184.9</v>
      </c>
      <c r="H1315" s="143" t="inlineStr">
        <is>
          <t xml:space="preserve">Closed</t>
        </is>
      </c>
      <c r="I1315" s="143" t="inlineStr">
        <is>
          <t xml:space="preserve">25-21</t>
        </is>
      </c>
      <c r="J1315" s="143"/>
    </row>
    <row r="1316" spans="1:10">
      <c r="A1316" s="143" t="inlineStr">
        <is>
          <t xml:space="preserve">1255</t>
        </is>
      </c>
      <c r="B1316" s="143" t="inlineStr">
        <is>
          <t xml:space="preserve">32994800</t>
        </is>
      </c>
      <c r="C1316" s="143" t="inlineStr">
        <is>
          <t xml:space="preserve">AFT OF BLK CGO-----F/S---------NO CALL BACK BLK CGO AFT OF AFT PARTTION AREA DIRTY</t>
        </is>
      </c>
      <c r="D1316" s="143">
        <v>1.0</v>
      </c>
      <c r="E1316" s="143">
        <v>14.5</v>
      </c>
      <c r="F1316" s="143">
        <v>16.5</v>
      </c>
      <c r="G1316" s="143">
        <v>338.0</v>
      </c>
      <c r="H1316" s="143" t="inlineStr">
        <is>
          <t xml:space="preserve">Closed</t>
        </is>
      </c>
      <c r="I1316" s="143" t="inlineStr">
        <is>
          <t xml:space="preserve">05-21</t>
        </is>
      </c>
      <c r="J1316" s="143"/>
    </row>
    <row r="1317" spans="1:10">
      <c r="A1317" s="143" t="inlineStr">
        <is>
          <t xml:space="preserve">1256</t>
        </is>
      </c>
      <c r="B1317" s="143" t="inlineStr">
        <is>
          <t xml:space="preserve">32995398</t>
        </is>
      </c>
      <c r="C1317" s="143" t="inlineStr">
        <is>
          <t xml:space="preserve">NO CALL BACK FUSELAGE (FS) FWD AVIONIC COPMARTMENT ZONAL INSP FROM ZONES 121 TO 122 REQ CLEAINING</t>
        </is>
      </c>
      <c r="D1317" s="143">
        <v>1.0</v>
      </c>
      <c r="E1317" s="143">
        <v>9.0</v>
      </c>
      <c r="F1317" s="143">
        <v>9.0</v>
      </c>
      <c r="G1317" s="143">
        <v>3.02</v>
      </c>
      <c r="H1317" s="143" t="inlineStr">
        <is>
          <t xml:space="preserve">Closed</t>
        </is>
      </c>
      <c r="I1317" s="143" t="inlineStr">
        <is>
          <t xml:space="preserve">05-21</t>
        </is>
      </c>
      <c r="J1317" s="143"/>
    </row>
    <row r="1318" spans="1:10">
      <c r="A1318" s="143" t="inlineStr">
        <is>
          <t xml:space="preserve">1257</t>
        </is>
      </c>
      <c r="B1318" s="143" t="inlineStr">
        <is>
          <t xml:space="preserve">32995496</t>
        </is>
      </c>
      <c r="C1318" s="143" t="inlineStr">
        <is>
          <t xml:space="preserve">L/H VERTICAL STAP-----SM-------NO CALL BACK L/H UPPER VERTICAL STAB PNLS (334AT,334CT,334DT) WITH ROUNDED SCREWS</t>
        </is>
      </c>
      <c r="D1318" s="143">
        <v>1.0</v>
      </c>
      <c r="E1318" s="143">
        <v>0.0</v>
      </c>
      <c r="F1318" s="143">
        <v>12.33</v>
      </c>
      <c r="G1318" s="143">
        <v>69.8</v>
      </c>
      <c r="H1318" s="143" t="inlineStr">
        <is>
          <t xml:space="preserve">Closed</t>
        </is>
      </c>
      <c r="I1318" s="143" t="inlineStr">
        <is>
          <t xml:space="preserve">55-33</t>
        </is>
      </c>
      <c r="J1318" s="143"/>
    </row>
    <row r="1319" spans="1:10">
      <c r="A1319" s="143" t="inlineStr">
        <is>
          <t xml:space="preserve">1258</t>
        </is>
      </c>
      <c r="B1319" s="143" t="inlineStr">
        <is>
          <t xml:space="preserve">32995553</t>
        </is>
      </c>
      <c r="C1319" s="143" t="inlineStr">
        <is>
          <t xml:space="preserve">AP---CALLBACK---LH WING LH WING INTERCONNECT STRUT LOWER KINK SEAL WITH CUT</t>
        </is>
      </c>
      <c r="D1319" s="143">
        <v>1.0</v>
      </c>
      <c r="E1319" s="143">
        <v>8.0</v>
      </c>
      <c r="F1319" s="143">
        <v>17.08</v>
      </c>
      <c r="G1319" s="143">
        <v>197.7</v>
      </c>
      <c r="H1319" s="143" t="inlineStr">
        <is>
          <t xml:space="preserve">Closed</t>
        </is>
      </c>
      <c r="I1319" s="143" t="inlineStr">
        <is>
          <t xml:space="preserve">27-51</t>
        </is>
      </c>
      <c r="J1319" s="143"/>
    </row>
    <row r="1320" spans="1:10">
      <c r="A1320" s="143" t="inlineStr">
        <is>
          <t xml:space="preserve">1259</t>
        </is>
      </c>
      <c r="B1320" s="143" t="inlineStr">
        <is>
          <t xml:space="preserve">32995625</t>
        </is>
      </c>
      <c r="C1320" s="143" t="inlineStr">
        <is>
          <t xml:space="preserve">RH WING FUEL ACCESS PNLS #640KB WITH 1 FROZEN SCREW ,640LB WITH 2 FROZEN SCREW AND 640HB WITH 1 FROZEN SCREW ,REQ TO REMOVE</t>
        </is>
      </c>
      <c r="D1320" s="143">
        <v>1.0</v>
      </c>
      <c r="E1320" s="143">
        <v>0.0</v>
      </c>
      <c r="F1320" s="143">
        <v>7.17</v>
      </c>
      <c r="G1320" s="143">
        <v>63.0</v>
      </c>
      <c r="H1320" s="143" t="inlineStr">
        <is>
          <t xml:space="preserve">Closed</t>
        </is>
      </c>
      <c r="I1320" s="143" t="inlineStr">
        <is>
          <t xml:space="preserve">57-21</t>
        </is>
      </c>
      <c r="J1320" s="143"/>
    </row>
    <row r="1321" spans="1:10">
      <c r="A1321" s="143" t="inlineStr">
        <is>
          <t xml:space="preserve">1260</t>
        </is>
      </c>
      <c r="B1321" s="143" t="inlineStr">
        <is>
          <t xml:space="preserve">32995946</t>
        </is>
      </c>
      <c r="C1321" s="143" t="inlineStr">
        <is>
          <t xml:space="preserve">FINDING (NRC) TASKCARD 25-21-00-00-SVA (01) / ITEM ONE B/C SEAT# 1AC  CUSHION ASSY-LEGREST TORN.</t>
        </is>
      </c>
      <c r="D1321" s="143">
        <v>1.0</v>
      </c>
      <c r="E1321" s="143">
        <v>2.0</v>
      </c>
      <c r="F1321" s="143">
        <v>2.0</v>
      </c>
      <c r="G1321" s="143">
        <v>2.33</v>
      </c>
      <c r="H1321" s="143" t="inlineStr">
        <is>
          <t xml:space="preserve">Closed</t>
        </is>
      </c>
      <c r="I1321" s="143" t="inlineStr">
        <is>
          <t xml:space="preserve">25-25</t>
        </is>
      </c>
      <c r="J1321" s="143"/>
    </row>
    <row r="1322" spans="1:10">
      <c r="A1322" s="143" t="inlineStr">
        <is>
          <t xml:space="preserve">1261</t>
        </is>
      </c>
      <c r="B1322" s="143" t="inlineStr">
        <is>
          <t xml:space="preserve">32996054</t>
        </is>
      </c>
      <c r="C1322" s="143" t="inlineStr">
        <is>
          <t xml:space="preserve">FINDING (NRC) TASKCARD ZL-833-02-1 (04) / ITEM-1 RII--CAB RH EMERGENCY EXIT HATCH DOOR WITH DOOR SEAL WORN AT LOWER EDGE</t>
        </is>
      </c>
      <c r="D1322" s="143">
        <v>1.0</v>
      </c>
      <c r="E1322" s="143">
        <v>0.0</v>
      </c>
      <c r="F1322" s="143">
        <v>2.0</v>
      </c>
      <c r="G1322" s="143">
        <v>1.0</v>
      </c>
      <c r="H1322" s="143" t="inlineStr">
        <is>
          <t xml:space="preserve">Closed</t>
        </is>
      </c>
      <c r="I1322" s="143" t="inlineStr">
        <is>
          <t xml:space="preserve">05-28</t>
        </is>
      </c>
      <c r="J1322" s="143"/>
    </row>
    <row r="1323" spans="1:10">
      <c r="A1323" s="143" t="inlineStr">
        <is>
          <t xml:space="preserve">1263</t>
        </is>
      </c>
      <c r="B1323" s="143" t="inlineStr">
        <is>
          <t xml:space="preserve">32996598</t>
        </is>
      </c>
      <c r="C1323" s="143" t="inlineStr">
        <is>
          <t xml:space="preserve">FINDING (NRC) TASKCARD ZL-171-02-1 (2) / ITEM-1 SM--RII FUSELAGE SKIN INNER SURFACE WITH SURFACE CORROSION LOCATED BETWEEN FR 65-66 AND STRG 43-42L (VISIBLE THROUGH BULK CARGO AFT PARTITION PANELS)</t>
        </is>
      </c>
      <c r="D1323" s="143">
        <v>1.0</v>
      </c>
      <c r="E1323" s="143">
        <v>0.0</v>
      </c>
      <c r="F1323" s="143">
        <v>59.9</v>
      </c>
      <c r="G1323" s="143">
        <v>366.7</v>
      </c>
      <c r="H1323" s="143" t="inlineStr">
        <is>
          <t xml:space="preserve">Closed</t>
        </is>
      </c>
      <c r="I1323" s="143" t="inlineStr">
        <is>
          <t xml:space="preserve">05-21</t>
        </is>
      </c>
      <c r="J1323" s="143"/>
    </row>
    <row r="1324" spans="1:10">
      <c r="A1324" s="143" t="inlineStr">
        <is>
          <t xml:space="preserve">1264</t>
        </is>
      </c>
      <c r="B1324" s="143" t="inlineStr">
        <is>
          <t xml:space="preserve">32996610</t>
        </is>
      </c>
      <c r="C1324" s="143" t="inlineStr">
        <is>
          <t xml:space="preserve">FINDING (NRC) TASKCARD 25-SVA-05 (01) / ITEM ONE G/C FRONT ROW SEAT#30A,B,C,J,K,L, ESCUTCHEON – IAT WITH SCRATCH.</t>
        </is>
      </c>
      <c r="D1324" s="143">
        <v>1.0</v>
      </c>
      <c r="E1324" s="143">
        <v>6.5</v>
      </c>
      <c r="F1324" s="143">
        <v>6.5</v>
      </c>
      <c r="G1324" s="143">
        <v>6.73</v>
      </c>
      <c r="H1324" s="143" t="inlineStr">
        <is>
          <t xml:space="preserve">Closed</t>
        </is>
      </c>
      <c r="I1324" s="143" t="inlineStr">
        <is>
          <t xml:space="preserve">25-21</t>
        </is>
      </c>
      <c r="J1324" s="143"/>
    </row>
    <row r="1325" spans="1:10">
      <c r="A1325" s="143" t="inlineStr">
        <is>
          <t xml:space="preserve">1265</t>
        </is>
      </c>
      <c r="B1325" s="143" t="inlineStr">
        <is>
          <t xml:space="preserve">32996715</t>
        </is>
      </c>
      <c r="C1325" s="143" t="inlineStr">
        <is>
          <t xml:space="preserve">FWD CGO COMPT====AP===NO CALL BACK FWD CARGO COMPT AFT SIDE PACK AIR RECIRCULATION FILTER ELEMENTS BOTH ACCUMULATED WITH DIRT.</t>
        </is>
      </c>
      <c r="D1325" s="143">
        <v>1.0</v>
      </c>
      <c r="E1325" s="143">
        <v>4.0</v>
      </c>
      <c r="F1325" s="143">
        <v>1.0</v>
      </c>
      <c r="G1325" s="143">
        <v>1.0</v>
      </c>
      <c r="H1325" s="143" t="inlineStr">
        <is>
          <t xml:space="preserve">Closed</t>
        </is>
      </c>
      <c r="I1325" s="143" t="inlineStr">
        <is>
          <t xml:space="preserve">21-52</t>
        </is>
      </c>
      <c r="J1325" s="143"/>
    </row>
    <row r="1326" spans="1:10">
      <c r="A1326" s="143" t="inlineStr">
        <is>
          <t xml:space="preserve">1266</t>
        </is>
      </c>
      <c r="B1326" s="143" t="inlineStr">
        <is>
          <t xml:space="preserve">32996751</t>
        </is>
      </c>
      <c r="C1326" s="143" t="inlineStr">
        <is>
          <t xml:space="preserve">L/H  WING REFUEL DEFUEL COUPLING===AP==RII L/H WING REFUEL/DEFUEL COUPLING-CAP  CHAIN ASSEMBLY IS MISSING.</t>
        </is>
      </c>
      <c r="D1326" s="143">
        <v>1.0</v>
      </c>
      <c r="E1326" s="143">
        <v>8.0</v>
      </c>
      <c r="F1326" s="143">
        <v>11.5</v>
      </c>
      <c r="G1326" s="143">
        <v>615.2</v>
      </c>
      <c r="H1326" s="143" t="inlineStr">
        <is>
          <t xml:space="preserve">Closed</t>
        </is>
      </c>
      <c r="I1326" s="143" t="inlineStr">
        <is>
          <t xml:space="preserve">28-25</t>
        </is>
      </c>
      <c r="J1326" s="143"/>
    </row>
    <row r="1327" spans="1:10">
      <c r="A1327" s="143" t="inlineStr">
        <is>
          <t xml:space="preserve">1267</t>
        </is>
      </c>
      <c r="B1327" s="143" t="inlineStr">
        <is>
          <t xml:space="preserve">32996759</t>
        </is>
      </c>
      <c r="C1327" s="143" t="inlineStr">
        <is>
          <t xml:space="preserve">R/H WING REFUEL/DEFUEL COUPLING===AP====RII R/H WING REFUEL/DEFUEL COUPLING-CAP  CHAIN ASSEMBLY IS MISSING</t>
        </is>
      </c>
      <c r="D1327" s="143">
        <v>1.0</v>
      </c>
      <c r="E1327" s="143">
        <v>8.0</v>
      </c>
      <c r="F1327" s="143">
        <v>10.88</v>
      </c>
      <c r="G1327" s="143">
        <v>632.2</v>
      </c>
      <c r="H1327" s="143" t="inlineStr">
        <is>
          <t xml:space="preserve">Closed</t>
        </is>
      </c>
      <c r="I1327" s="143" t="inlineStr">
        <is>
          <t xml:space="preserve">28-25</t>
        </is>
      </c>
      <c r="J1327" s="143"/>
    </row>
    <row r="1328" spans="1:10">
      <c r="A1328" s="143" t="inlineStr">
        <is>
          <t xml:space="preserve">1268</t>
        </is>
      </c>
      <c r="B1328" s="143" t="inlineStr">
        <is>
          <t xml:space="preserve">32996857</t>
        </is>
      </c>
      <c r="C1328" s="143" t="inlineStr">
        <is>
          <t xml:space="preserve">CAPT FIXED WINDOW======AP=====RII CAPT SIDE FIXED WINDOW AFT LWR CORNER WITH BUBBLES DIMENSIONS AS FOLLOWS  LENGTH =3" WIDTH= 1.1"</t>
        </is>
      </c>
      <c r="D1328" s="143">
        <v>1.0</v>
      </c>
      <c r="E1328" s="143">
        <v>8.0</v>
      </c>
      <c r="F1328" s="143">
        <v>8.25</v>
      </c>
      <c r="G1328" s="143">
        <v>383.2</v>
      </c>
      <c r="H1328" s="143" t="inlineStr">
        <is>
          <t xml:space="preserve">Closed</t>
        </is>
      </c>
      <c r="I1328" s="143" t="inlineStr">
        <is>
          <t xml:space="preserve">56-10</t>
        </is>
      </c>
      <c r="J1328" s="143"/>
    </row>
    <row r="1329" spans="1:10">
      <c r="A1329" s="143" t="inlineStr">
        <is>
          <t xml:space="preserve">1270</t>
        </is>
      </c>
      <c r="B1329" s="143" t="inlineStr">
        <is>
          <t xml:space="preserve">32998086</t>
        </is>
      </c>
      <c r="C1329" s="143" t="inlineStr">
        <is>
          <t xml:space="preserve">RUDDER-----------NO CALLBACK-------------AF RUDDER ATTACH FITTING NO. 6 FOUND BONDING LEAD BROKEN.</t>
        </is>
      </c>
      <c r="D1329" s="143">
        <v>1.0</v>
      </c>
      <c r="E1329" s="143">
        <v>6.0</v>
      </c>
      <c r="F1329" s="143">
        <v>6.5</v>
      </c>
      <c r="G1329" s="143">
        <v>463.9</v>
      </c>
      <c r="H1329" s="143" t="inlineStr">
        <is>
          <t xml:space="preserve">Closed</t>
        </is>
      </c>
      <c r="I1329" s="143" t="inlineStr">
        <is>
          <t xml:space="preserve">55-40</t>
        </is>
      </c>
      <c r="J1329" s="143"/>
    </row>
    <row r="1330" spans="1:10">
      <c r="A1330" s="143" t="inlineStr">
        <is>
          <t xml:space="preserve">1271</t>
        </is>
      </c>
      <c r="B1330" s="143" t="inlineStr">
        <is>
          <t xml:space="preserve">32998113</t>
        </is>
      </c>
      <c r="C1330" s="143" t="inlineStr">
        <is>
          <t xml:space="preserve">GALLEY - PAINT - NO CALL BACK FWD AND AFT GALLEY ALL OVEN DOORS PAINT CHIPPED OFF .</t>
        </is>
      </c>
      <c r="D1330" s="143">
        <v>1.0</v>
      </c>
      <c r="E1330" s="143">
        <v>13.0</v>
      </c>
      <c r="F1330" s="143">
        <v>14.5</v>
      </c>
      <c r="G1330" s="143">
        <v>419.5</v>
      </c>
      <c r="H1330" s="143" t="inlineStr">
        <is>
          <t xml:space="preserve">Closed</t>
        </is>
      </c>
      <c r="I1330" s="143" t="inlineStr">
        <is>
          <t xml:space="preserve">25-20</t>
        </is>
      </c>
      <c r="J1330" s="143"/>
    </row>
    <row r="1331" spans="1:10">
      <c r="A1331" s="143" t="inlineStr">
        <is>
          <t xml:space="preserve">1272</t>
        </is>
      </c>
      <c r="B1331" s="143" t="inlineStr">
        <is>
          <t xml:space="preserve">32998140</t>
        </is>
      </c>
      <c r="C1331" s="143" t="inlineStr">
        <is>
          <t xml:space="preserve">ENG 02 PYLON - PAINT - NO CALL BACK ENG 02 PYLON PANEL 423AR AND 423CR PAINT PEELED OFF.</t>
        </is>
      </c>
      <c r="D1331" s="143">
        <v>1.0</v>
      </c>
      <c r="E1331" s="143">
        <v>7.0</v>
      </c>
      <c r="F1331" s="143">
        <v>7.0</v>
      </c>
      <c r="G1331" s="143">
        <v>387.9</v>
      </c>
      <c r="H1331" s="143" t="inlineStr">
        <is>
          <t xml:space="preserve">Closed</t>
        </is>
      </c>
      <c r="I1331" s="143" t="inlineStr">
        <is>
          <t xml:space="preserve">51-75</t>
        </is>
      </c>
      <c r="J1331" s="143"/>
    </row>
    <row r="1332" spans="1:10">
      <c r="A1332" s="143" t="inlineStr">
        <is>
          <t xml:space="preserve">1273</t>
        </is>
      </c>
      <c r="B1332" s="143" t="inlineStr">
        <is>
          <t xml:space="preserve">32998206</t>
        </is>
      </c>
      <c r="C1332" s="143" t="inlineStr">
        <is>
          <t xml:space="preserve">FINDING (NRC) TASKCARD 532181-02-1 (0) / ITEM-1 REF TO SEQ 489 INSPECTION AREA BETWEEN FR 34-35 AND STRG 38LH-38RH REQUIRE OPEN UP AND CLEANING FOR INSPECTION</t>
        </is>
      </c>
      <c r="D1332" s="143">
        <v>1.0</v>
      </c>
      <c r="E1332" s="143">
        <v>38.0</v>
      </c>
      <c r="F1332" s="143">
        <v>29.0</v>
      </c>
      <c r="G1332" s="143">
        <v>301.1</v>
      </c>
      <c r="H1332" s="143" t="inlineStr">
        <is>
          <t xml:space="preserve">Closed</t>
        </is>
      </c>
      <c r="I1332" s="143">
        <v>53.0</v>
      </c>
      <c r="J1332" s="143"/>
    </row>
    <row r="1333" spans="1:10">
      <c r="A1333" s="143" t="inlineStr">
        <is>
          <t xml:space="preserve">1275</t>
        </is>
      </c>
      <c r="B1333" s="143" t="inlineStr">
        <is>
          <t xml:space="preserve">32998246</t>
        </is>
      </c>
      <c r="C1333" s="143" t="inlineStr">
        <is>
          <t xml:space="preserve">FWD CGO DOOR.....FS....NO CALLBACK FWD CGO DOOR LATCHING MECHANISM INTERNAL STRUCTURE DIRTY</t>
        </is>
      </c>
      <c r="D1333" s="143">
        <v>1.0</v>
      </c>
      <c r="E1333" s="143">
        <v>2.0</v>
      </c>
      <c r="F1333" s="143">
        <v>2.0</v>
      </c>
      <c r="G1333" s="143">
        <v>1.02</v>
      </c>
      <c r="H1333" s="143" t="inlineStr">
        <is>
          <t xml:space="preserve">Closed</t>
        </is>
      </c>
      <c r="I1333" s="143" t="inlineStr">
        <is>
          <t xml:space="preserve">52-30-00</t>
        </is>
      </c>
      <c r="J1333" s="143"/>
    </row>
    <row r="1334" spans="1:10">
      <c r="A1334" s="143" t="inlineStr">
        <is>
          <t xml:space="preserve">1276</t>
        </is>
      </c>
      <c r="B1334" s="143" t="inlineStr">
        <is>
          <t xml:space="preserve">32998252</t>
        </is>
      </c>
      <c r="C1334" s="143" t="inlineStr">
        <is>
          <t xml:space="preserve">AFT CGO DOOR....FS....NO CALLBACK AFT CGO DOOR LATCHING MECHANISM INTERNAL STRUCTURE DIRTY</t>
        </is>
      </c>
      <c r="D1334" s="143">
        <v>1.0</v>
      </c>
      <c r="E1334" s="143">
        <v>2.0</v>
      </c>
      <c r="F1334" s="143">
        <v>2.0</v>
      </c>
      <c r="G1334" s="143">
        <v>1.0</v>
      </c>
      <c r="H1334" s="143" t="inlineStr">
        <is>
          <t xml:space="preserve">Closed</t>
        </is>
      </c>
      <c r="I1334" s="143" t="inlineStr">
        <is>
          <t xml:space="preserve">52-30-00</t>
        </is>
      </c>
      <c r="J1334" s="143"/>
    </row>
    <row r="1335" spans="1:10">
      <c r="A1335" s="143" t="inlineStr">
        <is>
          <t xml:space="preserve">1277</t>
        </is>
      </c>
      <c r="B1335" s="143" t="inlineStr">
        <is>
          <t xml:space="preserve">32998934</t>
        </is>
      </c>
      <c r="C1335" s="143" t="inlineStr">
        <is>
          <t xml:space="preserve">FINDING (NRC) TASKCARD ZL-127-02-2 (3) / ITEM-1 FS--CALLBACK REF TO SEQ 106 REAR AVIONICS COMPARTMENT ACCESSIBLE THROUGH DOOR 824 AFT AVIONICS COMPARTMENT DOOR AREA AROUND DOOR CUTOUT AND BELOW COMPARTMENT FLOOR PANELS WITH DIRT REQ CLEANING FOR I...</t>
        </is>
      </c>
      <c r="D1335" s="143">
        <v>1.0</v>
      </c>
      <c r="E1335" s="143">
        <v>100.0</v>
      </c>
      <c r="F1335" s="143">
        <v>4.5</v>
      </c>
      <c r="G1335" s="143">
        <v>392.7</v>
      </c>
      <c r="H1335" s="143" t="inlineStr">
        <is>
          <t xml:space="preserve">Closed</t>
        </is>
      </c>
      <c r="I1335" s="143" t="inlineStr">
        <is>
          <t xml:space="preserve">05-21</t>
        </is>
      </c>
      <c r="J1335" s="143"/>
    </row>
    <row r="1336" spans="1:10">
      <c r="A1336" s="143" t="inlineStr">
        <is>
          <t xml:space="preserve">1278</t>
        </is>
      </c>
      <c r="B1336" s="143" t="inlineStr">
        <is>
          <t xml:space="preserve">33000741</t>
        </is>
      </c>
      <c r="C1336" s="143" t="inlineStr">
        <is>
          <t xml:space="preserve">FINDING WING - PNT-NO CALL BACK L/H AND R/H WING INBD LOWER SURFACE WATER DRAIN VALVE DECALS MISSING .</t>
        </is>
      </c>
      <c r="D1336" s="143">
        <v>1.0</v>
      </c>
      <c r="E1336" s="143">
        <v>2.0</v>
      </c>
      <c r="F1336" s="143">
        <v>2.5</v>
      </c>
      <c r="G1336" s="143">
        <v>359.9</v>
      </c>
      <c r="H1336" s="143" t="inlineStr">
        <is>
          <t xml:space="preserve">Closed</t>
        </is>
      </c>
      <c r="I1336" s="143" t="inlineStr">
        <is>
          <t xml:space="preserve">11-00</t>
        </is>
      </c>
      <c r="J1336" s="143"/>
    </row>
    <row r="1337" spans="1:10">
      <c r="A1337" s="143" t="inlineStr">
        <is>
          <t xml:space="preserve">1279</t>
        </is>
      </c>
      <c r="B1337" s="143" t="inlineStr">
        <is>
          <t xml:space="preserve">33000793</t>
        </is>
      </c>
      <c r="C1337" s="143" t="inlineStr">
        <is>
          <t xml:space="preserve">AP---RII---APU DOOR APU RIGHT ACCESS DOOR FWD AND MID WALL FIRE SEAL DETACHED</t>
        </is>
      </c>
      <c r="D1337" s="143">
        <v>1.0</v>
      </c>
      <c r="E1337" s="143">
        <v>8.0</v>
      </c>
      <c r="F1337" s="143">
        <v>7.5</v>
      </c>
      <c r="G1337" s="143">
        <v>4.42</v>
      </c>
      <c r="H1337" s="143" t="inlineStr">
        <is>
          <t xml:space="preserve">Closed</t>
        </is>
      </c>
      <c r="I1337" s="143" t="inlineStr">
        <is>
          <t xml:space="preserve">49-13</t>
        </is>
      </c>
      <c r="J1337" s="143"/>
    </row>
    <row r="1338" spans="1:10">
      <c r="A1338" s="143" t="inlineStr">
        <is>
          <t xml:space="preserve">1280</t>
        </is>
      </c>
      <c r="B1338" s="143" t="inlineStr">
        <is>
          <t xml:space="preserve">33000799</t>
        </is>
      </c>
      <c r="C1338" s="143" t="inlineStr">
        <is>
          <t xml:space="preserve">AP---CALLBACK---AFT BULKHEAD REMOVE REAR PRESSURE BULKHEAD COVER FOR INSPECTION</t>
        </is>
      </c>
      <c r="D1338" s="143">
        <v>1.0</v>
      </c>
      <c r="E1338" s="143">
        <v>8.0</v>
      </c>
      <c r="F1338" s="143">
        <v>17.0</v>
      </c>
      <c r="G1338" s="143">
        <v>670.4</v>
      </c>
      <c r="H1338" s="143" t="inlineStr">
        <is>
          <t xml:space="preserve">Closed</t>
        </is>
      </c>
      <c r="I1338" s="143" t="inlineStr">
        <is>
          <t xml:space="preserve">53-51</t>
        </is>
      </c>
      <c r="J1338" s="143"/>
    </row>
    <row r="1339" spans="1:10">
      <c r="A1339" s="143" t="inlineStr">
        <is>
          <t xml:space="preserve">1281</t>
        </is>
      </c>
      <c r="B1339" s="143" t="inlineStr">
        <is>
          <t xml:space="preserve">33001011</t>
        </is>
      </c>
      <c r="C1339" s="143" t="inlineStr">
        <is>
          <t xml:space="preserve">L/H WING PNT - NO CALLBACK LH MLG (FWD OF MLG ) LWR SURFACE SKIN REINFOREING PLATE PNT CHIPPED OFF</t>
        </is>
      </c>
      <c r="D1339" s="143">
        <v>1.0</v>
      </c>
      <c r="E1339" s="143">
        <v>9.0</v>
      </c>
      <c r="F1339" s="143">
        <v>9.5</v>
      </c>
      <c r="G1339" s="143">
        <v>357.2</v>
      </c>
      <c r="H1339" s="143" t="inlineStr">
        <is>
          <t xml:space="preserve">Closed</t>
        </is>
      </c>
      <c r="I1339" s="143" t="inlineStr">
        <is>
          <t xml:space="preserve">51-75</t>
        </is>
      </c>
      <c r="J1339" s="143"/>
    </row>
    <row r="1340" spans="1:10">
      <c r="A1340" s="143" t="inlineStr">
        <is>
          <t xml:space="preserve">1282</t>
        </is>
      </c>
      <c r="B1340" s="143" t="inlineStr">
        <is>
          <t xml:space="preserve">33001198</t>
        </is>
      </c>
      <c r="C1340" s="143" t="inlineStr">
        <is>
          <t xml:space="preserve">AP---NO CALLBACK---RUDDER RUDDER BR6 BONDING JUMBER CUT</t>
        </is>
      </c>
      <c r="D1340" s="143">
        <v>1.0</v>
      </c>
      <c r="E1340" s="143">
        <v>3.0</v>
      </c>
      <c r="F1340" s="143">
        <v>13.5</v>
      </c>
      <c r="G1340" s="143">
        <v>465.1</v>
      </c>
      <c r="H1340" s="143" t="inlineStr">
        <is>
          <t xml:space="preserve">Closed</t>
        </is>
      </c>
      <c r="I1340" s="143" t="inlineStr">
        <is>
          <t xml:space="preserve">05-23</t>
        </is>
      </c>
      <c r="J1340" s="143"/>
    </row>
    <row r="1341" spans="1:10">
      <c r="A1341" s="143" t="inlineStr">
        <is>
          <t xml:space="preserve">1283</t>
        </is>
      </c>
      <c r="B1341" s="143" t="inlineStr">
        <is>
          <t xml:space="preserve">33001199</t>
        </is>
      </c>
      <c r="C1341" s="143" t="inlineStr">
        <is>
          <t xml:space="preserve">AP---NO CALLBACK---RUDDER ALL RUDDER AFT HOLES COVER ARE TORN</t>
        </is>
      </c>
      <c r="D1341" s="143">
        <v>1.0</v>
      </c>
      <c r="E1341" s="143">
        <v>6.0</v>
      </c>
      <c r="F1341" s="143">
        <v>8.3</v>
      </c>
      <c r="G1341" s="143">
        <v>4.02</v>
      </c>
      <c r="H1341" s="143" t="inlineStr">
        <is>
          <t xml:space="preserve">Closed</t>
        </is>
      </c>
      <c r="I1341" s="143" t="inlineStr">
        <is>
          <t xml:space="preserve">05-23</t>
        </is>
      </c>
      <c r="J1341" s="143"/>
    </row>
    <row r="1342" spans="1:10">
      <c r="A1342" s="143" t="inlineStr">
        <is>
          <t xml:space="preserve">1284</t>
        </is>
      </c>
      <c r="B1342" s="143" t="inlineStr">
        <is>
          <t xml:space="preserve">33001270</t>
        </is>
      </c>
      <c r="C1342" s="143" t="inlineStr">
        <is>
          <t xml:space="preserve">FS---CALLBACK---AVN COMP AVIONICS COMP. STRUCTURE AFTER INSULATION BLANKET REMOVAL NEED DEEP CLEANING</t>
        </is>
      </c>
      <c r="D1342" s="143">
        <v>1.0</v>
      </c>
      <c r="E1342" s="143">
        <v>0.0</v>
      </c>
      <c r="F1342" s="143">
        <v>2.83</v>
      </c>
      <c r="G1342" s="143">
        <v>25.5</v>
      </c>
      <c r="H1342" s="143" t="inlineStr">
        <is>
          <t xml:space="preserve">Closed</t>
        </is>
      </c>
      <c r="I1342" s="143" t="inlineStr">
        <is>
          <t xml:space="preserve">05-21</t>
        </is>
      </c>
      <c r="J1342" s="143"/>
    </row>
    <row r="1343" spans="1:10">
      <c r="A1343" s="143" t="inlineStr">
        <is>
          <t xml:space="preserve">1285</t>
        </is>
      </c>
      <c r="B1343" s="143" t="inlineStr">
        <is>
          <t xml:space="preserve">33001460</t>
        </is>
      </c>
      <c r="C1343" s="143" t="inlineStr">
        <is>
          <t xml:space="preserve">LH OVER WING PNL ---SM--NO CALLBACK--- WING ROOT PNL 191ET WITH 3 EA WRON HEAD SCREWS</t>
        </is>
      </c>
      <c r="D1343" s="143">
        <v>1.0</v>
      </c>
      <c r="E1343" s="143">
        <v>0.0</v>
      </c>
      <c r="F1343" s="143">
        <v>17.83</v>
      </c>
      <c r="G1343" s="143">
        <v>12.17</v>
      </c>
      <c r="H1343" s="143" t="inlineStr">
        <is>
          <t xml:space="preserve">Closed</t>
        </is>
      </c>
      <c r="I1343" s="143" t="inlineStr">
        <is>
          <t xml:space="preserve">53-41</t>
        </is>
      </c>
      <c r="J1343" s="143"/>
    </row>
    <row r="1344" spans="1:10">
      <c r="A1344" s="143" t="inlineStr">
        <is>
          <t xml:space="preserve">1288</t>
        </is>
      </c>
      <c r="B1344" s="143" t="inlineStr">
        <is>
          <t xml:space="preserve">33002750</t>
        </is>
      </c>
      <c r="C1344" s="143" t="inlineStr">
        <is>
          <t xml:space="preserve">PNT---NO CALLBACK---RH WING SLAT RH WING SLAT 1, 2, 3, 4 &amp; 5 TRAILING EDGES WITH PAINT CHIPPED OFF</t>
        </is>
      </c>
      <c r="D1344" s="143">
        <v>1.0</v>
      </c>
      <c r="E1344" s="143">
        <v>16.0</v>
      </c>
      <c r="F1344" s="143">
        <v>13.5</v>
      </c>
      <c r="G1344" s="143">
        <v>6.63</v>
      </c>
      <c r="H1344" s="143" t="inlineStr">
        <is>
          <t xml:space="preserve">Closed</t>
        </is>
      </c>
      <c r="I1344" s="143" t="inlineStr">
        <is>
          <t xml:space="preserve">57-42</t>
        </is>
      </c>
      <c r="J1344" s="143"/>
    </row>
    <row r="1345" spans="1:10">
      <c r="A1345" s="143" t="inlineStr">
        <is>
          <t xml:space="preserve">1290</t>
        </is>
      </c>
      <c r="B1345" s="143" t="inlineStr">
        <is>
          <t xml:space="preserve">33002861</t>
        </is>
      </c>
      <c r="C1345" s="143" t="inlineStr">
        <is>
          <t xml:space="preserve">AP---CALLBACK---RH WING SLAT 5 RH WING SLAT 5 OUTBOARD EDGE SEAL CUT OFF</t>
        </is>
      </c>
      <c r="D1345" s="143">
        <v>1.0</v>
      </c>
      <c r="E1345" s="143">
        <v>6.0</v>
      </c>
      <c r="F1345" s="143">
        <v>17.58</v>
      </c>
      <c r="G1345" s="143">
        <v>3.5</v>
      </c>
      <c r="H1345" s="143" t="inlineStr">
        <is>
          <t xml:space="preserve">Closed</t>
        </is>
      </c>
      <c r="I1345" s="143" t="inlineStr">
        <is>
          <t xml:space="preserve">57-46</t>
        </is>
      </c>
      <c r="J1345" s="143"/>
    </row>
    <row r="1346" spans="1:10">
      <c r="A1346" s="143" t="inlineStr">
        <is>
          <t xml:space="preserve">1292</t>
        </is>
      </c>
      <c r="B1346" s="143" t="inlineStr">
        <is>
          <t xml:space="preserve">33003265</t>
        </is>
      </c>
      <c r="C1346" s="143" t="inlineStr">
        <is>
          <t xml:space="preserve">FINDING (NRC) TASKCARD 574505-01-1-001 (02) / ITEM-1 AP--CALLBACK LH WING SLAT N.O 4 INNER RUBBER SEAL TORN 2 EA</t>
        </is>
      </c>
      <c r="D1346" s="143">
        <v>1.0</v>
      </c>
      <c r="E1346" s="143">
        <v>4.0</v>
      </c>
      <c r="F1346" s="143">
        <v>12.58</v>
      </c>
      <c r="G1346" s="143">
        <v>3.0</v>
      </c>
      <c r="H1346" s="143" t="inlineStr">
        <is>
          <t xml:space="preserve">Closed</t>
        </is>
      </c>
      <c r="I1346" s="143" t="inlineStr">
        <is>
          <t xml:space="preserve">57-45</t>
        </is>
      </c>
      <c r="J1346" s="143"/>
    </row>
    <row r="1347" spans="1:10">
      <c r="A1347" s="143" t="inlineStr">
        <is>
          <t xml:space="preserve">1300</t>
        </is>
      </c>
      <c r="B1347" s="143" t="inlineStr">
        <is>
          <t xml:space="preserve">33007172</t>
        </is>
      </c>
      <c r="C1347" s="143" t="inlineStr">
        <is>
          <t xml:space="preserve">EOD-320-31-00012-R00/FDIMU - INSTALL NEW ADC DMU SW FOR FOMAX</t>
        </is>
      </c>
      <c r="D1347" s="143" t="inlineStr">
        <is>
          <t xml:space="preserve">PJED</t>
        </is>
      </c>
      <c r="E1347" s="143">
        <v>2.0</v>
      </c>
      <c r="F1347" s="143">
        <v>23.0</v>
      </c>
      <c r="G1347" s="143">
        <v>21.92</v>
      </c>
      <c r="H1347" s="143" t="inlineStr">
        <is>
          <t xml:space="preserve">Closed</t>
        </is>
      </c>
      <c r="I1347" s="143">
        <v>31.0</v>
      </c>
      <c r="J1347" s="143"/>
    </row>
    <row r="1348" spans="1:10">
      <c r="A1348" s="143" t="inlineStr">
        <is>
          <t xml:space="preserve">1302</t>
        </is>
      </c>
      <c r="B1348" s="143" t="inlineStr">
        <is>
          <t xml:space="preserve">33011258</t>
        </is>
      </c>
      <c r="C1348" s="143" t="inlineStr">
        <is>
          <t xml:space="preserve">PNT - NO CALL BACK - COCKPIT PANELS SEVERAL COCKPIT ACCESS PANELS REQ. PAINT ( 211AW, 211BW, 211FW, 211LW, 211AZ, 212AW, 212BW, 212FW, 212AZ )</t>
        </is>
      </c>
      <c r="D1348" s="143">
        <v>1.0</v>
      </c>
      <c r="E1348" s="143">
        <v>24.0</v>
      </c>
      <c r="F1348" s="143">
        <v>8.0</v>
      </c>
      <c r="G1348" s="143">
        <v>4.5</v>
      </c>
      <c r="H1348" s="143" t="inlineStr">
        <is>
          <t xml:space="preserve">Closed</t>
        </is>
      </c>
      <c r="I1348" s="143">
        <v>25.0</v>
      </c>
      <c r="J1348" s="143"/>
    </row>
    <row r="1349" spans="1:10">
      <c r="A1349" s="143" t="inlineStr">
        <is>
          <t xml:space="preserve">1303</t>
        </is>
      </c>
      <c r="B1349" s="143" t="inlineStr">
        <is>
          <t xml:space="preserve">33011331</t>
        </is>
      </c>
      <c r="C1349" s="143" t="inlineStr">
        <is>
          <t xml:space="preserve">FINDING (NRC) TASKCARD 572065-01-1-001 (03) / ITEM ONE PNT--NOCALLBACK LH WING TRAILING  EDGE AREA AT WING LOWER SURFACE BETWEEN RIB 1-5 WITH PAINT CRACKING / CHIPPED OFF</t>
        </is>
      </c>
      <c r="D1349" s="143">
        <v>1.0</v>
      </c>
      <c r="E1349" s="143">
        <v>16.0</v>
      </c>
      <c r="F1349" s="143">
        <v>17.0</v>
      </c>
      <c r="G1349" s="143">
        <v>6.52</v>
      </c>
      <c r="H1349" s="143" t="inlineStr">
        <is>
          <t xml:space="preserve">Closed</t>
        </is>
      </c>
      <c r="I1349" s="143" t="inlineStr">
        <is>
          <t xml:space="preserve">57-20</t>
        </is>
      </c>
      <c r="J1349" s="143"/>
    </row>
    <row r="1350" spans="1:10">
      <c r="A1350" s="143" t="inlineStr">
        <is>
          <t xml:space="preserve">1304</t>
        </is>
      </c>
      <c r="B1350" s="143" t="inlineStr">
        <is>
          <t xml:space="preserve">33012238</t>
        </is>
      </c>
      <c r="C1350" s="143" t="inlineStr">
        <is>
          <t xml:space="preserve">UPPER FUSELAGE=====SM====RII UPPER FUSELAGE UNDERNEATH LARGE SATCOM ANTENNA 04EA RIVETS HEAD WITH PITTING CORROSION    LOCATION BETWEEN FRAME 29-32  ALONG STRINGER 01RH AND 01LH    DIMENSION AS FOLLOWS    ALONG STR 01LH    LENGTH = 01CM  WIDTH = 0...</t>
        </is>
      </c>
      <c r="D1350" s="143">
        <v>1.0</v>
      </c>
      <c r="E1350" s="143">
        <v>8.0</v>
      </c>
      <c r="F1350" s="143">
        <v>68.1</v>
      </c>
      <c r="G1350" s="143">
        <v>198.8</v>
      </c>
      <c r="H1350" s="143" t="inlineStr">
        <is>
          <t xml:space="preserve">Closed</t>
        </is>
      </c>
      <c r="I1350" s="143" t="inlineStr">
        <is>
          <t xml:space="preserve">05-21</t>
        </is>
      </c>
      <c r="J1350" s="143"/>
    </row>
    <row r="1351" spans="1:10">
      <c r="A1351" s="143" t="inlineStr">
        <is>
          <t xml:space="preserve">1305</t>
        </is>
      </c>
      <c r="B1351" s="143" t="inlineStr">
        <is>
          <t xml:space="preserve">33012374</t>
        </is>
      </c>
      <c r="C1351" s="143" t="inlineStr">
        <is>
          <t xml:space="preserve">L/H WING --- A/P ---CALL BACK L/H WING T/EDGE BETWEEN RIB 5 TO RIB 8 WITH TPS MISSING</t>
        </is>
      </c>
      <c r="D1351" s="143">
        <v>1.0</v>
      </c>
      <c r="E1351" s="143">
        <v>6.0</v>
      </c>
      <c r="F1351" s="143">
        <v>17.75</v>
      </c>
      <c r="G1351" s="143">
        <v>164.0</v>
      </c>
      <c r="H1351" s="143" t="inlineStr">
        <is>
          <t xml:space="preserve">Closed</t>
        </is>
      </c>
      <c r="I1351" s="143" t="inlineStr">
        <is>
          <t xml:space="preserve">57-51</t>
        </is>
      </c>
      <c r="J1351" s="143"/>
    </row>
    <row r="1352" spans="1:10">
      <c r="A1352" s="143" t="inlineStr">
        <is>
          <t xml:space="preserve">1306</t>
        </is>
      </c>
      <c r="B1352" s="143" t="inlineStr">
        <is>
          <t xml:space="preserve">33012961</t>
        </is>
      </c>
      <c r="C1352" s="143" t="inlineStr">
        <is>
          <t xml:space="preserve">L/H WING ---AP--- RII L/H WING I/B SIDE BETWEEN RIB 5 TO RIB 8 TORQUE SHAFT SEVERAL BOLTS WITH RUSTY</t>
        </is>
      </c>
      <c r="D1352" s="143">
        <v>1.0</v>
      </c>
      <c r="E1352" s="143">
        <v>6.0</v>
      </c>
      <c r="F1352" s="143">
        <v>4.58</v>
      </c>
      <c r="G1352" s="143">
        <v>217.4</v>
      </c>
      <c r="H1352" s="143" t="inlineStr">
        <is>
          <t xml:space="preserve">Closed</t>
        </is>
      </c>
      <c r="I1352" s="143" t="inlineStr">
        <is>
          <t xml:space="preserve">57-21</t>
        </is>
      </c>
      <c r="J1352" s="143"/>
    </row>
    <row r="1353" spans="1:10">
      <c r="A1353" s="143" t="inlineStr">
        <is>
          <t xml:space="preserve">1307</t>
        </is>
      </c>
      <c r="B1353" s="143" t="inlineStr">
        <is>
          <t xml:space="preserve">33013426</t>
        </is>
      </c>
      <c r="C1353" s="143" t="inlineStr">
        <is>
          <t xml:space="preserve">L/H WING ---AP--- NO CALL BACK L/H WING TRAILING EDGE TORQUE SHAFT FROM  RIB 5 TO RIB 27 VERY DIRTY</t>
        </is>
      </c>
      <c r="D1353" s="143">
        <v>1.0</v>
      </c>
      <c r="E1353" s="143">
        <v>4.0</v>
      </c>
      <c r="F1353" s="143">
        <v>0.5</v>
      </c>
      <c r="G1353" s="143">
        <v>0.5</v>
      </c>
      <c r="H1353" s="143" t="inlineStr">
        <is>
          <t xml:space="preserve">Closed</t>
        </is>
      </c>
      <c r="I1353" s="143" t="inlineStr">
        <is>
          <t xml:space="preserve">57-21</t>
        </is>
      </c>
      <c r="J1353" s="143"/>
    </row>
    <row r="1354" spans="1:10">
      <c r="A1354" s="143" t="inlineStr">
        <is>
          <t xml:space="preserve">1308</t>
        </is>
      </c>
      <c r="B1354" s="143" t="inlineStr">
        <is>
          <t xml:space="preserve">33013430</t>
        </is>
      </c>
      <c r="C1354" s="143" t="inlineStr">
        <is>
          <t xml:space="preserve">L/H WING  ---SM--- RII L/H WING TRAILING EDGE NEAR SPOILER NO 3 ON TOP SKIN 3EA RIVET LOOSE /BROKEN</t>
        </is>
      </c>
      <c r="D1354" s="143">
        <v>1.0</v>
      </c>
      <c r="E1354" s="143">
        <v>0.0</v>
      </c>
      <c r="F1354" s="143">
        <v>36.8</v>
      </c>
      <c r="G1354" s="143">
        <v>334.7</v>
      </c>
      <c r="H1354" s="143" t="inlineStr">
        <is>
          <t xml:space="preserve">Closed</t>
        </is>
      </c>
      <c r="I1354" s="143" t="inlineStr">
        <is>
          <t xml:space="preserve">57-21</t>
        </is>
      </c>
      <c r="J1354" s="143"/>
    </row>
    <row r="1355" spans="1:10">
      <c r="A1355" s="143" t="inlineStr">
        <is>
          <t xml:space="preserve">1309</t>
        </is>
      </c>
      <c r="B1355" s="143" t="inlineStr">
        <is>
          <t xml:space="preserve">33013444</t>
        </is>
      </c>
      <c r="C1355" s="143" t="inlineStr">
        <is>
          <t xml:space="preserve">L/H WING--- AP-- NO CALL BACK L/H WING TRAILING EDGE SPOILER NO.4 I/B HINGE BONDING WIRE WITH BROKEN.</t>
        </is>
      </c>
      <c r="D1355" s="143">
        <v>1.0</v>
      </c>
      <c r="E1355" s="143">
        <v>4.0</v>
      </c>
      <c r="F1355" s="143">
        <v>9.3</v>
      </c>
      <c r="G1355" s="143">
        <v>131.6</v>
      </c>
      <c r="H1355" s="143" t="inlineStr">
        <is>
          <t xml:space="preserve">Closed</t>
        </is>
      </c>
      <c r="I1355" s="143" t="inlineStr">
        <is>
          <t xml:space="preserve">53-41</t>
        </is>
      </c>
      <c r="J1355" s="143"/>
    </row>
    <row r="1356" spans="1:10">
      <c r="A1356" s="143" t="inlineStr">
        <is>
          <t xml:space="preserve">1310</t>
        </is>
      </c>
      <c r="B1356" s="143" t="inlineStr">
        <is>
          <t xml:space="preserve">33013470</t>
        </is>
      </c>
      <c r="C1356" s="143" t="inlineStr">
        <is>
          <t xml:space="preserve">L/H WING --- AP--- NO CALL BACK L/H WING FLAP TRACK MOV FAIRING NO 2 AND 3 BONDING WIRE WITH BROKEN.</t>
        </is>
      </c>
      <c r="D1356" s="143">
        <v>1.0</v>
      </c>
      <c r="E1356" s="143">
        <v>6.0</v>
      </c>
      <c r="F1356" s="143">
        <v>31.5</v>
      </c>
      <c r="G1356" s="143">
        <v>480.9</v>
      </c>
      <c r="H1356" s="143" t="inlineStr">
        <is>
          <t xml:space="preserve">Closed</t>
        </is>
      </c>
      <c r="I1356" s="143" t="inlineStr">
        <is>
          <t xml:space="preserve">57-26</t>
        </is>
      </c>
      <c r="J1356" s="143"/>
    </row>
    <row r="1357" spans="1:10">
      <c r="A1357" s="143" t="inlineStr">
        <is>
          <t xml:space="preserve">1311</t>
        </is>
      </c>
      <c r="B1357" s="143" t="inlineStr">
        <is>
          <t xml:space="preserve">33013486</t>
        </is>
      </c>
      <c r="C1357" s="143" t="inlineStr">
        <is>
          <t xml:space="preserve">L/H WING--- S/M ---- RII L/H WING O/B ACCESS THROUGHT PANEL # 575LB STRIP METAL DETACHED</t>
        </is>
      </c>
      <c r="D1357" s="143">
        <v>1.0</v>
      </c>
      <c r="E1357" s="143">
        <v>0.0</v>
      </c>
      <c r="F1357" s="143">
        <v>1.17</v>
      </c>
      <c r="G1357" s="143">
        <v>121.5</v>
      </c>
      <c r="H1357" s="143" t="inlineStr">
        <is>
          <t xml:space="preserve">Closed</t>
        </is>
      </c>
      <c r="I1357" s="143" t="inlineStr">
        <is>
          <t xml:space="preserve">57-21</t>
        </is>
      </c>
      <c r="J1357" s="143"/>
    </row>
    <row r="1358" spans="1:10">
      <c r="A1358" s="143" t="inlineStr">
        <is>
          <t xml:space="preserve">1312</t>
        </is>
      </c>
      <c r="B1358" s="143" t="inlineStr">
        <is>
          <t xml:space="preserve">33013510</t>
        </is>
      </c>
      <c r="C1358" s="143" t="inlineStr">
        <is>
          <t xml:space="preserve">AVIONICS COMPT=======AV======NO CALL BACK REAR AVIONICS COMPT 63, 80, 187VU AND 188VU WIRING INSTALLED DIRTY WITH ACCUMULATED DUST</t>
        </is>
      </c>
      <c r="D1358" s="143">
        <v>1.0</v>
      </c>
      <c r="E1358" s="143">
        <v>8.0</v>
      </c>
      <c r="F1358" s="143">
        <v>8.0</v>
      </c>
      <c r="G1358" s="143">
        <v>4.0</v>
      </c>
      <c r="H1358" s="143" t="inlineStr">
        <is>
          <t xml:space="preserve">Closed</t>
        </is>
      </c>
      <c r="I1358" s="143" t="inlineStr">
        <is>
          <t xml:space="preserve">24-92</t>
        </is>
      </c>
      <c r="J1358" s="143"/>
    </row>
    <row r="1359" spans="1:10">
      <c r="A1359" s="143" t="inlineStr">
        <is>
          <t xml:space="preserve">1313</t>
        </is>
      </c>
      <c r="B1359" s="143" t="inlineStr">
        <is>
          <t xml:space="preserve">33013536</t>
        </is>
      </c>
      <c r="C1359" s="143" t="inlineStr">
        <is>
          <t xml:space="preserve">VERTICAL STABILIZER ATTACH FITTING=====FS======CALL BACK REFER TO TASK CARD 553004-01-1 VERTICAL STABILIZER ATTACH FITTINGS INCLUDING THE LOAD INTRODUCTION AREA AT THE SKIN PANELS REQ CLEANING TO FASCILITATE INSPECTION</t>
        </is>
      </c>
      <c r="D1359" s="143">
        <v>1.0</v>
      </c>
      <c r="E1359" s="143">
        <v>12.0</v>
      </c>
      <c r="F1359" s="143">
        <v>12.08</v>
      </c>
      <c r="G1359" s="143">
        <v>37.5</v>
      </c>
      <c r="H1359" s="143" t="inlineStr">
        <is>
          <t xml:space="preserve">Closed</t>
        </is>
      </c>
      <c r="I1359" s="143" t="inlineStr">
        <is>
          <t xml:space="preserve">55-36</t>
        </is>
      </c>
      <c r="J1359" s="143"/>
    </row>
    <row r="1360" spans="1:10">
      <c r="A1360" s="143" t="inlineStr">
        <is>
          <t xml:space="preserve">1315</t>
        </is>
      </c>
      <c r="B1360" s="143" t="inlineStr">
        <is>
          <t xml:space="preserve">33014957</t>
        </is>
      </c>
      <c r="C1360" s="143" t="inlineStr">
        <is>
          <t xml:space="preserve">RADIO ALTIMETER - CALLBACK REF TO TC 344200-02-2 SEQ 589 - DISCARD OF RA ANTENNAS AND COAX CABLES</t>
        </is>
      </c>
      <c r="D1360" s="143">
        <v>1.0</v>
      </c>
      <c r="E1360" s="143">
        <v>8.0</v>
      </c>
      <c r="F1360" s="143">
        <v>16.83</v>
      </c>
      <c r="G1360" s="143">
        <v>100.0</v>
      </c>
      <c r="H1360" s="143" t="inlineStr">
        <is>
          <t xml:space="preserve">Closed</t>
        </is>
      </c>
      <c r="I1360" s="143" t="inlineStr">
        <is>
          <t xml:space="preserve">34-42</t>
        </is>
      </c>
      <c r="J1360" s="143"/>
    </row>
    <row r="1361" spans="1:10">
      <c r="A1361" s="143" t="inlineStr">
        <is>
          <t xml:space="preserve">1316</t>
        </is>
      </c>
      <c r="B1361" s="143" t="inlineStr">
        <is>
          <t xml:space="preserve">33015570</t>
        </is>
      </c>
      <c r="C1361" s="143" t="inlineStr">
        <is>
          <t xml:space="preserve">CAB - RII - COCKPIT CAPTAIN SEAT INERTIA REEL FAILED TO RETRACT PROPERLY.</t>
        </is>
      </c>
      <c r="D1361" s="143">
        <v>1.0</v>
      </c>
      <c r="E1361" s="143">
        <v>0.0</v>
      </c>
      <c r="F1361" s="143">
        <v>14.0</v>
      </c>
      <c r="G1361" s="143">
        <v>293.6</v>
      </c>
      <c r="H1361" s="143" t="inlineStr">
        <is>
          <t xml:space="preserve">Closed</t>
        </is>
      </c>
      <c r="I1361" s="143">
        <v>25.0</v>
      </c>
      <c r="J1361" s="143"/>
    </row>
    <row r="1362" spans="1:10">
      <c r="A1362" s="143" t="inlineStr">
        <is>
          <t xml:space="preserve">1318</t>
        </is>
      </c>
      <c r="B1362" s="143" t="inlineStr">
        <is>
          <t xml:space="preserve">33017645</t>
        </is>
      </c>
      <c r="C1362" s="143" t="inlineStr">
        <is>
          <t xml:space="preserve">CAB - NO CALL BACK - GALLEY G2 GALLEY COMP. 204 2EA TURN CATCH FADED</t>
        </is>
      </c>
      <c r="D1362" s="143">
        <v>1.0</v>
      </c>
      <c r="E1362" s="143">
        <v>0.0</v>
      </c>
      <c r="F1362" s="143">
        <v>3.0</v>
      </c>
      <c r="G1362" s="143">
        <v>2.5</v>
      </c>
      <c r="H1362" s="143" t="inlineStr">
        <is>
          <t xml:space="preserve">Closed</t>
        </is>
      </c>
      <c r="I1362" s="143" t="inlineStr">
        <is>
          <t xml:space="preserve">25-10</t>
        </is>
      </c>
      <c r="J1362" s="143"/>
    </row>
    <row r="1363" spans="1:10">
      <c r="A1363" s="143" t="inlineStr">
        <is>
          <t xml:space="preserve">1319</t>
        </is>
      </c>
      <c r="B1363" s="143" t="inlineStr">
        <is>
          <t xml:space="preserve">33017650</t>
        </is>
      </c>
      <c r="C1363" s="143" t="inlineStr">
        <is>
          <t xml:space="preserve">FINDING TASKCARD 532181-02-1 (0) /FWD FUSELAGE---STR---RII FIXED PARTITION STRUCTURE, FR34, (Y-765, Y765) LOWER ATTACHMENT DETACHED</t>
        </is>
      </c>
      <c r="D1363" s="143">
        <v>1.0</v>
      </c>
      <c r="E1363" s="143">
        <v>0.0</v>
      </c>
      <c r="F1363" s="143">
        <v>48.0</v>
      </c>
      <c r="G1363" s="143">
        <v>461.2</v>
      </c>
      <c r="H1363" s="143" t="inlineStr">
        <is>
          <t xml:space="preserve">Closed</t>
        </is>
      </c>
      <c r="I1363" s="143">
        <v>53.0</v>
      </c>
      <c r="J1363" s="143"/>
    </row>
    <row r="1364" spans="1:10">
      <c r="A1364" s="143" t="inlineStr">
        <is>
          <t xml:space="preserve">1320</t>
        </is>
      </c>
      <c r="B1364" s="143" t="inlineStr">
        <is>
          <t xml:space="preserve">33018932</t>
        </is>
      </c>
      <c r="C1364" s="143" t="inlineStr">
        <is>
          <t xml:space="preserve">CTR WING BOX REAR SPAR---CAB--CALLBACK REQ REMOVAL OF THE APPLICABLE INSULATION BLANKETS TO GET ACCESS TO THE INSPECTION AREA (FR42)</t>
        </is>
      </c>
      <c r="D1364" s="143">
        <v>1.0</v>
      </c>
      <c r="E1364" s="143">
        <v>6.0</v>
      </c>
      <c r="F1364" s="143">
        <v>17.75</v>
      </c>
      <c r="G1364" s="143">
        <v>4.02</v>
      </c>
      <c r="H1364" s="143" t="inlineStr">
        <is>
          <t xml:space="preserve">Closed</t>
        </is>
      </c>
      <c r="I1364" s="143" t="inlineStr">
        <is>
          <t xml:space="preserve">57-10</t>
        </is>
      </c>
      <c r="J1364" s="143"/>
    </row>
    <row r="1365" spans="1:10">
      <c r="A1365" s="143" t="inlineStr">
        <is>
          <t xml:space="preserve">1322</t>
        </is>
      </c>
      <c r="B1365" s="143" t="inlineStr">
        <is>
          <t xml:space="preserve">33019321</t>
        </is>
      </c>
      <c r="C1365" s="143" t="inlineStr">
        <is>
          <t xml:space="preserve">SM---RII---NLG ERROSION FOUND ON RH NOSE GEAR SWIVEL BEARING BUSHING</t>
        </is>
      </c>
      <c r="D1365" s="143">
        <v>1.0</v>
      </c>
      <c r="E1365" s="143">
        <v>0.0</v>
      </c>
      <c r="F1365" s="143">
        <v>38.0</v>
      </c>
      <c r="G1365" s="143">
        <v>185.0</v>
      </c>
      <c r="H1365" s="143" t="inlineStr">
        <is>
          <t xml:space="preserve">Closed</t>
        </is>
      </c>
      <c r="I1365" s="143" t="inlineStr">
        <is>
          <t xml:space="preserve">32-21</t>
        </is>
      </c>
      <c r="J1365" s="143"/>
    </row>
    <row r="1366" spans="1:10">
      <c r="A1366" s="143" t="inlineStr">
        <is>
          <t xml:space="preserve">1326</t>
        </is>
      </c>
      <c r="B1366" s="143" t="inlineStr">
        <is>
          <t xml:space="preserve">33019665</t>
        </is>
      </c>
      <c r="C1366" s="143" t="inlineStr">
        <is>
          <t xml:space="preserve">FINDING TASKCARD 531164-01-1 / FUSELAGE FR15-21-FS--CALLBACK REQ CLEANING OF FUSELAGE FR20-21; STR28LH-STR28LH TO FACILITATE INSPECTION</t>
        </is>
      </c>
      <c r="D1366" s="143">
        <v>1.0</v>
      </c>
      <c r="E1366" s="143">
        <v>20.0</v>
      </c>
      <c r="F1366" s="143">
        <v>20.25</v>
      </c>
      <c r="G1366" s="143">
        <v>33.4</v>
      </c>
      <c r="H1366" s="143" t="inlineStr">
        <is>
          <t xml:space="preserve">Closed</t>
        </is>
      </c>
      <c r="I1366" s="143" t="inlineStr">
        <is>
          <t xml:space="preserve">53-11</t>
        </is>
      </c>
      <c r="J1366" s="143"/>
    </row>
    <row r="1367" spans="1:10">
      <c r="A1367" s="143" t="inlineStr">
        <is>
          <t xml:space="preserve">1328</t>
        </is>
      </c>
      <c r="B1367" s="143" t="inlineStr">
        <is>
          <t xml:space="preserve">33014940</t>
        </is>
      </c>
      <c r="C1367" s="143" t="inlineStr">
        <is>
          <t xml:space="preserve">S71-R10397/HZ-ASD ENG.2 REPLACEMENT OF RH FAN COWL FWD AND AFT EDGE PROTECTORS</t>
        </is>
      </c>
      <c r="D1367" s="143">
        <v>1.0</v>
      </c>
      <c r="E1367" s="143">
        <v>4.5</v>
      </c>
      <c r="F1367" s="143">
        <v>73.5</v>
      </c>
      <c r="G1367" s="143">
        <v>230.4</v>
      </c>
      <c r="H1367" s="143" t="inlineStr">
        <is>
          <t xml:space="preserve">Closed</t>
        </is>
      </c>
      <c r="I1367" s="143">
        <v>71.0</v>
      </c>
      <c r="J1367" s="143"/>
    </row>
    <row r="1368" spans="1:10">
      <c r="A1368" s="143" t="inlineStr">
        <is>
          <t xml:space="preserve">1329</t>
        </is>
      </c>
      <c r="B1368" s="143" t="inlineStr">
        <is>
          <t xml:space="preserve">33014947</t>
        </is>
      </c>
      <c r="C1368" s="143" t="inlineStr">
        <is>
          <t xml:space="preserve">S71-R10398/HZ-ASD ENG.1 REPLACEMENT OF LH FAN COWL AFT EDGE PROTECTORS</t>
        </is>
      </c>
      <c r="D1368" s="143">
        <v>1.0</v>
      </c>
      <c r="E1368" s="143">
        <v>6.0</v>
      </c>
      <c r="F1368" s="143">
        <v>86.1</v>
      </c>
      <c r="G1368" s="143">
        <v>158.4</v>
      </c>
      <c r="H1368" s="143" t="inlineStr">
        <is>
          <t xml:space="preserve">Closed</t>
        </is>
      </c>
      <c r="I1368" s="143">
        <v>71.0</v>
      </c>
      <c r="J1368" s="143"/>
    </row>
    <row r="1369" spans="1:10">
      <c r="A1369" s="143" t="inlineStr">
        <is>
          <t xml:space="preserve">1330</t>
        </is>
      </c>
      <c r="B1369" s="143" t="inlineStr">
        <is>
          <t xml:space="preserve">33019887</t>
        </is>
      </c>
      <c r="C1369" s="143" t="inlineStr">
        <is>
          <t xml:space="preserve">AFT CARGO - UNDERFLOOR - FS -CALLBACK AFT CARGO UNDERFLOOR REQ ZONAL CLEANING FROM FRAME 46 TO 51</t>
        </is>
      </c>
      <c r="D1369" s="143">
        <v>1.0</v>
      </c>
      <c r="E1369" s="143">
        <v>19.5</v>
      </c>
      <c r="F1369" s="143">
        <v>41.0</v>
      </c>
      <c r="G1369" s="143">
        <v>70.9</v>
      </c>
      <c r="H1369" s="143" t="inlineStr">
        <is>
          <t xml:space="preserve">Closed</t>
        </is>
      </c>
      <c r="I1369" s="143">
        <v>53.0</v>
      </c>
      <c r="J1369" s="143"/>
    </row>
    <row r="1370" spans="1:10">
      <c r="A1370" s="143" t="inlineStr">
        <is>
          <t xml:space="preserve">1331</t>
        </is>
      </c>
      <c r="B1370" s="143" t="inlineStr">
        <is>
          <t xml:space="preserve">95001843</t>
        </is>
      </c>
      <c r="C1370" s="143" t="inlineStr">
        <is>
          <t xml:space="preserve">ROB .. REF TO TQ. 832572 AEVC P/N.87292325V07 S/N.VL2062006144  ROBBED TO SVC HZ-ASP. AS PER A320 AMM 21-26-34-000-001-A  REV.69 DATE.01 MAY 2026</t>
        </is>
      </c>
      <c r="D1370" s="143" t="inlineStr">
        <is>
          <t xml:space="preserve">N</t>
        </is>
      </c>
      <c r="E1370" s="143">
        <v>4.0</v>
      </c>
      <c r="F1370" s="143">
        <v>7.0</v>
      </c>
      <c r="G1370" s="143">
        <v>328.0</v>
      </c>
      <c r="H1370" s="143" t="inlineStr">
        <is>
          <t xml:space="preserve">Closed</t>
        </is>
      </c>
      <c r="I1370" s="143" t="inlineStr">
        <is>
          <t xml:space="preserve">21-00</t>
        </is>
      </c>
      <c r="J1370" s="143"/>
    </row>
    <row r="1371" spans="1:10">
      <c r="A1371" s="143" t="inlineStr">
        <is>
          <t xml:space="preserve">1332</t>
        </is>
      </c>
      <c r="B1371" s="143" t="inlineStr">
        <is>
          <t xml:space="preserve">33020601</t>
        </is>
      </c>
      <c r="C1371" s="143" t="inlineStr">
        <is>
          <t xml:space="preserve">FWD PAX DOORS PNT NO CALL BACK FWD PAX DOORS  LINING AND FRAME LINIING WHILE REMOVING FOUND WITH PNT FADED .</t>
        </is>
      </c>
      <c r="D1371" s="143">
        <v>1.0</v>
      </c>
      <c r="E1371" s="143">
        <v>24.0</v>
      </c>
      <c r="F1371" s="143">
        <v>9.0</v>
      </c>
      <c r="G1371" s="143">
        <v>47.4</v>
      </c>
      <c r="H1371" s="143" t="inlineStr">
        <is>
          <t xml:space="preserve">Closed</t>
        </is>
      </c>
      <c r="I1371" s="143" t="inlineStr">
        <is>
          <t xml:space="preserve">52-10</t>
        </is>
      </c>
      <c r="J1371" s="143"/>
    </row>
    <row r="1372" spans="1:10">
      <c r="A1372" s="143" t="inlineStr">
        <is>
          <t xml:space="preserve">1333</t>
        </is>
      </c>
      <c r="B1372" s="143" t="inlineStr">
        <is>
          <t xml:space="preserve">33020680</t>
        </is>
      </c>
      <c r="C1372" s="143" t="inlineStr">
        <is>
          <t xml:space="preserve">AFT PAX DOORS PANT FEDED NO CALL BACK AFT PAX DOORS LINING AND FRAME LINING FOUND WITH FADED PNT.</t>
        </is>
      </c>
      <c r="D1372" s="143">
        <v>1.0</v>
      </c>
      <c r="E1372" s="143">
        <v>24.0</v>
      </c>
      <c r="F1372" s="143">
        <v>16.5</v>
      </c>
      <c r="G1372" s="143">
        <v>49.1</v>
      </c>
      <c r="H1372" s="143" t="inlineStr">
        <is>
          <t xml:space="preserve">Closed</t>
        </is>
      </c>
      <c r="I1372" s="143" t="inlineStr">
        <is>
          <t xml:space="preserve">52-10</t>
        </is>
      </c>
      <c r="J1372" s="143"/>
    </row>
    <row r="1373" spans="1:10">
      <c r="A1373" s="143" t="inlineStr">
        <is>
          <t xml:space="preserve">1334</t>
        </is>
      </c>
      <c r="B1373" s="143" t="inlineStr">
        <is>
          <t xml:space="preserve">33020727</t>
        </is>
      </c>
      <c r="C1373" s="143" t="inlineStr">
        <is>
          <t xml:space="preserve">CAB - UNDER FLOOR STRUC - SEAT TRACK (Y-1292) - SM - RII CABIN UNDER FLOOR STRUCTURE FOUND MOST R/H SEAT TRACK (Y-1292) FWD OF FR47 WITH EXCESSIVE PLAY AND AFT ATTACHMENT BOLT WITH MISSING NUT .</t>
        </is>
      </c>
      <c r="D1373" s="143">
        <v>1.0</v>
      </c>
      <c r="E1373" s="143">
        <v>0.0</v>
      </c>
      <c r="F1373" s="143">
        <v>2.67</v>
      </c>
      <c r="G1373" s="143">
        <v>437.7</v>
      </c>
      <c r="H1373" s="143" t="inlineStr">
        <is>
          <t xml:space="preserve">Closed</t>
        </is>
      </c>
      <c r="I1373" s="143" t="inlineStr">
        <is>
          <t xml:space="preserve">05-21</t>
        </is>
      </c>
      <c r="J1373" s="143"/>
    </row>
    <row r="1374" spans="1:10">
      <c r="A1374" s="143" t="inlineStr">
        <is>
          <t xml:space="preserve">1335</t>
        </is>
      </c>
      <c r="B1374" s="143" t="inlineStr">
        <is>
          <t xml:space="preserve">33020728</t>
        </is>
      </c>
      <c r="C1374" s="143" t="inlineStr">
        <is>
          <t xml:space="preserve">AFT CGO COMPT=====AP=====NO CALL BACK AFT CGO COMPT FWD LEFT HAND SIDE APU DUCT CLAMP INSTALLATION ADJACENT AREA INSULATION BLANKETS WITH BURN MARKS (SIGN OF LEAK)</t>
        </is>
      </c>
      <c r="D1374" s="143">
        <v>1.0</v>
      </c>
      <c r="E1374" s="143">
        <v>4.0</v>
      </c>
      <c r="F1374" s="143">
        <v>4.82</v>
      </c>
      <c r="G1374" s="143">
        <v>745.8</v>
      </c>
      <c r="H1374" s="143" t="inlineStr">
        <is>
          <t xml:space="preserve">Closed</t>
        </is>
      </c>
      <c r="I1374" s="143" t="inlineStr">
        <is>
          <t xml:space="preserve">28-11</t>
        </is>
      </c>
      <c r="J1374" s="143"/>
    </row>
    <row r="1375" spans="1:10">
      <c r="A1375" s="143" t="inlineStr">
        <is>
          <t xml:space="preserve">1336</t>
        </is>
      </c>
      <c r="B1375" s="143" t="inlineStr">
        <is>
          <t xml:space="preserve">33020729</t>
        </is>
      </c>
      <c r="C1375" s="143" t="inlineStr">
        <is>
          <t xml:space="preserve">CAB - FLOOR STRUC - SEAT TRACK (Y-1292) - SM - RII CABIN FLOOR STRUCTURE FOUND  SEAT TRACK (Y-1292) FWD OF FR42 WITH GOUGE AT THE MIDDLE OF SEAT TRACK .  DIM:-      L=0.31 INCH.                                         ,W=0.17 INCH....</t>
        </is>
      </c>
      <c r="D1375" s="143">
        <v>1.0</v>
      </c>
      <c r="E1375" s="143">
        <v>0.0</v>
      </c>
      <c r="F1375" s="143">
        <v>12.33</v>
      </c>
      <c r="G1375" s="143">
        <v>333.4</v>
      </c>
      <c r="H1375" s="143" t="inlineStr">
        <is>
          <t xml:space="preserve">Closed</t>
        </is>
      </c>
      <c r="I1375" s="143" t="inlineStr">
        <is>
          <t xml:space="preserve">05-21</t>
        </is>
      </c>
      <c r="J1375" s="143"/>
    </row>
    <row r="1376" spans="1:10">
      <c r="A1376" s="143" t="inlineStr">
        <is>
          <t xml:space="preserve">1337</t>
        </is>
      </c>
      <c r="B1376" s="143" t="inlineStr">
        <is>
          <t xml:space="preserve">33020731</t>
        </is>
      </c>
      <c r="C1376" s="143" t="inlineStr">
        <is>
          <t xml:space="preserve">CAB - FLOOR STRUC - SEAT TRACK (Y-765) - SM - RII CABIN FLOOR STRUCTURE FOUND  SEAT TRACK (Y-765) FWD OF FR41 WITH GOUGE AT UPPER FLANGE OF SEAT TRACK .  DIM:-      L=0.78 INCH.                                         ,W=0.15 INCH....</t>
        </is>
      </c>
      <c r="D1376" s="143">
        <v>1.0</v>
      </c>
      <c r="E1376" s="143">
        <v>0.0</v>
      </c>
      <c r="F1376" s="143">
        <v>8.25</v>
      </c>
      <c r="G1376" s="143">
        <v>332.0</v>
      </c>
      <c r="H1376" s="143" t="inlineStr">
        <is>
          <t xml:space="preserve">Closed</t>
        </is>
      </c>
      <c r="I1376" s="143" t="inlineStr">
        <is>
          <t xml:space="preserve">05-21</t>
        </is>
      </c>
      <c r="J1376" s="143"/>
    </row>
    <row r="1377" spans="1:10">
      <c r="A1377" s="143" t="inlineStr">
        <is>
          <t xml:space="preserve">1338</t>
        </is>
      </c>
      <c r="B1377" s="143" t="inlineStr">
        <is>
          <t xml:space="preserve">33020734</t>
        </is>
      </c>
      <c r="C1377" s="143" t="inlineStr">
        <is>
          <t xml:space="preserve">CAB - UNDER FLOOR - CAB - CALL BACK CABIN FROM FR 43 TO FR46 FOUND UNDER FLOOR STRUCTURE WITH MISSING CIC APPLICATION AND FROM FR36 TO FR46 FOUND UNDER FLOOR STRUCTURE , AIR CONDITIONING  DUCT , LINES DUSTY AND  WITH EXCESSIVE LINT ACCUMULATION.</t>
        </is>
      </c>
      <c r="D1377" s="143">
        <v>1.0</v>
      </c>
      <c r="E1377" s="143">
        <v>0.0</v>
      </c>
      <c r="F1377" s="143">
        <v>3.92</v>
      </c>
      <c r="G1377" s="143">
        <v>242.1</v>
      </c>
      <c r="H1377" s="143" t="inlineStr">
        <is>
          <t xml:space="preserve">Closed</t>
        </is>
      </c>
      <c r="I1377" s="143" t="inlineStr">
        <is>
          <t xml:space="preserve">05-21</t>
        </is>
      </c>
      <c r="J1377" s="143"/>
    </row>
    <row r="1378" spans="1:10">
      <c r="A1378" s="143" t="inlineStr">
        <is>
          <t xml:space="preserve">1339</t>
        </is>
      </c>
      <c r="B1378" s="143" t="inlineStr">
        <is>
          <t xml:space="preserve">33021722</t>
        </is>
      </c>
      <c r="C1378" s="143" t="inlineStr">
        <is>
          <t xml:space="preserve">MACHINEST - NO CALL BACK - OVEN G1 GALLEY OVEN COMP. 104 SCREWS FROZEN</t>
        </is>
      </c>
      <c r="D1378" s="143">
        <v>1.0</v>
      </c>
      <c r="E1378" s="143">
        <v>0.0</v>
      </c>
      <c r="F1378" s="143">
        <v>0.5</v>
      </c>
      <c r="G1378" s="143">
        <v>0.5</v>
      </c>
      <c r="H1378" s="143" t="inlineStr">
        <is>
          <t xml:space="preserve">Closed</t>
        </is>
      </c>
      <c r="I1378" s="143">
        <v>25.0</v>
      </c>
      <c r="J1378" s="143"/>
    </row>
    <row r="1379" spans="1:10">
      <c r="A1379" s="143" t="inlineStr">
        <is>
          <t xml:space="preserve">1340</t>
        </is>
      </c>
      <c r="B1379" s="143" t="inlineStr">
        <is>
          <t xml:space="preserve">33021799</t>
        </is>
      </c>
      <c r="C1379" s="143" t="inlineStr">
        <is>
          <t xml:space="preserve">EMERGENCY EXIT HATCH - CABIN - CALLBACK AROUND EMERGENCY EXIT HATCH PANEL AND INSULATION BLANKET REQ REMOVAL</t>
        </is>
      </c>
      <c r="D1379" s="143">
        <v>1.0</v>
      </c>
      <c r="E1379" s="143">
        <v>0.0</v>
      </c>
      <c r="F1379" s="143">
        <v>47.5</v>
      </c>
      <c r="G1379" s="143">
        <v>549.0</v>
      </c>
      <c r="H1379" s="143" t="inlineStr">
        <is>
          <t xml:space="preserve">Closed</t>
        </is>
      </c>
      <c r="I1379" s="143" t="inlineStr">
        <is>
          <t xml:space="preserve">53-00-00</t>
        </is>
      </c>
      <c r="J1379" s="143"/>
    </row>
    <row r="1380" spans="1:10">
      <c r="A1380" s="143" t="inlineStr">
        <is>
          <t xml:space="preserve">1341</t>
        </is>
      </c>
      <c r="B1380" s="143" t="inlineStr">
        <is>
          <t xml:space="preserve">33021843</t>
        </is>
      </c>
      <c r="C1380" s="143" t="inlineStr">
        <is>
          <t xml:space="preserve">CAB - NO CALL BACK - GALLEY G1 GALLEY COMP 207. LATCH INOP</t>
        </is>
      </c>
      <c r="D1380" s="143">
        <v>1.0</v>
      </c>
      <c r="E1380" s="143">
        <v>0.0</v>
      </c>
      <c r="F1380" s="143">
        <v>2.0</v>
      </c>
      <c r="G1380" s="143">
        <v>2.0</v>
      </c>
      <c r="H1380" s="143" t="inlineStr">
        <is>
          <t xml:space="preserve">Closed</t>
        </is>
      </c>
      <c r="I1380" s="143">
        <v>25.0</v>
      </c>
      <c r="J1380" s="143"/>
    </row>
    <row r="1381" spans="1:10">
      <c r="A1381" s="143" t="inlineStr">
        <is>
          <t xml:space="preserve">1342</t>
        </is>
      </c>
      <c r="B1381" s="143" t="inlineStr">
        <is>
          <t xml:space="preserve">33022670</t>
        </is>
      </c>
      <c r="C1381" s="143" t="inlineStr">
        <is>
          <t xml:space="preserve">CAB - NO CALL BACK - GALLEY G2 GALLEY FOOT STEP LEVER MISSING</t>
        </is>
      </c>
      <c r="D1381" s="143">
        <v>1.0</v>
      </c>
      <c r="E1381" s="143">
        <v>0.0</v>
      </c>
      <c r="F1381" s="143">
        <v>2.5</v>
      </c>
      <c r="G1381" s="143">
        <v>2.5</v>
      </c>
      <c r="H1381" s="143" t="inlineStr">
        <is>
          <t xml:space="preserve">Closed</t>
        </is>
      </c>
      <c r="I1381" s="143">
        <v>25.0</v>
      </c>
      <c r="J1381" s="143"/>
    </row>
    <row r="1382" spans="1:10">
      <c r="A1382" s="143" t="inlineStr">
        <is>
          <t xml:space="preserve">1344</t>
        </is>
      </c>
      <c r="B1382" s="143" t="inlineStr">
        <is>
          <t xml:space="preserve">33022853</t>
        </is>
      </c>
      <c r="C1382" s="143" t="inlineStr">
        <is>
          <t xml:space="preserve">CAB - NO CALL BACK - GALLEY G1 GALLEY COMP. 101 SLIDE EXTRACTOR INOP</t>
        </is>
      </c>
      <c r="D1382" s="143">
        <v>1.0</v>
      </c>
      <c r="E1382" s="143">
        <v>0.0</v>
      </c>
      <c r="F1382" s="143">
        <v>2.5</v>
      </c>
      <c r="G1382" s="143">
        <v>2.5</v>
      </c>
      <c r="H1382" s="143" t="inlineStr">
        <is>
          <t xml:space="preserve">Closed</t>
        </is>
      </c>
      <c r="I1382" s="143">
        <v>25.0</v>
      </c>
      <c r="J1382" s="143"/>
    </row>
    <row r="1383" spans="1:10">
      <c r="A1383" s="143" t="inlineStr">
        <is>
          <t xml:space="preserve">1345</t>
        </is>
      </c>
      <c r="B1383" s="143" t="inlineStr">
        <is>
          <t xml:space="preserve">33022868</t>
        </is>
      </c>
      <c r="C1383" s="143" t="inlineStr">
        <is>
          <t xml:space="preserve">CAB - NO CALLBACK - COCKPIT F/O SLIDING WINDOW BLIND ROLLER DETERIORATED.</t>
        </is>
      </c>
      <c r="D1383" s="143">
        <v>1.0</v>
      </c>
      <c r="E1383" s="143">
        <v>0.0</v>
      </c>
      <c r="F1383" s="143">
        <v>2.5</v>
      </c>
      <c r="G1383" s="143">
        <v>2.5</v>
      </c>
      <c r="H1383" s="143" t="inlineStr">
        <is>
          <t xml:space="preserve">Closed</t>
        </is>
      </c>
      <c r="I1383" s="143" t="inlineStr">
        <is>
          <t xml:space="preserve">25-10</t>
        </is>
      </c>
      <c r="J1383" s="143"/>
    </row>
    <row r="1384" spans="1:10">
      <c r="A1384" s="143" t="inlineStr">
        <is>
          <t xml:space="preserve">1346</t>
        </is>
      </c>
      <c r="B1384" s="143" t="inlineStr">
        <is>
          <t xml:space="preserve">33022924</t>
        </is>
      </c>
      <c r="C1384" s="143" t="inlineStr">
        <is>
          <t xml:space="preserve">RH WING FUEL ACCESS PNL#640KB WITH 4EA FROZEN SCREW</t>
        </is>
      </c>
      <c r="D1384" s="143">
        <v>1.0</v>
      </c>
      <c r="E1384" s="143">
        <v>0.0</v>
      </c>
      <c r="F1384" s="143">
        <v>6.0</v>
      </c>
      <c r="G1384" s="143">
        <v>2.0</v>
      </c>
      <c r="H1384" s="143" t="inlineStr">
        <is>
          <t xml:space="preserve">Closed</t>
        </is>
      </c>
      <c r="I1384" s="143" t="inlineStr">
        <is>
          <t xml:space="preserve">57-21</t>
        </is>
      </c>
      <c r="J1384" s="143"/>
    </row>
    <row r="1385" spans="1:10">
      <c r="A1385" s="143" t="inlineStr">
        <is>
          <t xml:space="preserve">1347</t>
        </is>
      </c>
      <c r="B1385" s="143" t="inlineStr">
        <is>
          <t xml:space="preserve">33022953</t>
        </is>
      </c>
      <c r="C1385" s="143" t="inlineStr">
        <is>
          <t xml:space="preserve">CAB - NO CALLBACK - COCKPIT CAPTAIN FOOTREST RUBBER MAT WORN-OUT.</t>
        </is>
      </c>
      <c r="D1385" s="143">
        <v>1.0</v>
      </c>
      <c r="E1385" s="143">
        <v>0.0</v>
      </c>
      <c r="F1385" s="143">
        <v>1.0</v>
      </c>
      <c r="G1385" s="143">
        <v>1.0</v>
      </c>
      <c r="H1385" s="143" t="inlineStr">
        <is>
          <t xml:space="preserve">Closed</t>
        </is>
      </c>
      <c r="I1385" s="143">
        <v>25.0</v>
      </c>
      <c r="J1385" s="143"/>
    </row>
    <row r="1386" spans="1:10">
      <c r="A1386" s="143" t="inlineStr">
        <is>
          <t xml:space="preserve">1348</t>
        </is>
      </c>
      <c r="B1386" s="143" t="inlineStr">
        <is>
          <t xml:space="preserve">33022966</t>
        </is>
      </c>
      <c r="C1386" s="143" t="inlineStr">
        <is>
          <t xml:space="preserve">CAB - NO CALLBACK - COCKPIT FLIGHT DECK CAPTAIN AND FIRST OFFICER PEDAL RUBBER MAT DIRTY.</t>
        </is>
      </c>
      <c r="D1386" s="143">
        <v>1.0</v>
      </c>
      <c r="E1386" s="143">
        <v>0.0</v>
      </c>
      <c r="F1386" s="143">
        <v>1.5</v>
      </c>
      <c r="G1386" s="143">
        <v>173.4</v>
      </c>
      <c r="H1386" s="143" t="inlineStr">
        <is>
          <t xml:space="preserve">Closed</t>
        </is>
      </c>
      <c r="I1386" s="143" t="inlineStr">
        <is>
          <t xml:space="preserve">25-10</t>
        </is>
      </c>
      <c r="J1386" s="143"/>
    </row>
    <row r="1387" spans="1:10">
      <c r="A1387" s="143" t="inlineStr">
        <is>
          <t xml:space="preserve">1349</t>
        </is>
      </c>
      <c r="B1387" s="143" t="inlineStr">
        <is>
          <t xml:space="preserve">33022983</t>
        </is>
      </c>
      <c r="C1387" s="143" t="inlineStr">
        <is>
          <t xml:space="preserve">CAB - NO CALLBACK - LAV A LAV A SERVICE CABIINET HINGE LOOSE.</t>
        </is>
      </c>
      <c r="D1387" s="143">
        <v>1.0</v>
      </c>
      <c r="E1387" s="143">
        <v>0.0</v>
      </c>
      <c r="F1387" s="143">
        <v>2.5</v>
      </c>
      <c r="G1387" s="143">
        <v>2.5</v>
      </c>
      <c r="H1387" s="143" t="inlineStr">
        <is>
          <t xml:space="preserve">Closed</t>
        </is>
      </c>
      <c r="I1387" s="143">
        <v>25.0</v>
      </c>
      <c r="J1387" s="143"/>
    </row>
    <row r="1388" spans="1:10">
      <c r="A1388" s="143" t="inlineStr">
        <is>
          <t xml:space="preserve">1350</t>
        </is>
      </c>
      <c r="B1388" s="143" t="inlineStr">
        <is>
          <t xml:space="preserve">33023367</t>
        </is>
      </c>
      <c r="C1388" s="143" t="inlineStr">
        <is>
          <t xml:space="preserve">AP---NO CALLBACK---UNDER BELLY FAIRING AFT CARGO COMPARTMENT-HEATING PRESSURE-REGULATING VALVE FWD CLAMP NOT SECURED WITH BENDED SECURING BOLT UNDER PANEL 197BB</t>
        </is>
      </c>
      <c r="D1388" s="143">
        <v>1.0</v>
      </c>
      <c r="E1388" s="143">
        <v>6.0</v>
      </c>
      <c r="F1388" s="143">
        <v>8.0</v>
      </c>
      <c r="G1388" s="143">
        <v>304.8</v>
      </c>
      <c r="H1388" s="143" t="inlineStr">
        <is>
          <t xml:space="preserve">Closed</t>
        </is>
      </c>
      <c r="I1388" s="143" t="inlineStr">
        <is>
          <t xml:space="preserve">53-41</t>
        </is>
      </c>
      <c r="J1388" s="143"/>
    </row>
    <row r="1389" spans="1:10">
      <c r="A1389" s="143" t="inlineStr">
        <is>
          <t xml:space="preserve">1351</t>
        </is>
      </c>
      <c r="B1389" s="143" t="inlineStr">
        <is>
          <t xml:space="preserve">33023576</t>
        </is>
      </c>
      <c r="C1389" s="143" t="inlineStr">
        <is>
          <t xml:space="preserve">AP---NO CALLBACK---UNDER PNL BELLY FAIRING PNUEMATIC DUCT UNDER THE OVERWING SLIDE LH SIDE ONE TIE CLAMP NOT SECURED</t>
        </is>
      </c>
      <c r="D1389" s="143">
        <v>1.0</v>
      </c>
      <c r="E1389" s="143">
        <v>6.0</v>
      </c>
      <c r="F1389" s="143">
        <v>7.0</v>
      </c>
      <c r="G1389" s="143">
        <v>1.63</v>
      </c>
      <c r="H1389" s="143" t="inlineStr">
        <is>
          <t xml:space="preserve">Closed</t>
        </is>
      </c>
      <c r="I1389" s="143" t="inlineStr">
        <is>
          <t xml:space="preserve">53-41</t>
        </is>
      </c>
      <c r="J1389" s="143"/>
    </row>
    <row r="1390" spans="1:10">
      <c r="A1390" s="143" t="inlineStr">
        <is>
          <t xml:space="preserve">1352</t>
        </is>
      </c>
      <c r="B1390" s="143" t="inlineStr">
        <is>
          <t xml:space="preserve">33023575</t>
        </is>
      </c>
      <c r="C1390" s="143" t="inlineStr">
        <is>
          <t xml:space="preserve">FINDING (NRC) TASKCARD 531102-01-1 (5) / ITEM-1 PNT--NOCALLBACK BOTH FWD LH AND RH UPPER PASSENGER DOORS CUTOUT WITH PAINT CHAFING</t>
        </is>
      </c>
      <c r="D1390" s="143">
        <v>1.0</v>
      </c>
      <c r="E1390" s="143">
        <v>9.0</v>
      </c>
      <c r="F1390" s="143">
        <v>10.0</v>
      </c>
      <c r="G1390" s="143">
        <v>5.15</v>
      </c>
      <c r="H1390" s="143" t="inlineStr">
        <is>
          <t xml:space="preserve">Closed</t>
        </is>
      </c>
      <c r="I1390" s="143" t="inlineStr">
        <is>
          <t xml:space="preserve">53-11</t>
        </is>
      </c>
      <c r="J1390" s="143"/>
    </row>
    <row r="1391" spans="1:10">
      <c r="A1391" s="143" t="inlineStr">
        <is>
          <t xml:space="preserve">1353</t>
        </is>
      </c>
      <c r="B1391" s="143" t="inlineStr">
        <is>
          <t xml:space="preserve">33023666</t>
        </is>
      </c>
      <c r="C1391" s="143" t="inlineStr">
        <is>
          <t xml:space="preserve">CAB - RII - COCKPIT FLIGHT DECK FIRST OFFICER SEAT HARNESS DETERIORATED.</t>
        </is>
      </c>
      <c r="D1391" s="143">
        <v>1.0</v>
      </c>
      <c r="E1391" s="143">
        <v>0.0</v>
      </c>
      <c r="F1391" s="143">
        <v>19.17</v>
      </c>
      <c r="G1391" s="143">
        <v>172.7</v>
      </c>
      <c r="H1391" s="143" t="inlineStr">
        <is>
          <t xml:space="preserve">Closed</t>
        </is>
      </c>
      <c r="I1391" s="143">
        <v>25.0</v>
      </c>
      <c r="J1391" s="143"/>
    </row>
    <row r="1392" spans="1:10">
      <c r="A1392" s="143" t="inlineStr">
        <is>
          <t xml:space="preserve">1354</t>
        </is>
      </c>
      <c r="B1392" s="143" t="inlineStr">
        <is>
          <t xml:space="preserve">33023735</t>
        </is>
      </c>
      <c r="C1392" s="143" t="inlineStr">
        <is>
          <t xml:space="preserve">FINDING (NRC) TASKCARD 534132-02-1 (2) / ITEM ONE PNT--NOCLLBACK BOTH AFT LH AND RH UPPER PASSENGER DOORS CUTOUT WITH PAINT CHAFING</t>
        </is>
      </c>
      <c r="D1392" s="143">
        <v>1.0</v>
      </c>
      <c r="E1392" s="143">
        <v>7.0</v>
      </c>
      <c r="F1392" s="143">
        <v>8.0</v>
      </c>
      <c r="G1392" s="143">
        <v>5.08</v>
      </c>
      <c r="H1392" s="143" t="inlineStr">
        <is>
          <t xml:space="preserve">Closed</t>
        </is>
      </c>
      <c r="I1392" s="143" t="inlineStr">
        <is>
          <t xml:space="preserve">53-41</t>
        </is>
      </c>
      <c r="J1392" s="143"/>
    </row>
    <row r="1393" spans="1:10">
      <c r="A1393" s="143" t="inlineStr">
        <is>
          <t xml:space="preserve">1355</t>
        </is>
      </c>
      <c r="B1393" s="143" t="inlineStr">
        <is>
          <t xml:space="preserve">33023745</t>
        </is>
      </c>
      <c r="C1393" s="143" t="inlineStr">
        <is>
          <t xml:space="preserve">CAB - RII - 4TH OCCUPANT FLIGHT DECK SEAT 4TH OCCUPANT HARNESS DETERIORATED.</t>
        </is>
      </c>
      <c r="D1393" s="143">
        <v>1.0</v>
      </c>
      <c r="E1393" s="143">
        <v>0.0</v>
      </c>
      <c r="F1393" s="143">
        <v>7.58</v>
      </c>
      <c r="G1393" s="143">
        <v>5.93</v>
      </c>
      <c r="H1393" s="143" t="inlineStr">
        <is>
          <t xml:space="preserve">Closed</t>
        </is>
      </c>
      <c r="I1393" s="143" t="inlineStr">
        <is>
          <t xml:space="preserve">25-10</t>
        </is>
      </c>
      <c r="J1393" s="143"/>
    </row>
    <row r="1394" spans="1:10">
      <c r="A1394" s="143" t="inlineStr">
        <is>
          <t xml:space="preserve">1356</t>
        </is>
      </c>
      <c r="B1394" s="143" t="inlineStr">
        <is>
          <t xml:space="preserve">33023803</t>
        </is>
      </c>
      <c r="C1394" s="143" t="inlineStr">
        <is>
          <t xml:space="preserve">CAB - RII - 3RD OCCUPANT FLIGHT DECK 3RD OCCUPANT LOWER SHROUD NEXT TO LIFE VEST COVER DEFORMED.</t>
        </is>
      </c>
      <c r="D1394" s="143">
        <v>1.0</v>
      </c>
      <c r="E1394" s="143">
        <v>0.0</v>
      </c>
      <c r="F1394" s="143">
        <v>14.5</v>
      </c>
      <c r="G1394" s="143">
        <v>224.7</v>
      </c>
      <c r="H1394" s="143" t="inlineStr">
        <is>
          <t xml:space="preserve">Closed</t>
        </is>
      </c>
      <c r="I1394" s="143" t="inlineStr">
        <is>
          <t xml:space="preserve">25-10</t>
        </is>
      </c>
      <c r="J1394" s="143"/>
    </row>
    <row r="1395" spans="1:10">
      <c r="A1395" s="143" t="inlineStr">
        <is>
          <t xml:space="preserve">1357</t>
        </is>
      </c>
      <c r="B1395" s="143" t="inlineStr">
        <is>
          <t xml:space="preserve">33023820</t>
        </is>
      </c>
      <c r="C1395" s="143" t="inlineStr">
        <is>
          <t xml:space="preserve">CAB - NO CALL BACK - GALLEY G1 GALLEY OVEN #1 UPPER GRILL DE ATTACHED</t>
        </is>
      </c>
      <c r="D1395" s="143">
        <v>1.0</v>
      </c>
      <c r="E1395" s="143">
        <v>0.0</v>
      </c>
      <c r="F1395" s="143">
        <v>1.5</v>
      </c>
      <c r="G1395" s="143">
        <v>1.5</v>
      </c>
      <c r="H1395" s="143" t="inlineStr">
        <is>
          <t xml:space="preserve">Closed</t>
        </is>
      </c>
      <c r="I1395" s="143" t="inlineStr">
        <is>
          <t xml:space="preserve">25-10</t>
        </is>
      </c>
      <c r="J1395" s="143"/>
    </row>
    <row r="1396" spans="1:10">
      <c r="A1396" s="143" t="inlineStr">
        <is>
          <t xml:space="preserve">1358</t>
        </is>
      </c>
      <c r="B1396" s="143" t="inlineStr">
        <is>
          <t xml:space="preserve">33023837</t>
        </is>
      </c>
      <c r="C1396" s="143" t="inlineStr">
        <is>
          <t xml:space="preserve">CAB - NO CALL BACK - GALLEY FWD GALLEY (G1,G2) SIDE TURN CATCH FADED</t>
        </is>
      </c>
      <c r="D1396" s="143">
        <v>1.0</v>
      </c>
      <c r="E1396" s="143">
        <v>0.0</v>
      </c>
      <c r="F1396" s="143">
        <v>5.0</v>
      </c>
      <c r="G1396" s="143">
        <v>5.0</v>
      </c>
      <c r="H1396" s="143" t="inlineStr">
        <is>
          <t xml:space="preserve">Closed</t>
        </is>
      </c>
      <c r="I1396" s="143">
        <v>25.0</v>
      </c>
      <c r="J1396" s="143"/>
    </row>
    <row r="1397" spans="1:10">
      <c r="A1397" s="143" t="inlineStr">
        <is>
          <t xml:space="preserve">1359</t>
        </is>
      </c>
      <c r="B1397" s="143" t="inlineStr">
        <is>
          <t xml:space="preserve">33024557</t>
        </is>
      </c>
      <c r="C1397" s="143" t="inlineStr">
        <is>
          <t xml:space="preserve">VERTICAL STABLIZER HINGE FITTING (EOD-320-55-00001-R00) AS PER (EOD-320-55-00001-R00) ALL HINGE FITTINGS REQUIRE NDT AFTER REMOVAL  .</t>
        </is>
      </c>
      <c r="D1397" s="143">
        <v>1.0</v>
      </c>
      <c r="E1397" s="143">
        <v>0.0</v>
      </c>
      <c r="F1397" s="143">
        <v>17.0</v>
      </c>
      <c r="G1397" s="143">
        <v>149.2</v>
      </c>
      <c r="H1397" s="143" t="inlineStr">
        <is>
          <t xml:space="preserve">Closed</t>
        </is>
      </c>
      <c r="I1397" s="143">
        <v>55.0</v>
      </c>
      <c r="J1397" s="143"/>
    </row>
    <row r="1398" spans="1:10">
      <c r="A1398" s="143" t="inlineStr">
        <is>
          <t xml:space="preserve">1361</t>
        </is>
      </c>
      <c r="B1398" s="143" t="inlineStr">
        <is>
          <t xml:space="preserve">33025672</t>
        </is>
      </c>
      <c r="C1398" s="143" t="inlineStr">
        <is>
          <t xml:space="preserve">ENG #1 AND #2 AFT MOUNT PINS RETAINING PINS RUSTY---NO CALLBACK--AP ENG 1 AND 2 AFT MOUNT PINS RETAINING PINS FOUND RUSTY NEEDS REPLACEMENT 10 TOTAL IN BOTH ENGINES  IPC REF: 71-22-11 FIG. 71-22-11-03 ITEM 10</t>
        </is>
      </c>
      <c r="D1398" s="143">
        <v>1.0</v>
      </c>
      <c r="E1398" s="143">
        <v>8.0</v>
      </c>
      <c r="F1398" s="143">
        <v>22.5</v>
      </c>
      <c r="G1398" s="143">
        <v>8.12</v>
      </c>
      <c r="H1398" s="143" t="inlineStr">
        <is>
          <t xml:space="preserve">Closed</t>
        </is>
      </c>
      <c r="I1398" s="143" t="inlineStr">
        <is>
          <t xml:space="preserve">71-22</t>
        </is>
      </c>
      <c r="J1398" s="143"/>
    </row>
    <row r="1399" spans="1:10">
      <c r="A1399" s="143" t="inlineStr">
        <is>
          <t xml:space="preserve">1362</t>
        </is>
      </c>
      <c r="B1399" s="143" t="inlineStr">
        <is>
          <t xml:space="preserve">33025883</t>
        </is>
      </c>
      <c r="C1399" s="143" t="inlineStr">
        <is>
          <t xml:space="preserve">RH WING FUEL TANK======PNT=====RII RH WING OUT BOARD FUEL TANK FROM RIB 13 TO 27 ACCESS PNL INNER SIDE PRIMER AND PNT CHIPPED OFF (EXCEPT PNL 640KB)</t>
        </is>
      </c>
      <c r="D1399" s="143">
        <v>1.0</v>
      </c>
      <c r="E1399" s="143">
        <v>0.0</v>
      </c>
      <c r="F1399" s="143">
        <v>9.75</v>
      </c>
      <c r="G1399" s="143">
        <v>24.6</v>
      </c>
      <c r="H1399" s="143" t="inlineStr">
        <is>
          <t xml:space="preserve">Closed</t>
        </is>
      </c>
      <c r="I1399" s="143" t="inlineStr">
        <is>
          <t xml:space="preserve">57-21</t>
        </is>
      </c>
      <c r="J1399" s="143"/>
    </row>
    <row r="1400" spans="1:10">
      <c r="A1400" s="143" t="inlineStr">
        <is>
          <t xml:space="preserve">1363</t>
        </is>
      </c>
      <c r="B1400" s="143" t="inlineStr">
        <is>
          <t xml:space="preserve">33025887</t>
        </is>
      </c>
      <c r="C1400" s="143" t="inlineStr">
        <is>
          <t xml:space="preserve">RH WING FUEL TANK======PNT=====RII RH WING FUEL TANK FROM RIB 13 TO 27 FUEL TANK ACCESS PNL CUT-OUT PRIMER AND PNT CHIPPED OFF/ DETERIORATED (EXCEPT AREA UNDER ACCESS PNL 640KB)</t>
        </is>
      </c>
      <c r="D1400" s="143">
        <v>1.0</v>
      </c>
      <c r="E1400" s="143">
        <v>7.0</v>
      </c>
      <c r="F1400" s="143">
        <v>8.25</v>
      </c>
      <c r="G1400" s="143">
        <v>8.63</v>
      </c>
      <c r="H1400" s="143" t="inlineStr">
        <is>
          <t xml:space="preserve">Closed</t>
        </is>
      </c>
      <c r="I1400" s="143" t="inlineStr">
        <is>
          <t xml:space="preserve">57-21</t>
        </is>
      </c>
      <c r="J1400" s="143"/>
    </row>
    <row r="1401" spans="1:10">
      <c r="A1401" s="143" t="inlineStr">
        <is>
          <t xml:space="preserve">1364</t>
        </is>
      </c>
      <c r="B1401" s="143" t="inlineStr">
        <is>
          <t xml:space="preserve">33025881</t>
        </is>
      </c>
      <c r="C1401" s="143" t="inlineStr">
        <is>
          <t xml:space="preserve">ENG #2 FWD MOUNT (RH FWD) RETEINER DENTED --CALLBACK--AP ENG #2 FORWARD MOUNT, RH FORWARD BOLT RETAINER FOUND DENTED, NEEDS REPLACEMENT.   REF IPC:   71-21-11 FIG. 71-21-11-04 PYLON ATTACH HARDWARE, ITEM (90)   DESC: RETAINER-RH SIDE   PART NO. 23...</t>
        </is>
      </c>
      <c r="D1401" s="143">
        <v>1.0</v>
      </c>
      <c r="E1401" s="143">
        <v>0.0</v>
      </c>
      <c r="F1401" s="143">
        <v>5.5</v>
      </c>
      <c r="G1401" s="143">
        <v>7.67</v>
      </c>
      <c r="H1401" s="143" t="inlineStr">
        <is>
          <t xml:space="preserve">Closed</t>
        </is>
      </c>
      <c r="I1401" s="143" t="inlineStr">
        <is>
          <t xml:space="preserve">71-21</t>
        </is>
      </c>
      <c r="J1401" s="143"/>
    </row>
    <row r="1402" spans="1:10">
      <c r="A1402" s="143" t="inlineStr">
        <is>
          <t xml:space="preserve">1365</t>
        </is>
      </c>
      <c r="B1402" s="143" t="inlineStr">
        <is>
          <t xml:space="preserve">33025894</t>
        </is>
      </c>
      <c r="C1402" s="143" t="inlineStr">
        <is>
          <t xml:space="preserve">LH WING FUEL TANK=======FT=====RII LH WING OUTBOARD FUEL TANK INNER SIDE ALONG RIB 12 AND RIB 13 02EA BONDING JUMPER BROKEN</t>
        </is>
      </c>
      <c r="D1402" s="143">
        <v>1.0</v>
      </c>
      <c r="E1402" s="143">
        <v>0.0</v>
      </c>
      <c r="F1402" s="143">
        <v>16.83</v>
      </c>
      <c r="G1402" s="143">
        <v>76.0</v>
      </c>
      <c r="H1402" s="143" t="inlineStr">
        <is>
          <t xml:space="preserve">Closed</t>
        </is>
      </c>
      <c r="I1402" s="143" t="inlineStr">
        <is>
          <t xml:space="preserve">57-21</t>
        </is>
      </c>
      <c r="J1402" s="143"/>
    </row>
    <row r="1403" spans="1:10">
      <c r="A1403" s="143" t="inlineStr">
        <is>
          <t xml:space="preserve">1366</t>
        </is>
      </c>
      <c r="B1403" s="143" t="inlineStr">
        <is>
          <t xml:space="preserve">33025896</t>
        </is>
      </c>
      <c r="C1403" s="143" t="inlineStr">
        <is>
          <t xml:space="preserve">LH WING FUEL TANK======PNT======RII LH WING FUEL TANK INNER SIDE FROM RIB 8-11 01EA FUEL PIPE PRIMER PNT CHIPPED OFF/ PEELING OFF</t>
        </is>
      </c>
      <c r="D1403" s="143">
        <v>1.0</v>
      </c>
      <c r="E1403" s="143">
        <v>9.75</v>
      </c>
      <c r="F1403" s="143">
        <v>10.75</v>
      </c>
      <c r="G1403" s="143">
        <v>24.7</v>
      </c>
      <c r="H1403" s="143" t="inlineStr">
        <is>
          <t xml:space="preserve">Closed</t>
        </is>
      </c>
      <c r="I1403" s="143" t="inlineStr">
        <is>
          <t xml:space="preserve">57-21</t>
        </is>
      </c>
      <c r="J1403" s="143"/>
    </row>
    <row r="1404" spans="1:10">
      <c r="A1404" s="143" t="inlineStr">
        <is>
          <t xml:space="preserve">1367</t>
        </is>
      </c>
      <c r="B1404" s="143" t="inlineStr">
        <is>
          <t xml:space="preserve">33025897</t>
        </is>
      </c>
      <c r="C1404" s="143" t="inlineStr">
        <is>
          <t xml:space="preserve">LH WING FUEL TANK======PNT======RII LH WING FUEL TANK ACCESS PNL CUT-OUT FROM RIB 13-27 PRIMER AND PNT CHIPPED OFF</t>
        </is>
      </c>
      <c r="D1404" s="143">
        <v>1.0</v>
      </c>
      <c r="E1404" s="143">
        <v>8.0</v>
      </c>
      <c r="F1404" s="143">
        <v>9.25</v>
      </c>
      <c r="G1404" s="143">
        <v>8.18</v>
      </c>
      <c r="H1404" s="143" t="inlineStr">
        <is>
          <t xml:space="preserve">Closed</t>
        </is>
      </c>
      <c r="I1404" s="143" t="inlineStr">
        <is>
          <t xml:space="preserve">57-21</t>
        </is>
      </c>
      <c r="J1404" s="143"/>
    </row>
    <row r="1405" spans="1:10">
      <c r="A1405" s="143" t="inlineStr">
        <is>
          <t xml:space="preserve">1368</t>
        </is>
      </c>
      <c r="B1405" s="143" t="inlineStr">
        <is>
          <t xml:space="preserve">33027334</t>
        </is>
      </c>
      <c r="C1405" s="143" t="inlineStr">
        <is>
          <t xml:space="preserve">FT---RII---LH WING LH WING INSIDE FUEL TANK BETWEEN RIB 1 &amp; 2 THERE IS 5 BONDING JUMBERS CUT</t>
        </is>
      </c>
      <c r="D1405" s="143">
        <v>1.0</v>
      </c>
      <c r="E1405" s="143">
        <v>0.0</v>
      </c>
      <c r="F1405" s="143">
        <v>26.5</v>
      </c>
      <c r="G1405" s="143">
        <v>45.3</v>
      </c>
      <c r="H1405" s="143" t="inlineStr">
        <is>
          <t xml:space="preserve">Closed</t>
        </is>
      </c>
      <c r="I1405" s="143" t="inlineStr">
        <is>
          <t xml:space="preserve">57-20</t>
        </is>
      </c>
      <c r="J1405" s="143"/>
    </row>
    <row r="1406" spans="1:10">
      <c r="A1406" s="143" t="inlineStr">
        <is>
          <t xml:space="preserve">1369</t>
        </is>
      </c>
      <c r="B1406" s="143" t="inlineStr">
        <is>
          <t xml:space="preserve">33027336</t>
        </is>
      </c>
      <c r="C1406" s="143" t="inlineStr">
        <is>
          <t xml:space="preserve">FT---RII---LH WING LH WING INSIDE FUEL TANK BETWEEN RIB 8 &amp; 9 THERE IS ONE BONDING JUMBERS CUT AT RIB 9 AND TWO BONDING JUMBERS BETWEEN RIB 7 AND 8</t>
        </is>
      </c>
      <c r="D1406" s="143">
        <v>1.0</v>
      </c>
      <c r="E1406" s="143">
        <v>0.0</v>
      </c>
      <c r="F1406" s="143">
        <v>14.83</v>
      </c>
      <c r="G1406" s="143">
        <v>49.5</v>
      </c>
      <c r="H1406" s="143" t="inlineStr">
        <is>
          <t xml:space="preserve">Closed</t>
        </is>
      </c>
      <c r="I1406" s="143" t="inlineStr">
        <is>
          <t xml:space="preserve">57-20</t>
        </is>
      </c>
      <c r="J1406" s="143"/>
    </row>
    <row r="1407" spans="1:10">
      <c r="A1407" s="143" t="inlineStr">
        <is>
          <t xml:space="preserve">1370</t>
        </is>
      </c>
      <c r="B1407" s="143" t="inlineStr">
        <is>
          <t xml:space="preserve">33027335</t>
        </is>
      </c>
      <c r="C1407" s="143" t="inlineStr">
        <is>
          <t xml:space="preserve">OSS - NO CALLBACK - WINDOWS ALL WINDOWS EXTERNAL SIDE REQUIRE CLEANING.</t>
        </is>
      </c>
      <c r="D1407" s="143">
        <v>1.0</v>
      </c>
      <c r="E1407" s="143">
        <v>30.0</v>
      </c>
      <c r="F1407" s="143">
        <v>28.0</v>
      </c>
      <c r="G1407" s="143">
        <v>485.3</v>
      </c>
      <c r="H1407" s="143" t="inlineStr">
        <is>
          <t xml:space="preserve">Closed</t>
        </is>
      </c>
      <c r="I1407" s="143" t="inlineStr">
        <is>
          <t xml:space="preserve">56-21</t>
        </is>
      </c>
      <c r="J1407" s="143"/>
    </row>
    <row r="1408" spans="1:10">
      <c r="A1408" s="143" t="inlineStr">
        <is>
          <t xml:space="preserve">1371</t>
        </is>
      </c>
      <c r="B1408" s="143" t="inlineStr">
        <is>
          <t xml:space="preserve">33027363</t>
        </is>
      </c>
      <c r="C1408" s="143" t="inlineStr">
        <is>
          <t xml:space="preserve">FT---NO CALLBACK---RH WING RH WING ACCESS DOOR 640AB PAINT CHIPPED OFF</t>
        </is>
      </c>
      <c r="D1408" s="143">
        <v>1.0</v>
      </c>
      <c r="E1408" s="143">
        <v>0.0</v>
      </c>
      <c r="F1408" s="143">
        <v>2.0</v>
      </c>
      <c r="G1408" s="143">
        <v>2.0</v>
      </c>
      <c r="H1408" s="143" t="inlineStr">
        <is>
          <t xml:space="preserve">Closed</t>
        </is>
      </c>
      <c r="I1408" s="143" t="inlineStr">
        <is>
          <t xml:space="preserve">57-20</t>
        </is>
      </c>
      <c r="J1408" s="143"/>
    </row>
    <row r="1409" spans="1:10">
      <c r="A1409" s="143" t="inlineStr">
        <is>
          <t xml:space="preserve">1372</t>
        </is>
      </c>
      <c r="B1409" s="143" t="inlineStr">
        <is>
          <t xml:space="preserve">33028124</t>
        </is>
      </c>
      <c r="C1409" s="143" t="inlineStr">
        <is>
          <t xml:space="preserve">BROKEN PLENUM LH&amp;RH-AP-N0-CALLBACK DURING INSPECTION FOUND LH &amp; RH PACKS PLENUM CHAMBERS DELAMINATED OUT OF LIMITS</t>
        </is>
      </c>
      <c r="D1409" s="143">
        <v>1.0</v>
      </c>
      <c r="E1409" s="143">
        <v>2.0</v>
      </c>
      <c r="F1409" s="143">
        <v>19.0</v>
      </c>
      <c r="G1409" s="143">
        <v>534.3</v>
      </c>
      <c r="H1409" s="143" t="inlineStr">
        <is>
          <t xml:space="preserve">Closed</t>
        </is>
      </c>
      <c r="I1409" s="143" t="inlineStr">
        <is>
          <t xml:space="preserve">21-52</t>
        </is>
      </c>
      <c r="J1409" s="143"/>
    </row>
    <row r="1410" spans="1:10">
      <c r="A1410" s="143" t="inlineStr">
        <is>
          <t xml:space="preserve">1373</t>
        </is>
      </c>
      <c r="B1410" s="143" t="inlineStr">
        <is>
          <t xml:space="preserve">33028166</t>
        </is>
      </c>
      <c r="C1410" s="143" t="inlineStr">
        <is>
          <t xml:space="preserve">CAB - NO CALLBACK - G1 GALLEY G1 GALLEY AIR CHILLER COVER PANEL GRILLE DETACHED.</t>
        </is>
      </c>
      <c r="D1410" s="143">
        <v>1.0</v>
      </c>
      <c r="E1410" s="143">
        <v>0.0</v>
      </c>
      <c r="F1410" s="143">
        <v>2.0</v>
      </c>
      <c r="G1410" s="143">
        <v>2.0</v>
      </c>
      <c r="H1410" s="143" t="inlineStr">
        <is>
          <t xml:space="preserve">Closed</t>
        </is>
      </c>
      <c r="I1410" s="143">
        <v>25.0</v>
      </c>
      <c r="J1410" s="143"/>
    </row>
    <row r="1411" spans="1:10">
      <c r="A1411" s="143" t="inlineStr">
        <is>
          <t xml:space="preserve">1374</t>
        </is>
      </c>
      <c r="B1411" s="143" t="inlineStr">
        <is>
          <t xml:space="preserve">33028214</t>
        </is>
      </c>
      <c r="C1411" s="143" t="inlineStr">
        <is>
          <t xml:space="preserve">FINDING (NRC) TASKCARD 534143-01-3 (03) / ITEM-1 SM--RII AFT RH DOOR CUTOUT AT FR 68 AREA CORRODED  AROUND GIRT BAR FITTING AND AT THE DRAIN HOLE</t>
        </is>
      </c>
      <c r="D1411" s="143">
        <v>1.0</v>
      </c>
      <c r="E1411" s="143">
        <v>0.0</v>
      </c>
      <c r="F1411" s="143">
        <v>28.1</v>
      </c>
      <c r="G1411" s="143">
        <v>120.0</v>
      </c>
      <c r="H1411" s="143" t="inlineStr">
        <is>
          <t xml:space="preserve">Closed</t>
        </is>
      </c>
      <c r="I1411" s="143" t="inlineStr">
        <is>
          <t xml:space="preserve">53-41</t>
        </is>
      </c>
      <c r="J1411" s="143"/>
    </row>
    <row r="1412" spans="1:10">
      <c r="A1412" s="143" t="inlineStr">
        <is>
          <t xml:space="preserve">1375</t>
        </is>
      </c>
      <c r="B1412" s="143" t="inlineStr">
        <is>
          <t xml:space="preserve">33028291</t>
        </is>
      </c>
      <c r="C1412" s="143" t="inlineStr">
        <is>
          <t xml:space="preserve">FINDING (NRC) TASKCARD 534143-01-3 (03) / ITEM-1 SM--RII AFT LH DOOR CUTOUT AT FR 68 AND FR 66 AREA CORRODED  AT GIRT BAR FITTINGS RIVETS 2EA</t>
        </is>
      </c>
      <c r="D1412" s="143">
        <v>1.0</v>
      </c>
      <c r="E1412" s="143">
        <v>0.0</v>
      </c>
      <c r="F1412" s="143">
        <v>17.25</v>
      </c>
      <c r="G1412" s="143">
        <v>127.5</v>
      </c>
      <c r="H1412" s="143" t="inlineStr">
        <is>
          <t xml:space="preserve">Closed</t>
        </is>
      </c>
      <c r="I1412" s="143" t="inlineStr">
        <is>
          <t xml:space="preserve">53-41</t>
        </is>
      </c>
      <c r="J1412" s="143"/>
    </row>
    <row r="1413" spans="1:10">
      <c r="A1413" s="143" t="inlineStr">
        <is>
          <t xml:space="preserve">1376</t>
        </is>
      </c>
      <c r="B1413" s="143" t="inlineStr">
        <is>
          <t xml:space="preserve">33028349</t>
        </is>
      </c>
      <c r="C1413" s="143" t="inlineStr">
        <is>
          <t xml:space="preserve">AP---CALLBACK---REAR AVN COMP REAR AVN COMPARTMENT UNDER INSULATION AND FLOOR AREA REQUIRE CIC</t>
        </is>
      </c>
      <c r="D1413" s="143">
        <v>1.0</v>
      </c>
      <c r="E1413" s="143">
        <v>0.0</v>
      </c>
      <c r="F1413" s="143">
        <v>2.25</v>
      </c>
      <c r="G1413" s="143">
        <v>2.2</v>
      </c>
      <c r="H1413" s="143" t="inlineStr">
        <is>
          <t xml:space="preserve">Closed</t>
        </is>
      </c>
      <c r="I1413" s="143" t="inlineStr">
        <is>
          <t xml:space="preserve">05-21</t>
        </is>
      </c>
      <c r="J1413" s="143"/>
    </row>
    <row r="1414" spans="1:10">
      <c r="A1414" s="143" t="inlineStr">
        <is>
          <t xml:space="preserve">1379</t>
        </is>
      </c>
      <c r="B1414" s="143" t="inlineStr">
        <is>
          <t xml:space="preserve">33028546</t>
        </is>
      </c>
      <c r="C1414" s="143" t="inlineStr">
        <is>
          <t xml:space="preserve">CAB - NO CALLBACK - G/C AREA G/C AREA 9 EA SIDEWALLS WINDOW FRAME FOUND BROKEN.</t>
        </is>
      </c>
      <c r="D1414" s="143">
        <v>1.0</v>
      </c>
      <c r="E1414" s="143">
        <v>0.0</v>
      </c>
      <c r="F1414" s="143">
        <v>4.0</v>
      </c>
      <c r="G1414" s="143">
        <v>9.72</v>
      </c>
      <c r="H1414" s="143" t="inlineStr">
        <is>
          <t xml:space="preserve">Closed</t>
        </is>
      </c>
      <c r="I1414" s="143">
        <v>25.0</v>
      </c>
      <c r="J1414" s="143"/>
    </row>
    <row r="1415" spans="1:10">
      <c r="A1415" s="143" t="inlineStr">
        <is>
          <t xml:space="preserve">1380</t>
        </is>
      </c>
      <c r="B1415" s="143" t="inlineStr">
        <is>
          <t xml:space="preserve">33028549</t>
        </is>
      </c>
      <c r="C1415" s="143" t="inlineStr">
        <is>
          <t xml:space="preserve">PNT - NO CALL BACK - GALLEY FWD (G1) GALLEY PAINT PEELED OFF BETWEEN COMP. 104 AND 105.</t>
        </is>
      </c>
      <c r="D1415" s="143">
        <v>1.0</v>
      </c>
      <c r="E1415" s="143">
        <v>0.0</v>
      </c>
      <c r="F1415" s="143">
        <v>6.0</v>
      </c>
      <c r="G1415" s="143">
        <v>3.0</v>
      </c>
      <c r="H1415" s="143" t="inlineStr">
        <is>
          <t xml:space="preserve">Closed</t>
        </is>
      </c>
      <c r="I1415" s="143">
        <v>25.0</v>
      </c>
      <c r="J1415" s="143"/>
    </row>
    <row r="1416" spans="1:10">
      <c r="A1416" s="143" t="inlineStr">
        <is>
          <t xml:space="preserve">1381</t>
        </is>
      </c>
      <c r="B1416" s="143" t="inlineStr">
        <is>
          <t xml:space="preserve">33028590</t>
        </is>
      </c>
      <c r="C1416" s="143" t="inlineStr">
        <is>
          <t xml:space="preserve">FINDING (NRC) TASKCARD 575158-01-5-002 (02) / ITEM-1 PNT--NOCALLBACK RH WING LOWER SURFACE BOTTOM SKIN BETWEEN RIB 1 AND RIB 9 WITH  PAINT CHIPPED OFF</t>
        </is>
      </c>
      <c r="D1416" s="143">
        <v>1.0</v>
      </c>
      <c r="E1416" s="143">
        <v>10.0</v>
      </c>
      <c r="F1416" s="143">
        <v>10.0</v>
      </c>
      <c r="G1416" s="143">
        <v>219.7</v>
      </c>
      <c r="H1416" s="143" t="inlineStr">
        <is>
          <t xml:space="preserve">Closed</t>
        </is>
      </c>
      <c r="I1416" s="143" t="inlineStr">
        <is>
          <t xml:space="preserve">57-51</t>
        </is>
      </c>
      <c r="J1416" s="143"/>
    </row>
    <row r="1417" spans="1:10">
      <c r="A1417" s="143" t="inlineStr">
        <is>
          <t xml:space="preserve">1382</t>
        </is>
      </c>
      <c r="B1417" s="143" t="inlineStr">
        <is>
          <t xml:space="preserve">33028952</t>
        </is>
      </c>
      <c r="C1417" s="143" t="inlineStr">
        <is>
          <t xml:space="preserve">NO.1 ENGINE ACOUSTICAL PANEL MISSING SCREW--CALL BACK--AP NO.1 ENGINE ACOUSTICAL PANEL FOUND WITH MISSING SCREW MARKED WITH GREEN TAPE</t>
        </is>
      </c>
      <c r="D1417" s="143">
        <v>1.0</v>
      </c>
      <c r="E1417" s="143">
        <v>4.5</v>
      </c>
      <c r="F1417" s="143">
        <v>15.08</v>
      </c>
      <c r="G1417" s="143">
        <v>3.5</v>
      </c>
      <c r="H1417" s="143" t="inlineStr">
        <is>
          <t xml:space="preserve">Closed</t>
        </is>
      </c>
      <c r="I1417" s="143" t="inlineStr">
        <is>
          <t xml:space="preserve">20-00</t>
        </is>
      </c>
      <c r="J1417" s="143"/>
    </row>
    <row r="1418" spans="1:10">
      <c r="A1418" s="143" t="inlineStr">
        <is>
          <t xml:space="preserve">1383</t>
        </is>
      </c>
      <c r="B1418" s="143" t="inlineStr">
        <is>
          <t xml:space="preserve">33029195</t>
        </is>
      </c>
      <c r="C1418" s="143" t="inlineStr">
        <is>
          <t xml:space="preserve">ENG NO#01=====AP=====CALL BACK REFER TO TASK CARD 712213-01-1-001 ENGINE AFT MOUNT PINS INNER SIDE DIRTY WITH ANTI SEIZE COMPOUND DIRTY REQ CLEANING TO FASCILITATE THE INSP</t>
        </is>
      </c>
      <c r="D1418" s="143">
        <v>1.0</v>
      </c>
      <c r="E1418" s="143">
        <v>8.0</v>
      </c>
      <c r="F1418" s="143">
        <v>15.08</v>
      </c>
      <c r="G1418" s="143">
        <v>96.8</v>
      </c>
      <c r="H1418" s="143" t="inlineStr">
        <is>
          <t xml:space="preserve">Closed</t>
        </is>
      </c>
      <c r="I1418" s="143" t="inlineStr">
        <is>
          <t xml:space="preserve">71-22</t>
        </is>
      </c>
      <c r="J1418" s="143"/>
    </row>
    <row r="1419" spans="1:10">
      <c r="A1419" s="143" t="inlineStr">
        <is>
          <t xml:space="preserve">1384</t>
        </is>
      </c>
      <c r="B1419" s="143" t="inlineStr">
        <is>
          <t xml:space="preserve">33029199</t>
        </is>
      </c>
      <c r="C1419" s="143" t="inlineStr">
        <is>
          <t xml:space="preserve">ENG NO#02======AP=====CALL BACK REFER TO TASK CARD 712213-01-1-002 ENGINE AFT MOUNT PINS INNER SIDE DIRTY WITH ANTI SEIZE COMPOUND DIRTY REQ CLEANING TO FASCILITATE THE INSP</t>
        </is>
      </c>
      <c r="D1419" s="143">
        <v>1.0</v>
      </c>
      <c r="E1419" s="143">
        <v>8.0</v>
      </c>
      <c r="F1419" s="143">
        <v>11.5</v>
      </c>
      <c r="G1419" s="143">
        <v>131.1</v>
      </c>
      <c r="H1419" s="143" t="inlineStr">
        <is>
          <t xml:space="preserve">Closed</t>
        </is>
      </c>
      <c r="I1419" s="143" t="inlineStr">
        <is>
          <t xml:space="preserve">71-22</t>
        </is>
      </c>
      <c r="J1419" s="143"/>
    </row>
    <row r="1420" spans="1:10">
      <c r="A1420" s="143" t="inlineStr">
        <is>
          <t xml:space="preserve">1385</t>
        </is>
      </c>
      <c r="B1420" s="143" t="inlineStr">
        <is>
          <t xml:space="preserve">33029239</t>
        </is>
      </c>
      <c r="C1420" s="143" t="inlineStr">
        <is>
          <t xml:space="preserve">FWD CABIN=====SM=====RII FWD CABIN FLOOR STRUCTURE BESIDE R1 DOOR UNDER ACCESS PNL 222FF BETWEEN FR 16-20 , ALONG Y-1732 AND Y-1292  RAILS 04EA LOCATION WITH SURFACE CORROSION  DIMENSION AS FOLLOWS  ALONG Y-1292 1)LENGTH = 1.6", WIDTH 1.1" 2)LENGT...</t>
        </is>
      </c>
      <c r="D1420" s="143">
        <v>1.0</v>
      </c>
      <c r="E1420" s="143">
        <v>0.0</v>
      </c>
      <c r="F1420" s="143">
        <v>54.2</v>
      </c>
      <c r="G1420" s="143">
        <v>288.2</v>
      </c>
      <c r="H1420" s="143" t="inlineStr">
        <is>
          <t xml:space="preserve">Closed</t>
        </is>
      </c>
      <c r="I1420" s="143" t="inlineStr">
        <is>
          <t xml:space="preserve">53-11</t>
        </is>
      </c>
      <c r="J1420" s="143"/>
    </row>
    <row r="1421" spans="1:10">
      <c r="A1421" s="143" t="inlineStr">
        <is>
          <t xml:space="preserve">1386</t>
        </is>
      </c>
      <c r="B1421" s="143" t="inlineStr">
        <is>
          <t xml:space="preserve">33029270</t>
        </is>
      </c>
      <c r="C1421" s="143" t="inlineStr">
        <is>
          <t xml:space="preserve">RH WING MLG SUPPORT RIBS=====AP==== CALL BACK RH WING MLG SUPPORT RIBS AND ADJACENT AREA MISSING CIC</t>
        </is>
      </c>
      <c r="D1421" s="143">
        <v>1.0</v>
      </c>
      <c r="E1421" s="143">
        <v>8.0</v>
      </c>
      <c r="F1421" s="143">
        <v>4.7</v>
      </c>
      <c r="G1421" s="143">
        <v>429.5</v>
      </c>
      <c r="H1421" s="143" t="inlineStr">
        <is>
          <t xml:space="preserve">Closed</t>
        </is>
      </c>
      <c r="I1421" s="143" t="inlineStr">
        <is>
          <t xml:space="preserve">57-51</t>
        </is>
      </c>
      <c r="J1421" s="143"/>
    </row>
    <row r="1422" spans="1:10">
      <c r="A1422" s="143" t="inlineStr">
        <is>
          <t xml:space="preserve">1387</t>
        </is>
      </c>
      <c r="B1422" s="143" t="inlineStr">
        <is>
          <t xml:space="preserve">33030770</t>
        </is>
      </c>
      <c r="C1422" s="143" t="inlineStr">
        <is>
          <t xml:space="preserve">SM---RII---RH WING SLAT 1 RH WING SLAT 1 TRACK NO.3 SLAT FITTING WITH CHAFING MARK L= 2 IN, W= 1 IN &amp; DEPTH= 0.15 MM FITTING CHAFED WITH WING LE FITTING GROOVE</t>
        </is>
      </c>
      <c r="D1422" s="143">
        <v>1.0</v>
      </c>
      <c r="E1422" s="143">
        <v>6.0</v>
      </c>
      <c r="F1422" s="143">
        <v>48.8</v>
      </c>
      <c r="G1422" s="143">
        <v>86.0</v>
      </c>
      <c r="H1422" s="143" t="inlineStr">
        <is>
          <t xml:space="preserve">Closed</t>
        </is>
      </c>
      <c r="I1422" s="143" t="inlineStr">
        <is>
          <t xml:space="preserve">57-42</t>
        </is>
      </c>
      <c r="J1422" s="143"/>
    </row>
    <row r="1423" spans="1:10">
      <c r="A1423" s="143" t="inlineStr">
        <is>
          <t xml:space="preserve">1390</t>
        </is>
      </c>
      <c r="B1423" s="143" t="inlineStr">
        <is>
          <t xml:space="preserve">33032675</t>
        </is>
      </c>
      <c r="C1423" s="143" t="inlineStr">
        <is>
          <t xml:space="preserve">CAB - NO CALLBACK - G2 GALLEY G2 GALLEY ICE DRAWER LOWER TRIM DETACHED.</t>
        </is>
      </c>
      <c r="D1423" s="143">
        <v>1.0</v>
      </c>
      <c r="E1423" s="143">
        <v>0.0</v>
      </c>
      <c r="F1423" s="143">
        <v>8.0</v>
      </c>
      <c r="G1423" s="143">
        <v>2.05</v>
      </c>
      <c r="H1423" s="143" t="inlineStr">
        <is>
          <t xml:space="preserve">Closed</t>
        </is>
      </c>
      <c r="I1423" s="143">
        <v>25.0</v>
      </c>
      <c r="J1423" s="143"/>
    </row>
    <row r="1424" spans="1:10">
      <c r="A1424" s="143" t="inlineStr">
        <is>
          <t xml:space="preserve">1391</t>
        </is>
      </c>
      <c r="B1424" s="143" t="inlineStr">
        <is>
          <t xml:space="preserve">33032681</t>
        </is>
      </c>
      <c r="C1424" s="143" t="inlineStr">
        <is>
          <t xml:space="preserve">FINDING (NRC) DOCUMENT S51-R10008 SM--RII LH WING SLAT # 3 WITH DENT AT LE EDGE TOP SKIN BETWEEN TRACK RIB #7 AND TRACK RIB #8 WITH THE FOLLOWING DIMENSION L=55 MM W= 20 MM D= 0.2 MM DISTANCE TO NEAREST FASTENER = 65 MM</t>
        </is>
      </c>
      <c r="D1424" s="143">
        <v>1.0</v>
      </c>
      <c r="E1424" s="143">
        <v>0.0</v>
      </c>
      <c r="F1424" s="143">
        <v>28.9</v>
      </c>
      <c r="G1424" s="143">
        <v>59.9</v>
      </c>
      <c r="H1424" s="143" t="inlineStr">
        <is>
          <t xml:space="preserve">Closed</t>
        </is>
      </c>
      <c r="I1424" s="143">
        <v>51.0</v>
      </c>
      <c r="J1424" s="143"/>
    </row>
    <row r="1425" spans="1:10">
      <c r="A1425" s="143" t="inlineStr">
        <is>
          <t xml:space="preserve">1392</t>
        </is>
      </c>
      <c r="B1425" s="143" t="inlineStr">
        <is>
          <t xml:space="preserve">33033307</t>
        </is>
      </c>
      <c r="C1425" s="143" t="inlineStr">
        <is>
          <t xml:space="preserve">FINDING (NRC) TASKCARD DCC-32S (13) / ITEM ONE DURING DCC FOUND SIDEWALL AT SEAT 3JL, 4JL, 11JL AND 5AC TEDLAR DAMAGED</t>
        </is>
      </c>
      <c r="D1425" s="143">
        <v>1.0</v>
      </c>
      <c r="E1425" s="143">
        <v>32.0</v>
      </c>
      <c r="F1425" s="143">
        <v>31.0</v>
      </c>
      <c r="G1425" s="143">
        <v>7.48</v>
      </c>
      <c r="H1425" s="143" t="inlineStr">
        <is>
          <t xml:space="preserve">Closed</t>
        </is>
      </c>
      <c r="I1425" s="143" t="inlineStr">
        <is>
          <t xml:space="preserve">25-20</t>
        </is>
      </c>
      <c r="J1425" s="143"/>
    </row>
    <row r="1426" spans="1:10">
      <c r="A1426" s="143" t="inlineStr">
        <is>
          <t xml:space="preserve">1396</t>
        </is>
      </c>
      <c r="B1426" s="143" t="inlineStr">
        <is>
          <t xml:space="preserve">33037808</t>
        </is>
      </c>
      <c r="C1426" s="143" t="inlineStr">
        <is>
          <t xml:space="preserve">LH WING FLAP  UPEER  MID  NO CALL BACK  PNT LH WING FLAP  UPEER  MID WITH BLACK MARK</t>
        </is>
      </c>
      <c r="D1426" s="143">
        <v>1.0</v>
      </c>
      <c r="E1426" s="143">
        <v>7.0</v>
      </c>
      <c r="F1426" s="143">
        <v>6.5</v>
      </c>
      <c r="G1426" s="143">
        <v>6.5</v>
      </c>
      <c r="H1426" s="143" t="inlineStr">
        <is>
          <t xml:space="preserve">Closed</t>
        </is>
      </c>
      <c r="I1426" s="143" t="inlineStr">
        <is>
          <t xml:space="preserve">51-75</t>
        </is>
      </c>
      <c r="J1426" s="143"/>
    </row>
    <row r="1427" spans="1:10">
      <c r="A1427" s="143" t="inlineStr">
        <is>
          <t xml:space="preserve">1397</t>
        </is>
      </c>
      <c r="B1427" s="143" t="inlineStr">
        <is>
          <t xml:space="preserve">33037811</t>
        </is>
      </c>
      <c r="C1427" s="143" t="inlineStr">
        <is>
          <t xml:space="preserve">RH  WING FLAP  UPEER  MID  NO CALL BACK  PNT RH  WING FLAP  UPEER  MID WITH BLACK MARK</t>
        </is>
      </c>
      <c r="D1427" s="143">
        <v>1.0</v>
      </c>
      <c r="E1427" s="143">
        <v>7.0</v>
      </c>
      <c r="F1427" s="143">
        <v>6.5</v>
      </c>
      <c r="G1427" s="143">
        <v>6.5</v>
      </c>
      <c r="H1427" s="143" t="inlineStr">
        <is>
          <t xml:space="preserve">Closed</t>
        </is>
      </c>
      <c r="I1427" s="143" t="inlineStr">
        <is>
          <t xml:space="preserve">51-75</t>
        </is>
      </c>
      <c r="J1427" s="143"/>
    </row>
    <row r="1428" spans="1:10">
      <c r="A1428" s="143" t="inlineStr">
        <is>
          <t xml:space="preserve">1401</t>
        </is>
      </c>
      <c r="B1428" s="143" t="inlineStr">
        <is>
          <t xml:space="preserve">33040155</t>
        </is>
      </c>
      <c r="C1428" s="143" t="inlineStr">
        <is>
          <t xml:space="preserve">S71-R10396/HZ-ASD ENG.1 REPLACEMENT OF RH FAN COWL FWD AND AFT EDGE PROTECTORS</t>
        </is>
      </c>
      <c r="D1428" s="143">
        <v>1.0</v>
      </c>
      <c r="E1428" s="143">
        <v>4.5</v>
      </c>
      <c r="F1428" s="143">
        <v>47.0</v>
      </c>
      <c r="G1428" s="143">
        <v>158.5</v>
      </c>
      <c r="H1428" s="143" t="inlineStr">
        <is>
          <t xml:space="preserve">Closed</t>
        </is>
      </c>
      <c r="I1428" s="143">
        <v>71.0</v>
      </c>
      <c r="J1428" s="143"/>
    </row>
    <row r="1429" spans="1:10">
      <c r="A1429" s="143" t="inlineStr">
        <is>
          <t xml:space="preserve">1402</t>
        </is>
      </c>
      <c r="B1429" s="143" t="inlineStr">
        <is>
          <t xml:space="preserve">33040973</t>
        </is>
      </c>
      <c r="C1429" s="143" t="inlineStr">
        <is>
          <t xml:space="preserve">FINDING (NRC) TASKCARD 534150-01-1 (02) / AFT CARGO --- NO CALLBACK - AFT CARGO COMPARTMENT 152EF LOOSE BRACKET ON THE AFT END, BETWEEN FR52 AND FR53.</t>
        </is>
      </c>
      <c r="D1429" s="143">
        <v>1.0</v>
      </c>
      <c r="E1429" s="143">
        <v>0.0</v>
      </c>
      <c r="F1429" s="143">
        <v>1.0</v>
      </c>
      <c r="G1429" s="143">
        <v>1.0</v>
      </c>
      <c r="H1429" s="143" t="inlineStr">
        <is>
          <t xml:space="preserve">Closed</t>
        </is>
      </c>
      <c r="I1429" s="143" t="inlineStr">
        <is>
          <t xml:space="preserve">53-41</t>
        </is>
      </c>
      <c r="J1429" s="143"/>
    </row>
    <row r="1430" spans="1:10">
      <c r="A1430" s="143" t="inlineStr">
        <is>
          <t xml:space="preserve">1403</t>
        </is>
      </c>
      <c r="B1430" s="143" t="inlineStr">
        <is>
          <t xml:space="preserve">33041186</t>
        </is>
      </c>
      <c r="C1430" s="143" t="inlineStr">
        <is>
          <t xml:space="preserve">CAB- SIEDWALL-NO CALLBACK SIDEWALL BETWEEN 3 LJ / 4LJ TEDLAR DAMAGE</t>
        </is>
      </c>
      <c r="D1430" s="143">
        <v>1.0</v>
      </c>
      <c r="E1430" s="143">
        <v>24.0</v>
      </c>
      <c r="F1430" s="143">
        <v>29.0</v>
      </c>
      <c r="G1430" s="143">
        <v>14.67</v>
      </c>
      <c r="H1430" s="143" t="inlineStr">
        <is>
          <t xml:space="preserve">Closed</t>
        </is>
      </c>
      <c r="I1430" s="143" t="inlineStr">
        <is>
          <t xml:space="preserve">25-20</t>
        </is>
      </c>
      <c r="J1430" s="143"/>
    </row>
    <row r="1431" spans="1:10">
      <c r="A1431" s="143" t="inlineStr">
        <is>
          <t xml:space="preserve">1404</t>
        </is>
      </c>
      <c r="B1431" s="143" t="inlineStr">
        <is>
          <t xml:space="preserve">33041202</t>
        </is>
      </c>
      <c r="C1431" s="143" t="inlineStr">
        <is>
          <t xml:space="preserve">CAB-SIDEWALL-NO CALL BACK SIDEWALL 1LJ TEDLAR DAMAGE</t>
        </is>
      </c>
      <c r="D1431" s="143">
        <v>1.0</v>
      </c>
      <c r="E1431" s="143">
        <v>12.0</v>
      </c>
      <c r="F1431" s="143">
        <v>16.0</v>
      </c>
      <c r="G1431" s="143">
        <v>14.67</v>
      </c>
      <c r="H1431" s="143" t="inlineStr">
        <is>
          <t xml:space="preserve">Closed</t>
        </is>
      </c>
      <c r="I1431" s="143" t="inlineStr">
        <is>
          <t xml:space="preserve">25-20</t>
        </is>
      </c>
      <c r="J1431" s="143"/>
    </row>
    <row r="1432" spans="1:10">
      <c r="A1432" s="143" t="inlineStr">
        <is>
          <t xml:space="preserve">1406</t>
        </is>
      </c>
      <c r="B1432" s="143" t="inlineStr">
        <is>
          <t xml:space="preserve">571192-09-1</t>
        </is>
      </c>
      <c r="C1432" s="143" t="inlineStr">
        <is>
          <t xml:space="preserve">571192-09-1 (0) / CENTER WING BOX</t>
        </is>
      </c>
      <c r="D1432" s="143">
        <v>1.0</v>
      </c>
      <c r="E1432" s="143">
        <v>1.7</v>
      </c>
      <c r="F1432" s="143">
        <v>6.67</v>
      </c>
      <c r="G1432" s="143">
        <v>311.7</v>
      </c>
      <c r="H1432" s="143" t="inlineStr">
        <is>
          <t xml:space="preserve">Closed</t>
        </is>
      </c>
      <c r="I1432" s="143" t="inlineStr">
        <is>
          <t xml:space="preserve">53-41</t>
        </is>
      </c>
      <c r="J1432" s="143" t="inlineStr">
        <is>
          <t xml:space="preserve">JOB-SETUP, INSPECTION, JOB-CLOSEUP</t>
        </is>
      </c>
    </row>
    <row r="1433" spans="1:10">
      <c r="A1433" s="143" t="inlineStr">
        <is>
          <t xml:space="preserve">1407</t>
        </is>
      </c>
      <c r="B1433" s="143" t="inlineStr">
        <is>
          <t xml:space="preserve">571192-19-1</t>
        </is>
      </c>
      <c r="C1433" s="143" t="inlineStr">
        <is>
          <t xml:space="preserve">571192-19-1 (0) / CENTER WING BOX</t>
        </is>
      </c>
      <c r="D1433" s="143">
        <v>1.0</v>
      </c>
      <c r="E1433" s="143">
        <v>1.7</v>
      </c>
      <c r="F1433" s="143">
        <v>6.75</v>
      </c>
      <c r="G1433" s="143">
        <v>311.7</v>
      </c>
      <c r="H1433" s="143" t="inlineStr">
        <is>
          <t xml:space="preserve">Closed</t>
        </is>
      </c>
      <c r="I1433" s="143">
        <v>57.0</v>
      </c>
      <c r="J1433" s="143" t="inlineStr">
        <is>
          <t xml:space="preserve">JOB-SETUP, INSPECTION, JOB-CLOSEUP</t>
        </is>
      </c>
    </row>
    <row r="1434" spans="1:10">
      <c r="A1434" s="143" t="inlineStr">
        <is>
          <t xml:space="preserve">1411</t>
        </is>
      </c>
      <c r="B1434" s="143" t="inlineStr">
        <is>
          <t xml:space="preserve">33047936</t>
        </is>
      </c>
      <c r="C1434" s="143" t="inlineStr">
        <is>
          <t xml:space="preserve">NO CALL BACK LH WING UPPER PANEL 575 AT PAINT PEELED OFF</t>
        </is>
      </c>
      <c r="D1434" s="143">
        <v>1.0</v>
      </c>
      <c r="E1434" s="143">
        <v>0.0</v>
      </c>
      <c r="F1434" s="143">
        <v>5.0</v>
      </c>
      <c r="G1434" s="143">
        <v>2.02</v>
      </c>
      <c r="H1434" s="143" t="inlineStr">
        <is>
          <t xml:space="preserve">Closed</t>
        </is>
      </c>
      <c r="I1434" s="143" t="inlineStr">
        <is>
          <t xml:space="preserve">05-25</t>
        </is>
      </c>
      <c r="J1434" s="143"/>
    </row>
    <row r="1435" spans="1:10">
      <c r="A1435" s="143" t="inlineStr">
        <is>
          <t xml:space="preserve">1412</t>
        </is>
      </c>
      <c r="B1435" s="143" t="inlineStr">
        <is>
          <t xml:space="preserve">33047948</t>
        </is>
      </c>
      <c r="C1435" s="143" t="inlineStr">
        <is>
          <t xml:space="preserve">NO CALL BACK LH WING LOWER  PANEL 575 MB PAINT PEELED OFF</t>
        </is>
      </c>
      <c r="D1435" s="143">
        <v>1.0</v>
      </c>
      <c r="E1435" s="143">
        <v>0.0</v>
      </c>
      <c r="F1435" s="143">
        <v>7.0</v>
      </c>
      <c r="G1435" s="143">
        <v>2.67</v>
      </c>
      <c r="H1435" s="143" t="inlineStr">
        <is>
          <t xml:space="preserve">Closed</t>
        </is>
      </c>
      <c r="I1435" s="143" t="inlineStr">
        <is>
          <t xml:space="preserve">05-25</t>
        </is>
      </c>
      <c r="J1435" s="143"/>
    </row>
    <row r="1436" spans="1:10">
      <c r="A1436" s="143" t="inlineStr">
        <is>
          <t xml:space="preserve">1413</t>
        </is>
      </c>
      <c r="B1436" s="143" t="inlineStr">
        <is>
          <t xml:space="preserve">33049397</t>
        </is>
      </c>
      <c r="C1436" s="143" t="inlineStr">
        <is>
          <t xml:space="preserve">FINDING (NRC) TASKCARD DCC-32S (13) / ITEM ONE DURING DCC FOUND GALLEY 2 DOOR 206 TEDLAR DAMAGED</t>
        </is>
      </c>
      <c r="D1436" s="143">
        <v>1.0</v>
      </c>
      <c r="E1436" s="143">
        <v>6.0</v>
      </c>
      <c r="F1436" s="143">
        <v>7.5</v>
      </c>
      <c r="G1436" s="143">
        <v>6.5</v>
      </c>
      <c r="H1436" s="143" t="inlineStr">
        <is>
          <t xml:space="preserve">Closed</t>
        </is>
      </c>
      <c r="I1436" s="143" t="inlineStr">
        <is>
          <t xml:space="preserve">25-20</t>
        </is>
      </c>
      <c r="J1436" s="143"/>
    </row>
    <row r="1437" spans="1:10">
      <c r="A1437" s="143" t="inlineStr">
        <is>
          <t xml:space="preserve">1414</t>
        </is>
      </c>
      <c r="B1437" s="143" t="inlineStr">
        <is>
          <t xml:space="preserve">33049403</t>
        </is>
      </c>
      <c r="C1437" s="143" t="inlineStr">
        <is>
          <t xml:space="preserve">FINDING (NRC) TASKCARD DCC-32S (13) / ITEM ONE DURING DCC FOUND ICE BUCKET BOX 208 TEDLAR DAMAGED</t>
        </is>
      </c>
      <c r="D1437" s="143">
        <v>1.0</v>
      </c>
      <c r="E1437" s="143">
        <v>6.0</v>
      </c>
      <c r="F1437" s="143">
        <v>7.5</v>
      </c>
      <c r="G1437" s="143">
        <v>6.5</v>
      </c>
      <c r="H1437" s="143" t="inlineStr">
        <is>
          <t xml:space="preserve">Closed</t>
        </is>
      </c>
      <c r="I1437" s="143" t="inlineStr">
        <is>
          <t xml:space="preserve">25-20</t>
        </is>
      </c>
      <c r="J1437" s="143"/>
    </row>
    <row r="1438" spans="1:10">
      <c r="A1438" s="143" t="inlineStr">
        <is>
          <t xml:space="preserve">1415</t>
        </is>
      </c>
      <c r="B1438" s="143" t="inlineStr">
        <is>
          <t xml:space="preserve">33049404</t>
        </is>
      </c>
      <c r="C1438" s="143" t="inlineStr">
        <is>
          <t xml:space="preserve">FINDING (NRC) TASKCARD DCC-32S (13) / ITEM ONE DURING DCC FOUND GALLEY DOOR 515 TEDLAR DAMAGED</t>
        </is>
      </c>
      <c r="D1438" s="143">
        <v>1.0</v>
      </c>
      <c r="E1438" s="143">
        <v>6.0</v>
      </c>
      <c r="F1438" s="143">
        <v>6.5</v>
      </c>
      <c r="G1438" s="143">
        <v>6.5</v>
      </c>
      <c r="H1438" s="143" t="inlineStr">
        <is>
          <t xml:space="preserve">Closed</t>
        </is>
      </c>
      <c r="I1438" s="143" t="inlineStr">
        <is>
          <t xml:space="preserve">25-20</t>
        </is>
      </c>
      <c r="J1438" s="143"/>
    </row>
    <row r="1439" spans="1:10">
      <c r="A1439" s="143" t="inlineStr">
        <is>
          <t xml:space="preserve">1416</t>
        </is>
      </c>
      <c r="B1439" s="143" t="inlineStr">
        <is>
          <t xml:space="preserve">33057946</t>
        </is>
      </c>
      <c r="C1439" s="143" t="inlineStr">
        <is>
          <t xml:space="preserve">SIDEWALL - NO CALL BACK - TEDLER SIDEWALL 5AC TEDLAR CHIPPED OFF</t>
        </is>
      </c>
      <c r="D1439" s="143">
        <v>1.0</v>
      </c>
      <c r="E1439" s="143">
        <v>0.0</v>
      </c>
      <c r="F1439" s="143">
        <v>23.0</v>
      </c>
      <c r="G1439" s="143">
        <v>446.9</v>
      </c>
      <c r="H1439" s="143" t="inlineStr">
        <is>
          <t xml:space="preserve">Closed</t>
        </is>
      </c>
      <c r="I1439" s="143">
        <v>25.0</v>
      </c>
      <c r="J1439" s="143"/>
    </row>
    <row r="1440" spans="1:10">
      <c r="A1440" s="143" t="inlineStr">
        <is>
          <t xml:space="preserve">1417</t>
        </is>
      </c>
      <c r="B1440" s="143" t="inlineStr">
        <is>
          <t xml:space="preserve">33058259</t>
        </is>
      </c>
      <c r="C1440" s="143" t="inlineStr">
        <is>
          <t xml:space="preserve">GALLEY ..... CAB...... NO CALL BACK GALLEY DOOR 210 TEDLAR DAMAGED</t>
        </is>
      </c>
      <c r="D1440" s="143">
        <v>1.0</v>
      </c>
      <c r="E1440" s="143">
        <v>12.0</v>
      </c>
      <c r="F1440" s="143">
        <v>19.5</v>
      </c>
      <c r="G1440" s="143">
        <v>33.4</v>
      </c>
      <c r="H1440" s="143" t="inlineStr">
        <is>
          <t xml:space="preserve">Closed</t>
        </is>
      </c>
      <c r="I1440" s="143" t="inlineStr">
        <is>
          <t xml:space="preserve">25-20</t>
        </is>
      </c>
      <c r="J1440" s="143"/>
    </row>
    <row r="1441" spans="1:10">
      <c r="A1441" s="143" t="inlineStr">
        <is>
          <t xml:space="preserve">1418</t>
        </is>
      </c>
      <c r="B1441" s="143" t="inlineStr">
        <is>
          <t xml:space="preserve">33058303</t>
        </is>
      </c>
      <c r="C1441" s="143" t="inlineStr">
        <is>
          <t xml:space="preserve">FINDING (NRC) TASKCARD CCC-32S (05) / ITEM ONE LAV D  INNER WALL TEDLAR DAMMAGED</t>
        </is>
      </c>
      <c r="D1441" s="143">
        <v>1.0</v>
      </c>
      <c r="E1441" s="143">
        <v>12.0</v>
      </c>
      <c r="F1441" s="143">
        <v>15.0</v>
      </c>
      <c r="G1441" s="143">
        <v>207.1</v>
      </c>
      <c r="H1441" s="143" t="inlineStr">
        <is>
          <t xml:space="preserve">Closed</t>
        </is>
      </c>
      <c r="I1441" s="143" t="inlineStr">
        <is>
          <t xml:space="preserve">25-20</t>
        </is>
      </c>
      <c r="J1441" s="143"/>
    </row>
    <row r="1442" spans="1:10">
      <c r="A1442" s="143" t="inlineStr">
        <is>
          <t xml:space="preserve">1419</t>
        </is>
      </c>
      <c r="B1442" s="143" t="inlineStr">
        <is>
          <t xml:space="preserve">33058312</t>
        </is>
      </c>
      <c r="C1442" s="143" t="inlineStr">
        <is>
          <t xml:space="preserve">CAB- AFT WALL .... NO ....CALL BACK AFT WALL OF 44 JKL TEDLAR DAMAGED</t>
        </is>
      </c>
      <c r="D1442" s="143">
        <v>1.0</v>
      </c>
      <c r="E1442" s="143">
        <v>12.0</v>
      </c>
      <c r="F1442" s="143">
        <v>23.0</v>
      </c>
      <c r="G1442" s="143">
        <v>439.8</v>
      </c>
      <c r="H1442" s="143" t="inlineStr">
        <is>
          <t xml:space="preserve">Closed</t>
        </is>
      </c>
      <c r="I1442" s="143" t="inlineStr">
        <is>
          <t xml:space="preserve">25-20</t>
        </is>
      </c>
      <c r="J1442" s="143"/>
    </row>
    <row r="1443" spans="1:10">
      <c r="A1443" s="143" t="inlineStr">
        <is>
          <t xml:space="preserve">1420</t>
        </is>
      </c>
      <c r="B1443" s="143" t="inlineStr">
        <is>
          <t xml:space="preserve">33060679</t>
        </is>
      </c>
      <c r="C1443" s="143" t="inlineStr">
        <is>
          <t xml:space="preserve">FINDING (NRC) TASKCARD DCC-32S (13) / ITEM ONE DURING DCC FOUND UPPER WALL OF COCKPIT DOOR TEDLAR DAMAGED</t>
        </is>
      </c>
      <c r="D1443" s="143">
        <v>1.0</v>
      </c>
      <c r="E1443" s="143">
        <v>12.0</v>
      </c>
      <c r="F1443" s="143">
        <v>19.5</v>
      </c>
      <c r="G1443" s="143">
        <v>27.6</v>
      </c>
      <c r="H1443" s="143" t="inlineStr">
        <is>
          <t xml:space="preserve">Closed</t>
        </is>
      </c>
      <c r="I1443" s="143" t="inlineStr">
        <is>
          <t xml:space="preserve">25-20</t>
        </is>
      </c>
      <c r="J1443" s="143"/>
    </row>
    <row r="1444" spans="1:10">
      <c r="A1444" s="143" t="inlineStr">
        <is>
          <t xml:space="preserve">1421</t>
        </is>
      </c>
      <c r="B1444" s="143" t="inlineStr">
        <is>
          <t xml:space="preserve">33060680</t>
        </is>
      </c>
      <c r="C1444" s="143" t="inlineStr">
        <is>
          <t xml:space="preserve">FINDING (NRC) TASKCARD DCC-32S (13) / ITEM ONE DURING DCC FOUND L1 DOOR LOWER OF F/A SEAT UNDER LIFE VEST TEDLAR DAMAGED</t>
        </is>
      </c>
      <c r="D1444" s="143">
        <v>1.0</v>
      </c>
      <c r="E1444" s="143">
        <v>6.0</v>
      </c>
      <c r="F1444" s="143">
        <v>13.0</v>
      </c>
      <c r="G1444" s="143">
        <v>6.5</v>
      </c>
      <c r="H1444" s="143" t="inlineStr">
        <is>
          <t xml:space="preserve">Closed</t>
        </is>
      </c>
      <c r="I1444" s="143" t="inlineStr">
        <is>
          <t xml:space="preserve">25-20</t>
        </is>
      </c>
      <c r="J1444" s="143"/>
    </row>
    <row r="1445" spans="1:10">
      <c r="A1445" s="143" t="inlineStr">
        <is>
          <t xml:space="preserve">1422</t>
        </is>
      </c>
      <c r="B1445" s="143" t="inlineStr">
        <is>
          <t xml:space="preserve">33060681</t>
        </is>
      </c>
      <c r="C1445" s="143" t="inlineStr">
        <is>
          <t xml:space="preserve">FINDING (NRC) TASKCARD DCC-32S (13) / ITEM ONE DURING DCC FOUND FWD WALL BESIDE L1 DOOR LOWER AREA TEDLAR DAMAGED</t>
        </is>
      </c>
      <c r="D1445" s="143">
        <v>1.0</v>
      </c>
      <c r="E1445" s="143">
        <v>12.0</v>
      </c>
      <c r="F1445" s="143">
        <v>19.5</v>
      </c>
      <c r="G1445" s="143">
        <v>21.32</v>
      </c>
      <c r="H1445" s="143" t="inlineStr">
        <is>
          <t xml:space="preserve">Closed</t>
        </is>
      </c>
      <c r="I1445" s="143" t="inlineStr">
        <is>
          <t xml:space="preserve">25-20</t>
        </is>
      </c>
      <c r="J1445" s="143"/>
    </row>
    <row r="1446" spans="1:10">
      <c r="A1446" s="143" t="inlineStr">
        <is>
          <t xml:space="preserve">1424</t>
        </is>
      </c>
      <c r="B1446" s="143" t="inlineStr">
        <is>
          <t xml:space="preserve">33062121</t>
        </is>
      </c>
      <c r="C1446" s="143" t="inlineStr">
        <is>
          <t xml:space="preserve">PNT - NO CALLBACK - COCKPIT COCKPIT SEVERAL CEILING PANELS PAINT CHIPPED</t>
        </is>
      </c>
      <c r="D1446" s="143">
        <v>1.0</v>
      </c>
      <c r="E1446" s="143">
        <v>0.0</v>
      </c>
      <c r="F1446" s="143">
        <v>2.0</v>
      </c>
      <c r="G1446" s="143">
        <v>2.0</v>
      </c>
      <c r="H1446" s="143" t="inlineStr">
        <is>
          <t xml:space="preserve">Closed</t>
        </is>
      </c>
      <c r="I1446" s="143" t="inlineStr">
        <is>
          <t xml:space="preserve">25-10</t>
        </is>
      </c>
      <c r="J1446" s="143"/>
    </row>
    <row r="1447" spans="1:10">
      <c r="A1447" s="143" t="inlineStr">
        <is>
          <t xml:space="preserve">1425</t>
        </is>
      </c>
      <c r="B1447" s="143" t="inlineStr">
        <is>
          <t xml:space="preserve">33062156</t>
        </is>
      </c>
      <c r="C1447" s="143" t="inlineStr">
        <is>
          <t xml:space="preserve">PNT - NO CALLBACK - WINDOW FRAMES BOTH CAPTAIN AND F/O WINDOW FRAMES PAINT  REQUIRED</t>
        </is>
      </c>
      <c r="D1447" s="143">
        <v>1.0</v>
      </c>
      <c r="E1447" s="143">
        <v>0.0</v>
      </c>
      <c r="F1447" s="143">
        <v>5.0</v>
      </c>
      <c r="G1447" s="143">
        <v>3.0</v>
      </c>
      <c r="H1447" s="143" t="inlineStr">
        <is>
          <t xml:space="preserve">Closed</t>
        </is>
      </c>
      <c r="I1447" s="143" t="inlineStr">
        <is>
          <t xml:space="preserve">25-10</t>
        </is>
      </c>
      <c r="J1447" s="143"/>
    </row>
    <row r="1448" spans="1:10">
      <c r="A1448" s="143" t="inlineStr">
        <is>
          <t xml:space="preserve">1426</t>
        </is>
      </c>
      <c r="B1448" s="143" t="inlineStr">
        <is>
          <t xml:space="preserve">33062169</t>
        </is>
      </c>
      <c r="C1448" s="143" t="inlineStr">
        <is>
          <t xml:space="preserve">PNT - NO CALLBACK - SLIDING TABLES SLIDING TABLES PAINT REQUIRED</t>
        </is>
      </c>
      <c r="D1448" s="143">
        <v>1.0</v>
      </c>
      <c r="E1448" s="143">
        <v>0.0</v>
      </c>
      <c r="F1448" s="143">
        <v>3.5</v>
      </c>
      <c r="G1448" s="143">
        <v>2.5</v>
      </c>
      <c r="H1448" s="143" t="inlineStr">
        <is>
          <t xml:space="preserve">Closed</t>
        </is>
      </c>
      <c r="I1448" s="143" t="inlineStr">
        <is>
          <t xml:space="preserve">25-10</t>
        </is>
      </c>
      <c r="J1448" s="143"/>
    </row>
    <row r="1449" spans="1:10">
      <c r="A1449" s="143" t="inlineStr">
        <is>
          <t xml:space="preserve">1428</t>
        </is>
      </c>
      <c r="B1449" s="143" t="inlineStr">
        <is>
          <t xml:space="preserve">33067651</t>
        </is>
      </c>
      <c r="C1449" s="143" t="inlineStr">
        <is>
          <t xml:space="preserve">LOWER FUSELAGE ----- SM ----- NO CALL BACK LOWER FUSELAGE ACCESS PANELS NO. 191LB, 191EB. WITH ANCHOR NUTS BROKEN.</t>
        </is>
      </c>
      <c r="D1449" s="143">
        <v>1.0</v>
      </c>
      <c r="E1449" s="143">
        <v>4.0</v>
      </c>
      <c r="F1449" s="143">
        <v>3.0</v>
      </c>
      <c r="G1449" s="143">
        <v>3.0</v>
      </c>
      <c r="H1449" s="143" t="inlineStr">
        <is>
          <t xml:space="preserve">Closed</t>
        </is>
      </c>
      <c r="I1449" s="143" t="inlineStr">
        <is>
          <t xml:space="preserve">53-00</t>
        </is>
      </c>
      <c r="J1449" s="143"/>
    </row>
    <row r="1450" spans="1:10">
      <c r="A1450" s="143" t="inlineStr">
        <is>
          <t xml:space="preserve">1429</t>
        </is>
      </c>
      <c r="B1450" s="143" t="inlineStr">
        <is>
          <t xml:space="preserve">95001847</t>
        </is>
      </c>
      <c r="C1450" s="143" t="inlineStr">
        <is>
          <t xml:space="preserve">ROB REF TO TQ #: 846595 ENGINE FAN COWL ROD PN: A3410-2 S/N:18806 ROB TO SVC AS75</t>
        </is>
      </c>
      <c r="D1450" s="143" t="inlineStr">
        <is>
          <t xml:space="preserve">N</t>
        </is>
      </c>
      <c r="E1450" s="143">
        <v>0.0</v>
      </c>
      <c r="F1450" s="143">
        <v>20.0</v>
      </c>
      <c r="G1450" s="143">
        <v>262.4</v>
      </c>
      <c r="H1450" s="143" t="inlineStr">
        <is>
          <t xml:space="preserve">Closed</t>
        </is>
      </c>
      <c r="I1450" s="143">
        <v>71.0</v>
      </c>
      <c r="J1450" s="143"/>
    </row>
    <row r="1451" spans="1:10">
      <c r="A1451" s="143" t="inlineStr">
        <is>
          <t xml:space="preserve">1430</t>
        </is>
      </c>
      <c r="B1451" s="143" t="inlineStr">
        <is>
          <t xml:space="preserve">33069516</t>
        </is>
      </c>
      <c r="C1451" s="143" t="inlineStr">
        <is>
          <t xml:space="preserve">FINDING (NRC) TASKCARD DCC-32S (13) / ITEM ONE DURING DCC FOUND SIDE WALL AT SEAT 41JKL TEDLAR DAMAGED</t>
        </is>
      </c>
      <c r="D1451" s="143">
        <v>1.0</v>
      </c>
      <c r="E1451" s="143">
        <v>0.0</v>
      </c>
      <c r="F1451" s="143">
        <v>15.0</v>
      </c>
      <c r="G1451" s="143">
        <v>102.4</v>
      </c>
      <c r="H1451" s="143" t="inlineStr">
        <is>
          <t xml:space="preserve">Closed</t>
        </is>
      </c>
      <c r="I1451" s="143" t="inlineStr">
        <is>
          <t xml:space="preserve">25-20</t>
        </is>
      </c>
      <c r="J1451" s="143"/>
    </row>
    <row r="1452" spans="1:10">
      <c r="A1452" s="143" t="inlineStr">
        <is>
          <t xml:space="preserve">1431</t>
        </is>
      </c>
      <c r="B1452" s="143" t="inlineStr">
        <is>
          <t xml:space="preserve">33069524</t>
        </is>
      </c>
      <c r="C1452" s="143" t="inlineStr">
        <is>
          <t xml:space="preserve">CAB - NO CALLBACK -AFT GALLEY AFT GALLEY 1 EA AIR FLAP SEALTORN.</t>
        </is>
      </c>
      <c r="D1452" s="143">
        <v>1.0</v>
      </c>
      <c r="E1452" s="143">
        <v>0.0</v>
      </c>
      <c r="F1452" s="143">
        <v>2.0</v>
      </c>
      <c r="G1452" s="143">
        <v>1.0</v>
      </c>
      <c r="H1452" s="143" t="inlineStr">
        <is>
          <t xml:space="preserve">Closed</t>
        </is>
      </c>
      <c r="I1452" s="143">
        <v>25.0</v>
      </c>
      <c r="J1452" s="143"/>
    </row>
    <row r="1453" spans="1:10">
      <c r="A1453" s="143" t="inlineStr">
        <is>
          <t xml:space="preserve">1432</t>
        </is>
      </c>
      <c r="B1453" s="143" t="inlineStr">
        <is>
          <t xml:space="preserve">33073741</t>
        </is>
      </c>
      <c r="C1453" s="143" t="inlineStr">
        <is>
          <t xml:space="preserve">CAB - NO CALLBACK - F/A SEAT L1 INBOARD F/A SEAT LOWER AND UPPER RUBSTRIP DEFORMED.</t>
        </is>
      </c>
      <c r="D1453" s="143">
        <v>1.0</v>
      </c>
      <c r="E1453" s="143">
        <v>2.5</v>
      </c>
      <c r="F1453" s="143">
        <v>2.5</v>
      </c>
      <c r="G1453" s="143">
        <v>2.5</v>
      </c>
      <c r="H1453" s="143" t="inlineStr">
        <is>
          <t xml:space="preserve">Closed</t>
        </is>
      </c>
      <c r="I1453" s="143">
        <v>25.0</v>
      </c>
      <c r="J1453" s="143"/>
    </row>
    <row r="1454" spans="1:10">
      <c r="A1454" s="143" t="inlineStr">
        <is>
          <t xml:space="preserve">1433</t>
        </is>
      </c>
      <c r="B1454" s="143" t="inlineStr">
        <is>
          <t xml:space="preserve">33073939</t>
        </is>
      </c>
      <c r="C1454" s="143" t="inlineStr">
        <is>
          <t xml:space="preserve">FINDING (NRC) TASKCARD 531194-01-2 (2) / ITEM-1 SM--RII FLOOR ATTACHMENT STRUCTURE AT FR 20 AND Y-765 WITH SURFACE CORROSION</t>
        </is>
      </c>
      <c r="D1454" s="143">
        <v>1.0</v>
      </c>
      <c r="E1454" s="143">
        <v>0.0</v>
      </c>
      <c r="F1454" s="143">
        <v>20.75</v>
      </c>
      <c r="G1454" s="143">
        <v>11.53</v>
      </c>
      <c r="H1454" s="143" t="inlineStr">
        <is>
          <t xml:space="preserve">Closed</t>
        </is>
      </c>
      <c r="I1454" s="143" t="inlineStr">
        <is>
          <t xml:space="preserve">53-11</t>
        </is>
      </c>
      <c r="J1454" s="143"/>
    </row>
    <row r="1455" spans="1:10">
      <c r="A1455" s="143" t="inlineStr">
        <is>
          <t xml:space="preserve">1434</t>
        </is>
      </c>
      <c r="B1455" s="143" t="inlineStr">
        <is>
          <t xml:space="preserve">33074086</t>
        </is>
      </c>
      <c r="C1455" s="143" t="inlineStr">
        <is>
          <t xml:space="preserve">SM-----CALLBACK NOSE LANDING GEAR LEG LOCK STAY ASSY LOWER ATTACHMENT FOUND WITH CHAFFING MARKS</t>
        </is>
      </c>
      <c r="D1455" s="143">
        <v>1.0</v>
      </c>
      <c r="E1455" s="143">
        <v>0.0</v>
      </c>
      <c r="F1455" s="143">
        <v>10.0</v>
      </c>
      <c r="G1455" s="143">
        <v>10.52</v>
      </c>
      <c r="H1455" s="143" t="inlineStr">
        <is>
          <t xml:space="preserve">Closed</t>
        </is>
      </c>
      <c r="I1455" s="143">
        <v>32.0</v>
      </c>
      <c r="J1455" s="143"/>
    </row>
    <row r="1456" spans="1:10">
      <c r="A1456" s="143" t="inlineStr">
        <is>
          <t xml:space="preserve">1435</t>
        </is>
      </c>
      <c r="B1456" s="143" t="inlineStr">
        <is>
          <t xml:space="preserve">33075708</t>
        </is>
      </c>
      <c r="C1456" s="143" t="inlineStr">
        <is>
          <t xml:space="preserve">MAIN BATT REQUIRED R/R BOTH MAIN BATT #1 AND #2 DUE TO BATTERY VOLTAGE FOUND LOW</t>
        </is>
      </c>
      <c r="D1456" s="143" t="inlineStr">
        <is>
          <t xml:space="preserve">N</t>
        </is>
      </c>
      <c r="E1456" s="143">
        <v>0.0</v>
      </c>
      <c r="F1456" s="143">
        <v>10.0</v>
      </c>
      <c r="G1456" s="143">
        <v>2.02</v>
      </c>
      <c r="H1456" s="143" t="inlineStr">
        <is>
          <t xml:space="preserve">Closed</t>
        </is>
      </c>
      <c r="I1456" s="143" t="inlineStr">
        <is>
          <t xml:space="preserve">24-00</t>
        </is>
      </c>
      <c r="J1456" s="143"/>
    </row>
    <row r="1457" spans="1:10">
      <c r="A1457" s="143" t="inlineStr">
        <is>
          <t xml:space="preserve">1441</t>
        </is>
      </c>
      <c r="B1457" s="143" t="inlineStr">
        <is>
          <t xml:space="preserve">33080727</t>
        </is>
      </c>
      <c r="C1457" s="143" t="inlineStr">
        <is>
          <t xml:space="preserve">HORIZ - PNT - NO CALL BACK LH AND RH HORIZONTAL UPPER SURFACE CAUTION DECAL PEELED OFF</t>
        </is>
      </c>
      <c r="D1457" s="143">
        <v>1.0</v>
      </c>
      <c r="E1457" s="143">
        <v>0.0</v>
      </c>
      <c r="F1457" s="143">
        <v>6.0</v>
      </c>
      <c r="G1457" s="143">
        <v>8.78</v>
      </c>
      <c r="H1457" s="143" t="inlineStr">
        <is>
          <t xml:space="preserve">Closed</t>
        </is>
      </c>
      <c r="I1457" s="143" t="inlineStr">
        <is>
          <t xml:space="preserve">51-21</t>
        </is>
      </c>
      <c r="J1457" s="143"/>
    </row>
    <row r="1458" spans="1:10">
      <c r="A1458" s="143" t="inlineStr">
        <is>
          <t xml:space="preserve">1442</t>
        </is>
      </c>
      <c r="B1458" s="143" t="inlineStr">
        <is>
          <t xml:space="preserve">33081174</t>
        </is>
      </c>
      <c r="C1458" s="143" t="inlineStr">
        <is>
          <t xml:space="preserve">EOD-333-25-00024-R00/AD- A330/A320- INSPECT EACH BUCKLE SCREW FOR CRACKED,LOOSE</t>
        </is>
      </c>
      <c r="D1458" s="143" t="inlineStr">
        <is>
          <t xml:space="preserve">ACHK</t>
        </is>
      </c>
      <c r="E1458" s="143">
        <v>1.67</v>
      </c>
      <c r="F1458" s="143">
        <v>4.0</v>
      </c>
      <c r="G1458" s="143">
        <v>118.0</v>
      </c>
      <c r="H1458" s="143" t="inlineStr">
        <is>
          <t xml:space="preserve">Closed</t>
        </is>
      </c>
      <c r="I1458" s="143">
        <v>25.0</v>
      </c>
      <c r="J1458" s="143"/>
    </row>
    <row r="1459" spans="1:10">
      <c r="A1459" s="143" t="inlineStr">
        <is>
          <t xml:space="preserve">1443</t>
        </is>
      </c>
      <c r="B1459" s="143" t="inlineStr">
        <is>
          <t xml:space="preserve">33081333</t>
        </is>
      </c>
      <c r="C1459" s="143" t="inlineStr">
        <is>
          <t xml:space="preserve">HYDRAULIC FLUID ANALYSIS ---- NO CALL BACK REF TO TASK CARD NO.291000-26-1 ANALYZE HYDRAULIC FLUID FOR CHLORINE, DENSITY, VISCOSITY AND CONDUCTIVITY CONTAMINATION.</t>
        </is>
      </c>
      <c r="D1459" s="143">
        <v>1.0</v>
      </c>
      <c r="E1459" s="143">
        <v>4.0</v>
      </c>
      <c r="F1459" s="143">
        <v>2.0</v>
      </c>
      <c r="G1459" s="143">
        <v>2.0</v>
      </c>
      <c r="H1459" s="143" t="inlineStr">
        <is>
          <t xml:space="preserve">Closed</t>
        </is>
      </c>
      <c r="I1459" s="143" t="inlineStr">
        <is>
          <t xml:space="preserve">29-00</t>
        </is>
      </c>
      <c r="J1459" s="143"/>
    </row>
    <row r="1460" spans="1:10">
      <c r="A1460" s="143" t="inlineStr">
        <is>
          <t xml:space="preserve">1444</t>
        </is>
      </c>
      <c r="B1460" s="143" t="inlineStr">
        <is>
          <t xml:space="preserve">33081618</t>
        </is>
      </c>
      <c r="C1460" s="143" t="inlineStr">
        <is>
          <t xml:space="preserve">FWD AND AFT CBN COMP - PNT - NO CALL BACK FWD COMPARTMENT C101 AND AFT C201 COMPARTMENT INNER SIDE PAINT PEELED OFF</t>
        </is>
      </c>
      <c r="D1460" s="143">
        <v>1.0</v>
      </c>
      <c r="E1460" s="143">
        <v>0.0</v>
      </c>
      <c r="F1460" s="143">
        <v>4.0</v>
      </c>
      <c r="G1460" s="143">
        <v>2.0</v>
      </c>
      <c r="H1460" s="143" t="inlineStr">
        <is>
          <t xml:space="preserve">Closed</t>
        </is>
      </c>
      <c r="I1460" s="143" t="inlineStr">
        <is>
          <t xml:space="preserve">25-20</t>
        </is>
      </c>
      <c r="J1460" s="143"/>
    </row>
    <row r="1461" spans="1:10">
      <c r="A1461" s="143" t="inlineStr">
        <is>
          <t xml:space="preserve">1445</t>
        </is>
      </c>
      <c r="B1461" s="143" t="inlineStr">
        <is>
          <t xml:space="preserve">33084011</t>
        </is>
      </c>
      <c r="C1461" s="143" t="inlineStr">
        <is>
          <t xml:space="preserve">CAB - NO CALL BACK - LOWER SHROUD CAP SEAT AFT LOWER SHROUD CRACKED</t>
        </is>
      </c>
      <c r="D1461" s="143">
        <v>1.0</v>
      </c>
      <c r="E1461" s="143">
        <v>0.0</v>
      </c>
      <c r="F1461" s="143">
        <v>2.0</v>
      </c>
      <c r="G1461" s="143">
        <v>2.0</v>
      </c>
      <c r="H1461" s="143" t="inlineStr">
        <is>
          <t xml:space="preserve">Closed</t>
        </is>
      </c>
      <c r="I1461" s="143" t="inlineStr">
        <is>
          <t xml:space="preserve">25-10</t>
        </is>
      </c>
      <c r="J1461" s="143"/>
    </row>
    <row r="1462" spans="1:10">
      <c r="A1462" s="143" t="inlineStr">
        <is>
          <t xml:space="preserve">1446</t>
        </is>
      </c>
      <c r="B1462" s="143" t="inlineStr">
        <is>
          <t xml:space="preserve">33084029</t>
        </is>
      </c>
      <c r="C1462" s="143" t="inlineStr">
        <is>
          <t xml:space="preserve">CAB - NO CALLBACK - UPPER SHROUD CAPTAIN UPPER SHROUD LOWER CORNER CUT</t>
        </is>
      </c>
      <c r="D1462" s="143">
        <v>1.0</v>
      </c>
      <c r="E1462" s="143">
        <v>0.0</v>
      </c>
      <c r="F1462" s="143">
        <v>2.0</v>
      </c>
      <c r="G1462" s="143">
        <v>2.0</v>
      </c>
      <c r="H1462" s="143" t="inlineStr">
        <is>
          <t xml:space="preserve">Closed</t>
        </is>
      </c>
      <c r="I1462" s="143" t="inlineStr">
        <is>
          <t xml:space="preserve">25-10</t>
        </is>
      </c>
      <c r="J1462" s="143"/>
    </row>
    <row r="1463" spans="1:10">
      <c r="A1463" s="143" t="inlineStr">
        <is>
          <t xml:space="preserve">1447</t>
        </is>
      </c>
      <c r="B1463" s="143" t="inlineStr">
        <is>
          <t xml:space="preserve">33084129</t>
        </is>
      </c>
      <c r="C1463" s="143" t="inlineStr">
        <is>
          <t xml:space="preserve">PNT - NO CALL BACK - CAP SEAT BOTTOM R/H BLACK METAL OF CAP. SEAT PAINT REQUIRED</t>
        </is>
      </c>
      <c r="D1463" s="143">
        <v>1.0</v>
      </c>
      <c r="E1463" s="143">
        <v>0.0</v>
      </c>
      <c r="F1463" s="143">
        <v>4.83</v>
      </c>
      <c r="G1463" s="143">
        <v>4.0</v>
      </c>
      <c r="H1463" s="143" t="inlineStr">
        <is>
          <t xml:space="preserve">Closed</t>
        </is>
      </c>
      <c r="I1463" s="143" t="inlineStr">
        <is>
          <t xml:space="preserve">25-10</t>
        </is>
      </c>
      <c r="J1463" s="143"/>
    </row>
    <row r="1464" spans="1:10">
      <c r="A1464" s="143" t="inlineStr">
        <is>
          <t xml:space="preserve">1448</t>
        </is>
      </c>
      <c r="B1464" s="143" t="inlineStr">
        <is>
          <t xml:space="preserve">33084211</t>
        </is>
      </c>
      <c r="C1464" s="143" t="inlineStr">
        <is>
          <t xml:space="preserve">CAB - NO CALLLBACK - ARM CAP CAPTAIN SEAT R/H ARM CAP DISCOLORATION</t>
        </is>
      </c>
      <c r="D1464" s="143">
        <v>1.0</v>
      </c>
      <c r="E1464" s="143">
        <v>0.0</v>
      </c>
      <c r="F1464" s="143">
        <v>2.0</v>
      </c>
      <c r="G1464" s="143">
        <v>2.0</v>
      </c>
      <c r="H1464" s="143" t="inlineStr">
        <is>
          <t xml:space="preserve">Closed</t>
        </is>
      </c>
      <c r="I1464" s="143" t="inlineStr">
        <is>
          <t xml:space="preserve">25-10</t>
        </is>
      </c>
      <c r="J1464" s="143"/>
    </row>
    <row r="1465" spans="1:10">
      <c r="A1465" s="143" t="inlineStr">
        <is>
          <t xml:space="preserve">1449</t>
        </is>
      </c>
      <c r="B1465" s="143" t="inlineStr">
        <is>
          <t xml:space="preserve">33084235</t>
        </is>
      </c>
      <c r="C1465" s="143" t="inlineStr">
        <is>
          <t xml:space="preserve">CAB - NO CALLBACK- ARM CAP CAPTAIN SEAT L/H ARM CAP AND PLASTIC CASE DISCOLORATION</t>
        </is>
      </c>
      <c r="D1465" s="143">
        <v>1.0</v>
      </c>
      <c r="E1465" s="143">
        <v>0.0</v>
      </c>
      <c r="F1465" s="143">
        <v>2.0</v>
      </c>
      <c r="G1465" s="143">
        <v>2.0</v>
      </c>
      <c r="H1465" s="143" t="inlineStr">
        <is>
          <t xml:space="preserve">Closed</t>
        </is>
      </c>
      <c r="I1465" s="143" t="inlineStr">
        <is>
          <t xml:space="preserve">25-10</t>
        </is>
      </c>
      <c r="J1465" s="143"/>
    </row>
    <row r="1466" spans="1:10">
      <c r="A1466" s="143" t="inlineStr">
        <is>
          <t xml:space="preserve">1450</t>
        </is>
      </c>
      <c r="B1466" s="143" t="inlineStr">
        <is>
          <t xml:space="preserve">33084561</t>
        </is>
      </c>
      <c r="C1466" s="143" t="inlineStr">
        <is>
          <t xml:space="preserve">CAB - NO CALLBACK - WASTE COVER WASTE COVER SPRING STUCK IN THE OPEN POSITION</t>
        </is>
      </c>
      <c r="D1466" s="143">
        <v>1.0</v>
      </c>
      <c r="E1466" s="143">
        <v>0.0</v>
      </c>
      <c r="F1466" s="143">
        <v>1.0</v>
      </c>
      <c r="G1466" s="143">
        <v>1.0</v>
      </c>
      <c r="H1466" s="143" t="inlineStr">
        <is>
          <t xml:space="preserve">Closed</t>
        </is>
      </c>
      <c r="I1466" s="143" t="inlineStr">
        <is>
          <t xml:space="preserve">25-10</t>
        </is>
      </c>
      <c r="J1466" s="143"/>
    </row>
    <row r="1467" spans="1:10">
      <c r="A1467" s="143" t="inlineStr">
        <is>
          <t xml:space="preserve">1452</t>
        </is>
      </c>
      <c r="B1467" s="143" t="inlineStr">
        <is>
          <t xml:space="preserve">33088307</t>
        </is>
      </c>
      <c r="C1467" s="143" t="inlineStr">
        <is>
          <t xml:space="preserve">CAB - NO CALLBACK - FLIGHT DECK DISK-LOCATING MISSING INSIDE CAP. SLIDING TABLE</t>
        </is>
      </c>
      <c r="D1467" s="143">
        <v>1.0</v>
      </c>
      <c r="E1467" s="143">
        <v>0.0</v>
      </c>
      <c r="F1467" s="143">
        <v>1.5</v>
      </c>
      <c r="G1467" s="143">
        <v>1.5</v>
      </c>
      <c r="H1467" s="143" t="inlineStr">
        <is>
          <t xml:space="preserve">Closed</t>
        </is>
      </c>
      <c r="I1467" s="143" t="inlineStr">
        <is>
          <t xml:space="preserve">25-10</t>
        </is>
      </c>
      <c r="J1467" s="143"/>
    </row>
    <row r="1468" spans="1:10">
      <c r="A1468" s="143" t="inlineStr">
        <is>
          <t xml:space="preserve">1453</t>
        </is>
      </c>
      <c r="B1468" s="143" t="inlineStr">
        <is>
          <t xml:space="preserve">33088441</t>
        </is>
      </c>
      <c r="C1468" s="143" t="inlineStr">
        <is>
          <t xml:space="preserve">FINDING (NRC) TASKCARD 25-20-00-00-SVA (01) / ITEM ONE ALL FLT ATT SEAT PAINT FADDED .</t>
        </is>
      </c>
      <c r="D1468" s="143">
        <v>1.0</v>
      </c>
      <c r="E1468" s="143">
        <v>0.0</v>
      </c>
      <c r="F1468" s="143">
        <v>50.8</v>
      </c>
      <c r="G1468" s="143">
        <v>151.4</v>
      </c>
      <c r="H1468" s="143" t="inlineStr">
        <is>
          <t xml:space="preserve">Closed</t>
        </is>
      </c>
      <c r="I1468" s="143" t="inlineStr">
        <is>
          <t xml:space="preserve">25-00</t>
        </is>
      </c>
      <c r="J1468" s="143"/>
    </row>
    <row r="1469" spans="1:10">
      <c r="A1469" s="143" t="inlineStr">
        <is>
          <t xml:space="preserve">1454</t>
        </is>
      </c>
      <c r="B1469" s="143" t="inlineStr">
        <is>
          <t xml:space="preserve">33110305</t>
        </is>
      </c>
      <c r="C1469" s="143" t="inlineStr">
        <is>
          <t xml:space="preserve">NLG DECAL -NO CALL BACK - NLG R/H TYRE PRESSURE AND INFLATE TYRES DECAL MISSING</t>
        </is>
      </c>
      <c r="D1469" s="143">
        <v>1.0</v>
      </c>
      <c r="E1469" s="143">
        <v>0.0</v>
      </c>
      <c r="F1469" s="143">
        <v>2.0</v>
      </c>
      <c r="G1469" s="143">
        <v>2.0</v>
      </c>
      <c r="H1469" s="143" t="inlineStr">
        <is>
          <t xml:space="preserve">Closed</t>
        </is>
      </c>
      <c r="I1469" s="143" t="inlineStr">
        <is>
          <t xml:space="preserve">11-00</t>
        </is>
      </c>
      <c r="J1469" s="143"/>
    </row>
    <row r="1470" spans="1:10">
      <c r="A1470" s="143" t="inlineStr">
        <is>
          <t xml:space="preserve">1456</t>
        </is>
      </c>
      <c r="B1470" s="143" t="inlineStr">
        <is>
          <t xml:space="preserve">33110972</t>
        </is>
      </c>
      <c r="C1470" s="143" t="inlineStr">
        <is>
          <t xml:space="preserve">NLG-CALL-BACK. NLG ACTUATOR CYLINDER REQUIRE SEALANT.</t>
        </is>
      </c>
      <c r="D1470" s="143">
        <v>1.0</v>
      </c>
      <c r="E1470" s="143">
        <v>4.0</v>
      </c>
      <c r="F1470" s="143">
        <v>1.17</v>
      </c>
      <c r="G1470" s="143">
        <v>1.27</v>
      </c>
      <c r="H1470" s="143" t="inlineStr">
        <is>
          <t xml:space="preserve">Closed</t>
        </is>
      </c>
      <c r="I1470" s="143" t="inlineStr">
        <is>
          <t xml:space="preserve">32-21</t>
        </is>
      </c>
      <c r="J1470" s="143"/>
    </row>
    <row r="1471" spans="1:10">
      <c r="A1471" s="143" t="inlineStr">
        <is>
          <t xml:space="preserve">1457</t>
        </is>
      </c>
      <c r="B1471" s="143" t="inlineStr">
        <is>
          <t xml:space="preserve">33111013</t>
        </is>
      </c>
      <c r="C1471" s="143" t="inlineStr">
        <is>
          <t xml:space="preserve">NLG--CALL-BACK. NLG REQUIRE SEALANT.</t>
        </is>
      </c>
      <c r="D1471" s="143">
        <v>1.0</v>
      </c>
      <c r="E1471" s="143">
        <v>4.0</v>
      </c>
      <c r="F1471" s="143">
        <v>1.67</v>
      </c>
      <c r="G1471" s="143">
        <v>1.63</v>
      </c>
      <c r="H1471" s="143" t="inlineStr">
        <is>
          <t xml:space="preserve">Closed</t>
        </is>
      </c>
      <c r="I1471" s="143" t="inlineStr">
        <is>
          <t xml:space="preserve">32-21</t>
        </is>
      </c>
      <c r="J1471" s="143"/>
    </row>
    <row r="1472" spans="1:10">
      <c r="A1472" s="143" t="inlineStr">
        <is>
          <t xml:space="preserve">1459</t>
        </is>
      </c>
      <c r="B1472" s="143" t="inlineStr">
        <is>
          <t xml:space="preserve">33112008</t>
        </is>
      </c>
      <c r="C1472" s="143" t="inlineStr">
        <is>
          <t xml:space="preserve">LH WING MOVABLE FAIRING NO.3 --AV---NO CALLBACK LH WING MOVABLE FAIRING #3 (532CB) FOUND WITH DAMAGED STATIC DISCHARGE.</t>
        </is>
      </c>
      <c r="D1472" s="143">
        <v>1.0</v>
      </c>
      <c r="E1472" s="143">
        <v>0.0</v>
      </c>
      <c r="F1472" s="143">
        <v>10.0</v>
      </c>
      <c r="G1472" s="143">
        <v>2.22</v>
      </c>
      <c r="H1472" s="143" t="inlineStr">
        <is>
          <t xml:space="preserve">Closed</t>
        </is>
      </c>
      <c r="I1472" s="143" t="inlineStr">
        <is>
          <t xml:space="preserve">05-25</t>
        </is>
      </c>
      <c r="J1472" s="143"/>
    </row>
    <row r="1473" spans="1:10">
      <c r="A1473" s="143" t="inlineStr">
        <is>
          <t xml:space="preserve">1460</t>
        </is>
      </c>
      <c r="B1473" s="143" t="inlineStr">
        <is>
          <t xml:space="preserve">33112583</t>
        </is>
      </c>
      <c r="C1473" s="143" t="inlineStr">
        <is>
          <t xml:space="preserve">CAB - NO CALLBACK - COCKPIT L/H WINDOW LINING  BOTTOM CORNER DAMAGED</t>
        </is>
      </c>
      <c r="D1473" s="143">
        <v>1.0</v>
      </c>
      <c r="E1473" s="143">
        <v>0.0</v>
      </c>
      <c r="F1473" s="143">
        <v>2.0</v>
      </c>
      <c r="G1473" s="143">
        <v>2.0</v>
      </c>
      <c r="H1473" s="143" t="inlineStr">
        <is>
          <t xml:space="preserve">Closed</t>
        </is>
      </c>
      <c r="I1473" s="143" t="inlineStr">
        <is>
          <t xml:space="preserve">25-10</t>
        </is>
      </c>
      <c r="J1473" s="143"/>
    </row>
    <row r="1474" spans="1:10">
      <c r="A1474" s="143" t="inlineStr">
        <is>
          <t xml:space="preserve">1466</t>
        </is>
      </c>
      <c r="B1474" s="143" t="inlineStr">
        <is>
          <t xml:space="preserve">33113049</t>
        </is>
      </c>
      <c r="C1474" s="143" t="inlineStr">
        <is>
          <t xml:space="preserve">B/FARING - PNT - NO CALL BACK BODY FAIRING NUMBERING DECALS MISSING</t>
        </is>
      </c>
      <c r="D1474" s="143">
        <v>1.0</v>
      </c>
      <c r="E1474" s="143">
        <v>6.0</v>
      </c>
      <c r="F1474" s="143">
        <v>6.0</v>
      </c>
      <c r="G1474" s="143">
        <v>6.0</v>
      </c>
      <c r="H1474" s="143" t="inlineStr">
        <is>
          <t xml:space="preserve">Closed</t>
        </is>
      </c>
      <c r="I1474" s="143" t="inlineStr">
        <is>
          <t xml:space="preserve">11-00</t>
        </is>
      </c>
      <c r="J1474" s="143"/>
    </row>
    <row r="1475" spans="1:10">
      <c r="A1475" s="143" t="inlineStr">
        <is>
          <t xml:space="preserve">1467</t>
        </is>
      </c>
      <c r="B1475" s="143" t="inlineStr">
        <is>
          <t xml:space="preserve">33114000</t>
        </is>
      </c>
      <c r="C1475" s="143" t="inlineStr">
        <is>
          <t xml:space="preserve">CAB - NO CALLBACK - COCKPIT PROTECTIVE CB PANEL FOUND BROKEN</t>
        </is>
      </c>
      <c r="D1475" s="143">
        <v>1.0</v>
      </c>
      <c r="E1475" s="143">
        <v>0.0</v>
      </c>
      <c r="F1475" s="143">
        <v>2.0</v>
      </c>
      <c r="G1475" s="143">
        <v>2.0</v>
      </c>
      <c r="H1475" s="143" t="inlineStr">
        <is>
          <t xml:space="preserve">Closed</t>
        </is>
      </c>
      <c r="I1475" s="143" t="inlineStr">
        <is>
          <t xml:space="preserve">25-10</t>
        </is>
      </c>
      <c r="J1475" s="143"/>
    </row>
    <row r="1476" spans="1:10">
      <c r="A1476" s="143" t="inlineStr">
        <is>
          <t xml:space="preserve">1468</t>
        </is>
      </c>
      <c r="B1476" s="143" t="inlineStr">
        <is>
          <t xml:space="preserve">33111996</t>
        </is>
      </c>
      <c r="C1476" s="143" t="inlineStr">
        <is>
          <t xml:space="preserve">S78-R10597/HZ-ASD; ENG.2 L/H T/REV THERMAL BLANKET WELD PATCH REPAIR</t>
        </is>
      </c>
      <c r="D1476" s="143">
        <v>1.0</v>
      </c>
      <c r="E1476" s="143">
        <v>7.5</v>
      </c>
      <c r="F1476" s="143">
        <v>26.8</v>
      </c>
      <c r="G1476" s="143">
        <v>32.0</v>
      </c>
      <c r="H1476" s="143" t="inlineStr">
        <is>
          <t xml:space="preserve">Closed</t>
        </is>
      </c>
      <c r="I1476" s="143" t="inlineStr">
        <is>
          <t xml:space="preserve">78-32</t>
        </is>
      </c>
      <c r="J1476" s="143"/>
    </row>
    <row r="1477" spans="1:10">
      <c r="A1477" s="143" t="inlineStr">
        <is>
          <t xml:space="preserve">1469</t>
        </is>
      </c>
      <c r="B1477" s="143" t="inlineStr">
        <is>
          <t xml:space="preserve">33114126</t>
        </is>
      </c>
      <c r="C1477" s="143" t="inlineStr">
        <is>
          <t xml:space="preserve">PNT - NO CALLBACK - COCKPIT FLIGHT OFFICER ALL AROUND WINDOW FRAME REQUIRED PAINT</t>
        </is>
      </c>
      <c r="D1477" s="143">
        <v>1.0</v>
      </c>
      <c r="E1477" s="143">
        <v>8.0</v>
      </c>
      <c r="F1477" s="143">
        <v>11.0</v>
      </c>
      <c r="G1477" s="143">
        <v>91.2</v>
      </c>
      <c r="H1477" s="143" t="inlineStr">
        <is>
          <t xml:space="preserve">Closed</t>
        </is>
      </c>
      <c r="I1477" s="143" t="inlineStr">
        <is>
          <t xml:space="preserve">25-10</t>
        </is>
      </c>
      <c r="J1477" s="143"/>
    </row>
    <row r="1478" spans="1:10">
      <c r="A1478" s="143" t="inlineStr">
        <is>
          <t xml:space="preserve">1470</t>
        </is>
      </c>
      <c r="B1478" s="143" t="inlineStr">
        <is>
          <t xml:space="preserve">33113900</t>
        </is>
      </c>
      <c r="C1478" s="143" t="inlineStr">
        <is>
          <t xml:space="preserve">S53-R10827/HZ-ASD RH MLG PNL 148FB AFT UPR CORNER - CHAFING AND MISSING MATERIAL</t>
        </is>
      </c>
      <c r="D1478" s="143">
        <v>1.0</v>
      </c>
      <c r="E1478" s="143">
        <v>3.7</v>
      </c>
      <c r="F1478" s="143">
        <v>84.7</v>
      </c>
      <c r="G1478" s="143">
        <v>151.3</v>
      </c>
      <c r="H1478" s="143" t="inlineStr">
        <is>
          <t xml:space="preserve">Closed</t>
        </is>
      </c>
      <c r="I1478" s="143">
        <v>53.0</v>
      </c>
      <c r="J1478" s="143"/>
    </row>
    <row r="1479" spans="1:10">
      <c r="A1479" s="143" t="inlineStr">
        <is>
          <t xml:space="preserve">1471</t>
        </is>
      </c>
      <c r="B1479" s="143" t="inlineStr">
        <is>
          <t xml:space="preserve">33115217</t>
        </is>
      </c>
      <c r="C1479" s="143" t="inlineStr">
        <is>
          <t xml:space="preserve">FINDING (NRC) TASKCARD 534143-01-3 (03) / ITEM-1 AFT &amp; FWD PAX DOOR GIRT-BAR FITTING BALNKING -PLATES REQ PNT</t>
        </is>
      </c>
      <c r="D1479" s="143">
        <v>1.0</v>
      </c>
      <c r="E1479" s="143">
        <v>12.0</v>
      </c>
      <c r="F1479" s="143">
        <v>18.5</v>
      </c>
      <c r="G1479" s="143">
        <v>8.32</v>
      </c>
      <c r="H1479" s="143" t="inlineStr">
        <is>
          <t xml:space="preserve">Closed</t>
        </is>
      </c>
      <c r="I1479" s="143" t="inlineStr">
        <is>
          <t xml:space="preserve">52-13-15</t>
        </is>
      </c>
      <c r="J1479" s="143"/>
    </row>
    <row r="1480" spans="1:10">
      <c r="A1480" s="143" t="inlineStr">
        <is>
          <t xml:space="preserve">1472</t>
        </is>
      </c>
      <c r="B1480" s="143" t="inlineStr">
        <is>
          <t xml:space="preserve">33118102</t>
        </is>
      </c>
      <c r="C1480" s="143" t="inlineStr">
        <is>
          <t xml:space="preserve">ENG NO.1 RH FAN COWL. PNT NO CALL BACK ENG NO.1 RH FAN COWL INBD SIDE REQUIRE PRIMER.</t>
        </is>
      </c>
      <c r="D1480" s="143">
        <v>1.0</v>
      </c>
      <c r="E1480" s="143">
        <v>0.0</v>
      </c>
      <c r="F1480" s="143">
        <v>13.5</v>
      </c>
      <c r="G1480" s="143">
        <v>73.9</v>
      </c>
      <c r="H1480" s="143" t="inlineStr">
        <is>
          <t xml:space="preserve">Closed</t>
        </is>
      </c>
      <c r="I1480" s="143">
        <v>71.0</v>
      </c>
      <c r="J1480" s="143"/>
    </row>
    <row r="1481" spans="1:10">
      <c r="A1481" s="143" t="inlineStr">
        <is>
          <t xml:space="preserve">1473</t>
        </is>
      </c>
      <c r="B1481" s="143" t="inlineStr">
        <is>
          <t xml:space="preserve">33118115</t>
        </is>
      </c>
      <c r="C1481" s="143" t="inlineStr">
        <is>
          <t xml:space="preserve">FINDING (NRC) TASKCARD DCC-32S (13) / ITEM ONE DURING DCC FOUND FWD WALL OF LAV D BEHIND CLOSET S302 TEDLAR DAMAGED</t>
        </is>
      </c>
      <c r="D1481" s="143">
        <v>1.0</v>
      </c>
      <c r="E1481" s="143">
        <v>0.0</v>
      </c>
      <c r="F1481" s="143">
        <v>15.0</v>
      </c>
      <c r="G1481" s="143">
        <v>50.4</v>
      </c>
      <c r="H1481" s="143" t="inlineStr">
        <is>
          <t xml:space="preserve">Closed</t>
        </is>
      </c>
      <c r="I1481" s="143" t="inlineStr">
        <is>
          <t xml:space="preserve">25-20</t>
        </is>
      </c>
      <c r="J1481" s="143"/>
    </row>
    <row r="1482" spans="1:10">
      <c r="A1482" s="143" t="inlineStr">
        <is>
          <t xml:space="preserve">1474</t>
        </is>
      </c>
      <c r="B1482" s="143" t="inlineStr">
        <is>
          <t xml:space="preserve">33118117</t>
        </is>
      </c>
      <c r="C1482" s="143" t="inlineStr">
        <is>
          <t xml:space="preserve">FINDING (NRC) TASKCARD DCC-32S (13) / ITEM ONE DURING DCC FOUND FWD WALL OF LAV E BEHIND CLOSET S201 TEDLAR DAMAGED</t>
        </is>
      </c>
      <c r="D1482" s="143">
        <v>1.0</v>
      </c>
      <c r="E1482" s="143">
        <v>0.0</v>
      </c>
      <c r="F1482" s="143">
        <v>14.0</v>
      </c>
      <c r="G1482" s="143">
        <v>50.2</v>
      </c>
      <c r="H1482" s="143" t="inlineStr">
        <is>
          <t xml:space="preserve">Closed</t>
        </is>
      </c>
      <c r="I1482" s="143" t="inlineStr">
        <is>
          <t xml:space="preserve">25-20</t>
        </is>
      </c>
      <c r="J1482" s="143"/>
    </row>
    <row r="1483" spans="1:10">
      <c r="A1483" s="143" t="inlineStr">
        <is>
          <t xml:space="preserve">1475</t>
        </is>
      </c>
      <c r="B1483" s="143" t="inlineStr">
        <is>
          <t xml:space="preserve">33119289</t>
        </is>
      </c>
      <c r="C1483" s="143" t="inlineStr">
        <is>
          <t xml:space="preserve">FINDING (NRC) TASKCARD 215222-01-1 (3) / ITEM-1 AP--NOCALLBACK LEFT HAND PACK CONNECTION BETWEEN AIR CYCLE MACHINE AND PRIMARY HEAT EXCHANGER AND ACM TURBINE LINE WITH LEAK</t>
        </is>
      </c>
      <c r="D1483" s="143">
        <v>1.0</v>
      </c>
      <c r="E1483" s="143">
        <v>0.0</v>
      </c>
      <c r="F1483" s="143">
        <v>10.0</v>
      </c>
      <c r="G1483" s="143">
        <v>24.1</v>
      </c>
      <c r="H1483" s="143" t="inlineStr">
        <is>
          <t xml:space="preserve">Closed</t>
        </is>
      </c>
      <c r="I1483" s="143" t="inlineStr">
        <is>
          <t xml:space="preserve">21-52</t>
        </is>
      </c>
      <c r="J1483" s="143"/>
    </row>
    <row r="1484" spans="1:10">
      <c r="A1484" s="143" t="inlineStr">
        <is>
          <t xml:space="preserve">1476</t>
        </is>
      </c>
      <c r="B1484" s="143" t="inlineStr">
        <is>
          <t xml:space="preserve">33119810</t>
        </is>
      </c>
      <c r="C1484" s="143" t="inlineStr">
        <is>
          <t xml:space="preserve">191BT PEELED OFF PAINT - PNT - NO CALLBACK WING TO FUSELAGE PANEL # 191BT FOUND WITH PEELED OFF PAINT, REQUIRE PAINT.</t>
        </is>
      </c>
      <c r="D1484" s="143">
        <v>1.0</v>
      </c>
      <c r="E1484" s="143">
        <v>10.0</v>
      </c>
      <c r="F1484" s="143">
        <v>10.5</v>
      </c>
      <c r="G1484" s="143">
        <v>6.0</v>
      </c>
      <c r="H1484" s="143" t="inlineStr">
        <is>
          <t xml:space="preserve">Closed</t>
        </is>
      </c>
      <c r="I1484" s="143" t="inlineStr">
        <is>
          <t xml:space="preserve">53-09</t>
        </is>
      </c>
      <c r="J1484" s="143"/>
    </row>
    <row r="1485" spans="1:10">
      <c r="A1485" s="143" t="inlineStr">
        <is>
          <t xml:space="preserve">1477</t>
        </is>
      </c>
      <c r="B1485" s="143" t="inlineStr">
        <is>
          <t xml:space="preserve">33122442</t>
        </is>
      </c>
      <c r="C1485" s="143" t="inlineStr">
        <is>
          <t xml:space="preserve">FADED IDENTIFICATION DECAL - PNT - NO CALL BACK FADED IDENTIFICATION DECAL ON LH/RH WING L/E PNL 522NB AND 621AB</t>
        </is>
      </c>
      <c r="D1485" s="143">
        <v>1.0</v>
      </c>
      <c r="E1485" s="143">
        <v>2.0</v>
      </c>
      <c r="F1485" s="143">
        <v>3.0</v>
      </c>
      <c r="G1485" s="143">
        <v>3.0</v>
      </c>
      <c r="H1485" s="143" t="inlineStr">
        <is>
          <t xml:space="preserve">Closed</t>
        </is>
      </c>
      <c r="I1485" s="143" t="inlineStr">
        <is>
          <t xml:space="preserve">57-20</t>
        </is>
      </c>
      <c r="J1485" s="143"/>
    </row>
    <row r="1486" spans="1:10">
      <c r="A1486" s="143" t="inlineStr">
        <is>
          <t xml:space="preserve">1478</t>
        </is>
      </c>
      <c r="B1486" s="143" t="inlineStr">
        <is>
          <t xml:space="preserve">33122455</t>
        </is>
      </c>
      <c r="C1486" s="143" t="inlineStr">
        <is>
          <t xml:space="preserve">CHIPPED OFF PAINT ON WING L/E PNLS - PNT- NO CALL BACK CHIPPED OFF PAINT ON WING L/E PNLS 522AB, 522UB, AND 622LB</t>
        </is>
      </c>
      <c r="D1486" s="143">
        <v>1.0</v>
      </c>
      <c r="E1486" s="143">
        <v>0.0</v>
      </c>
      <c r="F1486" s="143">
        <v>6.33</v>
      </c>
      <c r="G1486" s="143">
        <v>47.3</v>
      </c>
      <c r="H1486" s="143" t="inlineStr">
        <is>
          <t xml:space="preserve">Closed</t>
        </is>
      </c>
      <c r="I1486" s="143" t="inlineStr">
        <is>
          <t xml:space="preserve">57-20</t>
        </is>
      </c>
      <c r="J1486" s="143"/>
    </row>
    <row r="1487" spans="1:10">
      <c r="A1487" s="143" t="inlineStr">
        <is>
          <t xml:space="preserve">1479</t>
        </is>
      </c>
      <c r="B1487" s="143" t="inlineStr">
        <is>
          <t xml:space="preserve">33126431</t>
        </is>
      </c>
      <c r="C1487" s="143" t="inlineStr">
        <is>
          <t xml:space="preserve">MAIN BATT# 2 REQUIRED R/R  MAIN BATT #2 DUE TO BATTERY VOLTAGE FOUND LOW</t>
        </is>
      </c>
      <c r="D1487" s="143">
        <v>1.0</v>
      </c>
      <c r="E1487" s="143">
        <v>10.0</v>
      </c>
      <c r="F1487" s="143">
        <v>10.0</v>
      </c>
      <c r="G1487" s="143">
        <v>2.02</v>
      </c>
      <c r="H1487" s="143" t="inlineStr">
        <is>
          <t xml:space="preserve">Closed</t>
        </is>
      </c>
      <c r="I1487" s="143">
        <v>24.0</v>
      </c>
      <c r="J1487" s="143"/>
    </row>
    <row r="1488" spans="1:10">
      <c r="A1488" s="143" t="inlineStr">
        <is>
          <t xml:space="preserve">1480</t>
        </is>
      </c>
      <c r="B1488" s="143" t="inlineStr">
        <is>
          <t xml:space="preserve">33126961</t>
        </is>
      </c>
      <c r="C1488" s="143" t="inlineStr">
        <is>
          <t xml:space="preserve">PNT - NO CALLBACK - LAV A LAV A UPPER SERVICE CABINET DOOR PAINT FADED</t>
        </is>
      </c>
      <c r="D1488" s="143">
        <v>1.0</v>
      </c>
      <c r="E1488" s="143">
        <v>6.0</v>
      </c>
      <c r="F1488" s="143">
        <v>6.0</v>
      </c>
      <c r="G1488" s="143">
        <v>4.0</v>
      </c>
      <c r="H1488" s="143" t="inlineStr">
        <is>
          <t xml:space="preserve">Closed</t>
        </is>
      </c>
      <c r="I1488" s="143">
        <v>25.0</v>
      </c>
      <c r="J1488" s="143"/>
    </row>
    <row r="1489" spans="1:10">
      <c r="A1489" s="143" t="inlineStr">
        <is>
          <t xml:space="preserve">1481</t>
        </is>
      </c>
      <c r="B1489" s="143" t="inlineStr">
        <is>
          <t xml:space="preserve">33126962</t>
        </is>
      </c>
      <c r="C1489" s="143" t="inlineStr">
        <is>
          <t xml:space="preserve">LH WING TRAILING EDGE PANELS PAINT CHIPPED -- PNT -- NO CALL BACK LH WING TRAILING EDGE PANELS # 573BB AND 573AB FOUND WITH CHIPPED PAINT.</t>
        </is>
      </c>
      <c r="D1489" s="143">
        <v>1.0</v>
      </c>
      <c r="E1489" s="143">
        <v>5.0</v>
      </c>
      <c r="F1489" s="143">
        <v>5.0</v>
      </c>
      <c r="G1489" s="143">
        <v>2.52</v>
      </c>
      <c r="H1489" s="143" t="inlineStr">
        <is>
          <t xml:space="preserve">Closed</t>
        </is>
      </c>
      <c r="I1489" s="143" t="inlineStr">
        <is>
          <t xml:space="preserve">57-32</t>
        </is>
      </c>
      <c r="J1489" s="143"/>
    </row>
    <row r="1490" spans="1:10">
      <c r="A1490" s="143" t="inlineStr">
        <is>
          <t xml:space="preserve">1483</t>
        </is>
      </c>
      <c r="B1490" s="143" t="inlineStr">
        <is>
          <t xml:space="preserve">33127887</t>
        </is>
      </c>
      <c r="C1490" s="143" t="inlineStr">
        <is>
          <t xml:space="preserve">S29-R10066/HYDRAULIC SYS FLUID SAMPLE ANALYSIS.</t>
        </is>
      </c>
      <c r="D1490" s="143" t="inlineStr">
        <is>
          <t xml:space="preserve">RON</t>
        </is>
      </c>
      <c r="E1490" s="143">
        <v>4.5</v>
      </c>
      <c r="F1490" s="143">
        <v>6.5</v>
      </c>
      <c r="G1490" s="143">
        <v>22.02</v>
      </c>
      <c r="H1490" s="143" t="inlineStr">
        <is>
          <t xml:space="preserve">Closed</t>
        </is>
      </c>
      <c r="I1490" s="143">
        <v>29.0</v>
      </c>
      <c r="J1490" s="143"/>
    </row>
    <row r="1491" spans="1:10">
      <c r="A1491" s="143" t="inlineStr">
        <is>
          <t xml:space="preserve">1484</t>
        </is>
      </c>
      <c r="B1491" s="143" t="inlineStr">
        <is>
          <t xml:space="preserve">33129454</t>
        </is>
      </c>
      <c r="C1491" s="143" t="inlineStr">
        <is>
          <t xml:space="preserve">PANEL 344AT DETERIORATED DECAL---PNT---NO CALLBACK---- ELEVATOR PANEL NO (344AT) UPPER SURFACE HAS DETERIORATED DECAL REQ PNT ACTION</t>
        </is>
      </c>
      <c r="D1491" s="143">
        <v>1.0</v>
      </c>
      <c r="E1491" s="143">
        <v>0.0</v>
      </c>
      <c r="F1491" s="143">
        <v>4.0</v>
      </c>
      <c r="G1491" s="143">
        <v>4.37</v>
      </c>
      <c r="H1491" s="143" t="inlineStr">
        <is>
          <t xml:space="preserve">Closed</t>
        </is>
      </c>
      <c r="I1491" s="143" t="inlineStr">
        <is>
          <t xml:space="preserve">24-92</t>
        </is>
      </c>
      <c r="J1491" s="143"/>
    </row>
    <row r="1492" spans="1:10">
      <c r="A1492" s="143" t="inlineStr">
        <is>
          <t xml:space="preserve">1485</t>
        </is>
      </c>
      <c r="B1492" s="143" t="inlineStr">
        <is>
          <t xml:space="preserve">33129954</t>
        </is>
      </c>
      <c r="C1492" s="143" t="inlineStr">
        <is>
          <t xml:space="preserve">FINDING (NRC) TASKCARD DCC-32S (13) / ITEM ONE DURING DCC FOUND LAV D INNER WALL TEDLAR DAMAGED</t>
        </is>
      </c>
      <c r="D1492" s="143">
        <v>1.0</v>
      </c>
      <c r="E1492" s="143">
        <v>12.0</v>
      </c>
      <c r="F1492" s="143">
        <v>19.5</v>
      </c>
      <c r="G1492" s="143">
        <v>27.9</v>
      </c>
      <c r="H1492" s="143" t="inlineStr">
        <is>
          <t xml:space="preserve">Closed</t>
        </is>
      </c>
      <c r="I1492" s="143" t="inlineStr">
        <is>
          <t xml:space="preserve">25-20</t>
        </is>
      </c>
      <c r="J1492" s="143"/>
    </row>
    <row r="1493" spans="1:10">
      <c r="A1493" s="143" t="inlineStr">
        <is>
          <t xml:space="preserve">1486</t>
        </is>
      </c>
      <c r="B1493" s="143" t="inlineStr">
        <is>
          <t xml:space="preserve">33129955</t>
        </is>
      </c>
      <c r="C1493" s="143" t="inlineStr">
        <is>
          <t xml:space="preserve">FINDING (NRC) TASKCARD DCC-32S (13) / ITEM ONE DURING DCC FOUND CLOSET C101 TEDLAR DAMAGED</t>
        </is>
      </c>
      <c r="D1493" s="143">
        <v>1.0</v>
      </c>
      <c r="E1493" s="143">
        <v>6.0</v>
      </c>
      <c r="F1493" s="143">
        <v>13.0</v>
      </c>
      <c r="G1493" s="143">
        <v>14.82</v>
      </c>
      <c r="H1493" s="143" t="inlineStr">
        <is>
          <t xml:space="preserve">Closed</t>
        </is>
      </c>
      <c r="I1493" s="143" t="inlineStr">
        <is>
          <t xml:space="preserve">25-20</t>
        </is>
      </c>
      <c r="J1493" s="143"/>
    </row>
    <row r="1494" spans="1:10">
      <c r="A1494" s="143" t="inlineStr">
        <is>
          <t xml:space="preserve">1487</t>
        </is>
      </c>
      <c r="B1494" s="143" t="inlineStr">
        <is>
          <t xml:space="preserve">33129977</t>
        </is>
      </c>
      <c r="C1494" s="143" t="inlineStr">
        <is>
          <t xml:space="preserve">ELEVATOR PANELS UPPER SIDE WITH BROKEN SCREWS -SM--NO CALLBACK-- ELEVATOR UPPER/AFT SIDE PANELS  R/H SIDE ( 344AT, 344CT)   L/H SIDE ( 334AT, 334BT, 334CT, 334DT)   SCREWS HEAD BEEN CUT OFF , REMAINING SCREW SHANKS WITHIN CLIP NUTS.   REQ S/M ACTI...</t>
        </is>
      </c>
      <c r="D1494" s="143">
        <v>1.0</v>
      </c>
      <c r="E1494" s="143">
        <v>8.0</v>
      </c>
      <c r="F1494" s="143">
        <v>42.8</v>
      </c>
      <c r="G1494" s="143">
        <v>30.2</v>
      </c>
      <c r="H1494" s="143" t="inlineStr">
        <is>
          <t xml:space="preserve">Closed</t>
        </is>
      </c>
      <c r="I1494" s="143" t="inlineStr">
        <is>
          <t xml:space="preserve">05-23</t>
        </is>
      </c>
      <c r="J1494" s="143"/>
    </row>
    <row r="1495" spans="1:10">
      <c r="A1495" s="143" t="inlineStr">
        <is>
          <t xml:space="preserve">1488</t>
        </is>
      </c>
      <c r="B1495" s="143" t="inlineStr">
        <is>
          <t xml:space="preserve">33141095</t>
        </is>
      </c>
      <c r="C1495" s="143" t="inlineStr">
        <is>
          <t xml:space="preserve">PNT - NO CALL BACK - COCKPIT CAPTAIN SLIDING FOLDABLE TABLE AROUND DISK-LOCATING BLACK RUBBER AND MIDDLE LATCH REQ PAINT</t>
        </is>
      </c>
      <c r="D1495" s="143">
        <v>1.0</v>
      </c>
      <c r="E1495" s="143">
        <v>4.0</v>
      </c>
      <c r="F1495" s="143">
        <v>2.0</v>
      </c>
      <c r="G1495" s="143">
        <v>1.0</v>
      </c>
      <c r="H1495" s="143" t="inlineStr">
        <is>
          <t xml:space="preserve">Closed</t>
        </is>
      </c>
      <c r="I1495" s="143" t="inlineStr">
        <is>
          <t xml:space="preserve">25-10</t>
        </is>
      </c>
      <c r="J1495" s="143"/>
    </row>
    <row r="1496" spans="1:10">
      <c r="A1496" s="143" t="inlineStr">
        <is>
          <t xml:space="preserve">1489</t>
        </is>
      </c>
      <c r="B1496" s="143" t="inlineStr">
        <is>
          <t xml:space="preserve">95001850</t>
        </is>
      </c>
      <c r="C1496" s="143" t="inlineStr">
        <is>
          <t xml:space="preserve">.. SAFA FINDINGS .. ENG NO.1 SEVERAL FAN OUTLET GUIDE VANES FOUND WITH DAMAGED METAL LEADING EDGE AT 01, 04, 05, 08, 10, 12. OCLOCK POSITION.</t>
        </is>
      </c>
      <c r="D1496" s="143" t="inlineStr">
        <is>
          <t xml:space="preserve">N</t>
        </is>
      </c>
      <c r="E1496" s="143">
        <v>48.0</v>
      </c>
      <c r="F1496" s="143">
        <v>196.2</v>
      </c>
      <c r="G1496" s="143">
        <v>168.3</v>
      </c>
      <c r="H1496" s="143" t="inlineStr">
        <is>
          <t xml:space="preserve">Closed</t>
        </is>
      </c>
      <c r="I1496" s="143" t="inlineStr">
        <is>
          <t xml:space="preserve">72-00</t>
        </is>
      </c>
      <c r="J1496" s="143"/>
    </row>
    <row r="1497" spans="1:10">
      <c r="A1497" s="143" t="inlineStr">
        <is>
          <t xml:space="preserve">1490</t>
        </is>
      </c>
      <c r="B1497" s="143" t="inlineStr">
        <is>
          <t xml:space="preserve">33143467</t>
        </is>
      </c>
      <c r="C1497" s="143" t="inlineStr">
        <is>
          <t xml:space="preserve">CAB - NO CALL BACK DADO PANEL BETWEEN. 43/44 JKL DAMMAGE</t>
        </is>
      </c>
      <c r="D1497" s="143">
        <v>1.0</v>
      </c>
      <c r="E1497" s="143">
        <v>8.0</v>
      </c>
      <c r="F1497" s="143">
        <v>13.0</v>
      </c>
      <c r="G1497" s="143">
        <v>6.5</v>
      </c>
      <c r="H1497" s="143" t="inlineStr">
        <is>
          <t xml:space="preserve">Closed</t>
        </is>
      </c>
      <c r="I1497" s="143" t="inlineStr">
        <is>
          <t xml:space="preserve">25-20</t>
        </is>
      </c>
      <c r="J1497" s="143"/>
    </row>
    <row r="1498" spans="1:10">
      <c r="A1498" s="143" t="inlineStr">
        <is>
          <t xml:space="preserve">1491</t>
        </is>
      </c>
      <c r="B1498" s="143" t="inlineStr">
        <is>
          <t xml:space="preserve">33143477</t>
        </is>
      </c>
      <c r="C1498" s="143" t="inlineStr">
        <is>
          <t xml:space="preserve">CAB - NO CALL BACK CLOSET DOOR C101 UPPER SIDE TEDLAR DAMMAGE</t>
        </is>
      </c>
      <c r="D1498" s="143">
        <v>1.0</v>
      </c>
      <c r="E1498" s="143">
        <v>8.0</v>
      </c>
      <c r="F1498" s="143">
        <v>15.0</v>
      </c>
      <c r="G1498" s="143">
        <v>14.78</v>
      </c>
      <c r="H1498" s="143" t="inlineStr">
        <is>
          <t xml:space="preserve">Closed</t>
        </is>
      </c>
      <c r="I1498" s="143" t="inlineStr">
        <is>
          <t xml:space="preserve">25-20</t>
        </is>
      </c>
      <c r="J1498" s="143"/>
    </row>
    <row r="1499" spans="1:10">
      <c r="A1499" s="143" t="inlineStr">
        <is>
          <t xml:space="preserve">1492</t>
        </is>
      </c>
      <c r="B1499" s="143" t="inlineStr">
        <is>
          <t xml:space="preserve">33143702</t>
        </is>
      </c>
      <c r="C1499" s="143" t="inlineStr">
        <is>
          <t xml:space="preserve">CAB - NO CALL BACK - WINDOW DURING RE INSTALLATION OF SIDEWALL FOUND WINDOW INNER COVER DAMAGED</t>
        </is>
      </c>
      <c r="D1499" s="143">
        <v>1.0</v>
      </c>
      <c r="E1499" s="143">
        <v>0.0</v>
      </c>
      <c r="F1499" s="143">
        <v>6.0</v>
      </c>
      <c r="G1499" s="143">
        <v>9.73</v>
      </c>
      <c r="H1499" s="143" t="inlineStr">
        <is>
          <t xml:space="preserve">Closed</t>
        </is>
      </c>
      <c r="I1499" s="143">
        <v>25.0</v>
      </c>
      <c r="J1499" s="143"/>
    </row>
    <row r="1500" spans="1:10">
      <c r="A1500" s="143" t="inlineStr">
        <is>
          <t xml:space="preserve">1493</t>
        </is>
      </c>
      <c r="B1500" s="143" t="inlineStr">
        <is>
          <t xml:space="preserve">33147441</t>
        </is>
      </c>
      <c r="C1500" s="143" t="inlineStr">
        <is>
          <t xml:space="preserve">FINDING (NRC) TASKCARD 25-SVA-05 (01) / ITEM ONE G/C SEATS# 35J, 36C AND 39C BUMPER – ENDBAY LOOSE.</t>
        </is>
      </c>
      <c r="D1500" s="143">
        <v>1.0</v>
      </c>
      <c r="E1500" s="143">
        <v>2.0</v>
      </c>
      <c r="F1500" s="143">
        <v>2.0</v>
      </c>
      <c r="G1500" s="143">
        <v>2.0</v>
      </c>
      <c r="H1500" s="143" t="inlineStr">
        <is>
          <t xml:space="preserve">Closed</t>
        </is>
      </c>
      <c r="I1500" s="143" t="inlineStr">
        <is>
          <t xml:space="preserve">25-21</t>
        </is>
      </c>
      <c r="J1500" s="143"/>
    </row>
    <row r="1501" spans="1:10">
      <c r="A1501" s="143" t="inlineStr">
        <is>
          <t xml:space="preserve">1497</t>
        </is>
      </c>
      <c r="B1501" s="143" t="inlineStr">
        <is>
          <t xml:space="preserve">33151610</t>
        </is>
      </c>
      <c r="C1501" s="143" t="inlineStr">
        <is>
          <t xml:space="preserve">ENGINE 1 STARTER SERVICING -- AP REFER TO TASKCARD: 801110-C3-1-001 STEP 1(7)</t>
        </is>
      </c>
      <c r="D1501" s="143">
        <v>1.0</v>
      </c>
      <c r="E1501" s="143">
        <v>4.0</v>
      </c>
      <c r="F1501" s="143">
        <v>3.0</v>
      </c>
      <c r="G1501" s="143">
        <v>24.1</v>
      </c>
      <c r="H1501" s="143" t="inlineStr">
        <is>
          <t xml:space="preserve">Closed</t>
        </is>
      </c>
      <c r="I1501" s="143" t="inlineStr">
        <is>
          <t xml:space="preserve">12-13</t>
        </is>
      </c>
      <c r="J1501" s="143"/>
    </row>
    <row r="1502" spans="1:10">
      <c r="A1502" s="143" t="inlineStr">
        <is>
          <t xml:space="preserve">1499</t>
        </is>
      </c>
      <c r="B1502" s="143" t="inlineStr">
        <is>
          <t xml:space="preserve">33152581</t>
        </is>
      </c>
      <c r="C1502" s="143" t="inlineStr">
        <is>
          <t xml:space="preserve">FINDING (NRC) TASKCARD DCC-32S (13) / ITEM ONE DURING DCC FOUND AFT WALL OF SEAT 44 ABC TEDLAR DAMAGED</t>
        </is>
      </c>
      <c r="D1502" s="143">
        <v>1.0</v>
      </c>
      <c r="E1502" s="143">
        <v>13.0</v>
      </c>
      <c r="F1502" s="143">
        <v>13.0</v>
      </c>
      <c r="G1502" s="143">
        <v>6.5</v>
      </c>
      <c r="H1502" s="143" t="inlineStr">
        <is>
          <t xml:space="preserve">Closed</t>
        </is>
      </c>
      <c r="I1502" s="143" t="inlineStr">
        <is>
          <t xml:space="preserve">25-20</t>
        </is>
      </c>
      <c r="J1502" s="143"/>
    </row>
    <row r="1503" spans="1:10">
      <c r="A1503" s="143" t="inlineStr">
        <is>
          <t xml:space="preserve">1500</t>
        </is>
      </c>
      <c r="B1503" s="143" t="inlineStr">
        <is>
          <t xml:space="preserve">33152650</t>
        </is>
      </c>
      <c r="C1503" s="143" t="inlineStr">
        <is>
          <t xml:space="preserve">FINDING (NRC) TASKCARD DCC-32S (13) / ITEM ONE DURING DCC FOUND LAV D OUTER WALL TEDLAR DAMAGED</t>
        </is>
      </c>
      <c r="D1503" s="143">
        <v>1.0</v>
      </c>
      <c r="E1503" s="143">
        <v>13.0</v>
      </c>
      <c r="F1503" s="143">
        <v>13.0</v>
      </c>
      <c r="G1503" s="143">
        <v>6.55</v>
      </c>
      <c r="H1503" s="143" t="inlineStr">
        <is>
          <t xml:space="preserve">Closed</t>
        </is>
      </c>
      <c r="I1503" s="143" t="inlineStr">
        <is>
          <t xml:space="preserve">25-20</t>
        </is>
      </c>
      <c r="J1503" s="143"/>
    </row>
    <row r="1504" spans="1:10">
      <c r="A1504" s="143" t="inlineStr">
        <is>
          <t xml:space="preserve">1501</t>
        </is>
      </c>
      <c r="B1504" s="143" t="inlineStr">
        <is>
          <t xml:space="preserve">33152727</t>
        </is>
      </c>
      <c r="C1504" s="143" t="inlineStr">
        <is>
          <t xml:space="preserve">WING ROOT PANEL 192DT HAS BROKEN ANCHOR NUTS--SM--NO CALLBACK-- R/H WING ROOT PANEL 192DT HAS 2 BROKEN ANCHOR NUTS,  REQ S/M ACTION.</t>
        </is>
      </c>
      <c r="D1504" s="143">
        <v>1.0</v>
      </c>
      <c r="E1504" s="143">
        <v>0.0</v>
      </c>
      <c r="F1504" s="143">
        <v>28.3</v>
      </c>
      <c r="G1504" s="143">
        <v>8.5</v>
      </c>
      <c r="H1504" s="143" t="inlineStr">
        <is>
          <t xml:space="preserve">Closed</t>
        </is>
      </c>
      <c r="I1504" s="143" t="inlineStr">
        <is>
          <t xml:space="preserve">28-11</t>
        </is>
      </c>
      <c r="J1504" s="143"/>
    </row>
    <row r="1505" spans="1:10">
      <c r="A1505" s="143" t="inlineStr">
        <is>
          <t xml:space="preserve">1502</t>
        </is>
      </c>
      <c r="B1505" s="143" t="inlineStr">
        <is>
          <t xml:space="preserve">33155724</t>
        </is>
      </c>
      <c r="C1505" s="143" t="inlineStr">
        <is>
          <t xml:space="preserve">ENGINE 2 STARTER SERVICING -- AP REFER TO TC 801110-C3-1-002 STEP 1 (7)</t>
        </is>
      </c>
      <c r="D1505" s="143">
        <v>1.0</v>
      </c>
      <c r="E1505" s="143">
        <v>4.0</v>
      </c>
      <c r="F1505" s="143">
        <v>12.0</v>
      </c>
      <c r="G1505" s="143">
        <v>148.7</v>
      </c>
      <c r="H1505" s="143" t="inlineStr">
        <is>
          <t xml:space="preserve">Closed</t>
        </is>
      </c>
      <c r="I1505" s="143" t="inlineStr">
        <is>
          <t xml:space="preserve">12-13</t>
        </is>
      </c>
      <c r="J1505" s="143"/>
    </row>
    <row r="1506" spans="1:10">
      <c r="A1506" s="143" t="inlineStr">
        <is>
          <t xml:space="preserve">1503</t>
        </is>
      </c>
      <c r="B1506" s="143" t="inlineStr">
        <is>
          <t xml:space="preserve">33157310</t>
        </is>
      </c>
      <c r="C1506" s="143" t="inlineStr">
        <is>
          <t xml:space="preserve">FINDING (NRC) TASKCARD DCC-32S (13) / ITEM ONE DURING DCC FOUND LAV D DOOR BOTH SIDE TEDLAR DAMAGED</t>
        </is>
      </c>
      <c r="D1506" s="143">
        <v>1.0</v>
      </c>
      <c r="E1506" s="143">
        <v>13.0</v>
      </c>
      <c r="F1506" s="143">
        <v>13.0</v>
      </c>
      <c r="G1506" s="143">
        <v>6.53</v>
      </c>
      <c r="H1506" s="143" t="inlineStr">
        <is>
          <t xml:space="preserve">Closed</t>
        </is>
      </c>
      <c r="I1506" s="143" t="inlineStr">
        <is>
          <t xml:space="preserve">25-20</t>
        </is>
      </c>
      <c r="J1506" s="143"/>
    </row>
    <row r="1507" spans="1:10">
      <c r="A1507" s="143" t="inlineStr">
        <is>
          <t xml:space="preserve">1504</t>
        </is>
      </c>
      <c r="B1507" s="143" t="inlineStr">
        <is>
          <t xml:space="preserve">33157316</t>
        </is>
      </c>
      <c r="C1507" s="143" t="inlineStr">
        <is>
          <t xml:space="preserve">FINDING (NRC) TASKCARD DCC-32S (13) / ITEM ONE DURING DCC FOUND CLOSET C201, C202, C203 TEDLAR DAMAGED</t>
        </is>
      </c>
      <c r="D1507" s="143">
        <v>1.0</v>
      </c>
      <c r="E1507" s="143">
        <v>7.0</v>
      </c>
      <c r="F1507" s="143">
        <v>8.5</v>
      </c>
      <c r="G1507" s="143">
        <v>105.7</v>
      </c>
      <c r="H1507" s="143" t="inlineStr">
        <is>
          <t xml:space="preserve">Closed</t>
        </is>
      </c>
      <c r="I1507" s="143" t="inlineStr">
        <is>
          <t xml:space="preserve">25-20</t>
        </is>
      </c>
      <c r="J1507" s="143"/>
    </row>
    <row r="1508" spans="1:10">
      <c r="A1508" s="143" t="inlineStr">
        <is>
          <t xml:space="preserve">1505</t>
        </is>
      </c>
      <c r="B1508" s="143" t="inlineStr">
        <is>
          <t xml:space="preserve">33157427</t>
        </is>
      </c>
      <c r="C1508" s="143" t="inlineStr">
        <is>
          <t xml:space="preserve">PNT - RH WING - 631AB - NO CALLBACK RH WING 631AB ACCESS PANEL FWD EDGE REQUIRES PAINT TOUCH UP AS PER INSP FINDING.</t>
        </is>
      </c>
      <c r="D1508" s="143">
        <v>1.0</v>
      </c>
      <c r="E1508" s="143">
        <v>8.0</v>
      </c>
      <c r="F1508" s="143">
        <v>7.0</v>
      </c>
      <c r="G1508" s="143">
        <v>4.72</v>
      </c>
      <c r="H1508" s="143" t="inlineStr">
        <is>
          <t xml:space="preserve">Closed</t>
        </is>
      </c>
      <c r="I1508" s="143" t="inlineStr">
        <is>
          <t xml:space="preserve">05-25</t>
        </is>
      </c>
      <c r="J1508" s="143"/>
    </row>
    <row r="1509" spans="1:10">
      <c r="A1509" s="143" t="inlineStr">
        <is>
          <t xml:space="preserve">1506</t>
        </is>
      </c>
      <c r="B1509" s="143" t="inlineStr">
        <is>
          <t xml:space="preserve">33157449</t>
        </is>
      </c>
      <c r="C1509" s="143" t="inlineStr">
        <is>
          <t xml:space="preserve">INSPECTOR FINDING - RH WING - 631AT - CALLBACK RH WING ACCESS PANEL 631AT FWD EDGE SEAL IS WORN OUT. REQUIRES REPLACEMENT.</t>
        </is>
      </c>
      <c r="D1509" s="143">
        <v>1.0</v>
      </c>
      <c r="E1509" s="143">
        <v>0.0</v>
      </c>
      <c r="F1509" s="143">
        <v>29.0</v>
      </c>
      <c r="G1509" s="143">
        <v>79.5</v>
      </c>
      <c r="H1509" s="143" t="inlineStr">
        <is>
          <t xml:space="preserve">Closed</t>
        </is>
      </c>
      <c r="I1509" s="143" t="inlineStr">
        <is>
          <t xml:space="preserve">05-25</t>
        </is>
      </c>
      <c r="J1509" s="143"/>
    </row>
    <row r="1510" spans="1:10">
      <c r="A1510" s="143" t="inlineStr">
        <is>
          <t xml:space="preserve">1509</t>
        </is>
      </c>
      <c r="B1510" s="143" t="inlineStr">
        <is>
          <t xml:space="preserve">33157484</t>
        </is>
      </c>
      <c r="C1510" s="143" t="inlineStr">
        <is>
          <t xml:space="preserve">AP - RH WING - TRAILING EDGE - CALLBACK RH WING TRAILING EDGE ACCESS PANEL 673AB SEAL IS WORN OUT AND REQUIRES REPLACEMENT.</t>
        </is>
      </c>
      <c r="D1510" s="143">
        <v>1.0</v>
      </c>
      <c r="E1510" s="143">
        <v>0.0</v>
      </c>
      <c r="F1510" s="143">
        <v>29.5</v>
      </c>
      <c r="G1510" s="143">
        <v>68.2</v>
      </c>
      <c r="H1510" s="143" t="inlineStr">
        <is>
          <t xml:space="preserve">Closed</t>
        </is>
      </c>
      <c r="I1510" s="143" t="inlineStr">
        <is>
          <t xml:space="preserve">57-51</t>
        </is>
      </c>
      <c r="J1510" s="143"/>
    </row>
    <row r="1511" spans="1:10">
      <c r="A1511" s="143" t="inlineStr">
        <is>
          <t xml:space="preserve">1511</t>
        </is>
      </c>
      <c r="B1511" s="143" t="inlineStr">
        <is>
          <t xml:space="preserve">33172980</t>
        </is>
      </c>
      <c r="C1511" s="143" t="inlineStr">
        <is>
          <t xml:space="preserve">AP-- NLG LH WHEEL   HUB CAP ---NO CALL BACK NLG LH WHEEL  GROMMET IN THE HUBCAP   MISSING</t>
        </is>
      </c>
      <c r="D1511" s="143">
        <v>1.0</v>
      </c>
      <c r="E1511" s="143">
        <v>0.0</v>
      </c>
      <c r="F1511" s="143">
        <v>2.0</v>
      </c>
      <c r="G1511" s="143">
        <v>1.0</v>
      </c>
      <c r="H1511" s="143" t="inlineStr">
        <is>
          <t xml:space="preserve">Closed</t>
        </is>
      </c>
      <c r="I1511" s="143" t="inlineStr">
        <is>
          <t xml:space="preserve">32-21</t>
        </is>
      </c>
      <c r="J1511" s="143"/>
    </row>
    <row r="1512" spans="1:10">
      <c r="A1512" s="143" t="inlineStr">
        <is>
          <t xml:space="preserve">1514</t>
        </is>
      </c>
      <c r="B1512" s="143" t="inlineStr">
        <is>
          <t xml:space="preserve">33174881</t>
        </is>
      </c>
      <c r="C1512" s="143" t="inlineStr">
        <is>
          <t xml:space="preserve">FWD CGO..... PNT....NO CALL BACK FWD CGO SIDEWALL PANEL NO 132KW REQ PAINT</t>
        </is>
      </c>
      <c r="D1512" s="143">
        <v>1.0</v>
      </c>
      <c r="E1512" s="143">
        <v>0.0</v>
      </c>
      <c r="F1512" s="143">
        <v>6.5</v>
      </c>
      <c r="G1512" s="143">
        <v>6.5</v>
      </c>
      <c r="H1512" s="143" t="inlineStr">
        <is>
          <t xml:space="preserve">Closed</t>
        </is>
      </c>
      <c r="I1512" s="143" t="inlineStr">
        <is>
          <t xml:space="preserve">11-35</t>
        </is>
      </c>
      <c r="J1512" s="143"/>
    </row>
    <row r="1513" spans="1:10">
      <c r="A1513" s="143" t="inlineStr">
        <is>
          <t xml:space="preserve">1533</t>
        </is>
      </c>
      <c r="B1513" s="143" t="inlineStr">
        <is>
          <t xml:space="preserve">33191839</t>
        </is>
      </c>
      <c r="C1513" s="143" t="inlineStr">
        <is>
          <t xml:space="preserve">CAB - RII - SMOKE HOOD SMOKE HOOD BOX NEXT TO R2 F/A SEAT FOUND DAMAGED,</t>
        </is>
      </c>
      <c r="D1513" s="143">
        <v>1.0</v>
      </c>
      <c r="E1513" s="143">
        <v>0.0</v>
      </c>
      <c r="F1513" s="143">
        <v>4.5</v>
      </c>
      <c r="G1513" s="143">
        <v>3.28</v>
      </c>
      <c r="H1513" s="143" t="inlineStr">
        <is>
          <t xml:space="preserve">Closed</t>
        </is>
      </c>
      <c r="I1513" s="143" t="inlineStr">
        <is>
          <t xml:space="preserve">25-00</t>
        </is>
      </c>
      <c r="J1513" s="143"/>
    </row>
  </sheetData>
  <autoFilter ref="A1:J125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 Alghamdi</cp:lastModifiedBy>
  <cp:revision>0</cp:revision>
  <dcterms:created xsi:type="dcterms:W3CDTF">2026-05-16T21:41:08Z</dcterms:created>
  <dcterms:modified xsi:type="dcterms:W3CDTF">2026-08-26T10:52:01Z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