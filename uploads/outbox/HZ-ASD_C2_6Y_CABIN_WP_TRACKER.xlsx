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'AOG'!$A$4:$M$200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s>
  <fills count="73">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24">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cellXfs>
  <cellStyles count="1">
    <cellStyle name="عادي" xfId="0" builtinId="0"/>
  </cellStyles>
  <dxfs count="143">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S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"&amp;COUNTIFS(A4:A993,"&lt;&gt;",F4:F993,"AOG",E4:E993,"&lt;&gt;Closed")&amp;"     ⚠️ Critical: "&amp;COUNTIFS(A4:A993,"&lt;&gt;",F4:F993,"Critical",E4:E993,"&lt;&gt;Closed")&amp;"     🔓 Access: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t="15.6" customFormat="1" customHeight="1" s="318">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ht="15.6" customHeight="1">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ht="15.6" customHeight="1">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ht="15.6" customHeight="1">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ht="15.6" customHeight="1">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ht="15.6" customHeight="1">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ht="15.6" customHeight="1">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ht="15.6" customHeight="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hidden="1" ht="15.6" customHeight="1">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hidden="1" ht="15.6" customHeight="1">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ht="15.6" customHeight="1">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ht="15.6" customHeight="1">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hidden="1" ht="15.6" customHeight="1">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ht="15.6" customHeight="1">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ht="15.6" customHeight="1">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ht="31.2" customHeight="1">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ht="46.8" customHeight="1">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ht="46.8" customHeight="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ht="31.2" customHeight="1">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ht="30" customHeight="1">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ht="15.6" customHeight="1">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ht="46.8" customHeight="1">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ht="15.6" customHeight="1">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ht="31.2" customHeight="1">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hidden="1" ht="15.6" customHeight="1">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hidden="1" ht="15.6" customHeight="1">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ht="15.6" customHeight="1">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ht="15.6" customHeight="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ht="15.6" customHeight="1">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ht="46.8" customHeight="1">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hidden="1" ht="15.6" customHeight="1">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ht="15.6" customHeight="1">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ht="15.6" customHeight="1">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ht="15.6" customHeight="1">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ht="15.6" customHeight="1">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ht="31.2" customHeight="1">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ht="15.6" customHeight="1">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ht="15.6" customHeight="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ht="15.6" customHeight="1">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ht="15.6" customHeight="1">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ht="15.6" customHeight="1">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ht="15.6" customHeight="1">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hidden="1" ht="30" customHeight="1">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hidden="1" ht="15.6" customHeight="1">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hidden="1" ht="15.6" customHeight="1">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ht="15.6" customHeight="1">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ht="15.6" customHeight="1">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hidden="1" ht="15.6" customHeight="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hidden="1" ht="15.6" customHeight="1">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ht="15.6" customHeight="1">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hidden="1" ht="15.6" customHeight="1">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hidden="1" ht="15.6" customHeight="1">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ht="15.6" customHeight="1">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ht="15.6" customHeight="1">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ht="30" customHeight="1">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hidden="1" ht="15.6" customHeight="1">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ht="15.6" customHeight="1">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ht="15.6" customHeight="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hidden="1" ht="15.6" customHeight="1">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hidden="1" ht="15.6" customHeight="1">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hidden="1" ht="15.6" customHeight="1">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hidden="1" ht="15.6" customHeight="1">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ht="15.6" customHeight="1">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ht="31.2" customHeight="1">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ht="15.6" customHeight="1">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ht="15.6" customHeight="1">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ht="30" customHeight="1">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ht="15.6" customHeight="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ht="15.6" customHeight="1">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ht="15.6" customHeight="1">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ht="15.6" customHeight="1">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ht="15.6" customHeight="1">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ht="15.6" customHeight="1">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ht="15.6" customHeight="1">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ht="15.6" customHeight="1">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ht="15.6" customHeight="1">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ht="15.6" customHeight="1">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ht="15.6" customHeight="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ht="15.6" customHeight="1">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ht="30" customHeight="1">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ht="15.6" customHeight="1">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ht="15.6" customHeight="1">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ht="15.6" customHeight="1">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hidden="1" ht="15.6" customHeight="1">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hidden="1" ht="15.6" customHeight="1">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hidden="1" ht="15.6" customHeight="1">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ht="15.6" customHeight="1">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hidden="1" ht="15.6" customHeight="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hidden="1" ht="15.6" customHeight="1">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ht="15.6" customHeight="1">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hidden="1" ht="15.6" customHeight="1">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ht="15.6" customHeight="1">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ht="15.6" customHeight="1">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hidden="1" ht="15.6" customHeight="1">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hidden="1" ht="15.6" customHeight="1">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ht="15.6" customHeight="1">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ht="15.6" customHeight="1">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ht="15.6" customHeight="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ht="30" customHeight="1">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ht="15.6" customHeight="1">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ht="30" customHeight="1">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ht="30" customHeight="1">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ht="15.6" customHeight="1">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ht="15.6" customHeight="1">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ht="15.6" customHeight="1">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ht="15.6" customHeight="1">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hidden="1" ht="15.6" customHeight="1">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hidden="1" ht="15.6" customHeight="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ht="15.6" customHeight="1">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ht="15.6" customHeight="1">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hidden="1" ht="15.6" customHeight="1">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hidden="1" ht="15.6" customHeight="1">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hidden="1" ht="15.6" customHeight="1">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ht="15.6" customHeight="1">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hidden="1" ht="15.6" customHeight="1">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hidden="1" ht="30" customHeight="1">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ht="30" customHeight="1">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ht="15.6" customHeight="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ht="15.6" customHeight="1">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ht="15.6" customHeight="1">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ht="15.6" customHeight="1">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hidden="1" ht="15.6" customHeight="1">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hidden="1" ht="15.6" customHeight="1">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hidden="1" ht="15.6" customHeight="1">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hidden="1" ht="15.6" customHeight="1">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hidden="1" ht="15.6" customHeight="1">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hidden="1" ht="15.6" customHeight="1">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ht="15.6" customHeight="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hidden="1" ht="30" customHeight="1">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ht="30" customHeight="1">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hidden="1" ht="30" customHeight="1">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ht="30" customHeight="1">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ht="30" customHeight="1">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ht="30" customHeight="1">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ht="15.6" customHeight="1">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ht="30" customHeight="1">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ht="15.6" customHeight="1">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hidden="1" ht="15.6" customHeight="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ht="15.6" customHeight="1">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hidden="1" ht="15.6" customHeight="1">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ht="15.6" customHeight="1">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ht="15.6" customHeight="1">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ht="15.6" customHeight="1">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ht="15.6" customHeight="1">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ht="15.6" customHeight="1">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ht="15.6" customHeight="1">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ht="31.2" customHeight="1">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ht="31.2" customHeight="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ht="15.6" customHeight="1">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ht="15.6" customHeight="1">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hidden="1" ht="30" customHeight="1">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ht="30" customHeight="1">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ht="30" customHeight="1">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ht="15.6" customHeight="1">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ht="30" customHeight="1">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ht="15.6" customHeight="1">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ht="15.6" customHeight="1">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ht="15.6" customHeight="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ht="15.6" customHeight="1">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ht="31.2" customHeight="1">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ht="15.6" customHeight="1">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ht="15.6" customHeight="1">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ht="15.6" customHeight="1">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ht="15.6" customHeight="1">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ht="30" customHeight="1">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ht="30" customHeight="1">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ht="30" customHeight="1">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ht="30" customHeight="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ht="30" customHeight="1">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ht="30" customHeight="1">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ht="15.6" customHeight="1">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ht="15.6" customHeight="1">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hidden="1" ht="15.6" customHeight="1">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ht="15.6" customHeight="1">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ht="15.6" customHeight="1">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ht="15.6" customHeight="1">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ht="15.6" customHeight="1">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ht="15.6" customHeight="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ht="15.6" customHeight="1">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ht="15.6" customHeight="1">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ht="15.6" customHeight="1">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ht="15.6" customHeight="1">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ht="15.6" customHeight="1">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hidden="1" ht="30" customHeight="1">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hidden="1" ht="30" customHeight="1">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ht="30" customHeight="1">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hidden="1" ht="30" customHeight="1">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hidden="1" ht="45" customHeight="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hidden="1" ht="30" customHeight="1">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hidden="1" ht="30" customHeight="1">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hidden="1" ht="30" customHeight="1">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hidden="1" ht="30" customHeight="1">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hidden="1" ht="30" customHeight="1">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hidden="1" ht="30" customHeight="1">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ht="30" customHeight="1">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ht="30" customHeight="1">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hidden="1" ht="30" customHeight="1">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hidden="1" ht="30" customHeight="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hidden="1" ht="30" customHeight="1">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ht="30" customHeight="1">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ht="30" customHeight="1">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ht="30" customHeight="1">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hidden="1" ht="15.6" customHeight="1">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ht="15.6" customHeight="1">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hidden="1" ht="30" customHeight="1">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hidden="1" ht="30" customHeight="1">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hidden="1" ht="30" customHeight="1">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hidden="1" ht="30" customHeight="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ht="30" customHeight="1">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ht="15.6" customHeight="1">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ht="15.6" customHeight="1">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hidden="1" ht="30" customHeight="1">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ht="30" customHeight="1">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ht="15.6" customHeight="1">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ht="15.6" customHeight="1">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ht="30" customHeight="1">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hidden="1" ht="30" customHeight="1">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hidden="1" ht="30" customHeight="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ht="30" customHeight="1">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hidden="1" ht="30" customHeight="1">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hidden="1" ht="30" customHeight="1">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hidden="1" ht="30" customHeight="1">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ht="30" customHeight="1">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hidden="1" ht="15.6" customHeight="1">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ht="15.6" customHeight="1">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hidden="1" ht="15.6" customHeight="1">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ht="15.6" customHeight="1">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ht="15.6" customHeight="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ht="15.6" customHeight="1">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ht="15.6" customHeight="1">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ht="30" customHeight="1">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ht="15.6" customHeight="1">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ht="30" customHeight="1">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ht="30" customHeight="1">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ht="30" customHeight="1">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ht="30" customHeight="1">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ht="30" customHeight="1">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ht="30" customHeight="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ht="30" customHeight="1">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ht="30" customHeight="1">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ht="30" customHeight="1">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hidden="1" ht="15.6" customHeight="1">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ht="15.6" customHeight="1">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ht="30" customHeight="1">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ht="30" customHeight="1">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hidden="1" ht="15.6" customHeight="1">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ht="15.6" customHeight="1">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hidden="1" ht="30" customHeight="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hidden="1" ht="15.6" customHeight="1">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ht="15.6" customHeight="1">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ht="15.6" customHeight="1">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ht="30" customHeight="1">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ht="30" customHeight="1">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ht="30" customHeight="1">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ht="30" customHeight="1">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ht="15.6" customHeight="1">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ht="15.6" customHeight="1">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hidden="1" ht="30" customHeight="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hidden="1" ht="15.6" customHeight="1">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ht="15.6" customHeight="1">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hidden="1" ht="15.6" customHeight="1">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hidden="1" ht="15.6" customHeight="1">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hidden="1" ht="15.6" customHeight="1">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ht="15.6" customHeight="1">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ht="15.6" customHeight="1">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hidden="1" ht="30" customHeight="1">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ht="30" customHeight="1">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ht="30" customHeight="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hidden="1" ht="15.6" customHeight="1">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hidden="1" ht="15.6" customHeight="1">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ht="15.6" customHeight="1">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ht="15.6" customHeight="1">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hidden="1" ht="15.6" customHeight="1">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ht="15.6" customHeight="1">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ht="15.6" customHeight="1">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ht="62.4" customHeight="1">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ht="62.4" customHeight="1">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ht="15.6" customHeight="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ht="45" customHeight="1">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ht="30" customHeight="1">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ht="15.6" customHeight="1">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hidden="1" ht="15.6" customHeight="1">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hidden="1" ht="15.6" customHeight="1">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ht="15.6" customHeight="1">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ht="30" customHeight="1">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hidden="1" ht="15.6" customHeight="1">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ht="15.6" customHeight="1">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ht="15.6" customHeight="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ht="15.6" customHeight="1">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ht="15.6" customHeight="1">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ht="15.6" customHeight="1">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ht="30" customHeight="1">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ht="15.6" customHeight="1">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hidden="1" ht="30" customHeight="1">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ht="30" customHeight="1">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ht="31.2" customHeight="1">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ht="30" customHeight="1">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ht="30" customHeight="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ht="30" customHeight="1">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ht="30" customHeight="1">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ht="30" customHeight="1">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ht="30" customHeight="1">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ht="30" customHeight="1">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ht="30" customHeight="1">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hidden="1" ht="30" customHeight="1">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ht="30" customHeight="1">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ht="15.6" customHeight="1">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ht="15.6" customHeight="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ht="30" customHeight="1">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ht="30" customHeight="1">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ht="15.6" customHeight="1">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ht="30" customHeight="1">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ht="30" customHeight="1">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ht="15.6" customHeight="1">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ht="30" customHeight="1">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hidden="1" ht="30" customHeight="1">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hidden="1" ht="30" customHeight="1">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ht="30" customHeight="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ht="15.6" customHeight="1">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15.6" customHeight="1">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hidden="1" ht="30" customHeight="1">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ht="30" customHeight="1">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ht="15.6" customHeight="1">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ht="30" customHeight="1">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ht="30" customHeight="1">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ht="30" customHeight="1">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ht="30" customHeight="1">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hidden="1" ht="30" customHeight="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hidden="1" ht="15.6" customHeight="1">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hidden="1" ht="15.6" customHeight="1">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hidden="1" ht="15.6" customHeight="1">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hidden="1" ht="15.6" customHeight="1">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ht="15.6" customHeight="1">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ht="15.6" customHeight="1">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ht="30" customHeight="1">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ht="30" customHeight="1">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hidden="1" ht="30" customHeight="1">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ht="30" customHeight="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ht="15.6" customHeight="1">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hidden="1" ht="30" customHeight="1">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ht="30" customHeight="1">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ht="30" customHeight="1">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ht="30" customHeight="1">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ht="30" customHeight="1">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ht="15.6" customHeight="1">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ht="30" customHeight="1">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ht="15.6" customHeight="1">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ht="15.6" customHeight="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ht="15.6" customHeight="1">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ht="30" customHeight="1">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ht="30" customHeight="1">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ht="15.6" customHeight="1">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ht="15.6" customHeight="1">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ht="15.6" customHeight="1">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ht="15.6" customHeight="1">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ht="15.6" customHeight="1">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ht="15.6" customHeight="1">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ht="15.6" customHeight="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ht="30" customHeight="1">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hidden="1" ht="30" customHeight="1">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hidden="1" ht="30" customHeight="1">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ht="30" customHeight="1">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ht="30" customHeight="1">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ht="30" customHeight="1">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ht="30" customHeight="1">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hidden="1" ht="30" customHeight="1">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ht="30" customHeight="1">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ht="30" customHeight="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ht="30" customHeight="1">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ht="15.6" customHeight="1">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ht="15.6" customHeight="1">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ht="15.6" customHeight="1">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ht="45" customHeight="1">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ht="31.2" customHeight="1">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ht="31.2" customHeight="1">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ht="31.2" customHeight="1">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ht="30" customHeight="1">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ht="30" customHeight="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ht="30" customHeight="1">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ht="46.8" customHeight="1">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ht="62.4" customHeight="1">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ht="62.4" customHeight="1">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ht="62.4" customHeight="1">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ht="30" customHeight="1">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ht="30" customHeight="1">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ht="15.6" customHeight="1">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ht="15.6" customHeight="1">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ht="31.2" customHeight="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ht="15.6" customHeight="1">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ht="30" customHeight="1">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ht="15.6" customHeight="1">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ht="30" customHeight="1">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hidden="1" ht="30" customHeight="1">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ht="30" customHeight="1">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hidden="1" ht="30" customHeight="1">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ht="30" customHeight="1">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ht="30" customHeight="1">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ht="31.2" customHeight="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ht="30" customHeight="1">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15.6" customHeight="1">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ht="31.2" customHeight="1">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ht="30" customHeight="1">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ht="45" customHeight="1">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ht="45" customHeight="1">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ht="15.6" customHeight="1">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ht="15.6" customHeight="1">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ht="30" customHeight="1">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ht="30" customHeight="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ht="60" customHeight="1">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ht="15.6" customHeight="1">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6" customHeight="1">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6" customHeight="1">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ht="15.6" customHeight="1">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ht="15.6" customHeight="1">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ht="15.6" customHeight="1">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ht="15.6" customHeight="1">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ht="15.6" customHeight="1">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ht="15.6" customHeight="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ht="15.6" customHeight="1">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ht="15.6" customHeight="1">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ht="15.6" customHeight="1">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ht="15.6" customHeight="1">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ht="15.6" customHeight="1">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ht="15.6" customHeight="1">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ht="15.6" customHeight="1">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ht="15.6" customHeight="1">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ht="15.6" customHeight="1">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ht="15.6" customHeight="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ht="15.6" customHeight="1">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ht="15.6" customHeight="1">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ht="15.6" customHeight="1">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ht="15.6" customHeight="1">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ht="15.6" customHeight="1">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ht="15.6" customHeight="1">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ht="15.6" customHeight="1">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ht="15.6" customHeight="1">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ht="15.6" customHeight="1">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ht="15.6" customHeight="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ht="15.6" customHeight="1">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ht="15.6" customHeight="1">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ht="15.6" customHeight="1">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ht="15.6" customHeight="1">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ht="15.6" customHeight="1">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ht="15.6" customHeight="1">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ht="15.6" customHeight="1">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ht="15.6" customHeight="1">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ht="15.6" customHeight="1">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ht="15.6" customHeight="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ht="15.6" customHeight="1">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ht="15.6" customHeight="1">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ht="15.6" customHeight="1">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ht="15.6" customHeight="1">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ht="15.6" customHeight="1">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ht="15.6" customHeight="1">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ht="15.6" customHeight="1">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ht="15.6" customHeight="1">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ht="15.6" customHeight="1">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ht="15.6" customHeight="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ht="15.6" customHeight="1">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ht="15.6" customHeight="1">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ht="15.6" customHeight="1">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ht="15.6" customHeight="1">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ht="15.6" customHeight="1">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ht="15.6" customHeight="1">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ht="15.6" customHeight="1">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ht="15.6" customHeight="1">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ht="15.6" customHeight="1">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ht="15.6" customHeight="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ht="15.6" customHeight="1">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ht="15.6" customHeight="1">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ht="15.6" customHeight="1">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ht="15.6" customHeight="1">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ht="15.6" customHeight="1">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ht="15.6" customHeight="1">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ht="15.6" customHeight="1">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ht="15.6" customHeight="1">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ht="15.6" customHeight="1">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ht="15.6" customHeight="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ht="15.6" customHeight="1">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ht="15.6" customHeight="1">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ht="15.6" customHeight="1">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ht="15.6" customHeight="1">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ht="15.6" customHeight="1">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ht="15.6" customHeight="1">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ht="15.6" customHeight="1">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ht="15.6" customHeight="1">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ht="15.6" customHeight="1">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ht="15.6" customHeight="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ht="15.6" customHeight="1">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ht="15.6" customHeight="1">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ht="15.6" customHeight="1">
      <c r="A494" s="43" t="n"/>
      <c r="B494" s="33" t="n"/>
      <c r="C494" s="44" t="n"/>
      <c r="D494" s="35" t="n"/>
      <c r="E494" s="36" t="n"/>
      <c r="F494" s="36" t="n"/>
      <c r="G494" s="35" t="n"/>
      <c r="H494" s="37" t="n"/>
      <c r="I494" s="38" t="n"/>
      <c r="J494" s="36" t="n"/>
      <c r="K494" s="36" t="n"/>
      <c r="L494" s="39" t="n"/>
      <c r="M494" s="40" t="n"/>
      <c r="N494" s="42" t="n"/>
      <c r="O494" s="42" t="n"/>
      <c r="P494" s="41" t="n"/>
      <c r="Q494" s="41" t="n"/>
    </row>
    <row r="495" ht="15.6" customHeight="1">
      <c r="A495" s="43" t="n"/>
      <c r="B495" s="33" t="n"/>
      <c r="C495" s="44" t="n"/>
      <c r="D495" s="35" t="n"/>
      <c r="E495" s="36" t="n"/>
      <c r="F495" s="36" t="n"/>
      <c r="G495" s="35" t="n"/>
      <c r="H495" s="37" t="n"/>
      <c r="I495" s="38" t="n"/>
      <c r="J495" s="36" t="n"/>
      <c r="K495" s="36" t="n"/>
      <c r="L495" s="39" t="n"/>
      <c r="M495" s="40" t="n"/>
      <c r="N495" s="42" t="n"/>
      <c r="O495" s="42" t="n"/>
      <c r="P495" s="41" t="n"/>
      <c r="Q495" s="41" t="n"/>
    </row>
    <row r="496" ht="15.6" customHeight="1">
      <c r="A496" s="43" t="n"/>
      <c r="B496" s="33" t="n"/>
      <c r="C496" s="44" t="n"/>
      <c r="D496" s="35" t="n"/>
      <c r="E496" s="36" t="n"/>
      <c r="F496" s="36" t="n"/>
      <c r="G496" s="35" t="n"/>
      <c r="H496" s="37" t="n"/>
      <c r="I496" s="38" t="n"/>
      <c r="J496" s="36" t="n"/>
      <c r="K496" s="36" t="n"/>
      <c r="L496" s="39" t="n"/>
      <c r="M496" s="40" t="n"/>
      <c r="N496" s="42" t="n"/>
      <c r="O496" s="42" t="n"/>
      <c r="P496" s="41" t="n"/>
      <c r="Q496" s="41" t="n"/>
    </row>
    <row r="497" ht="15.6" customHeight="1">
      <c r="A497" s="43" t="n"/>
      <c r="B497" s="33" t="n"/>
      <c r="C497" s="44" t="n"/>
      <c r="D497" s="35" t="n"/>
      <c r="E497" s="36" t="n"/>
      <c r="F497" s="36" t="n"/>
      <c r="G497" s="35" t="n"/>
      <c r="H497" s="37" t="n"/>
      <c r="I497" s="38" t="n"/>
      <c r="J497" s="36" t="n"/>
      <c r="K497" s="36" t="n"/>
      <c r="L497" s="39" t="n"/>
      <c r="M497" s="40" t="n"/>
      <c r="N497" s="42" t="n"/>
      <c r="O497" s="42" t="n"/>
      <c r="P497" s="41" t="n"/>
      <c r="Q497" s="41" t="n"/>
    </row>
    <row r="498" ht="15.6" customHeight="1">
      <c r="A498" s="43" t="n"/>
      <c r="B498" s="33" t="n"/>
      <c r="C498" s="44" t="n"/>
      <c r="D498" s="35" t="n"/>
      <c r="E498" s="36" t="n"/>
      <c r="F498" s="36" t="n"/>
      <c r="G498" s="35" t="n"/>
      <c r="H498" s="37" t="n"/>
      <c r="I498" s="38" t="n"/>
      <c r="J498" s="36" t="n"/>
      <c r="K498" s="36" t="n"/>
      <c r="L498" s="39" t="n"/>
      <c r="M498" s="40" t="n"/>
      <c r="N498" s="42" t="n"/>
      <c r="O498" s="42" t="n"/>
      <c r="P498" s="41" t="n"/>
      <c r="Q498" s="41" t="n"/>
    </row>
    <row r="499" ht="15.6" customHeight="1">
      <c r="A499" s="43" t="n"/>
      <c r="B499" s="33" t="n"/>
      <c r="C499" s="44" t="n"/>
      <c r="D499" s="35" t="n"/>
      <c r="E499" s="36" t="n"/>
      <c r="F499" s="36" t="n"/>
      <c r="G499" s="35" t="n"/>
      <c r="H499" s="37" t="n"/>
      <c r="I499" s="38" t="n"/>
      <c r="J499" s="36" t="n"/>
      <c r="K499" s="36" t="n"/>
      <c r="L499" s="39" t="n"/>
      <c r="M499" s="40" t="n"/>
      <c r="N499" s="42" t="n"/>
      <c r="O499" s="42" t="n"/>
      <c r="P499" s="41" t="n"/>
      <c r="Q499" s="41" t="n"/>
    </row>
    <row r="500" ht="15.6" customHeight="1">
      <c r="A500" s="43" t="n"/>
      <c r="B500" s="33" t="n"/>
      <c r="C500" s="44" t="n"/>
      <c r="D500" s="35" t="n"/>
      <c r="E500" s="36" t="n"/>
      <c r="F500" s="36" t="n"/>
      <c r="G500" s="35" t="n"/>
      <c r="H500" s="37" t="n"/>
      <c r="I500" s="38" t="n"/>
      <c r="J500" s="36" t="n"/>
      <c r="K500" s="36" t="n"/>
      <c r="L500" s="39" t="n"/>
      <c r="M500" s="40" t="n"/>
      <c r="N500" s="42" t="n"/>
      <c r="O500" s="42" t="n"/>
      <c r="P500" s="41" t="n"/>
      <c r="Q500" s="41" t="n"/>
    </row>
    <row r="501" ht="15.6" customHeight="1">
      <c r="A501" s="43" t="n"/>
      <c r="B501" s="33" t="n"/>
      <c r="C501" s="44" t="n"/>
      <c r="D501" s="35" t="n"/>
      <c r="E501" s="36" t="n"/>
      <c r="F501" s="36" t="n"/>
      <c r="G501" s="35" t="n"/>
      <c r="H501" s="37" t="n"/>
      <c r="I501" s="38" t="n"/>
      <c r="J501" s="36" t="n"/>
      <c r="K501" s="36" t="n"/>
      <c r="L501" s="39" t="n"/>
      <c r="M501" s="40" t="n"/>
      <c r="N501" s="42" t="n"/>
      <c r="O501" s="42" t="n"/>
      <c r="P501" s="41" t="n"/>
      <c r="Q501" s="41" t="n"/>
    </row>
    <row r="502" ht="15.6" customHeight="1">
      <c r="A502" s="43" t="n"/>
      <c r="B502" s="33" t="n"/>
      <c r="C502" s="44" t="n"/>
      <c r="D502" s="35" t="n"/>
      <c r="E502" s="36" t="n"/>
      <c r="F502" s="36" t="n"/>
      <c r="G502" s="35" t="n"/>
      <c r="H502" s="37" t="n"/>
      <c r="I502" s="38" t="n"/>
      <c r="J502" s="36" t="n"/>
      <c r="K502" s="36" t="n"/>
      <c r="L502" s="39" t="n"/>
      <c r="M502" s="40" t="n"/>
      <c r="N502" s="42" t="n"/>
      <c r="O502" s="42" t="n"/>
      <c r="P502" s="41" t="n"/>
      <c r="Q502" s="41" t="n"/>
    </row>
    <row r="503" ht="15.6" customHeight="1">
      <c r="A503" s="43" t="n"/>
      <c r="B503" s="33" t="n"/>
      <c r="C503" s="44" t="n"/>
      <c r="D503" s="35" t="n"/>
      <c r="E503" s="36" t="n"/>
      <c r="F503" s="36" t="n"/>
      <c r="G503" s="35" t="n"/>
      <c r="H503" s="37" t="n"/>
      <c r="I503" s="38" t="n"/>
      <c r="J503" s="36" t="n"/>
      <c r="K503" s="36" t="n"/>
      <c r="L503" s="39" t="n"/>
      <c r="M503" s="40" t="n"/>
      <c r="N503" s="42" t="n"/>
      <c r="O503" s="42" t="n"/>
      <c r="P503" s="41" t="n"/>
      <c r="Q503" s="41" t="n"/>
    </row>
    <row r="504" ht="15.6" customHeight="1">
      <c r="A504" s="43" t="n"/>
      <c r="B504" s="33" t="n"/>
      <c r="C504" s="44" t="n"/>
      <c r="D504" s="35" t="n"/>
      <c r="E504" s="36" t="n"/>
      <c r="F504" s="36" t="n"/>
      <c r="G504" s="35" t="n"/>
      <c r="H504" s="37" t="n"/>
      <c r="I504" s="38" t="n"/>
      <c r="J504" s="36" t="n"/>
      <c r="K504" s="36" t="n"/>
      <c r="L504" s="39" t="n"/>
      <c r="M504" s="40" t="n"/>
      <c r="N504" s="42" t="n"/>
      <c r="O504" s="42" t="n"/>
      <c r="P504" s="41" t="n"/>
      <c r="Q504" s="41" t="n"/>
    </row>
    <row r="505" ht="15.6" customHeight="1">
      <c r="A505" s="43" t="n"/>
      <c r="B505" s="33" t="n"/>
      <c r="C505" s="44" t="n"/>
      <c r="D505" s="35" t="n"/>
      <c r="E505" s="36" t="n"/>
      <c r="F505" s="36" t="n"/>
      <c r="G505" s="35" t="n"/>
      <c r="H505" s="37" t="n"/>
      <c r="I505" s="38" t="n"/>
      <c r="J505" s="36" t="n"/>
      <c r="K505" s="36" t="n"/>
      <c r="L505" s="39" t="n"/>
      <c r="M505" s="40" t="n"/>
      <c r="N505" s="42" t="n"/>
      <c r="O505" s="42" t="n"/>
      <c r="P505" s="41" t="n"/>
      <c r="Q505" s="41" t="n"/>
    </row>
    <row r="506" ht="15.6" customHeight="1">
      <c r="A506" s="43" t="n"/>
      <c r="B506" s="33" t="n"/>
      <c r="C506" s="44" t="n"/>
      <c r="D506" s="35" t="n"/>
      <c r="E506" s="36" t="n"/>
      <c r="F506" s="36" t="n"/>
      <c r="G506" s="35" t="n"/>
      <c r="H506" s="37" t="n"/>
      <c r="I506" s="38" t="n"/>
      <c r="J506" s="36" t="n"/>
      <c r="K506" s="36" t="n"/>
      <c r="L506" s="39" t="n"/>
      <c r="M506" s="40" t="n"/>
      <c r="N506" s="42" t="n"/>
      <c r="O506" s="42" t="n"/>
      <c r="P506" s="41" t="n"/>
      <c r="Q506" s="41" t="n"/>
    </row>
    <row r="507" ht="15.6" customHeight="1">
      <c r="A507" s="43" t="n"/>
      <c r="B507" s="33" t="n"/>
      <c r="C507" s="44" t="n"/>
      <c r="D507" s="35" t="n"/>
      <c r="E507" s="36" t="n"/>
      <c r="F507" s="36" t="n"/>
      <c r="G507" s="35" t="n"/>
      <c r="H507" s="37" t="n"/>
      <c r="I507" s="38" t="n"/>
      <c r="J507" s="36" t="n"/>
      <c r="K507" s="36" t="n"/>
      <c r="L507" s="39" t="n"/>
      <c r="M507" s="40" t="n"/>
      <c r="N507" s="42" t="n"/>
      <c r="O507" s="42" t="n"/>
      <c r="P507" s="41" t="n"/>
      <c r="Q507" s="41" t="n"/>
    </row>
    <row r="508" ht="15.6" customHeight="1">
      <c r="A508" s="43" t="n"/>
      <c r="B508" s="33" t="n"/>
      <c r="C508" s="44" t="n"/>
      <c r="D508" s="35" t="n"/>
      <c r="E508" s="36" t="n"/>
      <c r="F508" s="36" t="n"/>
      <c r="G508" s="35" t="n"/>
      <c r="H508" s="37" t="n"/>
      <c r="I508" s="38" t="n"/>
      <c r="J508" s="36" t="n"/>
      <c r="K508" s="36" t="n"/>
      <c r="L508" s="39" t="n"/>
      <c r="M508" s="40" t="n"/>
      <c r="N508" s="42" t="n"/>
      <c r="O508" s="42" t="n"/>
      <c r="P508" s="41" t="n"/>
      <c r="Q508" s="41" t="n"/>
    </row>
    <row r="509" ht="15.6" customHeight="1">
      <c r="A509" s="43" t="n"/>
      <c r="B509" s="33" t="n"/>
      <c r="C509" s="44" t="n"/>
      <c r="D509" s="35" t="n"/>
      <c r="E509" s="36" t="n"/>
      <c r="F509" s="36" t="n"/>
      <c r="G509" s="35" t="n"/>
      <c r="H509" s="37" t="n"/>
      <c r="I509" s="38" t="n"/>
      <c r="J509" s="36" t="n"/>
      <c r="K509" s="36" t="n"/>
      <c r="L509" s="39" t="n"/>
      <c r="M509" s="40" t="n"/>
      <c r="N509" s="42" t="n"/>
      <c r="O509" s="42" t="n"/>
      <c r="P509" s="41" t="n"/>
      <c r="Q509" s="41" t="n"/>
    </row>
    <row r="510" ht="15.6" customHeight="1">
      <c r="A510" s="43" t="n"/>
      <c r="B510" s="33" t="n"/>
      <c r="C510" s="44" t="n"/>
      <c r="D510" s="35" t="n"/>
      <c r="E510" s="36" t="n"/>
      <c r="F510" s="36" t="n"/>
      <c r="G510" s="35" t="n"/>
      <c r="H510" s="37" t="n"/>
      <c r="I510" s="38" t="n"/>
      <c r="J510" s="36" t="n"/>
      <c r="K510" s="36" t="n"/>
      <c r="L510" s="39" t="n"/>
      <c r="M510" s="40" t="n"/>
      <c r="N510" s="42" t="n"/>
      <c r="O510" s="42" t="n"/>
      <c r="P510" s="41" t="n"/>
      <c r="Q510" s="41" t="n"/>
    </row>
    <row r="511" ht="15.6" customHeight="1">
      <c r="A511" s="43" t="n"/>
      <c r="B511" s="33" t="n"/>
      <c r="C511" s="44" t="n"/>
      <c r="D511" s="35" t="n"/>
      <c r="E511" s="36" t="n"/>
      <c r="F511" s="36" t="n"/>
      <c r="G511" s="35" t="n"/>
      <c r="H511" s="37" t="n"/>
      <c r="I511" s="38" t="n"/>
      <c r="J511" s="36" t="n"/>
      <c r="K511" s="36" t="n"/>
      <c r="L511" s="39" t="n"/>
      <c r="M511" s="40" t="n"/>
      <c r="N511" s="42" t="n"/>
      <c r="O511" s="42" t="n"/>
      <c r="P511" s="41" t="n"/>
      <c r="Q511" s="41" t="n"/>
    </row>
    <row r="512" ht="15.6" customHeight="1">
      <c r="A512" s="43" t="n"/>
      <c r="B512" s="33" t="n"/>
      <c r="C512" s="44" t="n"/>
      <c r="D512" s="35" t="n"/>
      <c r="E512" s="36" t="n"/>
      <c r="F512" s="36" t="n"/>
      <c r="G512" s="35" t="n"/>
      <c r="H512" s="37" t="n"/>
      <c r="I512" s="38" t="n"/>
      <c r="J512" s="36" t="n"/>
      <c r="K512" s="36" t="n"/>
      <c r="L512" s="39" t="n"/>
      <c r="M512" s="40" t="n"/>
      <c r="N512" s="42" t="n"/>
      <c r="O512" s="42" t="n"/>
      <c r="P512" s="41" t="n"/>
      <c r="Q512" s="41" t="n"/>
    </row>
    <row r="513" ht="15.6" customHeight="1">
      <c r="A513" s="43" t="n"/>
      <c r="B513" s="33" t="n"/>
      <c r="C513" s="44" t="n"/>
      <c r="D513" s="35" t="n"/>
      <c r="E513" s="36" t="n"/>
      <c r="F513" s="36" t="n"/>
      <c r="G513" s="35" t="n"/>
      <c r="H513" s="37" t="n"/>
      <c r="I513" s="38" t="n"/>
      <c r="J513" s="36" t="n"/>
      <c r="K513" s="36" t="n"/>
      <c r="L513" s="39" t="n"/>
      <c r="M513" s="40" t="n"/>
      <c r="N513" s="42" t="n"/>
      <c r="O513" s="42" t="n"/>
      <c r="P513" s="41" t="n"/>
      <c r="Q513" s="41" t="n"/>
    </row>
    <row r="514" ht="15.6" customHeight="1">
      <c r="A514" s="43" t="n"/>
      <c r="B514" s="33" t="n"/>
      <c r="C514" s="44" t="n"/>
      <c r="D514" s="35" t="n"/>
      <c r="E514" s="36" t="n"/>
      <c r="F514" s="36" t="n"/>
      <c r="G514" s="35" t="n"/>
      <c r="H514" s="37" t="n"/>
      <c r="I514" s="38" t="n"/>
      <c r="J514" s="36" t="n"/>
      <c r="K514" s="36" t="n"/>
      <c r="L514" s="39" t="n"/>
      <c r="M514" s="40" t="n"/>
      <c r="N514" s="42" t="n"/>
      <c r="O514" s="42" t="n"/>
      <c r="P514" s="41" t="n"/>
      <c r="Q514" s="41" t="n"/>
    </row>
    <row r="515" ht="15.6" customHeight="1">
      <c r="A515" s="43" t="n"/>
      <c r="B515" s="33" t="n"/>
      <c r="C515" s="44" t="n"/>
      <c r="D515" s="35" t="n"/>
      <c r="E515" s="36" t="n"/>
      <c r="F515" s="36" t="n"/>
      <c r="G515" s="35" t="n"/>
      <c r="H515" s="37" t="n"/>
      <c r="I515" s="38" t="n"/>
      <c r="J515" s="36" t="n"/>
      <c r="K515" s="36" t="n"/>
      <c r="L515" s="39" t="n"/>
      <c r="M515" s="40" t="n"/>
      <c r="N515" s="42" t="n"/>
      <c r="O515" s="42" t="n"/>
      <c r="P515" s="41" t="n"/>
      <c r="Q515" s="41" t="n"/>
    </row>
    <row r="516" ht="15.6" customHeight="1">
      <c r="A516" s="43" t="n"/>
      <c r="B516" s="33" t="n"/>
      <c r="C516" s="44" t="n"/>
      <c r="D516" s="35" t="n"/>
      <c r="E516" s="36" t="n"/>
      <c r="F516" s="36" t="n"/>
      <c r="G516" s="35" t="n"/>
      <c r="H516" s="37" t="n"/>
      <c r="I516" s="38" t="n"/>
      <c r="J516" s="36" t="n"/>
      <c r="K516" s="36" t="n"/>
      <c r="L516" s="39" t="n"/>
      <c r="M516" s="40" t="n"/>
      <c r="N516" s="42" t="n"/>
      <c r="O516" s="42" t="n"/>
      <c r="P516" s="41" t="n"/>
      <c r="Q516" s="41" t="n"/>
    </row>
    <row r="517" ht="15.6" customHeight="1">
      <c r="A517" s="43" t="n"/>
      <c r="B517" s="33" t="n"/>
      <c r="C517" s="44" t="n"/>
      <c r="D517" s="35" t="n"/>
      <c r="E517" s="36" t="n"/>
      <c r="F517" s="36" t="n"/>
      <c r="G517" s="35" t="n"/>
      <c r="H517" s="37" t="n"/>
      <c r="I517" s="38" t="n"/>
      <c r="J517" s="36" t="n"/>
      <c r="K517" s="36" t="n"/>
      <c r="L517" s="39" t="n"/>
      <c r="M517" s="40" t="n"/>
      <c r="N517" s="42" t="n"/>
      <c r="O517" s="42" t="n"/>
      <c r="P517" s="41" t="n"/>
      <c r="Q517" s="41" t="n"/>
    </row>
    <row r="518" ht="15.6" customHeight="1">
      <c r="A518" s="43" t="n"/>
      <c r="B518" s="33" t="n"/>
      <c r="C518" s="44" t="n"/>
      <c r="D518" s="35" t="n"/>
      <c r="E518" s="36" t="n"/>
      <c r="F518" s="36" t="n"/>
      <c r="G518" s="35" t="n"/>
      <c r="H518" s="37" t="n"/>
      <c r="I518" s="38" t="n"/>
      <c r="J518" s="36" t="n"/>
      <c r="K518" s="36" t="n"/>
      <c r="L518" s="39" t="n"/>
      <c r="M518" s="40" t="n"/>
      <c r="N518" s="42" t="n"/>
      <c r="O518" s="42" t="n"/>
      <c r="P518" s="41" t="n"/>
      <c r="Q518" s="41" t="n"/>
    </row>
    <row r="519" ht="15.6" customHeight="1">
      <c r="A519" s="43" t="n"/>
      <c r="B519" s="33" t="n"/>
      <c r="C519" s="44" t="n"/>
      <c r="D519" s="35" t="n"/>
      <c r="E519" s="36" t="n"/>
      <c r="F519" s="36" t="n"/>
      <c r="G519" s="35" t="n"/>
      <c r="H519" s="37" t="n"/>
      <c r="I519" s="38" t="n"/>
      <c r="J519" s="36" t="n"/>
      <c r="K519" s="36" t="n"/>
      <c r="L519" s="39" t="n"/>
      <c r="M519" s="40" t="n"/>
      <c r="N519" s="42" t="n"/>
      <c r="O519" s="42" t="n"/>
      <c r="P519" s="41" t="n"/>
      <c r="Q519" s="41" t="n"/>
    </row>
    <row r="520" ht="15.6" customHeight="1">
      <c r="A520" s="43" t="n"/>
      <c r="B520" s="33" t="n"/>
      <c r="C520" s="44" t="n"/>
      <c r="D520" s="35" t="n"/>
      <c r="E520" s="36" t="n"/>
      <c r="F520" s="36" t="n"/>
      <c r="G520" s="35" t="n"/>
      <c r="H520" s="37" t="n"/>
      <c r="I520" s="38" t="n"/>
      <c r="J520" s="36" t="n"/>
      <c r="K520" s="36" t="n"/>
      <c r="L520" s="39" t="n"/>
      <c r="M520" s="40" t="n"/>
      <c r="N520" s="42" t="n"/>
      <c r="O520" s="42" t="n"/>
      <c r="P520" s="41" t="n"/>
      <c r="Q520" s="41" t="n"/>
    </row>
    <row r="521" ht="15.6" customHeight="1">
      <c r="A521" s="43" t="n"/>
      <c r="B521" s="33" t="n"/>
      <c r="C521" s="44" t="n"/>
      <c r="D521" s="35" t="n"/>
      <c r="E521" s="36" t="n"/>
      <c r="F521" s="36" t="n"/>
      <c r="G521" s="35" t="n"/>
      <c r="H521" s="37" t="n"/>
      <c r="I521" s="38" t="n"/>
      <c r="J521" s="36" t="n"/>
      <c r="K521" s="36" t="n"/>
      <c r="L521" s="39" t="n"/>
      <c r="M521" s="40" t="n"/>
      <c r="N521" s="42" t="n"/>
      <c r="O521" s="42" t="n"/>
      <c r="P521" s="41" t="n"/>
      <c r="Q521" s="41" t="n"/>
    </row>
    <row r="522" ht="15.6" customHeight="1">
      <c r="A522" s="43" t="n"/>
      <c r="B522" s="33" t="n"/>
      <c r="C522" s="44" t="n"/>
      <c r="D522" s="35" t="n"/>
      <c r="E522" s="36" t="n"/>
      <c r="F522" s="36" t="n"/>
      <c r="G522" s="35" t="n"/>
      <c r="H522" s="37" t="n"/>
      <c r="I522" s="38" t="n"/>
      <c r="J522" s="36" t="n"/>
      <c r="K522" s="36" t="n"/>
      <c r="L522" s="39" t="n"/>
      <c r="M522" s="40" t="n"/>
      <c r="N522" s="42" t="n"/>
      <c r="O522" s="42" t="n"/>
      <c r="P522" s="41" t="n"/>
      <c r="Q522" s="41" t="n"/>
    </row>
    <row r="523" ht="15.6" customHeight="1">
      <c r="A523" s="43" t="n"/>
      <c r="B523" s="33" t="n"/>
      <c r="C523" s="44" t="n"/>
      <c r="D523" s="35" t="n"/>
      <c r="E523" s="36" t="n"/>
      <c r="F523" s="36" t="n"/>
      <c r="G523" s="35" t="n"/>
      <c r="H523" s="37" t="n"/>
      <c r="I523" s="38" t="n"/>
      <c r="J523" s="36" t="n"/>
      <c r="K523" s="36" t="n"/>
      <c r="L523" s="39" t="n"/>
      <c r="M523" s="40" t="n"/>
      <c r="N523" s="42" t="n"/>
      <c r="O523" s="42" t="n"/>
      <c r="P523" s="41" t="n"/>
      <c r="Q523" s="41" t="n"/>
    </row>
    <row r="524" ht="15.6" customHeight="1">
      <c r="A524" s="43" t="n"/>
      <c r="B524" s="33" t="n"/>
      <c r="C524" s="44" t="n"/>
      <c r="D524" s="35" t="n"/>
      <c r="E524" s="36" t="n"/>
      <c r="F524" s="36" t="n"/>
      <c r="G524" s="35" t="n"/>
      <c r="H524" s="37" t="n"/>
      <c r="I524" s="38" t="n"/>
      <c r="J524" s="36" t="n"/>
      <c r="K524" s="36" t="n"/>
      <c r="L524" s="39" t="n"/>
      <c r="M524" s="40" t="n"/>
      <c r="N524" s="42" t="n"/>
      <c r="O524" s="42" t="n"/>
      <c r="P524" s="41" t="n"/>
      <c r="Q524" s="41" t="n"/>
    </row>
    <row r="525" ht="15.6" customHeight="1">
      <c r="A525" s="43" t="n"/>
      <c r="B525" s="33" t="n"/>
      <c r="C525" s="44" t="n"/>
      <c r="D525" s="35" t="n"/>
      <c r="E525" s="36" t="n"/>
      <c r="F525" s="36" t="n"/>
      <c r="G525" s="35" t="n"/>
      <c r="H525" s="37" t="n"/>
      <c r="I525" s="38" t="n"/>
      <c r="J525" s="36" t="n"/>
      <c r="K525" s="36" t="n"/>
      <c r="L525" s="39" t="n"/>
      <c r="M525" s="40" t="n"/>
      <c r="N525" s="42" t="n"/>
      <c r="O525" s="42" t="n"/>
      <c r="P525" s="41" t="n"/>
      <c r="Q525" s="41" t="n"/>
    </row>
    <row r="526" ht="15.6" customHeight="1">
      <c r="A526" s="43" t="n"/>
      <c r="B526" s="33" t="n"/>
      <c r="C526" s="44" t="n"/>
      <c r="D526" s="35" t="n"/>
      <c r="E526" s="36" t="n"/>
      <c r="F526" s="36" t="n"/>
      <c r="G526" s="35" t="n"/>
      <c r="H526" s="37" t="n"/>
      <c r="I526" s="38" t="n"/>
      <c r="J526" s="36" t="n"/>
      <c r="K526" s="36" t="n"/>
      <c r="L526" s="39" t="n"/>
      <c r="M526" s="40" t="n"/>
      <c r="N526" s="42" t="n"/>
      <c r="O526" s="42" t="n"/>
      <c r="P526" s="41" t="n"/>
      <c r="Q526" s="41" t="n"/>
    </row>
    <row r="527" ht="15.6" customHeight="1">
      <c r="A527" s="43" t="n"/>
      <c r="B527" s="33" t="n"/>
      <c r="C527" s="44" t="n"/>
      <c r="D527" s="35" t="n"/>
      <c r="E527" s="36" t="n"/>
      <c r="F527" s="36" t="n"/>
      <c r="G527" s="35" t="n"/>
      <c r="H527" s="37" t="n"/>
      <c r="I527" s="38" t="n"/>
      <c r="J527" s="36" t="n"/>
      <c r="K527" s="36" t="n"/>
      <c r="L527" s="39" t="n"/>
      <c r="M527" s="40" t="n"/>
      <c r="N527" s="42" t="n"/>
      <c r="O527" s="42" t="n"/>
      <c r="P527" s="41" t="n"/>
      <c r="Q527" s="41" t="n"/>
    </row>
    <row r="528" ht="15.6" customHeight="1">
      <c r="A528" s="43" t="n"/>
      <c r="B528" s="33" t="n"/>
      <c r="C528" s="44" t="n"/>
      <c r="D528" s="35" t="n"/>
      <c r="E528" s="36" t="n"/>
      <c r="F528" s="36" t="n"/>
      <c r="G528" s="35" t="n"/>
      <c r="H528" s="37" t="n"/>
      <c r="I528" s="38" t="n"/>
      <c r="J528" s="36" t="n"/>
      <c r="K528" s="36" t="n"/>
      <c r="L528" s="39" t="n"/>
      <c r="M528" s="40" t="n"/>
      <c r="N528" s="42" t="n"/>
      <c r="O528" s="42" t="n"/>
      <c r="P528" s="41" t="n"/>
      <c r="Q528" s="41" t="n"/>
    </row>
    <row r="529" ht="15.6" customHeight="1">
      <c r="A529" s="43" t="n"/>
      <c r="B529" s="33" t="n"/>
      <c r="C529" s="44" t="n"/>
      <c r="D529" s="35" t="n"/>
      <c r="E529" s="36" t="n"/>
      <c r="F529" s="36" t="n"/>
      <c r="G529" s="35" t="n"/>
      <c r="H529" s="37" t="n"/>
      <c r="I529" s="38" t="n"/>
      <c r="J529" s="36" t="n"/>
      <c r="K529" s="36" t="n"/>
      <c r="L529" s="39" t="n"/>
      <c r="M529" s="40" t="n"/>
      <c r="N529" s="42" t="n"/>
      <c r="O529" s="42" t="n"/>
      <c r="P529" s="41" t="n"/>
      <c r="Q529" s="41" t="n"/>
    </row>
    <row r="530" ht="15.6" customHeight="1">
      <c r="A530" s="43" t="n"/>
      <c r="B530" s="33" t="n"/>
      <c r="C530" s="44" t="n"/>
      <c r="D530" s="35" t="n"/>
      <c r="E530" s="36" t="n"/>
      <c r="F530" s="36" t="n"/>
      <c r="G530" s="35" t="n"/>
      <c r="H530" s="37" t="n"/>
      <c r="I530" s="38" t="n"/>
      <c r="J530" s="36" t="n"/>
      <c r="K530" s="36" t="n"/>
      <c r="L530" s="39" t="n"/>
      <c r="M530" s="40" t="n"/>
      <c r="N530" s="42" t="n"/>
      <c r="O530" s="42" t="n"/>
      <c r="P530" s="41" t="n"/>
      <c r="Q530" s="41" t="n"/>
    </row>
    <row r="531" ht="15.6" customHeight="1">
      <c r="A531" s="43" t="n"/>
      <c r="B531" s="33" t="n"/>
      <c r="C531" s="44" t="n"/>
      <c r="D531" s="35" t="n"/>
      <c r="E531" s="36" t="n"/>
      <c r="F531" s="36" t="n"/>
      <c r="G531" s="35" t="n"/>
      <c r="H531" s="37" t="n"/>
      <c r="I531" s="38" t="n"/>
      <c r="J531" s="36" t="n"/>
      <c r="K531" s="36" t="n"/>
      <c r="L531" s="39" t="n"/>
      <c r="M531" s="40" t="n"/>
      <c r="N531" s="42" t="n"/>
      <c r="O531" s="42" t="n"/>
      <c r="P531" s="41" t="n"/>
      <c r="Q531" s="41" t="n"/>
    </row>
    <row r="532" ht="15.6" customHeight="1">
      <c r="A532" s="43" t="n"/>
      <c r="B532" s="33" t="n"/>
      <c r="C532" s="44" t="n"/>
      <c r="D532" s="35" t="n"/>
      <c r="E532" s="36" t="n"/>
      <c r="F532" s="36" t="n"/>
      <c r="G532" s="35" t="n"/>
      <c r="H532" s="37" t="n"/>
      <c r="I532" s="38" t="n"/>
      <c r="J532" s="36" t="n"/>
      <c r="K532" s="36" t="n"/>
      <c r="L532" s="39" t="n"/>
      <c r="M532" s="40" t="n"/>
      <c r="N532" s="42" t="n"/>
      <c r="O532" s="42" t="n"/>
      <c r="P532" s="41" t="n"/>
      <c r="Q532" s="41" t="n"/>
    </row>
    <row r="533" ht="15.6" customHeight="1">
      <c r="A533" s="43" t="n"/>
      <c r="B533" s="33" t="n"/>
      <c r="C533" s="44" t="n"/>
      <c r="D533" s="35" t="n"/>
      <c r="E533" s="36" t="n"/>
      <c r="F533" s="36" t="n"/>
      <c r="G533" s="35" t="n"/>
      <c r="H533" s="37" t="n"/>
      <c r="I533" s="38" t="n"/>
      <c r="J533" s="36" t="n"/>
      <c r="K533" s="36" t="n"/>
      <c r="L533" s="39" t="n"/>
      <c r="M533" s="40" t="n"/>
      <c r="N533" s="42" t="n"/>
      <c r="O533" s="42" t="n"/>
      <c r="P533" s="41" t="n"/>
      <c r="Q533" s="41" t="n"/>
    </row>
    <row r="534" ht="15.6" customHeight="1">
      <c r="A534" s="43" t="n"/>
      <c r="B534" s="33" t="n"/>
      <c r="C534" s="44" t="n"/>
      <c r="D534" s="35" t="n"/>
      <c r="E534" s="36" t="n"/>
      <c r="F534" s="36" t="n"/>
      <c r="G534" s="35" t="n"/>
      <c r="H534" s="37" t="n"/>
      <c r="I534" s="38" t="n"/>
      <c r="J534" s="36" t="n"/>
      <c r="K534" s="36" t="n"/>
      <c r="L534" s="39" t="n"/>
      <c r="M534" s="40" t="n"/>
      <c r="N534" s="42" t="n"/>
      <c r="O534" s="42" t="n"/>
      <c r="P534" s="41" t="n"/>
      <c r="Q534" s="41" t="n"/>
    </row>
    <row r="535" ht="15.6" customHeight="1">
      <c r="A535" s="43" t="n"/>
      <c r="B535" s="33" t="n"/>
      <c r="C535" s="44" t="n"/>
      <c r="D535" s="35" t="n"/>
      <c r="E535" s="36" t="n"/>
      <c r="F535" s="36" t="n"/>
      <c r="G535" s="35" t="n"/>
      <c r="H535" s="37" t="n"/>
      <c r="I535" s="38" t="n"/>
      <c r="J535" s="36" t="n"/>
      <c r="K535" s="36" t="n"/>
      <c r="L535" s="39" t="n"/>
      <c r="M535" s="40" t="n"/>
      <c r="N535" s="42" t="n"/>
      <c r="O535" s="42" t="n"/>
      <c r="P535" s="41" t="n"/>
      <c r="Q535" s="41" t="n"/>
    </row>
    <row r="536" ht="15.6" customHeight="1">
      <c r="A536" s="43" t="n"/>
      <c r="B536" s="33" t="n"/>
      <c r="C536" s="44" t="n"/>
      <c r="D536" s="35" t="n"/>
      <c r="E536" s="36" t="n"/>
      <c r="F536" s="36" t="n"/>
      <c r="G536" s="35" t="n"/>
      <c r="H536" s="37" t="n"/>
      <c r="I536" s="38" t="n"/>
      <c r="J536" s="36" t="n"/>
      <c r="K536" s="36" t="n"/>
      <c r="L536" s="39" t="n"/>
      <c r="M536" s="40" t="n"/>
      <c r="N536" s="42" t="n"/>
      <c r="O536" s="42" t="n"/>
      <c r="P536" s="41" t="n"/>
      <c r="Q536" s="41" t="n"/>
    </row>
    <row r="537" ht="15.6" customHeight="1">
      <c r="A537" s="43" t="n"/>
      <c r="B537" s="33" t="n"/>
      <c r="C537" s="44" t="n"/>
      <c r="D537" s="35" t="n"/>
      <c r="E537" s="36" t="n"/>
      <c r="F537" s="36" t="n"/>
      <c r="G537" s="35" t="n"/>
      <c r="H537" s="37" t="n"/>
      <c r="I537" s="38" t="n"/>
      <c r="J537" s="36" t="n"/>
      <c r="K537" s="36" t="n"/>
      <c r="L537" s="39" t="n"/>
      <c r="M537" s="40" t="n"/>
      <c r="N537" s="42" t="n"/>
      <c r="O537" s="42" t="n"/>
      <c r="P537" s="41" t="n"/>
      <c r="Q537" s="41" t="n"/>
    </row>
    <row r="538" ht="15.6" customHeight="1">
      <c r="A538" s="43" t="n"/>
      <c r="B538" s="33" t="n"/>
      <c r="C538" s="44" t="n"/>
      <c r="D538" s="35" t="n"/>
      <c r="E538" s="36" t="n"/>
      <c r="F538" s="36" t="n"/>
      <c r="G538" s="35" t="n"/>
      <c r="H538" s="37" t="n"/>
      <c r="I538" s="38" t="n"/>
      <c r="J538" s="36" t="n"/>
      <c r="K538" s="36" t="n"/>
      <c r="L538" s="39" t="n"/>
      <c r="M538" s="40" t="n"/>
      <c r="N538" s="42" t="n"/>
      <c r="O538" s="42" t="n"/>
      <c r="P538" s="41" t="n"/>
      <c r="Q538" s="41" t="n"/>
    </row>
    <row r="539" ht="15.6" customHeight="1">
      <c r="A539" s="43" t="n"/>
      <c r="B539" s="33" t="n"/>
      <c r="C539" s="44" t="n"/>
      <c r="D539" s="35" t="n"/>
      <c r="E539" s="36" t="n"/>
      <c r="F539" s="36" t="n"/>
      <c r="G539" s="35" t="n"/>
      <c r="H539" s="37" t="n"/>
      <c r="I539" s="38" t="n"/>
      <c r="J539" s="36" t="n"/>
      <c r="K539" s="36" t="n"/>
      <c r="L539" s="39" t="n"/>
      <c r="M539" s="40" t="n"/>
      <c r="N539" s="42" t="n"/>
      <c r="O539" s="42" t="n"/>
      <c r="P539" s="41" t="n"/>
      <c r="Q539" s="41" t="n"/>
    </row>
    <row r="540" ht="15.6" customHeight="1">
      <c r="A540" s="43" t="n"/>
      <c r="B540" s="33" t="n"/>
      <c r="C540" s="44" t="n"/>
      <c r="D540" s="35" t="n"/>
      <c r="E540" s="36" t="n"/>
      <c r="F540" s="36" t="n"/>
      <c r="G540" s="35" t="n"/>
      <c r="H540" s="37" t="n"/>
      <c r="I540" s="38" t="n"/>
      <c r="J540" s="36" t="n"/>
      <c r="K540" s="36" t="n"/>
      <c r="L540" s="39" t="n"/>
      <c r="M540" s="40" t="n"/>
      <c r="N540" s="42" t="n"/>
      <c r="O540" s="42" t="n"/>
      <c r="P540" s="41" t="n"/>
      <c r="Q540" s="41" t="n"/>
    </row>
    <row r="541" ht="15.6" customHeight="1">
      <c r="A541" s="43" t="n"/>
      <c r="B541" s="33" t="n"/>
      <c r="C541" s="44" t="n"/>
      <c r="D541" s="35" t="n"/>
      <c r="E541" s="36" t="n"/>
      <c r="F541" s="36" t="n"/>
      <c r="G541" s="35" t="n"/>
      <c r="H541" s="37" t="n"/>
      <c r="I541" s="38" t="n"/>
      <c r="J541" s="36" t="n"/>
      <c r="K541" s="36" t="n"/>
      <c r="L541" s="39" t="n"/>
      <c r="M541" s="40" t="n"/>
      <c r="N541" s="42" t="n"/>
      <c r="O541" s="42" t="n"/>
      <c r="P541" s="41" t="n"/>
      <c r="Q541" s="41" t="n"/>
    </row>
    <row r="542" ht="15.6" customHeight="1">
      <c r="A542" s="43" t="n"/>
      <c r="B542" s="33" t="n"/>
      <c r="C542" s="44" t="n"/>
      <c r="D542" s="35" t="n"/>
      <c r="E542" s="36" t="n"/>
      <c r="F542" s="36" t="n"/>
      <c r="G542" s="35" t="n"/>
      <c r="H542" s="37" t="n"/>
      <c r="I542" s="38" t="n"/>
      <c r="J542" s="36" t="n"/>
      <c r="K542" s="36" t="n"/>
      <c r="L542" s="39" t="n"/>
      <c r="M542" s="40" t="n"/>
      <c r="N542" s="42" t="n"/>
      <c r="O542" s="42" t="n"/>
      <c r="P542" s="41" t="n"/>
      <c r="Q542" s="41" t="n"/>
    </row>
    <row r="543" ht="15.6" customHeight="1">
      <c r="A543" s="43" t="n"/>
      <c r="B543" s="33" t="n"/>
      <c r="C543" s="44" t="n"/>
      <c r="D543" s="35" t="n"/>
      <c r="E543" s="36" t="n"/>
      <c r="F543" s="36" t="n"/>
      <c r="G543" s="35" t="n"/>
      <c r="H543" s="37" t="n"/>
      <c r="I543" s="38" t="n"/>
      <c r="J543" s="36" t="n"/>
      <c r="K543" s="36" t="n"/>
      <c r="L543" s="39" t="n"/>
      <c r="M543" s="40" t="n"/>
      <c r="N543" s="42" t="n"/>
      <c r="O543" s="42" t="n"/>
      <c r="P543" s="41" t="n"/>
      <c r="Q543" s="41" t="n"/>
    </row>
    <row r="544" ht="15.6" customHeight="1">
      <c r="A544" s="43" t="n"/>
      <c r="B544" s="33" t="n"/>
      <c r="C544" s="44" t="n"/>
      <c r="D544" s="35" t="n"/>
      <c r="E544" s="36" t="n"/>
      <c r="F544" s="36" t="n"/>
      <c r="G544" s="35" t="n"/>
      <c r="H544" s="37" t="n"/>
      <c r="I544" s="38" t="n"/>
      <c r="J544" s="36" t="n"/>
      <c r="K544" s="36" t="n"/>
      <c r="L544" s="39" t="n"/>
      <c r="M544" s="40" t="n"/>
      <c r="N544" s="42" t="n"/>
      <c r="O544" s="42" t="n"/>
      <c r="P544" s="41" t="n"/>
      <c r="Q544" s="41" t="n"/>
    </row>
    <row r="545" ht="15.6" customHeight="1">
      <c r="A545" s="43" t="n"/>
      <c r="B545" s="33" t="n"/>
      <c r="C545" s="44" t="n"/>
      <c r="D545" s="35" t="n"/>
      <c r="E545" s="36" t="n"/>
      <c r="F545" s="36" t="n"/>
      <c r="G545" s="35" t="n"/>
      <c r="H545" s="37" t="n"/>
      <c r="I545" s="38" t="n"/>
      <c r="J545" s="36" t="n"/>
      <c r="K545" s="36" t="n"/>
      <c r="L545" s="39" t="n"/>
      <c r="M545" s="40" t="n"/>
      <c r="N545" s="42" t="n"/>
      <c r="O545" s="42" t="n"/>
      <c r="P545" s="41" t="n"/>
      <c r="Q545" s="41" t="n"/>
    </row>
    <row r="546" ht="15.6" customHeight="1">
      <c r="A546" s="43" t="n"/>
      <c r="B546" s="33" t="n"/>
      <c r="C546" s="44" t="n"/>
      <c r="D546" s="35" t="n"/>
      <c r="E546" s="36" t="n"/>
      <c r="F546" s="36" t="n"/>
      <c r="G546" s="35" t="n"/>
      <c r="H546" s="37" t="n"/>
      <c r="I546" s="38" t="n"/>
      <c r="J546" s="36" t="n"/>
      <c r="K546" s="36" t="n"/>
      <c r="L546" s="39" t="n"/>
      <c r="M546" s="40" t="n"/>
      <c r="N546" s="42" t="n"/>
      <c r="O546" s="42" t="n"/>
      <c r="P546" s="41" t="n"/>
      <c r="Q546" s="41" t="n"/>
    </row>
    <row r="547" ht="15.6" customHeight="1">
      <c r="A547" s="43" t="n"/>
      <c r="B547" s="33" t="n"/>
      <c r="C547" s="44" t="n"/>
      <c r="D547" s="35" t="n"/>
      <c r="E547" s="36" t="n"/>
      <c r="F547" s="36" t="n"/>
      <c r="G547" s="35" t="n"/>
      <c r="H547" s="37" t="n"/>
      <c r="I547" s="38" t="n"/>
      <c r="J547" s="36" t="n"/>
      <c r="K547" s="36" t="n"/>
      <c r="L547" s="39" t="n"/>
      <c r="M547" s="40" t="n"/>
      <c r="N547" s="42" t="n"/>
      <c r="O547" s="42" t="n"/>
      <c r="P547" s="41" t="n"/>
      <c r="Q547" s="41" t="n"/>
    </row>
    <row r="548" ht="15.6" customHeight="1">
      <c r="A548" s="43" t="n"/>
      <c r="B548" s="33" t="n"/>
      <c r="C548" s="44" t="n"/>
      <c r="D548" s="35" t="n"/>
      <c r="E548" s="36" t="n"/>
      <c r="F548" s="36" t="n"/>
      <c r="G548" s="35" t="n"/>
      <c r="H548" s="37" t="n"/>
      <c r="I548" s="38" t="n"/>
      <c r="J548" s="36" t="n"/>
      <c r="K548" s="36" t="n"/>
      <c r="L548" s="39" t="n"/>
      <c r="M548" s="40" t="n"/>
      <c r="N548" s="42" t="n"/>
      <c r="O548" s="42" t="n"/>
      <c r="P548" s="41" t="n"/>
      <c r="Q548" s="41" t="n"/>
    </row>
    <row r="549" ht="15.6" customHeight="1">
      <c r="A549" s="43" t="n"/>
      <c r="B549" s="33" t="n"/>
      <c r="C549" s="44" t="n"/>
      <c r="D549" s="35" t="n"/>
      <c r="E549" s="36" t="n"/>
      <c r="F549" s="36" t="n"/>
      <c r="G549" s="35" t="n"/>
      <c r="H549" s="37" t="n"/>
      <c r="I549" s="38" t="n"/>
      <c r="J549" s="36" t="n"/>
      <c r="K549" s="36" t="n"/>
      <c r="L549" s="39" t="n"/>
      <c r="M549" s="40" t="n"/>
      <c r="N549" s="42" t="n"/>
      <c r="O549" s="42" t="n"/>
      <c r="P549" s="41" t="n"/>
      <c r="Q549" s="41" t="n"/>
    </row>
    <row r="550" ht="15.6" customHeight="1">
      <c r="A550" s="43" t="n"/>
      <c r="B550" s="33" t="n"/>
      <c r="C550" s="44" t="n"/>
      <c r="D550" s="35" t="n"/>
      <c r="E550" s="36" t="n"/>
      <c r="F550" s="36" t="n"/>
      <c r="G550" s="35" t="n"/>
      <c r="H550" s="37" t="n"/>
      <c r="I550" s="38" t="n"/>
      <c r="J550" s="36" t="n"/>
      <c r="K550" s="36" t="n"/>
      <c r="L550" s="39" t="n"/>
      <c r="M550" s="40" t="n"/>
      <c r="N550" s="42" t="n"/>
      <c r="O550" s="42" t="n"/>
      <c r="P550" s="41" t="n"/>
      <c r="Q550" s="41" t="n"/>
    </row>
    <row r="551" ht="15.6" customHeight="1">
      <c r="A551" s="43" t="n"/>
      <c r="B551" s="33" t="n"/>
      <c r="C551" s="44" t="n"/>
      <c r="D551" s="35" t="n"/>
      <c r="E551" s="36" t="n"/>
      <c r="F551" s="36" t="n"/>
      <c r="G551" s="35" t="n"/>
      <c r="H551" s="37" t="n"/>
      <c r="I551" s="38" t="n"/>
      <c r="J551" s="36" t="n"/>
      <c r="K551" s="36" t="n"/>
      <c r="L551" s="39" t="n"/>
      <c r="M551" s="40" t="n"/>
      <c r="N551" s="42" t="n"/>
      <c r="O551" s="42" t="n"/>
      <c r="P551" s="41" t="n"/>
      <c r="Q551" s="41" t="n"/>
    </row>
    <row r="552" ht="15.6" customHeight="1">
      <c r="A552" s="43" t="n"/>
      <c r="B552" s="33" t="n"/>
      <c r="C552" s="44" t="n"/>
      <c r="D552" s="35" t="n"/>
      <c r="E552" s="36" t="n"/>
      <c r="F552" s="36" t="n"/>
      <c r="G552" s="35" t="n"/>
      <c r="H552" s="37" t="n"/>
      <c r="I552" s="38" t="n"/>
      <c r="J552" s="36" t="n"/>
      <c r="K552" s="36" t="n"/>
      <c r="L552" s="39" t="n"/>
      <c r="M552" s="40" t="n"/>
      <c r="N552" s="42" t="n"/>
      <c r="O552" s="42" t="n"/>
      <c r="P552" s="41" t="n"/>
      <c r="Q552" s="41" t="n"/>
    </row>
    <row r="553" ht="15.6" customHeight="1">
      <c r="A553" s="43" t="n"/>
      <c r="B553" s="33" t="n"/>
      <c r="C553" s="44" t="n"/>
      <c r="D553" s="35" t="n"/>
      <c r="E553" s="36" t="n"/>
      <c r="F553" s="36" t="n"/>
      <c r="G553" s="35" t="n"/>
      <c r="H553" s="37" t="n"/>
      <c r="I553" s="38" t="n"/>
      <c r="J553" s="36" t="n"/>
      <c r="K553" s="36" t="n"/>
      <c r="L553" s="39" t="n"/>
      <c r="M553" s="40" t="n"/>
      <c r="N553" s="42" t="n"/>
      <c r="O553" s="42" t="n"/>
      <c r="P553" s="41" t="n"/>
      <c r="Q553" s="41" t="n"/>
    </row>
    <row r="554" ht="15.6" customHeight="1">
      <c r="A554" s="43" t="n"/>
      <c r="B554" s="33" t="n"/>
      <c r="C554" s="44" t="n"/>
      <c r="D554" s="35" t="n"/>
      <c r="E554" s="36" t="n"/>
      <c r="F554" s="36" t="n"/>
      <c r="G554" s="35" t="n"/>
      <c r="H554" s="37" t="n"/>
      <c r="I554" s="38" t="n"/>
      <c r="J554" s="36" t="n"/>
      <c r="K554" s="36" t="n"/>
      <c r="L554" s="39" t="n"/>
      <c r="M554" s="40" t="n"/>
      <c r="N554" s="42" t="n"/>
      <c r="O554" s="42" t="n"/>
      <c r="P554" s="41" t="n"/>
      <c r="Q554" s="41" t="n"/>
    </row>
    <row r="555" ht="15.6" customHeight="1">
      <c r="A555" s="32" t="n"/>
      <c r="B555" s="33" t="n"/>
      <c r="C555" s="44" t="n"/>
      <c r="D555" s="35" t="n"/>
      <c r="E555" s="36" t="n"/>
      <c r="F555" s="36" t="n"/>
      <c r="G555" s="35" t="n"/>
      <c r="H555" s="37" t="n"/>
      <c r="I555" s="38" t="n"/>
      <c r="J555" s="36" t="n"/>
      <c r="K555" s="36" t="n"/>
      <c r="L555" s="39" t="n"/>
      <c r="M555" s="40" t="n"/>
      <c r="N555" s="42" t="n"/>
      <c r="O555" s="42" t="n"/>
      <c r="P555" s="41" t="n"/>
      <c r="Q555" s="41" t="n"/>
    </row>
    <row r="556" ht="15.6" customHeight="1">
      <c r="A556" s="43" t="n"/>
      <c r="B556" s="33" t="n"/>
      <c r="C556" s="44" t="n"/>
      <c r="D556" s="35" t="n"/>
      <c r="E556" s="36" t="n"/>
      <c r="F556" s="36" t="n"/>
      <c r="G556" s="35" t="n"/>
      <c r="H556" s="37" t="n"/>
      <c r="I556" s="38" t="n"/>
      <c r="J556" s="36" t="n"/>
      <c r="K556" s="36" t="n"/>
      <c r="L556" s="39" t="n"/>
      <c r="M556" s="40" t="n"/>
      <c r="N556" s="42" t="n"/>
      <c r="O556" s="42" t="n"/>
      <c r="P556" s="41" t="n"/>
      <c r="Q556" s="41" t="n"/>
    </row>
    <row r="557" ht="15.6" customHeight="1">
      <c r="A557" s="43" t="n"/>
      <c r="B557" s="33" t="n"/>
      <c r="C557" s="44" t="n"/>
      <c r="D557" s="35" t="n"/>
      <c r="E557" s="36" t="n"/>
      <c r="F557" s="36" t="n"/>
      <c r="G557" s="35" t="n"/>
      <c r="H557" s="37" t="n"/>
      <c r="I557" s="38" t="n"/>
      <c r="J557" s="36" t="n"/>
      <c r="K557" s="36" t="n"/>
      <c r="L557" s="39" t="n"/>
      <c r="M557" s="40" t="n"/>
      <c r="N557" s="42" t="n"/>
      <c r="O557" s="42" t="n"/>
      <c r="P557" s="41" t="n"/>
      <c r="Q557" s="41" t="n"/>
    </row>
    <row r="558" ht="15.6" customHeight="1">
      <c r="A558" s="43" t="n"/>
      <c r="B558" s="33" t="n"/>
      <c r="C558" s="44" t="n"/>
      <c r="D558" s="35" t="n"/>
      <c r="E558" s="36" t="n"/>
      <c r="F558" s="36" t="n"/>
      <c r="G558" s="35" t="n"/>
      <c r="H558" s="37" t="n"/>
      <c r="I558" s="38" t="n"/>
      <c r="J558" s="36" t="n"/>
      <c r="K558" s="36" t="n"/>
      <c r="L558" s="39" t="n"/>
      <c r="M558" s="40" t="n"/>
      <c r="N558" s="42" t="n"/>
      <c r="O558" s="42" t="n"/>
      <c r="P558" s="41" t="n"/>
      <c r="Q558" s="41" t="n"/>
    </row>
    <row r="559" ht="15.6" customHeight="1">
      <c r="A559" s="43" t="n"/>
      <c r="B559" s="33" t="n"/>
      <c r="C559" s="44" t="n"/>
      <c r="D559" s="35" t="n"/>
      <c r="E559" s="36" t="n"/>
      <c r="F559" s="36" t="n"/>
      <c r="G559" s="35" t="n"/>
      <c r="H559" s="37" t="n"/>
      <c r="I559" s="38" t="n"/>
      <c r="J559" s="36" t="n"/>
      <c r="K559" s="36" t="n"/>
      <c r="L559" s="39" t="n"/>
      <c r="M559" s="40" t="n"/>
      <c r="N559" s="42" t="n"/>
      <c r="O559" s="42" t="n"/>
      <c r="P559" s="41" t="n"/>
      <c r="Q559" s="41" t="n"/>
    </row>
    <row r="560" ht="15.6" customHeight="1">
      <c r="A560" s="43" t="n"/>
      <c r="B560" s="33" t="n"/>
      <c r="C560" s="44" t="n"/>
      <c r="D560" s="35" t="n"/>
      <c r="E560" s="36" t="n"/>
      <c r="F560" s="36" t="n"/>
      <c r="G560" s="35" t="n"/>
      <c r="H560" s="37" t="n"/>
      <c r="I560" s="38" t="n"/>
      <c r="J560" s="36" t="n"/>
      <c r="K560" s="36" t="n"/>
      <c r="L560" s="39" t="n"/>
      <c r="M560" s="40" t="n"/>
      <c r="N560" s="42" t="n"/>
      <c r="O560" s="42" t="n"/>
      <c r="P560" s="41" t="n"/>
      <c r="Q560" s="41" t="n"/>
    </row>
    <row r="561" ht="15.6" customHeight="1">
      <c r="A561" s="43" t="n"/>
      <c r="B561" s="33" t="n"/>
      <c r="C561" s="44" t="n"/>
      <c r="D561" s="35" t="n"/>
      <c r="E561" s="36" t="n"/>
      <c r="F561" s="36" t="n"/>
      <c r="G561" s="35" t="n"/>
      <c r="H561" s="37" t="n"/>
      <c r="I561" s="38" t="n"/>
      <c r="J561" s="36" t="n"/>
      <c r="K561" s="36" t="n"/>
      <c r="L561" s="39" t="n"/>
      <c r="M561" s="40" t="n"/>
      <c r="N561" s="42" t="n"/>
      <c r="O561" s="42" t="n"/>
      <c r="P561" s="41" t="n"/>
      <c r="Q561" s="41" t="n"/>
    </row>
    <row r="562" ht="15.6" customHeight="1">
      <c r="A562" s="43" t="n"/>
      <c r="B562" s="33" t="n"/>
      <c r="C562" s="44" t="n"/>
      <c r="D562" s="35" t="n"/>
      <c r="E562" s="36" t="n"/>
      <c r="F562" s="36" t="n"/>
      <c r="G562" s="35" t="n"/>
      <c r="H562" s="37" t="n"/>
      <c r="I562" s="38" t="n"/>
      <c r="J562" s="36" t="n"/>
      <c r="K562" s="36" t="n"/>
      <c r="L562" s="39" t="n"/>
      <c r="M562" s="40" t="n"/>
      <c r="N562" s="42" t="n"/>
      <c r="O562" s="42" t="n"/>
      <c r="P562" s="41" t="n"/>
      <c r="Q562" s="41" t="n"/>
    </row>
    <row r="563" ht="15.6" customHeight="1">
      <c r="A563" s="43" t="n"/>
      <c r="B563" s="33" t="n"/>
      <c r="C563" s="44" t="n"/>
      <c r="D563" s="35" t="n"/>
      <c r="E563" s="36" t="n"/>
      <c r="F563" s="36" t="n"/>
      <c r="G563" s="35" t="n"/>
      <c r="H563" s="37" t="n"/>
      <c r="I563" s="38" t="n"/>
      <c r="J563" s="36" t="n"/>
      <c r="K563" s="36" t="n"/>
      <c r="L563" s="39" t="n"/>
      <c r="M563" s="40" t="n"/>
      <c r="N563" s="42" t="n"/>
      <c r="O563" s="42" t="n"/>
      <c r="P563" s="41" t="n"/>
      <c r="Q563" s="41" t="n"/>
    </row>
    <row r="564" ht="15.6" customHeight="1">
      <c r="A564" s="43" t="n"/>
      <c r="B564" s="33" t="n"/>
      <c r="C564" s="44" t="n"/>
      <c r="D564" s="35" t="n"/>
      <c r="E564" s="36" t="n"/>
      <c r="F564" s="36" t="n"/>
      <c r="G564" s="35" t="n"/>
      <c r="H564" s="37" t="n"/>
      <c r="I564" s="38" t="n"/>
      <c r="J564" s="36" t="n"/>
      <c r="K564" s="36" t="n"/>
      <c r="L564" s="39" t="n"/>
      <c r="M564" s="40" t="n"/>
      <c r="N564" s="42" t="n"/>
      <c r="O564" s="42" t="n"/>
      <c r="P564" s="41" t="n"/>
      <c r="Q564" s="41" t="n"/>
    </row>
    <row r="565" ht="15.6" customHeight="1">
      <c r="A565" s="43" t="n"/>
      <c r="B565" s="33" t="n"/>
      <c r="C565" s="44" t="n"/>
      <c r="D565" s="35" t="n"/>
      <c r="E565" s="36" t="n"/>
      <c r="F565" s="36" t="n"/>
      <c r="G565" s="35" t="n"/>
      <c r="H565" s="37" t="n"/>
      <c r="I565" s="38" t="n"/>
      <c r="J565" s="36" t="n"/>
      <c r="K565" s="36" t="n"/>
      <c r="L565" s="39" t="n"/>
      <c r="M565" s="40" t="n"/>
      <c r="N565" s="42" t="n"/>
      <c r="O565" s="42" t="n"/>
      <c r="P565" s="41" t="n"/>
      <c r="Q565" s="41" t="n"/>
    </row>
    <row r="566" ht="15.6" customHeight="1">
      <c r="A566" s="43" t="n"/>
      <c r="B566" s="33" t="n"/>
      <c r="C566" s="44" t="n"/>
      <c r="D566" s="35" t="n"/>
      <c r="E566" s="36" t="n"/>
      <c r="F566" s="36" t="n"/>
      <c r="G566" s="35" t="n"/>
      <c r="H566" s="37" t="n"/>
      <c r="I566" s="38" t="n"/>
      <c r="J566" s="36" t="n"/>
      <c r="K566" s="36" t="n"/>
      <c r="L566" s="39" t="n"/>
      <c r="M566" s="40" t="n"/>
      <c r="N566" s="42" t="n"/>
      <c r="O566" s="42" t="n"/>
      <c r="P566" s="41" t="n"/>
      <c r="Q566" s="41" t="n"/>
    </row>
    <row r="567" ht="15.6" customHeight="1">
      <c r="A567" s="43" t="n"/>
      <c r="B567" s="33" t="n"/>
      <c r="C567" s="44" t="n"/>
      <c r="D567" s="35" t="n"/>
      <c r="E567" s="36" t="n"/>
      <c r="F567" s="36" t="n"/>
      <c r="G567" s="35" t="n"/>
      <c r="H567" s="37" t="n"/>
      <c r="I567" s="38" t="n"/>
      <c r="J567" s="36" t="n"/>
      <c r="K567" s="36" t="n"/>
      <c r="L567" s="39" t="n"/>
      <c r="M567" s="40" t="n"/>
      <c r="N567" s="42" t="n"/>
      <c r="O567" s="42" t="n"/>
      <c r="P567" s="41" t="n"/>
      <c r="Q567" s="41" t="n"/>
    </row>
    <row r="568" ht="15.6" customHeight="1">
      <c r="A568" s="43" t="n"/>
      <c r="B568" s="33" t="n"/>
      <c r="C568" s="44" t="n"/>
      <c r="D568" s="35" t="n"/>
      <c r="E568" s="36" t="n"/>
      <c r="F568" s="36" t="n"/>
      <c r="G568" s="35" t="n"/>
      <c r="H568" s="37" t="n"/>
      <c r="I568" s="38" t="n"/>
      <c r="J568" s="36" t="n"/>
      <c r="K568" s="36" t="n"/>
      <c r="L568" s="39" t="n"/>
      <c r="M568" s="40" t="n"/>
      <c r="N568" s="42" t="n"/>
      <c r="O568" s="42" t="n"/>
      <c r="P568" s="41" t="n"/>
      <c r="Q568" s="41" t="n"/>
    </row>
    <row r="569" ht="15.6" customHeight="1">
      <c r="A569" s="43" t="n"/>
      <c r="B569" s="33" t="n"/>
      <c r="C569" s="44" t="n"/>
      <c r="D569" s="35" t="n"/>
      <c r="E569" s="36" t="n"/>
      <c r="F569" s="36" t="n"/>
      <c r="G569" s="35" t="n"/>
      <c r="H569" s="37" t="n"/>
      <c r="I569" s="38" t="n"/>
      <c r="J569" s="36" t="n"/>
      <c r="K569" s="36" t="n"/>
      <c r="L569" s="39" t="n"/>
      <c r="M569" s="40" t="n"/>
      <c r="N569" s="42" t="n"/>
      <c r="O569" s="42" t="n"/>
      <c r="P569" s="41" t="n"/>
      <c r="Q569" s="41" t="n"/>
    </row>
    <row r="570" ht="15.6" customHeight="1">
      <c r="A570" s="43" t="n"/>
      <c r="B570" s="33" t="n"/>
      <c r="C570" s="44" t="n"/>
      <c r="D570" s="35" t="n"/>
      <c r="E570" s="36" t="n"/>
      <c r="F570" s="36" t="n"/>
      <c r="G570" s="35" t="n"/>
      <c r="H570" s="37" t="n"/>
      <c r="I570" s="38" t="n"/>
      <c r="J570" s="36" t="n"/>
      <c r="K570" s="36" t="n"/>
      <c r="L570" s="39" t="n"/>
      <c r="M570" s="40" t="n"/>
      <c r="N570" s="42" t="n"/>
      <c r="O570" s="42" t="n"/>
      <c r="P570" s="41" t="n"/>
      <c r="Q570" s="41" t="n"/>
    </row>
    <row r="571" ht="15.6" customHeight="1">
      <c r="A571" s="43" t="n"/>
      <c r="B571" s="33" t="n"/>
      <c r="C571" s="44" t="n"/>
      <c r="D571" s="35" t="n"/>
      <c r="E571" s="36" t="n"/>
      <c r="F571" s="36" t="n"/>
      <c r="G571" s="35" t="n"/>
      <c r="H571" s="37" t="n"/>
      <c r="I571" s="38" t="n"/>
      <c r="J571" s="36" t="n"/>
      <c r="K571" s="36" t="n"/>
      <c r="L571" s="39" t="n"/>
      <c r="M571" s="40" t="n"/>
      <c r="N571" s="42" t="n"/>
      <c r="O571" s="42" t="n"/>
      <c r="P571" s="41" t="n"/>
      <c r="Q571" s="41" t="n"/>
    </row>
    <row r="572" ht="15.6" customHeight="1">
      <c r="A572" s="43" t="n"/>
      <c r="B572" s="33" t="n"/>
      <c r="C572" s="44" t="n"/>
      <c r="D572" s="35" t="n"/>
      <c r="E572" s="36" t="n"/>
      <c r="F572" s="36" t="n"/>
      <c r="G572" s="35" t="n"/>
      <c r="H572" s="37" t="n"/>
      <c r="I572" s="38" t="n"/>
      <c r="J572" s="36" t="n"/>
      <c r="K572" s="36" t="n"/>
      <c r="L572" s="39" t="n"/>
      <c r="M572" s="40" t="n"/>
      <c r="N572" s="42" t="n"/>
      <c r="O572" s="42" t="n"/>
      <c r="P572" s="41" t="n"/>
      <c r="Q572" s="41" t="n"/>
    </row>
    <row r="573" ht="15.6" customHeight="1">
      <c r="A573" s="43" t="n"/>
      <c r="B573" s="33" t="n"/>
      <c r="C573" s="44" t="n"/>
      <c r="D573" s="35" t="n"/>
      <c r="E573" s="36" t="n"/>
      <c r="F573" s="36" t="n"/>
      <c r="G573" s="35" t="n"/>
      <c r="H573" s="37" t="n"/>
      <c r="I573" s="38" t="n"/>
      <c r="J573" s="36" t="n"/>
      <c r="K573" s="36" t="n"/>
      <c r="L573" s="39" t="n"/>
      <c r="M573" s="40" t="n"/>
      <c r="N573" s="42" t="n"/>
      <c r="O573" s="42" t="n"/>
      <c r="P573" s="41" t="n"/>
      <c r="Q573" s="41" t="n"/>
    </row>
    <row r="574" ht="15.6" customHeight="1">
      <c r="A574" s="43" t="n"/>
      <c r="B574" s="33" t="n"/>
      <c r="C574" s="44" t="n"/>
      <c r="D574" s="35" t="n"/>
      <c r="E574" s="36" t="n"/>
      <c r="F574" s="36" t="n"/>
      <c r="G574" s="35" t="n"/>
      <c r="H574" s="37" t="n"/>
      <c r="I574" s="38" t="n"/>
      <c r="J574" s="36" t="n"/>
      <c r="K574" s="36" t="n"/>
      <c r="L574" s="39" t="n"/>
      <c r="M574" s="40" t="n"/>
      <c r="N574" s="42" t="n"/>
      <c r="O574" s="42" t="n"/>
      <c r="P574" s="41" t="n"/>
      <c r="Q574" s="41" t="n"/>
    </row>
    <row r="575" ht="15.6" customHeight="1">
      <c r="A575" s="43" t="n"/>
      <c r="B575" s="33" t="n"/>
      <c r="C575" s="44" t="n"/>
      <c r="D575" s="35" t="n"/>
      <c r="E575" s="36" t="n"/>
      <c r="F575" s="36" t="n"/>
      <c r="G575" s="35" t="n"/>
      <c r="H575" s="37" t="n"/>
      <c r="I575" s="38" t="n"/>
      <c r="J575" s="36" t="n"/>
      <c r="K575" s="36" t="n"/>
      <c r="L575" s="39" t="n"/>
      <c r="M575" s="40" t="n"/>
      <c r="N575" s="42" t="n"/>
      <c r="O575" s="42" t="n"/>
      <c r="P575" s="41" t="n"/>
      <c r="Q575" s="41" t="n"/>
    </row>
    <row r="576" ht="15.6" customHeight="1">
      <c r="A576" s="43" t="n"/>
      <c r="B576" s="33" t="n"/>
      <c r="C576" s="44" t="n"/>
      <c r="D576" s="35" t="n"/>
      <c r="E576" s="36" t="n"/>
      <c r="F576" s="36" t="n"/>
      <c r="G576" s="35" t="n"/>
      <c r="H576" s="37" t="n"/>
      <c r="I576" s="38" t="n"/>
      <c r="J576" s="36" t="n"/>
      <c r="K576" s="36" t="n"/>
      <c r="L576" s="39" t="n"/>
      <c r="M576" s="40" t="n"/>
      <c r="N576" s="42" t="n"/>
      <c r="O576" s="42" t="n"/>
      <c r="P576" s="41" t="n"/>
      <c r="Q576" s="41" t="n"/>
    </row>
    <row r="577" ht="15.6" customHeight="1">
      <c r="A577" s="43" t="n"/>
      <c r="B577" s="33" t="n"/>
      <c r="C577" s="44" t="n"/>
      <c r="D577" s="35" t="n"/>
      <c r="E577" s="36" t="n"/>
      <c r="F577" s="36" t="n"/>
      <c r="G577" s="35" t="n"/>
      <c r="H577" s="37" t="n"/>
      <c r="I577" s="38" t="n"/>
      <c r="J577" s="36" t="n"/>
      <c r="K577" s="36" t="n"/>
      <c r="L577" s="39" t="n"/>
      <c r="M577" s="40" t="n"/>
      <c r="N577" s="42" t="n"/>
      <c r="O577" s="42" t="n"/>
      <c r="P577" s="41" t="n"/>
      <c r="Q577" s="41" t="n"/>
    </row>
    <row r="578" ht="15.6" customHeight="1">
      <c r="A578" s="43" t="n"/>
      <c r="B578" s="33" t="n"/>
      <c r="C578" s="44" t="n"/>
      <c r="D578" s="35" t="n"/>
      <c r="E578" s="36" t="n"/>
      <c r="F578" s="36" t="n"/>
      <c r="G578" s="35" t="n"/>
      <c r="H578" s="37" t="n"/>
      <c r="I578" s="38" t="n"/>
      <c r="J578" s="36" t="n"/>
      <c r="K578" s="36" t="n"/>
      <c r="L578" s="39" t="n"/>
      <c r="M578" s="40" t="n"/>
      <c r="N578" s="42" t="n"/>
      <c r="O578" s="42" t="n"/>
      <c r="P578" s="41" t="n"/>
      <c r="Q578" s="41" t="n"/>
    </row>
    <row r="579" ht="15.6" customHeight="1">
      <c r="A579" s="43" t="n"/>
      <c r="B579" s="33" t="n"/>
      <c r="C579" s="44" t="n"/>
      <c r="D579" s="35" t="n"/>
      <c r="E579" s="36" t="n"/>
      <c r="F579" s="36" t="n"/>
      <c r="G579" s="35" t="n"/>
      <c r="H579" s="37" t="n"/>
      <c r="I579" s="38" t="n"/>
      <c r="J579" s="36" t="n"/>
      <c r="K579" s="36" t="n"/>
      <c r="L579" s="39" t="n"/>
      <c r="M579" s="40" t="n"/>
      <c r="N579" s="42" t="n"/>
      <c r="O579" s="42" t="n"/>
      <c r="P579" s="41" t="n"/>
      <c r="Q579" s="41" t="n"/>
    </row>
    <row r="580" ht="15.6" customHeight="1">
      <c r="A580" s="43" t="n"/>
      <c r="B580" s="33" t="n"/>
      <c r="C580" s="44" t="n"/>
      <c r="D580" s="35" t="n"/>
      <c r="E580" s="36" t="n"/>
      <c r="F580" s="36" t="n"/>
      <c r="G580" s="35" t="n"/>
      <c r="H580" s="37" t="n"/>
      <c r="I580" s="38" t="n"/>
      <c r="J580" s="36" t="n"/>
      <c r="K580" s="36" t="n"/>
      <c r="L580" s="39" t="n"/>
      <c r="M580" s="40" t="n"/>
      <c r="N580" s="42" t="n"/>
      <c r="O580" s="42" t="n"/>
      <c r="P580" s="41" t="n"/>
      <c r="Q580" s="41" t="n"/>
    </row>
    <row r="581" ht="15.6" customHeight="1">
      <c r="A581" s="43" t="n"/>
      <c r="B581" s="33" t="n"/>
      <c r="C581" s="44" t="n"/>
      <c r="D581" s="35" t="n"/>
      <c r="E581" s="36" t="n"/>
      <c r="F581" s="36" t="n"/>
      <c r="G581" s="35" t="n"/>
      <c r="H581" s="37" t="n"/>
      <c r="I581" s="38" t="n"/>
      <c r="J581" s="36" t="n"/>
      <c r="K581" s="36" t="n"/>
      <c r="L581" s="39" t="n"/>
      <c r="M581" s="40" t="n"/>
      <c r="N581" s="42" t="n"/>
      <c r="O581" s="42" t="n"/>
      <c r="P581" s="41" t="n"/>
      <c r="Q581" s="41" t="n"/>
    </row>
    <row r="582" ht="15.6" customHeight="1">
      <c r="A582" s="43" t="n"/>
      <c r="B582" s="33" t="n"/>
      <c r="C582" s="44" t="n"/>
      <c r="D582" s="35" t="n"/>
      <c r="E582" s="36" t="n"/>
      <c r="F582" s="36" t="n"/>
      <c r="G582" s="35" t="n"/>
      <c r="H582" s="37" t="n"/>
      <c r="I582" s="38" t="n"/>
      <c r="J582" s="36" t="n"/>
      <c r="K582" s="36" t="n"/>
      <c r="L582" s="39" t="n"/>
      <c r="M582" s="40" t="n"/>
      <c r="N582" s="42" t="n"/>
      <c r="O582" s="42" t="n"/>
      <c r="P582" s="41" t="n"/>
      <c r="Q582" s="41" t="n"/>
    </row>
    <row r="583" ht="15.6" customHeight="1">
      <c r="A583" s="43" t="n"/>
      <c r="B583" s="33" t="n"/>
      <c r="C583" s="44" t="n"/>
      <c r="D583" s="35" t="n"/>
      <c r="E583" s="36" t="n"/>
      <c r="F583" s="36" t="n"/>
      <c r="G583" s="35" t="n"/>
      <c r="H583" s="37" t="n"/>
      <c r="I583" s="38" t="n"/>
      <c r="J583" s="36" t="n"/>
      <c r="K583" s="36" t="n"/>
      <c r="L583" s="39" t="n"/>
      <c r="M583" s="40" t="n"/>
      <c r="N583" s="42" t="n"/>
      <c r="O583" s="42" t="n"/>
      <c r="P583" s="41" t="n"/>
      <c r="Q583" s="41" t="n"/>
    </row>
    <row r="584" ht="15.6" customHeight="1">
      <c r="A584" s="43" t="n"/>
      <c r="B584" s="33" t="n"/>
      <c r="C584" s="44" t="n"/>
      <c r="D584" s="35" t="n"/>
      <c r="E584" s="36" t="n"/>
      <c r="F584" s="36" t="n"/>
      <c r="G584" s="35" t="n"/>
      <c r="H584" s="37" t="n"/>
      <c r="I584" s="38" t="n"/>
      <c r="J584" s="36" t="n"/>
      <c r="K584" s="36" t="n"/>
      <c r="L584" s="39" t="n"/>
      <c r="M584" s="40" t="n"/>
      <c r="N584" s="42" t="n"/>
      <c r="O584" s="42" t="n"/>
      <c r="P584" s="41" t="n"/>
      <c r="Q584" s="41" t="n"/>
    </row>
    <row r="585" ht="15.6" customHeight="1">
      <c r="A585" s="43" t="n"/>
      <c r="B585" s="33" t="n"/>
      <c r="C585" s="44" t="n"/>
      <c r="D585" s="35" t="n"/>
      <c r="E585" s="36" t="n"/>
      <c r="F585" s="36" t="n"/>
      <c r="G585" s="35" t="n"/>
      <c r="H585" s="37" t="n"/>
      <c r="I585" s="38" t="n"/>
      <c r="J585" s="36" t="n"/>
      <c r="K585" s="36" t="n"/>
      <c r="L585" s="39" t="n"/>
      <c r="M585" s="40" t="n"/>
      <c r="N585" s="42" t="n"/>
      <c r="O585" s="42" t="n"/>
      <c r="P585" s="41" t="n"/>
      <c r="Q585" s="41" t="n"/>
    </row>
    <row r="586" ht="15.6" customHeight="1">
      <c r="A586" s="43" t="n"/>
      <c r="B586" s="33" t="n"/>
      <c r="C586" s="44" t="n"/>
      <c r="D586" s="35" t="n"/>
      <c r="E586" s="36" t="n"/>
      <c r="F586" s="36" t="n"/>
      <c r="G586" s="35" t="n"/>
      <c r="H586" s="37" t="n"/>
      <c r="I586" s="38" t="n"/>
      <c r="J586" s="36" t="n"/>
      <c r="K586" s="36" t="n"/>
      <c r="L586" s="39" t="n"/>
      <c r="M586" s="40" t="n"/>
      <c r="N586" s="42" t="n"/>
      <c r="O586" s="42" t="n"/>
      <c r="P586" s="41" t="n"/>
      <c r="Q586" s="41" t="n"/>
    </row>
    <row r="587" ht="15.6" customHeight="1">
      <c r="A587" s="43" t="n"/>
      <c r="B587" s="33" t="n"/>
      <c r="C587" s="44" t="n"/>
      <c r="D587" s="35" t="n"/>
      <c r="E587" s="36" t="n"/>
      <c r="F587" s="36" t="n"/>
      <c r="G587" s="35" t="n"/>
      <c r="H587" s="37" t="n"/>
      <c r="I587" s="38" t="n"/>
      <c r="J587" s="36" t="n"/>
      <c r="K587" s="36" t="n"/>
      <c r="L587" s="39" t="n"/>
      <c r="M587" s="40" t="n"/>
      <c r="N587" s="42" t="n"/>
      <c r="O587" s="42" t="n"/>
      <c r="P587" s="41" t="n"/>
      <c r="Q587" s="41" t="n"/>
    </row>
    <row r="588" ht="15.6" customHeight="1">
      <c r="A588" s="43" t="n"/>
      <c r="B588" s="33" t="n"/>
      <c r="C588" s="44" t="n"/>
      <c r="D588" s="35" t="n"/>
      <c r="E588" s="36" t="n"/>
      <c r="F588" s="36" t="n"/>
      <c r="G588" s="35" t="n"/>
      <c r="H588" s="37" t="n"/>
      <c r="I588" s="38" t="n"/>
      <c r="J588" s="36" t="n"/>
      <c r="K588" s="36" t="n"/>
      <c r="L588" s="39" t="n"/>
      <c r="M588" s="40" t="n"/>
      <c r="N588" s="42" t="n"/>
      <c r="O588" s="42" t="n"/>
      <c r="P588" s="41" t="n"/>
      <c r="Q588" s="41" t="n"/>
    </row>
    <row r="589" ht="15.6" customHeight="1">
      <c r="A589" s="43" t="n"/>
      <c r="B589" s="33" t="n"/>
      <c r="C589" s="44" t="n"/>
      <c r="D589" s="35" t="n"/>
      <c r="E589" s="36" t="n"/>
      <c r="F589" s="36" t="n"/>
      <c r="G589" s="35" t="n"/>
      <c r="H589" s="37" t="n"/>
      <c r="I589" s="38" t="n"/>
      <c r="J589" s="36" t="n"/>
      <c r="K589" s="36" t="n"/>
      <c r="L589" s="39" t="n"/>
      <c r="M589" s="40" t="n"/>
      <c r="N589" s="42" t="n"/>
      <c r="O589" s="42" t="n"/>
      <c r="P589" s="41" t="n"/>
      <c r="Q589" s="41" t="n"/>
    </row>
    <row r="590" ht="15.6" customHeight="1">
      <c r="A590" s="43" t="n"/>
      <c r="B590" s="33" t="n"/>
      <c r="C590" s="44" t="n"/>
      <c r="D590" s="35" t="n"/>
      <c r="E590" s="36" t="n"/>
      <c r="F590" s="36" t="n"/>
      <c r="G590" s="35" t="n"/>
      <c r="H590" s="37" t="n"/>
      <c r="I590" s="38" t="n"/>
      <c r="J590" s="36" t="n"/>
      <c r="K590" s="36" t="n"/>
      <c r="L590" s="39" t="n"/>
      <c r="M590" s="40" t="n"/>
      <c r="N590" s="42" t="n"/>
      <c r="O590" s="42" t="n"/>
      <c r="P590" s="41" t="n"/>
      <c r="Q590" s="41" t="n"/>
    </row>
    <row r="591" ht="15.6" customHeight="1">
      <c r="A591" s="43" t="n"/>
      <c r="B591" s="33" t="n"/>
      <c r="C591" s="44" t="n"/>
      <c r="D591" s="35" t="n"/>
      <c r="E591" s="36" t="n"/>
      <c r="F591" s="36" t="n"/>
      <c r="G591" s="35" t="n"/>
      <c r="H591" s="37" t="n"/>
      <c r="I591" s="38" t="n"/>
      <c r="J591" s="36" t="n"/>
      <c r="K591" s="36" t="n"/>
      <c r="L591" s="39" t="n"/>
      <c r="M591" s="40" t="n"/>
      <c r="N591" s="42" t="n"/>
      <c r="O591" s="42" t="n"/>
      <c r="P591" s="41" t="n"/>
      <c r="Q591" s="41" t="n"/>
    </row>
    <row r="592" ht="15.6" customHeight="1">
      <c r="A592" s="43" t="n"/>
      <c r="B592" s="33" t="n"/>
      <c r="C592" s="44" t="n"/>
      <c r="D592" s="35" t="n"/>
      <c r="E592" s="36" t="n"/>
      <c r="F592" s="36" t="n"/>
      <c r="G592" s="35" t="n"/>
      <c r="H592" s="37" t="n"/>
      <c r="I592" s="38" t="n"/>
      <c r="J592" s="36" t="n"/>
      <c r="K592" s="36" t="n"/>
      <c r="L592" s="39" t="n"/>
      <c r="M592" s="40" t="n"/>
      <c r="N592" s="42" t="n"/>
      <c r="O592" s="42" t="n"/>
      <c r="P592" s="41" t="n"/>
      <c r="Q592" s="41" t="n"/>
    </row>
    <row r="593" ht="15.6" customHeight="1">
      <c r="A593" s="43" t="n"/>
      <c r="B593" s="33" t="n"/>
      <c r="C593" s="44" t="n"/>
      <c r="D593" s="35" t="n"/>
      <c r="E593" s="36" t="n"/>
      <c r="F593" s="36" t="n"/>
      <c r="G593" s="35" t="n"/>
      <c r="H593" s="37" t="n"/>
      <c r="I593" s="38" t="n"/>
      <c r="J593" s="36" t="n"/>
      <c r="K593" s="36" t="n"/>
      <c r="L593" s="39" t="n"/>
      <c r="M593" s="40" t="n"/>
      <c r="N593" s="42" t="n"/>
      <c r="O593" s="42" t="n"/>
      <c r="P593" s="41" t="n"/>
      <c r="Q593" s="41" t="n"/>
    </row>
    <row r="594" ht="15.6" customHeight="1">
      <c r="A594" s="43" t="n"/>
      <c r="B594" s="33" t="n"/>
      <c r="C594" s="44" t="n"/>
      <c r="D594" s="35" t="n"/>
      <c r="E594" s="36" t="n"/>
      <c r="F594" s="36" t="n"/>
      <c r="G594" s="35" t="n"/>
      <c r="H594" s="37" t="n"/>
      <c r="I594" s="38" t="n"/>
      <c r="J594" s="36" t="n"/>
      <c r="K594" s="36" t="n"/>
      <c r="L594" s="39" t="n"/>
      <c r="M594" s="40" t="n"/>
      <c r="N594" s="42" t="n"/>
      <c r="O594" s="42" t="n"/>
      <c r="P594" s="41" t="n"/>
      <c r="Q594" s="41" t="n"/>
    </row>
    <row r="595" ht="15.6" customHeight="1">
      <c r="A595" s="43" t="n"/>
      <c r="B595" s="33" t="n"/>
      <c r="C595" s="44" t="n"/>
      <c r="D595" s="35" t="n"/>
      <c r="E595" s="36" t="n"/>
      <c r="F595" s="36" t="n"/>
      <c r="G595" s="35" t="n"/>
      <c r="H595" s="37" t="n"/>
      <c r="I595" s="38" t="n"/>
      <c r="J595" s="36" t="n"/>
      <c r="K595" s="36" t="n"/>
      <c r="L595" s="39" t="n"/>
      <c r="M595" s="40" t="n"/>
      <c r="N595" s="42" t="n"/>
      <c r="O595" s="42" t="n"/>
      <c r="P595" s="41" t="n"/>
      <c r="Q595" s="41" t="n"/>
    </row>
    <row r="596" ht="15.6" customHeight="1">
      <c r="A596" s="43" t="n"/>
      <c r="B596" s="33" t="n"/>
      <c r="C596" s="44" t="n"/>
      <c r="D596" s="35" t="n"/>
      <c r="E596" s="36" t="n"/>
      <c r="F596" s="36" t="n"/>
      <c r="G596" s="35" t="n"/>
      <c r="H596" s="37" t="n"/>
      <c r="I596" s="38" t="n"/>
      <c r="J596" s="36" t="n"/>
      <c r="K596" s="36" t="n"/>
      <c r="L596" s="39" t="n"/>
      <c r="M596" s="40" t="n"/>
      <c r="N596" s="42" t="n"/>
      <c r="O596" s="42" t="n"/>
      <c r="P596" s="41" t="n"/>
      <c r="Q596" s="41" t="n"/>
    </row>
    <row r="597" ht="15.6" customHeight="1">
      <c r="A597" s="43" t="n"/>
      <c r="B597" s="33" t="n"/>
      <c r="C597" s="44" t="n"/>
      <c r="D597" s="35" t="n"/>
      <c r="E597" s="36" t="n"/>
      <c r="F597" s="36" t="n"/>
      <c r="G597" s="35" t="n"/>
      <c r="H597" s="37" t="n"/>
      <c r="I597" s="38" t="n"/>
      <c r="J597" s="36" t="n"/>
      <c r="K597" s="36" t="n"/>
      <c r="L597" s="39" t="n"/>
      <c r="M597" s="40" t="n"/>
      <c r="N597" s="42" t="n"/>
      <c r="O597" s="42" t="n"/>
      <c r="P597" s="41" t="n"/>
      <c r="Q597" s="41" t="n"/>
    </row>
    <row r="598" ht="15.6" customHeight="1">
      <c r="A598" s="43" t="n"/>
      <c r="B598" s="33" t="n"/>
      <c r="C598" s="44" t="n"/>
      <c r="D598" s="35" t="n"/>
      <c r="E598" s="36" t="n"/>
      <c r="F598" s="36" t="n"/>
      <c r="G598" s="35" t="n"/>
      <c r="H598" s="37" t="n"/>
      <c r="I598" s="38" t="n"/>
      <c r="J598" s="36" t="n"/>
      <c r="K598" s="36" t="n"/>
      <c r="L598" s="39" t="n"/>
      <c r="M598" s="40" t="n"/>
      <c r="N598" s="42" t="n"/>
      <c r="O598" s="42" t="n"/>
      <c r="P598" s="41" t="n"/>
      <c r="Q598" s="41" t="n"/>
    </row>
    <row r="599" ht="15.6" customHeight="1">
      <c r="A599" s="43" t="n"/>
      <c r="B599" s="33" t="n"/>
      <c r="C599" s="44" t="n"/>
      <c r="D599" s="35" t="n"/>
      <c r="E599" s="36" t="n"/>
      <c r="F599" s="36" t="n"/>
      <c r="G599" s="35" t="n"/>
      <c r="H599" s="37" t="n"/>
      <c r="I599" s="38" t="n"/>
      <c r="J599" s="36" t="n"/>
      <c r="K599" s="36" t="n"/>
      <c r="L599" s="39" t="n"/>
      <c r="M599" s="40" t="n"/>
      <c r="N599" s="42" t="n"/>
      <c r="O599" s="42" t="n"/>
      <c r="P599" s="41" t="n"/>
      <c r="Q599" s="41" t="n"/>
    </row>
    <row r="600" ht="15.6" customHeight="1">
      <c r="A600" s="43" t="n"/>
      <c r="B600" s="33" t="n"/>
      <c r="C600" s="44" t="n"/>
      <c r="D600" s="35" t="n"/>
      <c r="E600" s="36" t="n"/>
      <c r="F600" s="36" t="n"/>
      <c r="G600" s="35" t="n"/>
      <c r="H600" s="37" t="n"/>
      <c r="I600" s="38" t="n"/>
      <c r="J600" s="36" t="n"/>
      <c r="K600" s="36" t="n"/>
      <c r="L600" s="39" t="n"/>
      <c r="M600" s="40" t="n"/>
      <c r="N600" s="42" t="n"/>
      <c r="O600" s="42" t="n"/>
      <c r="P600" s="41" t="n"/>
      <c r="Q600" s="41" t="n"/>
    </row>
    <row r="601" ht="15.6" customHeight="1">
      <c r="A601" s="43" t="n"/>
      <c r="B601" s="33" t="n"/>
      <c r="C601" s="44" t="n"/>
      <c r="D601" s="35" t="n"/>
      <c r="E601" s="36" t="n"/>
      <c r="F601" s="36" t="n"/>
      <c r="G601" s="35" t="n"/>
      <c r="H601" s="37" t="n"/>
      <c r="I601" s="38" t="n"/>
      <c r="J601" s="36" t="n"/>
      <c r="K601" s="36" t="n"/>
      <c r="L601" s="39" t="n"/>
      <c r="M601" s="40" t="n"/>
      <c r="N601" s="42" t="n"/>
      <c r="O601" s="42" t="n"/>
      <c r="P601" s="41" t="n"/>
      <c r="Q601" s="41" t="n"/>
    </row>
    <row r="602" ht="15.6" customHeight="1">
      <c r="A602" s="43" t="n"/>
      <c r="B602" s="33" t="n"/>
      <c r="C602" s="44" t="n"/>
      <c r="D602" s="35" t="n"/>
      <c r="E602" s="36" t="n"/>
      <c r="F602" s="36" t="n"/>
      <c r="G602" s="35" t="n"/>
      <c r="H602" s="37" t="n"/>
      <c r="I602" s="38" t="n"/>
      <c r="J602" s="36" t="n"/>
      <c r="K602" s="36" t="n"/>
      <c r="L602" s="39" t="n"/>
      <c r="M602" s="40" t="n"/>
      <c r="N602" s="42" t="n"/>
      <c r="O602" s="42" t="n"/>
      <c r="P602" s="41" t="n"/>
      <c r="Q602" s="41" t="n"/>
    </row>
    <row r="603" ht="15.6" customHeight="1">
      <c r="A603" s="43" t="n"/>
      <c r="B603" s="33" t="n"/>
      <c r="C603" s="44" t="n"/>
      <c r="D603" s="35" t="n"/>
      <c r="E603" s="36" t="n"/>
      <c r="F603" s="36" t="n"/>
      <c r="G603" s="35" t="n"/>
      <c r="H603" s="37" t="n"/>
      <c r="I603" s="38" t="n"/>
      <c r="J603" s="36" t="n"/>
      <c r="K603" s="36" t="n"/>
      <c r="L603" s="39" t="n"/>
      <c r="M603" s="40" t="n"/>
      <c r="N603" s="42" t="n"/>
      <c r="O603" s="42" t="n"/>
      <c r="P603" s="41" t="n"/>
      <c r="Q603" s="41" t="n"/>
    </row>
    <row r="604" ht="15.6" customHeight="1">
      <c r="A604" s="43" t="n"/>
      <c r="B604" s="33" t="n"/>
      <c r="C604" s="44" t="n"/>
      <c r="D604" s="35" t="n"/>
      <c r="E604" s="36" t="n"/>
      <c r="F604" s="36" t="n"/>
      <c r="G604" s="35" t="n"/>
      <c r="H604" s="37" t="n"/>
      <c r="I604" s="38" t="n"/>
      <c r="J604" s="36" t="n"/>
      <c r="K604" s="36" t="n"/>
      <c r="L604" s="39" t="n"/>
      <c r="M604" s="40" t="n"/>
      <c r="N604" s="42" t="n"/>
      <c r="O604" s="42" t="n"/>
      <c r="P604" s="41" t="n"/>
      <c r="Q604" s="41" t="n"/>
    </row>
    <row r="605" ht="15.6" customHeight="1">
      <c r="A605" s="43" t="n"/>
      <c r="B605" s="33" t="n"/>
      <c r="C605" s="44" t="n"/>
      <c r="D605" s="35" t="n"/>
      <c r="E605" s="36" t="n"/>
      <c r="F605" s="36" t="n"/>
      <c r="G605" s="35" t="n"/>
      <c r="H605" s="37" t="n"/>
      <c r="I605" s="38" t="n"/>
      <c r="J605" s="36" t="n"/>
      <c r="K605" s="36" t="n"/>
      <c r="L605" s="39" t="n"/>
      <c r="M605" s="40" t="n"/>
      <c r="N605" s="42" t="n"/>
      <c r="O605" s="42" t="n"/>
      <c r="P605" s="41" t="n"/>
      <c r="Q605" s="41" t="n"/>
    </row>
    <row r="606" ht="15.6" customHeight="1">
      <c r="A606" s="43" t="n"/>
      <c r="B606" s="33" t="n"/>
      <c r="C606" s="44" t="n"/>
      <c r="D606" s="35" t="n"/>
      <c r="E606" s="36" t="n"/>
      <c r="F606" s="36" t="n"/>
      <c r="G606" s="35" t="n"/>
      <c r="H606" s="37" t="n"/>
      <c r="I606" s="38" t="n"/>
      <c r="J606" s="36" t="n"/>
      <c r="K606" s="36" t="n"/>
      <c r="L606" s="39" t="n"/>
      <c r="M606" s="40" t="n"/>
      <c r="N606" s="42" t="n"/>
      <c r="O606" s="42" t="n"/>
      <c r="P606" s="41" t="n"/>
      <c r="Q606" s="41" t="n"/>
    </row>
    <row r="607" ht="15.6" customHeight="1">
      <c r="A607" s="43" t="n"/>
      <c r="B607" s="33" t="n"/>
      <c r="C607" s="44" t="n"/>
      <c r="D607" s="35" t="n"/>
      <c r="E607" s="36" t="n"/>
      <c r="F607" s="36" t="n"/>
      <c r="G607" s="35" t="n"/>
      <c r="H607" s="37" t="n"/>
      <c r="I607" s="38" t="n"/>
      <c r="J607" s="36" t="n"/>
      <c r="K607" s="36" t="n"/>
      <c r="L607" s="39" t="n"/>
      <c r="M607" s="40" t="n"/>
      <c r="N607" s="42" t="n"/>
      <c r="O607" s="42" t="n"/>
      <c r="P607" s="41" t="n"/>
      <c r="Q607" s="41" t="n"/>
    </row>
    <row r="608" ht="15.6" customHeight="1">
      <c r="A608" s="43" t="n"/>
      <c r="B608" s="33" t="n"/>
      <c r="C608" s="44" t="n"/>
      <c r="D608" s="35" t="n"/>
      <c r="E608" s="36" t="n"/>
      <c r="F608" s="36" t="n"/>
      <c r="G608" s="35" t="n"/>
      <c r="H608" s="37" t="n"/>
      <c r="I608" s="38" t="n"/>
      <c r="J608" s="36" t="n"/>
      <c r="K608" s="36" t="n"/>
      <c r="L608" s="39" t="n"/>
      <c r="M608" s="40" t="n"/>
      <c r="N608" s="42" t="n"/>
      <c r="O608" s="42" t="n"/>
      <c r="P608" s="41" t="n"/>
      <c r="Q608" s="41" t="n"/>
    </row>
    <row r="609" ht="15.6" customHeight="1">
      <c r="A609" s="43" t="n"/>
      <c r="B609" s="33" t="n"/>
      <c r="C609" s="44" t="n"/>
      <c r="D609" s="35" t="n"/>
      <c r="E609" s="36" t="n"/>
      <c r="F609" s="36" t="n"/>
      <c r="G609" s="35" t="n"/>
      <c r="H609" s="37" t="n"/>
      <c r="I609" s="38" t="n"/>
      <c r="J609" s="36" t="n"/>
      <c r="K609" s="36" t="n"/>
      <c r="L609" s="39" t="n"/>
      <c r="M609" s="40" t="n"/>
      <c r="N609" s="42" t="n"/>
      <c r="O609" s="42" t="n"/>
      <c r="P609" s="41" t="n"/>
      <c r="Q609" s="41" t="n"/>
    </row>
    <row r="610" ht="15.6" customHeight="1">
      <c r="A610" s="43" t="n"/>
      <c r="B610" s="33" t="n"/>
      <c r="C610" s="44" t="n"/>
      <c r="D610" s="35" t="n"/>
      <c r="E610" s="36" t="n"/>
      <c r="F610" s="36" t="n"/>
      <c r="G610" s="35" t="n"/>
      <c r="H610" s="37" t="n"/>
      <c r="I610" s="38" t="n"/>
      <c r="J610" s="36" t="n"/>
      <c r="K610" s="36" t="n"/>
      <c r="L610" s="39" t="n"/>
      <c r="M610" s="40" t="n"/>
      <c r="N610" s="42" t="n"/>
      <c r="O610" s="42" t="n"/>
      <c r="P610" s="41" t="n"/>
      <c r="Q610" s="41" t="n"/>
    </row>
    <row r="611" ht="15.6" customHeight="1">
      <c r="A611" s="43" t="n"/>
      <c r="B611" s="33" t="n"/>
      <c r="C611" s="44" t="n"/>
      <c r="D611" s="35" t="n"/>
      <c r="E611" s="36" t="n"/>
      <c r="F611" s="36" t="n"/>
      <c r="G611" s="35" t="n"/>
      <c r="H611" s="37" t="n"/>
      <c r="I611" s="38" t="n"/>
      <c r="J611" s="36" t="n"/>
      <c r="K611" s="36" t="n"/>
      <c r="L611" s="39" t="n"/>
      <c r="M611" s="40" t="n"/>
      <c r="N611" s="42" t="n"/>
      <c r="O611" s="42" t="n"/>
      <c r="P611" s="41" t="n"/>
      <c r="Q611" s="41" t="n"/>
    </row>
    <row r="612" ht="15.6" customHeight="1">
      <c r="A612" s="43" t="n"/>
      <c r="B612" s="33" t="n"/>
      <c r="C612" s="44" t="n"/>
      <c r="D612" s="35" t="n"/>
      <c r="E612" s="36" t="n"/>
      <c r="F612" s="36" t="n"/>
      <c r="G612" s="35" t="n"/>
      <c r="H612" s="37" t="n"/>
      <c r="I612" s="38" t="n"/>
      <c r="J612" s="36" t="n"/>
      <c r="K612" s="36" t="n"/>
      <c r="L612" s="39" t="n"/>
      <c r="M612" s="40" t="n"/>
      <c r="N612" s="42" t="n"/>
      <c r="O612" s="42" t="n"/>
      <c r="P612" s="41" t="n"/>
      <c r="Q612" s="41" t="n"/>
    </row>
    <row r="613" ht="15.6" customHeight="1">
      <c r="A613" s="43" t="n"/>
      <c r="B613" s="33" t="n"/>
      <c r="C613" s="44" t="n"/>
      <c r="D613" s="35" t="n"/>
      <c r="E613" s="36" t="n"/>
      <c r="F613" s="36" t="n"/>
      <c r="G613" s="35" t="n"/>
      <c r="H613" s="37" t="n"/>
      <c r="I613" s="38" t="n"/>
      <c r="J613" s="36" t="n"/>
      <c r="K613" s="36" t="n"/>
      <c r="L613" s="39" t="n"/>
      <c r="M613" s="40" t="n"/>
      <c r="N613" s="42" t="n"/>
      <c r="O613" s="42" t="n"/>
      <c r="P613" s="41" t="n"/>
      <c r="Q613" s="41" t="n"/>
    </row>
    <row r="614" ht="15.6" customHeight="1">
      <c r="A614" s="43" t="n"/>
      <c r="B614" s="33" t="n"/>
      <c r="C614" s="44" t="n"/>
      <c r="D614" s="35" t="n"/>
      <c r="E614" s="36" t="n"/>
      <c r="F614" s="36" t="n"/>
      <c r="G614" s="35" t="n"/>
      <c r="H614" s="37" t="n"/>
      <c r="I614" s="38" t="n"/>
      <c r="J614" s="36" t="n"/>
      <c r="K614" s="36" t="n"/>
      <c r="L614" s="39" t="n"/>
      <c r="M614" s="40" t="n"/>
      <c r="N614" s="42" t="n"/>
      <c r="O614" s="42" t="n"/>
      <c r="P614" s="41" t="n"/>
      <c r="Q614" s="41" t="n"/>
    </row>
    <row r="615" ht="15.6" customHeight="1">
      <c r="A615" s="43" t="n"/>
      <c r="B615" s="33" t="n"/>
      <c r="C615" s="44" t="n"/>
      <c r="D615" s="35" t="n"/>
      <c r="E615" s="36" t="n"/>
      <c r="F615" s="36" t="n"/>
      <c r="G615" s="35" t="n"/>
      <c r="H615" s="37" t="n"/>
      <c r="I615" s="38" t="n"/>
      <c r="J615" s="36" t="n"/>
      <c r="K615" s="36" t="n"/>
      <c r="L615" s="39" t="n"/>
      <c r="M615" s="40" t="n"/>
      <c r="N615" s="42" t="n"/>
      <c r="O615" s="42" t="n"/>
      <c r="P615" s="41" t="n"/>
      <c r="Q615" s="41" t="n"/>
    </row>
    <row r="616" ht="15.6" customHeight="1">
      <c r="A616" s="43" t="n"/>
      <c r="B616" s="33" t="n"/>
      <c r="C616" s="44" t="n"/>
      <c r="D616" s="35" t="n"/>
      <c r="E616" s="36" t="n"/>
      <c r="F616" s="36" t="n"/>
      <c r="G616" s="35" t="n"/>
      <c r="H616" s="37" t="n"/>
      <c r="I616" s="38" t="n"/>
      <c r="J616" s="36" t="n"/>
      <c r="K616" s="36" t="n"/>
      <c r="L616" s="39" t="n"/>
      <c r="M616" s="40" t="n"/>
      <c r="N616" s="42" t="n"/>
      <c r="O616" s="42" t="n"/>
      <c r="P616" s="41" t="n"/>
      <c r="Q616" s="41" t="n"/>
    </row>
    <row r="617" ht="15.6" customHeight="1">
      <c r="A617" s="43" t="n"/>
      <c r="B617" s="33" t="n"/>
      <c r="C617" s="44" t="n"/>
      <c r="D617" s="35" t="n"/>
      <c r="E617" s="36" t="n"/>
      <c r="F617" s="36" t="n"/>
      <c r="G617" s="35" t="n"/>
      <c r="H617" s="37" t="n"/>
      <c r="I617" s="38" t="n"/>
      <c r="J617" s="36" t="n"/>
      <c r="K617" s="36" t="n"/>
      <c r="L617" s="39" t="n"/>
      <c r="M617" s="40" t="n"/>
      <c r="N617" s="42" t="n"/>
      <c r="O617" s="42" t="n"/>
      <c r="P617" s="41" t="n"/>
      <c r="Q617" s="41" t="n"/>
    </row>
    <row r="618" ht="15.6" customHeight="1">
      <c r="A618" s="43" t="n"/>
      <c r="B618" s="33" t="n"/>
      <c r="C618" s="44" t="n"/>
      <c r="D618" s="35" t="n"/>
      <c r="E618" s="36" t="n"/>
      <c r="F618" s="36" t="n"/>
      <c r="G618" s="35" t="n"/>
      <c r="H618" s="37" t="n"/>
      <c r="I618" s="38" t="n"/>
      <c r="J618" s="36" t="n"/>
      <c r="K618" s="36" t="n"/>
      <c r="L618" s="39" t="n"/>
      <c r="M618" s="40" t="n"/>
      <c r="N618" s="42" t="n"/>
      <c r="O618" s="42" t="n"/>
      <c r="P618" s="41" t="n"/>
      <c r="Q618" s="41" t="n"/>
    </row>
    <row r="619" ht="15.6" customHeight="1">
      <c r="A619" s="43" t="n"/>
      <c r="B619" s="33" t="n"/>
      <c r="C619" s="44" t="n"/>
      <c r="D619" s="35" t="n"/>
      <c r="E619" s="36" t="n"/>
      <c r="F619" s="36" t="n"/>
      <c r="G619" s="35" t="n"/>
      <c r="H619" s="37" t="n"/>
      <c r="I619" s="38" t="n"/>
      <c r="J619" s="36" t="n"/>
      <c r="K619" s="36" t="n"/>
      <c r="L619" s="39" t="n"/>
      <c r="M619" s="40" t="n"/>
      <c r="N619" s="42" t="n"/>
      <c r="O619" s="42" t="n"/>
      <c r="P619" s="41" t="n"/>
      <c r="Q619" s="41" t="n"/>
    </row>
    <row r="620" ht="15.6" customHeight="1">
      <c r="A620" s="43" t="n"/>
      <c r="B620" s="33" t="n"/>
      <c r="C620" s="44" t="n"/>
      <c r="D620" s="35" t="n"/>
      <c r="E620" s="36" t="n"/>
      <c r="F620" s="36" t="n"/>
      <c r="G620" s="35" t="n"/>
      <c r="H620" s="37" t="n"/>
      <c r="I620" s="38" t="n"/>
      <c r="J620" s="36" t="n"/>
      <c r="K620" s="36" t="n"/>
      <c r="L620" s="39" t="n"/>
      <c r="M620" s="40" t="n"/>
      <c r="N620" s="42" t="n"/>
      <c r="O620" s="42" t="n"/>
      <c r="P620" s="41" t="n"/>
      <c r="Q620" s="41" t="n"/>
    </row>
    <row r="621" ht="15.6" customHeight="1">
      <c r="A621" s="43" t="n"/>
      <c r="B621" s="33" t="n"/>
      <c r="C621" s="44" t="n"/>
      <c r="D621" s="35" t="n"/>
      <c r="E621" s="36" t="n"/>
      <c r="F621" s="36" t="n"/>
      <c r="G621" s="35" t="n"/>
      <c r="H621" s="37" t="n"/>
      <c r="I621" s="38" t="n"/>
      <c r="J621" s="36" t="n"/>
      <c r="K621" s="36" t="n"/>
      <c r="L621" s="39" t="n"/>
      <c r="M621" s="40" t="n"/>
      <c r="N621" s="42" t="n"/>
      <c r="O621" s="42" t="n"/>
      <c r="P621" s="41" t="n"/>
      <c r="Q621" s="41" t="n"/>
    </row>
    <row r="622" ht="15.6" customHeight="1">
      <c r="A622" s="43" t="n"/>
      <c r="B622" s="33" t="n"/>
      <c r="C622" s="44" t="n"/>
      <c r="D622" s="35" t="n"/>
      <c r="E622" s="36" t="n"/>
      <c r="F622" s="36" t="n"/>
      <c r="G622" s="35" t="n"/>
      <c r="H622" s="37" t="n"/>
      <c r="I622" s="38" t="n"/>
      <c r="J622" s="36" t="n"/>
      <c r="K622" s="36" t="n"/>
      <c r="L622" s="39" t="n"/>
      <c r="M622" s="40" t="n"/>
      <c r="N622" s="42" t="n"/>
      <c r="O622" s="42" t="n"/>
      <c r="P622" s="41" t="n"/>
      <c r="Q622" s="41" t="n"/>
    </row>
    <row r="623" ht="15.6" customHeight="1">
      <c r="A623" s="43" t="n"/>
      <c r="B623" s="33" t="n"/>
      <c r="C623" s="44" t="n"/>
      <c r="D623" s="35" t="n"/>
      <c r="E623" s="36" t="n"/>
      <c r="F623" s="36" t="n"/>
      <c r="G623" s="35" t="n"/>
      <c r="H623" s="37" t="n"/>
      <c r="I623" s="38" t="n"/>
      <c r="J623" s="36" t="n"/>
      <c r="K623" s="36" t="n"/>
      <c r="L623" s="39" t="n"/>
      <c r="M623" s="40" t="n"/>
      <c r="N623" s="42" t="n"/>
      <c r="O623" s="42" t="n"/>
      <c r="P623" s="41" t="n"/>
      <c r="Q623" s="41" t="n"/>
    </row>
    <row r="624" ht="15.6" customHeight="1">
      <c r="A624" s="43" t="n"/>
      <c r="B624" s="33" t="n"/>
      <c r="C624" s="44" t="n"/>
      <c r="D624" s="35" t="n"/>
      <c r="E624" s="36" t="n"/>
      <c r="F624" s="36" t="n"/>
      <c r="G624" s="35" t="n"/>
      <c r="H624" s="37" t="n"/>
      <c r="I624" s="38" t="n"/>
      <c r="J624" s="36" t="n"/>
      <c r="K624" s="36" t="n"/>
      <c r="L624" s="39" t="n"/>
      <c r="M624" s="40" t="n"/>
      <c r="N624" s="42" t="n"/>
      <c r="O624" s="42" t="n"/>
      <c r="P624" s="41" t="n"/>
      <c r="Q624" s="41" t="n"/>
    </row>
    <row r="625" ht="15.6" customHeight="1">
      <c r="A625" s="43" t="n"/>
      <c r="B625" s="33" t="n"/>
      <c r="C625" s="44" t="n"/>
      <c r="D625" s="35" t="n"/>
      <c r="E625" s="36" t="n"/>
      <c r="F625" s="36" t="n"/>
      <c r="G625" s="35" t="n"/>
      <c r="H625" s="37" t="n"/>
      <c r="I625" s="38" t="n"/>
      <c r="J625" s="36" t="n"/>
      <c r="K625" s="36" t="n"/>
      <c r="L625" s="39" t="n"/>
      <c r="M625" s="40" t="n"/>
      <c r="N625" s="42" t="n"/>
      <c r="O625" s="42" t="n"/>
      <c r="P625" s="41" t="n"/>
      <c r="Q625" s="41" t="n"/>
    </row>
    <row r="626" ht="15.6" customHeight="1">
      <c r="A626" s="43" t="n"/>
      <c r="B626" s="33" t="n"/>
      <c r="C626" s="44" t="n"/>
      <c r="D626" s="35" t="n"/>
      <c r="E626" s="36" t="n"/>
      <c r="F626" s="36" t="n"/>
      <c r="G626" s="35" t="n"/>
      <c r="H626" s="37" t="n"/>
      <c r="I626" s="38" t="n"/>
      <c r="J626" s="36" t="n"/>
      <c r="K626" s="36" t="n"/>
      <c r="L626" s="39" t="n"/>
      <c r="M626" s="40" t="n"/>
      <c r="N626" s="42" t="n"/>
      <c r="O626" s="42" t="n"/>
      <c r="P626" s="41" t="n"/>
      <c r="Q626" s="41" t="n"/>
    </row>
    <row r="627" ht="15.6" customHeight="1">
      <c r="A627" s="43" t="n"/>
      <c r="B627" s="33" t="n"/>
      <c r="C627" s="44" t="n"/>
      <c r="D627" s="35" t="n"/>
      <c r="E627" s="36" t="n"/>
      <c r="F627" s="36" t="n"/>
      <c r="G627" s="35" t="n"/>
      <c r="H627" s="37" t="n"/>
      <c r="I627" s="38" t="n"/>
      <c r="J627" s="36" t="n"/>
      <c r="K627" s="36" t="n"/>
      <c r="L627" s="39" t="n"/>
      <c r="M627" s="40" t="n"/>
      <c r="N627" s="42" t="n"/>
      <c r="O627" s="42" t="n"/>
      <c r="P627" s="41" t="n"/>
      <c r="Q627" s="41" t="n"/>
    </row>
    <row r="628" ht="15.6" customHeight="1">
      <c r="A628" s="43" t="n"/>
      <c r="B628" s="33" t="n"/>
      <c r="C628" s="44" t="n"/>
      <c r="D628" s="35" t="n"/>
      <c r="E628" s="36" t="n"/>
      <c r="F628" s="36" t="n"/>
      <c r="G628" s="35" t="n"/>
      <c r="H628" s="37" t="n"/>
      <c r="I628" s="38" t="n"/>
      <c r="J628" s="36" t="n"/>
      <c r="K628" s="36" t="n"/>
      <c r="L628" s="39" t="n"/>
      <c r="M628" s="40" t="n"/>
      <c r="N628" s="42" t="n"/>
      <c r="O628" s="42" t="n"/>
      <c r="P628" s="41" t="n"/>
      <c r="Q628" s="41" t="n"/>
    </row>
    <row r="629" ht="15.6" customHeight="1">
      <c r="A629" s="43" t="n"/>
      <c r="B629" s="33" t="n"/>
      <c r="C629" s="44" t="n"/>
      <c r="D629" s="35" t="n"/>
      <c r="E629" s="36" t="n"/>
      <c r="F629" s="36" t="n"/>
      <c r="G629" s="35" t="n"/>
      <c r="H629" s="37" t="n"/>
      <c r="I629" s="38" t="n"/>
      <c r="J629" s="36" t="n"/>
      <c r="K629" s="36" t="n"/>
      <c r="L629" s="39" t="n"/>
      <c r="M629" s="40" t="n"/>
      <c r="N629" s="42" t="n"/>
      <c r="O629" s="42" t="n"/>
      <c r="P629" s="41" t="n"/>
      <c r="Q629" s="41" t="n"/>
    </row>
    <row r="630" ht="15.6" customHeight="1">
      <c r="A630" s="43" t="n"/>
      <c r="B630" s="33" t="n"/>
      <c r="C630" s="44" t="n"/>
      <c r="D630" s="35" t="n"/>
      <c r="E630" s="36" t="n"/>
      <c r="F630" s="36" t="n"/>
      <c r="G630" s="35" t="n"/>
      <c r="H630" s="37" t="n"/>
      <c r="I630" s="38" t="n"/>
      <c r="J630" s="36" t="n"/>
      <c r="K630" s="36" t="n"/>
      <c r="L630" s="39" t="n"/>
      <c r="M630" s="40" t="n"/>
      <c r="N630" s="42" t="n"/>
      <c r="O630" s="42" t="n"/>
      <c r="P630" s="41" t="n"/>
      <c r="Q630" s="41" t="n"/>
    </row>
    <row r="631" ht="15.6" customHeight="1">
      <c r="A631" s="43" t="n"/>
      <c r="B631" s="33" t="n"/>
      <c r="C631" s="44" t="n"/>
      <c r="D631" s="35" t="n"/>
      <c r="E631" s="36" t="n"/>
      <c r="F631" s="36" t="n"/>
      <c r="G631" s="35" t="n"/>
      <c r="H631" s="37" t="n"/>
      <c r="I631" s="38" t="n"/>
      <c r="J631" s="36" t="n"/>
      <c r="K631" s="36" t="n"/>
      <c r="L631" s="39" t="n"/>
      <c r="M631" s="40" t="n"/>
      <c r="N631" s="42" t="n"/>
      <c r="O631" s="42" t="n"/>
      <c r="P631" s="41" t="n"/>
      <c r="Q631" s="41" t="n"/>
    </row>
    <row r="632" ht="15.6" customHeight="1">
      <c r="A632" s="43" t="n"/>
      <c r="B632" s="33" t="n"/>
      <c r="C632" s="44" t="n"/>
      <c r="D632" s="35" t="n"/>
      <c r="E632" s="36" t="n"/>
      <c r="F632" s="36" t="n"/>
      <c r="G632" s="35" t="n"/>
      <c r="H632" s="37" t="n"/>
      <c r="I632" s="38" t="n"/>
      <c r="J632" s="36" t="n"/>
      <c r="K632" s="36" t="n"/>
      <c r="L632" s="39" t="n"/>
      <c r="M632" s="40" t="n"/>
      <c r="N632" s="42" t="n"/>
      <c r="O632" s="42" t="n"/>
      <c r="P632" s="41" t="n"/>
      <c r="Q632" s="41" t="n"/>
    </row>
    <row r="633" ht="15.6" customHeight="1">
      <c r="A633" s="43" t="n"/>
      <c r="B633" s="33" t="n"/>
      <c r="C633" s="44" t="n"/>
      <c r="D633" s="35" t="n"/>
      <c r="E633" s="36" t="n"/>
      <c r="F633" s="36" t="n"/>
      <c r="G633" s="35" t="n"/>
      <c r="H633" s="37" t="n"/>
      <c r="I633" s="38" t="n"/>
      <c r="J633" s="36" t="n"/>
      <c r="K633" s="36" t="n"/>
      <c r="L633" s="39" t="n"/>
      <c r="M633" s="40" t="n"/>
      <c r="N633" s="42" t="n"/>
      <c r="O633" s="42" t="n"/>
      <c r="P633" s="41" t="n"/>
      <c r="Q633" s="41" t="n"/>
    </row>
    <row r="634" ht="15.6" customHeight="1">
      <c r="A634" s="43" t="n"/>
      <c r="B634" s="33" t="n"/>
      <c r="C634" s="44" t="n"/>
      <c r="D634" s="35" t="n"/>
      <c r="E634" s="36" t="n"/>
      <c r="F634" s="36" t="n"/>
      <c r="G634" s="35" t="n"/>
      <c r="H634" s="37" t="n"/>
      <c r="I634" s="38" t="n"/>
      <c r="J634" s="36" t="n"/>
      <c r="K634" s="36" t="n"/>
      <c r="L634" s="39" t="n"/>
      <c r="M634" s="40" t="n"/>
      <c r="N634" s="42" t="n"/>
      <c r="O634" s="42" t="n"/>
      <c r="P634" s="41" t="n"/>
      <c r="Q634" s="41" t="n"/>
    </row>
    <row r="635" ht="15.6" customHeight="1">
      <c r="A635" s="43" t="n"/>
      <c r="B635" s="33" t="n"/>
      <c r="C635" s="44" t="n"/>
      <c r="D635" s="35" t="n"/>
      <c r="E635" s="36" t="n"/>
      <c r="F635" s="36" t="n"/>
      <c r="G635" s="35" t="n"/>
      <c r="H635" s="37" t="n"/>
      <c r="I635" s="38" t="n"/>
      <c r="J635" s="36" t="n"/>
      <c r="K635" s="36" t="n"/>
      <c r="L635" s="39" t="n"/>
      <c r="M635" s="40" t="n"/>
      <c r="N635" s="42" t="n"/>
      <c r="O635" s="42" t="n"/>
      <c r="P635" s="41" t="n"/>
      <c r="Q635" s="41" t="n"/>
    </row>
    <row r="636" ht="15.6" customHeight="1">
      <c r="A636" s="43" t="n"/>
      <c r="B636" s="33" t="n"/>
      <c r="C636" s="44" t="n"/>
      <c r="D636" s="35" t="n"/>
      <c r="E636" s="36" t="n"/>
      <c r="F636" s="36" t="n"/>
      <c r="G636" s="35" t="n"/>
      <c r="H636" s="37" t="n"/>
      <c r="I636" s="38" t="n"/>
      <c r="J636" s="36" t="n"/>
      <c r="K636" s="36" t="n"/>
      <c r="L636" s="39" t="n"/>
      <c r="M636" s="40" t="n"/>
      <c r="N636" s="42" t="n"/>
      <c r="O636" s="42" t="n"/>
      <c r="P636" s="41" t="n"/>
      <c r="Q636" s="41" t="n"/>
    </row>
    <row r="637" ht="15.6" customHeight="1">
      <c r="A637" s="43" t="n"/>
      <c r="B637" s="33" t="n"/>
      <c r="C637" s="44" t="n"/>
      <c r="D637" s="35" t="n"/>
      <c r="E637" s="36" t="n"/>
      <c r="F637" s="36" t="n"/>
      <c r="G637" s="35" t="n"/>
      <c r="H637" s="37" t="n"/>
      <c r="I637" s="38" t="n"/>
      <c r="J637" s="36" t="n"/>
      <c r="K637" s="36" t="n"/>
      <c r="L637" s="39" t="n"/>
      <c r="M637" s="40" t="n"/>
      <c r="N637" s="42" t="n"/>
      <c r="O637" s="42" t="n"/>
      <c r="P637" s="41" t="n"/>
      <c r="Q637" s="41" t="n"/>
    </row>
    <row r="638" ht="15.6" customHeight="1">
      <c r="A638" s="43" t="n"/>
      <c r="B638" s="33" t="n"/>
      <c r="C638" s="44" t="n"/>
      <c r="D638" s="35" t="n"/>
      <c r="E638" s="36" t="n"/>
      <c r="F638" s="36" t="n"/>
      <c r="G638" s="35" t="n"/>
      <c r="H638" s="37" t="n"/>
      <c r="I638" s="38" t="n"/>
      <c r="J638" s="36" t="n"/>
      <c r="K638" s="36" t="n"/>
      <c r="L638" s="39" t="n"/>
      <c r="M638" s="40" t="n"/>
      <c r="N638" s="42" t="n"/>
      <c r="O638" s="42" t="n"/>
      <c r="P638" s="41" t="n"/>
      <c r="Q638" s="41" t="n"/>
    </row>
    <row r="639" ht="15.6" customHeight="1">
      <c r="A639" s="43" t="n"/>
      <c r="B639" s="33" t="n"/>
      <c r="C639" s="44" t="n"/>
      <c r="D639" s="35" t="n"/>
      <c r="E639" s="36" t="n"/>
      <c r="F639" s="36" t="n"/>
      <c r="G639" s="35" t="n"/>
      <c r="H639" s="37" t="n"/>
      <c r="I639" s="38" t="n"/>
      <c r="J639" s="36" t="n"/>
      <c r="K639" s="36" t="n"/>
      <c r="L639" s="39" t="n"/>
      <c r="M639" s="40" t="n"/>
      <c r="N639" s="42" t="n"/>
      <c r="O639" s="42" t="n"/>
      <c r="P639" s="41" t="n"/>
      <c r="Q639" s="41" t="n"/>
    </row>
    <row r="640" ht="15.6" customHeight="1">
      <c r="A640" s="43" t="n"/>
      <c r="B640" s="33" t="n"/>
      <c r="C640" s="44" t="n"/>
      <c r="D640" s="35" t="n"/>
      <c r="E640" s="36" t="n"/>
      <c r="F640" s="36" t="n"/>
      <c r="G640" s="35" t="n"/>
      <c r="H640" s="37" t="n"/>
      <c r="I640" s="38" t="n"/>
      <c r="J640" s="36" t="n"/>
      <c r="K640" s="36" t="n"/>
      <c r="L640" s="39" t="n"/>
      <c r="M640" s="40" t="n"/>
      <c r="N640" s="42" t="n"/>
      <c r="O640" s="42" t="n"/>
      <c r="P640" s="41" t="n"/>
      <c r="Q640" s="41" t="n"/>
    </row>
    <row r="641" ht="15.6" customHeight="1">
      <c r="A641" s="43" t="n"/>
      <c r="B641" s="33" t="n"/>
      <c r="C641" s="44" t="n"/>
      <c r="D641" s="35" t="n"/>
      <c r="E641" s="36" t="n"/>
      <c r="F641" s="36" t="n"/>
      <c r="G641" s="35" t="n"/>
      <c r="H641" s="37" t="n"/>
      <c r="I641" s="38" t="n"/>
      <c r="J641" s="36" t="n"/>
      <c r="K641" s="36" t="n"/>
      <c r="L641" s="39" t="n"/>
      <c r="M641" s="40" t="n"/>
      <c r="N641" s="42" t="n"/>
      <c r="O641" s="42" t="n"/>
      <c r="P641" s="41" t="n"/>
      <c r="Q641" s="41" t="n"/>
    </row>
    <row r="642" ht="15.6" customHeight="1">
      <c r="A642" s="43" t="n"/>
      <c r="B642" s="33" t="n"/>
      <c r="C642" s="44" t="n"/>
      <c r="D642" s="35" t="n"/>
      <c r="E642" s="36" t="n"/>
      <c r="F642" s="36" t="n"/>
      <c r="G642" s="35" t="n"/>
      <c r="H642" s="37" t="n"/>
      <c r="I642" s="38" t="n"/>
      <c r="J642" s="36" t="n"/>
      <c r="K642" s="36" t="n"/>
      <c r="L642" s="39" t="n"/>
      <c r="M642" s="40" t="n"/>
      <c r="N642" s="42" t="n"/>
      <c r="O642" s="42" t="n"/>
      <c r="P642" s="41" t="n"/>
      <c r="Q642" s="41" t="n"/>
    </row>
    <row r="643" ht="15.6" customHeight="1">
      <c r="A643" s="43" t="n"/>
      <c r="B643" s="33" t="n"/>
      <c r="C643" s="44" t="n"/>
      <c r="D643" s="35" t="n"/>
      <c r="E643" s="36" t="n"/>
      <c r="F643" s="36" t="n"/>
      <c r="G643" s="35" t="n"/>
      <c r="H643" s="37" t="n"/>
      <c r="I643" s="38" t="n"/>
      <c r="J643" s="36" t="n"/>
      <c r="K643" s="36" t="n"/>
      <c r="L643" s="39" t="n"/>
      <c r="M643" s="40" t="n"/>
      <c r="N643" s="42" t="n"/>
      <c r="O643" s="42" t="n"/>
      <c r="P643" s="41" t="n"/>
      <c r="Q643" s="41" t="n"/>
    </row>
    <row r="644" ht="15.6" customHeight="1">
      <c r="A644" s="43" t="n"/>
      <c r="B644" s="33" t="n"/>
      <c r="C644" s="44" t="n"/>
      <c r="D644" s="35" t="n"/>
      <c r="E644" s="36" t="n"/>
      <c r="F644" s="36" t="n"/>
      <c r="G644" s="35" t="n"/>
      <c r="H644" s="37" t="n"/>
      <c r="I644" s="38" t="n"/>
      <c r="J644" s="36" t="n"/>
      <c r="K644" s="36" t="n"/>
      <c r="L644" s="39" t="n"/>
      <c r="M644" s="40" t="n"/>
      <c r="N644" s="42" t="n"/>
      <c r="O644" s="42" t="n"/>
      <c r="P644" s="41" t="n"/>
      <c r="Q644" s="41" t="n"/>
    </row>
    <row r="645" ht="15.6" customHeight="1">
      <c r="A645" s="43" t="n"/>
      <c r="B645" s="33" t="n"/>
      <c r="C645" s="44" t="n"/>
      <c r="D645" s="35" t="n"/>
      <c r="E645" s="36" t="n"/>
      <c r="F645" s="36" t="n"/>
      <c r="G645" s="35" t="n"/>
      <c r="H645" s="37" t="n"/>
      <c r="I645" s="38" t="n"/>
      <c r="J645" s="36" t="n"/>
      <c r="K645" s="36" t="n"/>
      <c r="L645" s="39" t="n"/>
      <c r="M645" s="40" t="n"/>
      <c r="N645" s="42" t="n"/>
      <c r="O645" s="42" t="n"/>
      <c r="P645" s="41" t="n"/>
      <c r="Q645" s="41" t="n"/>
    </row>
    <row r="646" ht="15.6" customHeight="1">
      <c r="A646" s="43" t="n"/>
      <c r="B646" s="33" t="n"/>
      <c r="C646" s="44" t="n"/>
      <c r="D646" s="35" t="n"/>
      <c r="E646" s="36" t="n"/>
      <c r="F646" s="36" t="n"/>
      <c r="G646" s="35" t="n"/>
      <c r="H646" s="37" t="n"/>
      <c r="I646" s="38" t="n"/>
      <c r="J646" s="36" t="n"/>
      <c r="K646" s="36" t="n"/>
      <c r="L646" s="39" t="n"/>
      <c r="M646" s="40" t="n"/>
      <c r="N646" s="42" t="n"/>
      <c r="O646" s="42" t="n"/>
      <c r="P646" s="41" t="n"/>
      <c r="Q646" s="41" t="n"/>
    </row>
    <row r="647" ht="15.6" customHeight="1">
      <c r="A647" s="43" t="n"/>
      <c r="B647" s="33" t="n"/>
      <c r="C647" s="44" t="n"/>
      <c r="D647" s="35" t="n"/>
      <c r="E647" s="36" t="n"/>
      <c r="F647" s="36" t="n"/>
      <c r="G647" s="35" t="n"/>
      <c r="H647" s="37" t="n"/>
      <c r="I647" s="38" t="n"/>
      <c r="J647" s="36" t="n"/>
      <c r="K647" s="36" t="n"/>
      <c r="L647" s="39" t="n"/>
      <c r="M647" s="40" t="n"/>
      <c r="N647" s="42" t="n"/>
      <c r="O647" s="42" t="n"/>
      <c r="P647" s="41" t="n"/>
      <c r="Q647" s="41" t="n"/>
    </row>
    <row r="648" ht="15.6" customHeight="1">
      <c r="A648" s="43" t="n"/>
      <c r="B648" s="33" t="n"/>
      <c r="C648" s="44" t="n"/>
      <c r="D648" s="35" t="n"/>
      <c r="E648" s="36" t="n"/>
      <c r="F648" s="36" t="n"/>
      <c r="G648" s="35" t="n"/>
      <c r="H648" s="37" t="n"/>
      <c r="I648" s="38" t="n"/>
      <c r="J648" s="36" t="n"/>
      <c r="K648" s="36" t="n"/>
      <c r="L648" s="39" t="n"/>
      <c r="M648" s="40" t="n"/>
      <c r="N648" s="42" t="n"/>
      <c r="O648" s="42" t="n"/>
      <c r="P648" s="41" t="n"/>
      <c r="Q648" s="41" t="n"/>
    </row>
    <row r="649" ht="15.6" customHeight="1">
      <c r="A649" s="43" t="n"/>
      <c r="B649" s="33" t="n"/>
      <c r="C649" s="44" t="n"/>
      <c r="D649" s="35" t="n"/>
      <c r="E649" s="36" t="n"/>
      <c r="F649" s="36" t="n"/>
      <c r="G649" s="35" t="n"/>
      <c r="H649" s="37" t="n"/>
      <c r="I649" s="38" t="n"/>
      <c r="J649" s="36" t="n"/>
      <c r="K649" s="36" t="n"/>
      <c r="L649" s="39" t="n"/>
      <c r="M649" s="40" t="n"/>
      <c r="N649" s="42" t="n"/>
      <c r="O649" s="42" t="n"/>
      <c r="P649" s="41" t="n"/>
      <c r="Q649" s="41" t="n"/>
    </row>
    <row r="650" ht="15.6" customHeight="1">
      <c r="A650" s="43" t="n"/>
      <c r="B650" s="33" t="n"/>
      <c r="C650" s="44" t="n"/>
      <c r="D650" s="35" t="n"/>
      <c r="E650" s="36" t="n"/>
      <c r="F650" s="36" t="n"/>
      <c r="G650" s="35" t="n"/>
      <c r="H650" s="37" t="n"/>
      <c r="I650" s="38" t="n"/>
      <c r="J650" s="36" t="n"/>
      <c r="K650" s="36" t="n"/>
      <c r="L650" s="39" t="n"/>
      <c r="M650" s="40" t="n"/>
      <c r="N650" s="42" t="n"/>
      <c r="O650" s="42" t="n"/>
      <c r="P650" s="41" t="n"/>
      <c r="Q650" s="41" t="n"/>
    </row>
    <row r="651" ht="15.6" customHeight="1">
      <c r="A651" s="43" t="n"/>
      <c r="B651" s="33" t="n"/>
      <c r="C651" s="44" t="n"/>
      <c r="D651" s="35" t="n"/>
      <c r="E651" s="36" t="n"/>
      <c r="F651" s="36" t="n"/>
      <c r="G651" s="35" t="n"/>
      <c r="H651" s="37" t="n"/>
      <c r="I651" s="38" t="n"/>
      <c r="J651" s="36" t="n"/>
      <c r="K651" s="36" t="n"/>
      <c r="L651" s="39" t="n"/>
      <c r="M651" s="40" t="n"/>
      <c r="N651" s="42" t="n"/>
      <c r="O651" s="42" t="n"/>
      <c r="P651" s="41" t="n"/>
      <c r="Q651" s="41" t="n"/>
    </row>
    <row r="652" ht="15.6" customHeight="1">
      <c r="A652" s="43" t="n"/>
      <c r="B652" s="33" t="n"/>
      <c r="C652" s="44" t="n"/>
      <c r="D652" s="35" t="n"/>
      <c r="E652" s="36" t="n"/>
      <c r="F652" s="36" t="n"/>
      <c r="G652" s="35" t="n"/>
      <c r="H652" s="37" t="n"/>
      <c r="I652" s="38" t="n"/>
      <c r="J652" s="36" t="n"/>
      <c r="K652" s="36" t="n"/>
      <c r="L652" s="39" t="n"/>
      <c r="M652" s="40" t="n"/>
      <c r="N652" s="42" t="n"/>
      <c r="O652" s="42" t="n"/>
      <c r="P652" s="41" t="n"/>
      <c r="Q652" s="41" t="n"/>
    </row>
    <row r="653" ht="15.6" customHeight="1">
      <c r="A653" s="43" t="n"/>
      <c r="B653" s="33" t="n"/>
      <c r="C653" s="44" t="n"/>
      <c r="D653" s="35" t="n"/>
      <c r="E653" s="36" t="n"/>
      <c r="F653" s="36" t="n"/>
      <c r="G653" s="35" t="n"/>
      <c r="H653" s="37" t="n"/>
      <c r="I653" s="38" t="n"/>
      <c r="J653" s="36" t="n"/>
      <c r="K653" s="36" t="n"/>
      <c r="L653" s="39" t="n"/>
      <c r="M653" s="40" t="n"/>
      <c r="N653" s="42" t="n"/>
      <c r="O653" s="42" t="n"/>
      <c r="P653" s="41" t="n"/>
      <c r="Q653" s="41" t="n"/>
    </row>
    <row r="654" ht="15.6" customHeight="1">
      <c r="A654" s="43" t="n"/>
      <c r="B654" s="33" t="n"/>
      <c r="C654" s="44" t="n"/>
      <c r="D654" s="35" t="n"/>
      <c r="E654" s="36" t="n"/>
      <c r="F654" s="36" t="n"/>
      <c r="G654" s="35" t="n"/>
      <c r="H654" s="37" t="n"/>
      <c r="I654" s="38" t="n"/>
      <c r="J654" s="36" t="n"/>
      <c r="K654" s="36" t="n"/>
      <c r="L654" s="39" t="n"/>
      <c r="M654" s="40" t="n"/>
      <c r="N654" s="42" t="n"/>
      <c r="O654" s="42" t="n"/>
      <c r="P654" s="41" t="n"/>
      <c r="Q654" s="41" t="n"/>
    </row>
    <row r="655" ht="15.6" customHeight="1">
      <c r="A655" s="43" t="n"/>
      <c r="B655" s="33" t="n"/>
      <c r="C655" s="44" t="n"/>
      <c r="D655" s="35" t="n"/>
      <c r="E655" s="36" t="n"/>
      <c r="F655" s="36" t="n"/>
      <c r="G655" s="35" t="n"/>
      <c r="H655" s="37" t="n"/>
      <c r="I655" s="38" t="n"/>
      <c r="J655" s="36" t="n"/>
      <c r="K655" s="36" t="n"/>
      <c r="L655" s="39" t="n"/>
      <c r="M655" s="40" t="n"/>
      <c r="N655" s="42" t="n"/>
      <c r="O655" s="42" t="n"/>
      <c r="P655" s="41" t="n"/>
      <c r="Q655" s="41" t="n"/>
    </row>
    <row r="656" ht="15.6" customHeight="1">
      <c r="A656" s="32" t="n"/>
      <c r="B656" s="33" t="n"/>
      <c r="C656" s="34" t="n"/>
      <c r="D656" s="35" t="n"/>
      <c r="E656" s="36" t="n"/>
      <c r="F656" s="36" t="n"/>
      <c r="G656" s="35" t="n"/>
      <c r="H656" s="45" t="n"/>
      <c r="I656" s="38" t="n"/>
      <c r="J656" s="36" t="n"/>
      <c r="K656" s="36" t="n"/>
      <c r="L656" s="39" t="n"/>
      <c r="M656" s="40" t="n"/>
      <c r="N656" s="42" t="n"/>
      <c r="O656" s="42" t="n"/>
      <c r="P656" s="41" t="n"/>
      <c r="Q656" s="41" t="n"/>
    </row>
    <row r="657" ht="15.6" customHeight="1">
      <c r="A657" s="32" t="n"/>
      <c r="B657" s="33" t="n"/>
      <c r="C657" s="34" t="n"/>
      <c r="D657" s="35" t="n"/>
      <c r="E657" s="36" t="n"/>
      <c r="F657" s="36" t="n"/>
      <c r="G657" s="35" t="n"/>
      <c r="H657" s="45" t="n"/>
      <c r="I657" s="38" t="n"/>
      <c r="J657" s="36" t="n"/>
      <c r="K657" s="36" t="n"/>
      <c r="L657" s="39" t="n"/>
      <c r="M657" s="40" t="n"/>
      <c r="N657" s="42" t="n"/>
      <c r="O657" s="42" t="n"/>
      <c r="P657" s="41" t="n"/>
      <c r="Q657" s="41" t="n"/>
    </row>
    <row r="658" ht="15.6" customHeight="1">
      <c r="A658" s="32" t="n"/>
      <c r="B658" s="33" t="n"/>
      <c r="C658" s="34" t="n"/>
      <c r="D658" s="45" t="n"/>
      <c r="E658" s="36" t="n"/>
      <c r="F658" s="36" t="n"/>
      <c r="G658" s="45" t="n"/>
      <c r="H658" s="45" t="n"/>
      <c r="I658" s="38" t="n"/>
      <c r="J658" s="36" t="n"/>
      <c r="K658" s="36" t="n"/>
      <c r="L658" s="39" t="n"/>
      <c r="M658" s="40" t="n"/>
      <c r="N658" s="42" t="n"/>
      <c r="O658" s="42" t="n"/>
      <c r="P658" s="41" t="n"/>
      <c r="Q658" s="41" t="n"/>
    </row>
    <row r="659" ht="15.6" customHeight="1">
      <c r="A659" s="32" t="n"/>
      <c r="B659" s="33" t="n"/>
      <c r="C659" s="34" t="n"/>
      <c r="D659" s="45" t="n"/>
      <c r="E659" s="36" t="n"/>
      <c r="F659" s="36" t="n"/>
      <c r="G659" s="45" t="n"/>
      <c r="H659" s="45" t="n"/>
      <c r="I659" s="38" t="n"/>
      <c r="J659" s="36" t="n"/>
      <c r="K659" s="36" t="n"/>
      <c r="L659" s="39" t="n"/>
      <c r="M659" s="40" t="n"/>
      <c r="N659" s="42" t="n"/>
      <c r="O659" s="42" t="n"/>
      <c r="P659" s="41" t="n"/>
      <c r="Q659" s="41" t="n"/>
    </row>
    <row r="660" ht="15.6" customHeight="1">
      <c r="A660" s="32" t="n"/>
      <c r="B660" s="33" t="n"/>
      <c r="C660" s="34" t="n"/>
      <c r="D660" s="45" t="n"/>
      <c r="E660" s="36" t="n"/>
      <c r="F660" s="36" t="n"/>
      <c r="G660" s="45" t="n"/>
      <c r="H660" s="45" t="n"/>
      <c r="I660" s="38" t="n"/>
      <c r="J660" s="36" t="n"/>
      <c r="K660" s="36" t="n"/>
      <c r="L660" s="39" t="n"/>
      <c r="M660" s="40" t="n"/>
      <c r="N660" s="42" t="n"/>
      <c r="O660" s="42" t="n"/>
      <c r="P660" s="41" t="n"/>
      <c r="Q660" s="41" t="n"/>
    </row>
    <row r="661" ht="15.6" customHeight="1">
      <c r="A661" s="32" t="n"/>
      <c r="B661" s="33" t="n"/>
      <c r="C661" s="34" t="n"/>
      <c r="D661" s="45" t="n"/>
      <c r="E661" s="36" t="n"/>
      <c r="F661" s="36" t="n"/>
      <c r="G661" s="45" t="n"/>
      <c r="H661" s="45" t="n"/>
      <c r="I661" s="38" t="n"/>
      <c r="J661" s="36" t="n"/>
      <c r="K661" s="36" t="n"/>
      <c r="L661" s="39" t="n"/>
      <c r="M661" s="40" t="n"/>
      <c r="N661" s="42" t="n"/>
      <c r="O661" s="42" t="n"/>
      <c r="P661" s="41" t="n"/>
      <c r="Q661" s="41" t="n"/>
    </row>
    <row r="662" ht="15.6" customHeight="1">
      <c r="A662" s="32" t="n"/>
      <c r="B662" s="33" t="n"/>
      <c r="C662" s="34" t="n"/>
      <c r="D662" s="45" t="n"/>
      <c r="E662" s="36" t="n"/>
      <c r="F662" s="36" t="n"/>
      <c r="G662" s="45" t="n"/>
      <c r="H662" s="45" t="n"/>
      <c r="I662" s="38" t="n"/>
      <c r="J662" s="36" t="n"/>
      <c r="K662" s="36" t="n"/>
      <c r="L662" s="39" t="n"/>
      <c r="M662" s="40" t="n"/>
      <c r="N662" s="42" t="n"/>
      <c r="O662" s="42" t="n"/>
      <c r="P662" s="41" t="n"/>
      <c r="Q662" s="41" t="n"/>
    </row>
    <row r="663" ht="15.6" customHeight="1">
      <c r="A663" s="32" t="n"/>
      <c r="B663" s="33" t="n"/>
      <c r="C663" s="34" t="n"/>
      <c r="D663" s="45" t="n"/>
      <c r="E663" s="36" t="n"/>
      <c r="F663" s="36" t="n"/>
      <c r="G663" s="45" t="n"/>
      <c r="H663" s="45" t="n"/>
      <c r="I663" s="38" t="n"/>
      <c r="J663" s="36" t="n"/>
      <c r="K663" s="36" t="n"/>
      <c r="L663" s="39" t="n"/>
      <c r="M663" s="40" t="n"/>
      <c r="N663" s="42" t="n"/>
      <c r="O663" s="42" t="n"/>
      <c r="P663" s="41" t="n"/>
      <c r="Q663" s="41" t="n"/>
    </row>
    <row r="664" ht="15.6" customHeight="1">
      <c r="A664" s="32" t="n"/>
      <c r="B664" s="33" t="n"/>
      <c r="C664" s="34" t="n"/>
      <c r="D664" s="45" t="n"/>
      <c r="E664" s="36" t="n"/>
      <c r="F664" s="36" t="n"/>
      <c r="G664" s="45" t="n"/>
      <c r="H664" s="45" t="n"/>
      <c r="I664" s="38" t="n"/>
      <c r="J664" s="36" t="n"/>
      <c r="K664" s="36" t="n"/>
      <c r="L664" s="39" t="n"/>
      <c r="M664" s="40" t="n"/>
      <c r="N664" s="42" t="n"/>
      <c r="O664" s="42" t="n"/>
      <c r="P664" s="41" t="n"/>
      <c r="Q664" s="41" t="n"/>
    </row>
    <row r="665" ht="15.6" customHeight="1">
      <c r="A665" s="32" t="n"/>
      <c r="B665" s="33" t="n"/>
      <c r="C665" s="34" t="n"/>
      <c r="D665" s="45" t="n"/>
      <c r="E665" s="36" t="n"/>
      <c r="F665" s="45" t="n"/>
      <c r="G665" s="45" t="n"/>
      <c r="H665" s="45" t="n"/>
      <c r="I665" s="38" t="n"/>
      <c r="J665" s="36" t="n"/>
      <c r="K665" s="36" t="n"/>
      <c r="L665" s="39" t="n"/>
      <c r="M665" s="40" t="n"/>
      <c r="N665" s="42" t="n"/>
      <c r="O665" s="42" t="n"/>
      <c r="P665" s="41" t="n"/>
      <c r="Q665" s="41" t="n"/>
    </row>
    <row r="666" ht="15.6" customHeight="1">
      <c r="A666" s="32" t="n"/>
      <c r="B666" s="33" t="n"/>
      <c r="C666" s="34" t="n"/>
      <c r="D666" s="45" t="n"/>
      <c r="E666" s="36" t="n"/>
      <c r="F666" s="45" t="n"/>
      <c r="G666" s="45" t="n"/>
      <c r="H666" s="45" t="n"/>
      <c r="I666" s="38" t="n"/>
      <c r="J666" s="36" t="n"/>
      <c r="K666" s="36" t="n"/>
      <c r="L666" s="39" t="n"/>
      <c r="M666" s="40" t="n"/>
      <c r="N666" s="42" t="n"/>
      <c r="O666" s="42" t="n"/>
      <c r="P666" s="41" t="n"/>
      <c r="Q666" s="41" t="n"/>
    </row>
    <row r="667" ht="15.6" customHeight="1">
      <c r="A667" s="32" t="n"/>
      <c r="B667" s="33" t="n"/>
      <c r="C667" s="34" t="n"/>
      <c r="D667" s="45" t="n"/>
      <c r="E667" s="36" t="n"/>
      <c r="F667" s="45" t="n"/>
      <c r="G667" s="45" t="n"/>
      <c r="H667" s="45" t="n"/>
      <c r="I667" s="38" t="n"/>
      <c r="J667" s="36" t="n"/>
      <c r="K667" s="36" t="n"/>
      <c r="L667" s="39" t="n"/>
      <c r="M667" s="40" t="n"/>
      <c r="N667" s="42" t="n"/>
      <c r="O667" s="42" t="n"/>
      <c r="P667" s="41" t="n"/>
      <c r="Q667" s="41" t="n"/>
    </row>
    <row r="668" ht="15.6" customHeight="1">
      <c r="A668" s="32" t="n"/>
      <c r="B668" s="33" t="n"/>
      <c r="C668" s="34" t="n"/>
      <c r="D668" s="45" t="n"/>
      <c r="E668" s="36" t="n"/>
      <c r="F668" s="45" t="n"/>
      <c r="G668" s="45" t="n"/>
      <c r="H668" s="45" t="n"/>
      <c r="I668" s="38" t="n"/>
      <c r="J668" s="36" t="n"/>
      <c r="K668" s="36" t="n"/>
      <c r="L668" s="39" t="n"/>
      <c r="M668" s="40" t="n"/>
      <c r="N668" s="42" t="n"/>
      <c r="O668" s="42" t="n"/>
      <c r="P668" s="41" t="n"/>
      <c r="Q668" s="41" t="n"/>
    </row>
    <row r="669" ht="15.6" customHeight="1">
      <c r="A669" s="32" t="n"/>
      <c r="B669" s="33" t="n"/>
      <c r="C669" s="34" t="n"/>
      <c r="D669" s="45" t="n"/>
      <c r="E669" s="36" t="n"/>
      <c r="F669" s="45" t="n"/>
      <c r="G669" s="45" t="n"/>
      <c r="H669" s="45" t="n"/>
      <c r="I669" s="38" t="n"/>
      <c r="J669" s="36" t="n"/>
      <c r="K669" s="36" t="n"/>
      <c r="L669" s="39" t="n"/>
      <c r="M669" s="40" t="n"/>
      <c r="N669" s="42" t="n"/>
      <c r="O669" s="42" t="n"/>
      <c r="P669" s="41" t="n"/>
      <c r="Q669" s="41" t="n"/>
    </row>
    <row r="670" ht="15.6" customHeight="1">
      <c r="A670" s="32" t="n"/>
      <c r="B670" s="33" t="n"/>
      <c r="C670" s="34" t="n"/>
      <c r="D670" s="45" t="n"/>
      <c r="E670" s="36" t="n"/>
      <c r="F670" s="45" t="n"/>
      <c r="G670" s="45" t="n"/>
      <c r="H670" s="45" t="n"/>
      <c r="I670" s="38" t="n"/>
      <c r="J670" s="36" t="n"/>
      <c r="K670" s="36" t="n"/>
      <c r="L670" s="39" t="n"/>
      <c r="M670" s="40" t="n"/>
      <c r="N670" s="42" t="n"/>
      <c r="O670" s="42" t="n"/>
      <c r="P670" s="41" t="n"/>
      <c r="Q670" s="41" t="n"/>
    </row>
    <row r="671" ht="15.6" customHeight="1">
      <c r="A671" s="32" t="n"/>
      <c r="B671" s="33" t="n"/>
      <c r="C671" s="34" t="n"/>
      <c r="D671" s="45" t="n"/>
      <c r="E671" s="36" t="n"/>
      <c r="F671" s="45" t="n"/>
      <c r="G671" s="45" t="n"/>
      <c r="H671" s="45" t="n"/>
      <c r="I671" s="38" t="n"/>
      <c r="J671" s="36" t="n"/>
      <c r="K671" s="36" t="n"/>
      <c r="L671" s="39" t="n"/>
      <c r="M671" s="40" t="n"/>
      <c r="N671" s="42" t="n"/>
      <c r="O671" s="42" t="n"/>
      <c r="P671" s="41" t="n"/>
      <c r="Q671" s="41" t="n"/>
    </row>
    <row r="672" ht="15.6" customHeight="1">
      <c r="A672" s="32" t="n"/>
      <c r="B672" s="33" t="n"/>
      <c r="C672" s="34" t="n"/>
      <c r="D672" s="45" t="n"/>
      <c r="E672" s="36" t="n"/>
      <c r="F672" s="45" t="n"/>
      <c r="G672" s="45" t="n"/>
      <c r="H672" s="45" t="n"/>
      <c r="I672" s="46" t="n"/>
      <c r="J672" s="36" t="n"/>
      <c r="K672" s="36" t="n"/>
      <c r="L672" s="39" t="n"/>
      <c r="M672" s="40" t="n"/>
      <c r="N672" s="42" t="n"/>
      <c r="O672" s="42" t="n"/>
      <c r="P672" s="41" t="n"/>
      <c r="Q672" s="41" t="n"/>
    </row>
    <row r="673" ht="15.6" customHeight="1">
      <c r="A673" s="32" t="n"/>
      <c r="B673" s="33" t="n"/>
      <c r="C673" s="34" t="n"/>
      <c r="D673" s="45" t="n"/>
      <c r="E673" s="36" t="n"/>
      <c r="F673" s="45" t="n"/>
      <c r="G673" s="45" t="n"/>
      <c r="H673" s="45" t="n"/>
      <c r="I673" s="46" t="n"/>
      <c r="J673" s="36" t="n"/>
      <c r="K673" s="36" t="n"/>
      <c r="L673" s="39" t="n"/>
      <c r="M673" s="40" t="n"/>
      <c r="N673" s="42" t="n"/>
      <c r="O673" s="42" t="n"/>
      <c r="P673" s="41" t="n"/>
      <c r="Q673" s="41" t="n"/>
    </row>
    <row r="674" ht="15.6" customHeight="1">
      <c r="A674" s="32" t="n"/>
      <c r="B674" s="33" t="n"/>
      <c r="C674" s="34" t="n"/>
      <c r="D674" s="45" t="n"/>
      <c r="E674" s="36" t="n"/>
      <c r="F674" s="45" t="n"/>
      <c r="G674" s="45" t="n"/>
      <c r="H674" s="45" t="n"/>
      <c r="I674" s="46" t="n"/>
      <c r="J674" s="36" t="n"/>
      <c r="K674" s="36" t="n"/>
      <c r="L674" s="39" t="n"/>
      <c r="M674" s="40" t="n"/>
      <c r="N674" s="42" t="n"/>
      <c r="O674" s="42" t="n"/>
      <c r="P674" s="41" t="n"/>
      <c r="Q674" s="41" t="n"/>
    </row>
    <row r="675" ht="15.6" customHeight="1">
      <c r="A675" s="32" t="n"/>
      <c r="B675" s="33" t="n"/>
      <c r="C675" s="34" t="n"/>
      <c r="D675" s="45" t="n"/>
      <c r="E675" s="36" t="n"/>
      <c r="F675" s="45" t="n"/>
      <c r="G675" s="45" t="n"/>
      <c r="H675" s="45" t="n"/>
      <c r="I675" s="46" t="n"/>
      <c r="J675" s="36" t="n"/>
      <c r="K675" s="36" t="n"/>
      <c r="L675" s="39" t="n"/>
      <c r="M675" s="40" t="n"/>
      <c r="N675" s="42" t="n"/>
      <c r="O675" s="42" t="n"/>
      <c r="P675" s="41" t="n"/>
      <c r="Q675" s="41" t="n"/>
    </row>
    <row r="676" ht="15.6" customHeight="1">
      <c r="A676" s="32" t="n"/>
      <c r="B676" s="33" t="n"/>
      <c r="C676" s="34" t="n"/>
      <c r="D676" s="45" t="n"/>
      <c r="E676" s="36" t="n"/>
      <c r="F676" s="45" t="n"/>
      <c r="G676" s="45" t="n"/>
      <c r="H676" s="45" t="n"/>
      <c r="I676" s="46" t="n"/>
      <c r="J676" s="36" t="n"/>
      <c r="K676" s="36" t="n"/>
      <c r="L676" s="39" t="n"/>
      <c r="M676" s="40" t="n"/>
      <c r="N676" s="42" t="n"/>
      <c r="O676" s="42" t="n"/>
      <c r="P676" s="41" t="n"/>
      <c r="Q676" s="41" t="n"/>
    </row>
    <row r="677" ht="15.6" customHeight="1">
      <c r="A677" s="32" t="n"/>
      <c r="B677" s="33" t="n"/>
      <c r="C677" s="34" t="n"/>
      <c r="D677" s="45" t="n"/>
      <c r="E677" s="36" t="n"/>
      <c r="F677" s="45" t="n"/>
      <c r="G677" s="45" t="n"/>
      <c r="H677" s="45" t="n"/>
      <c r="I677" s="46" t="n"/>
      <c r="J677" s="36" t="n"/>
      <c r="K677" s="36" t="n"/>
      <c r="L677" s="39" t="n"/>
      <c r="M677" s="40" t="n"/>
      <c r="N677" s="42" t="n"/>
      <c r="O677" s="42" t="n"/>
      <c r="P677" s="41" t="n"/>
      <c r="Q677" s="41" t="n"/>
    </row>
    <row r="678" ht="15.6" customHeight="1">
      <c r="A678" s="47" t="n"/>
      <c r="B678" s="48" t="n"/>
      <c r="C678" s="47" t="n"/>
      <c r="D678" s="45" t="n"/>
      <c r="E678" s="45" t="n"/>
      <c r="F678" s="45" t="n"/>
      <c r="G678" s="45" t="n"/>
      <c r="H678" s="45" t="n"/>
      <c r="I678" s="46" t="n"/>
      <c r="J678" s="45" t="n"/>
      <c r="K678" s="205" t="n"/>
      <c r="L678" s="39" t="n"/>
      <c r="M678" s="40" t="n"/>
      <c r="N678" s="42" t="n"/>
      <c r="O678" s="42" t="n"/>
      <c r="P678" s="41" t="n"/>
      <c r="Q678" s="41" t="n"/>
    </row>
    <row r="679" ht="15.6" customHeight="1">
      <c r="A679" s="47" t="n"/>
      <c r="B679" s="48" t="n"/>
      <c r="C679" s="47" t="n"/>
      <c r="D679" s="45" t="n"/>
      <c r="E679" s="45" t="n"/>
      <c r="F679" s="45" t="n"/>
      <c r="G679" s="45" t="n"/>
      <c r="H679" s="45" t="n"/>
      <c r="I679" s="46" t="n"/>
      <c r="J679" s="45" t="n"/>
      <c r="K679" s="205" t="n"/>
      <c r="L679" s="39" t="n"/>
      <c r="M679" s="40" t="n"/>
      <c r="N679" s="42" t="n"/>
      <c r="O679" s="42" t="n"/>
      <c r="P679" s="41" t="n"/>
      <c r="Q679" s="41" t="n"/>
    </row>
    <row r="680" ht="15.6" customHeight="1">
      <c r="A680" s="47" t="n"/>
      <c r="B680" s="48" t="n"/>
      <c r="C680" s="47" t="n"/>
      <c r="D680" s="45" t="n"/>
      <c r="E680" s="45" t="n"/>
      <c r="F680" s="45" t="n"/>
      <c r="G680" s="45" t="n"/>
      <c r="H680" s="45" t="n"/>
      <c r="I680" s="46" t="n"/>
      <c r="J680" s="45" t="n"/>
      <c r="K680" s="205" t="n"/>
      <c r="L680" s="39" t="n"/>
      <c r="M680" s="40" t="n"/>
      <c r="N680" s="42" t="n"/>
      <c r="O680" s="42" t="n"/>
      <c r="P680" s="41" t="n"/>
      <c r="Q680" s="41" t="n"/>
    </row>
    <row r="681" ht="15.6" customHeight="1">
      <c r="A681" s="47" t="n"/>
      <c r="B681" s="48" t="n"/>
      <c r="C681" s="47" t="n"/>
      <c r="D681" s="45" t="n"/>
      <c r="E681" s="45" t="n"/>
      <c r="F681" s="45" t="n"/>
      <c r="G681" s="45" t="n"/>
      <c r="H681" s="45" t="n"/>
      <c r="I681" s="46" t="n"/>
      <c r="J681" s="45" t="n"/>
      <c r="K681" s="205" t="n"/>
      <c r="L681" s="39" t="n"/>
      <c r="M681" s="40" t="n"/>
      <c r="N681" s="42" t="n"/>
      <c r="O681" s="42" t="n"/>
      <c r="P681" s="41" t="n"/>
      <c r="Q681" s="41" t="n"/>
    </row>
    <row r="682" ht="15.6" customHeight="1">
      <c r="A682" s="47" t="n"/>
      <c r="B682" s="48" t="n"/>
      <c r="C682" s="47" t="n"/>
      <c r="D682" s="45" t="n"/>
      <c r="E682" s="45" t="n"/>
      <c r="F682" s="45" t="n"/>
      <c r="G682" s="45" t="n"/>
      <c r="H682" s="45" t="n"/>
      <c r="I682" s="46" t="n"/>
      <c r="J682" s="45" t="n"/>
      <c r="K682" s="205" t="n"/>
      <c r="L682" s="39" t="n"/>
      <c r="M682" s="40" t="n"/>
      <c r="N682" s="42" t="n"/>
      <c r="O682" s="42" t="n"/>
      <c r="P682" s="41" t="n"/>
      <c r="Q682" s="41" t="n"/>
    </row>
    <row r="683" ht="15.6" customHeight="1">
      <c r="A683" s="47" t="n"/>
      <c r="B683" s="48" t="n"/>
      <c r="C683" s="47" t="n"/>
      <c r="D683" s="45" t="n"/>
      <c r="E683" s="45" t="n"/>
      <c r="F683" s="45" t="n"/>
      <c r="G683" s="45" t="n"/>
      <c r="H683" s="45" t="n"/>
      <c r="I683" s="46" t="n"/>
      <c r="J683" s="45" t="n"/>
      <c r="K683" s="205" t="n"/>
      <c r="L683" s="39" t="n"/>
      <c r="M683" s="40" t="n"/>
      <c r="N683" s="42" t="n"/>
      <c r="O683" s="42" t="n"/>
      <c r="P683" s="41" t="n"/>
      <c r="Q683" s="41" t="n"/>
    </row>
    <row r="684" ht="15.6" customHeight="1">
      <c r="A684" s="47" t="n"/>
      <c r="B684" s="48" t="n"/>
      <c r="C684" s="47" t="n"/>
      <c r="D684" s="45" t="n"/>
      <c r="E684" s="45" t="n"/>
      <c r="F684" s="45" t="n"/>
      <c r="G684" s="45" t="n"/>
      <c r="H684" s="45" t="n"/>
      <c r="I684" s="46" t="n"/>
      <c r="J684" s="45" t="n"/>
      <c r="K684" s="205" t="n"/>
      <c r="L684" s="39" t="n"/>
      <c r="M684" s="40" t="n"/>
      <c r="N684" s="42" t="n"/>
      <c r="O684" s="42" t="n"/>
      <c r="P684" s="41" t="n"/>
      <c r="Q684" s="41" t="n"/>
    </row>
    <row r="685" ht="15.6" customHeight="1">
      <c r="A685" s="47" t="n"/>
      <c r="B685" s="48" t="n"/>
      <c r="C685" s="47" t="n"/>
      <c r="D685" s="45" t="n"/>
      <c r="E685" s="45" t="n"/>
      <c r="F685" s="45" t="n"/>
      <c r="G685" s="45" t="n"/>
      <c r="H685" s="45" t="n"/>
      <c r="I685" s="46" t="n"/>
      <c r="J685" s="45" t="n"/>
      <c r="K685" s="205" t="n"/>
      <c r="L685" s="39" t="n"/>
      <c r="M685" s="40" t="n"/>
      <c r="N685" s="42" t="n"/>
      <c r="O685" s="42" t="n"/>
      <c r="P685" s="41" t="n"/>
      <c r="Q685" s="41" t="n"/>
    </row>
    <row r="686" ht="15.6" customHeight="1">
      <c r="A686" s="47" t="n"/>
      <c r="B686" s="48" t="n"/>
      <c r="C686" s="47" t="n"/>
      <c r="D686" s="45" t="n"/>
      <c r="E686" s="45" t="n"/>
      <c r="F686" s="45" t="n"/>
      <c r="G686" s="45" t="n"/>
      <c r="H686" s="45" t="n"/>
      <c r="I686" s="46" t="n"/>
      <c r="J686" s="45" t="n"/>
      <c r="K686" s="205" t="n"/>
      <c r="L686" s="39" t="n"/>
      <c r="M686" s="40" t="n"/>
      <c r="N686" s="42" t="n"/>
      <c r="O686" s="42" t="n"/>
      <c r="P686" s="41" t="n"/>
      <c r="Q686" s="41" t="n"/>
    </row>
    <row r="687" ht="15.6" customHeight="1">
      <c r="A687" s="47" t="n"/>
      <c r="B687" s="48" t="n"/>
      <c r="C687" s="47" t="n"/>
      <c r="D687" s="45" t="n"/>
      <c r="E687" s="45" t="n"/>
      <c r="F687" s="45" t="n"/>
      <c r="G687" s="45" t="n"/>
      <c r="H687" s="45" t="n"/>
      <c r="I687" s="46" t="n"/>
      <c r="J687" s="45" t="n"/>
      <c r="K687" s="205" t="n"/>
      <c r="L687" s="39" t="n"/>
      <c r="M687" s="40" t="n"/>
      <c r="N687" s="42" t="n"/>
      <c r="O687" s="42" t="n"/>
      <c r="P687" s="41" t="n"/>
      <c r="Q687" s="41" t="n"/>
    </row>
    <row r="688" ht="15.6" customHeight="1">
      <c r="A688" s="47" t="n"/>
      <c r="B688" s="48" t="n"/>
      <c r="C688" s="47" t="n"/>
      <c r="D688" s="45" t="n"/>
      <c r="E688" s="45" t="n"/>
      <c r="F688" s="45" t="n"/>
      <c r="G688" s="45" t="n"/>
      <c r="H688" s="45" t="n"/>
      <c r="I688" s="46" t="n"/>
      <c r="J688" s="45" t="n"/>
      <c r="K688" s="205" t="n"/>
      <c r="L688" s="39" t="n"/>
      <c r="M688" s="40" t="n"/>
      <c r="N688" s="42" t="n"/>
      <c r="O688" s="42" t="n"/>
      <c r="P688" s="41" t="n"/>
      <c r="Q688" s="41" t="n"/>
    </row>
    <row r="689" ht="15.6" customHeight="1">
      <c r="A689" s="47" t="n"/>
      <c r="B689" s="48" t="n"/>
      <c r="C689" s="47" t="n"/>
      <c r="D689" s="45" t="n"/>
      <c r="E689" s="45" t="n"/>
      <c r="F689" s="45" t="n"/>
      <c r="G689" s="45" t="n"/>
      <c r="H689" s="45" t="n"/>
      <c r="I689" s="46" t="n"/>
      <c r="J689" s="45" t="n"/>
      <c r="K689" s="205" t="n"/>
      <c r="L689" s="39" t="n"/>
      <c r="M689" s="40" t="n"/>
      <c r="N689" s="42" t="n"/>
      <c r="O689" s="42" t="n"/>
      <c r="P689" s="41" t="n"/>
      <c r="Q689" s="41" t="n"/>
    </row>
    <row r="690" ht="15.6" customHeight="1">
      <c r="A690" s="47" t="n"/>
      <c r="B690" s="48" t="n"/>
      <c r="C690" s="47" t="n"/>
      <c r="D690" s="45" t="n"/>
      <c r="E690" s="45" t="n"/>
      <c r="F690" s="45" t="n"/>
      <c r="G690" s="45" t="n"/>
      <c r="H690" s="45" t="n"/>
      <c r="I690" s="46" t="n"/>
      <c r="J690" s="45" t="n"/>
      <c r="K690" s="205" t="n"/>
      <c r="L690" s="39" t="n"/>
      <c r="M690" s="40" t="n"/>
      <c r="N690" s="42" t="n"/>
      <c r="O690" s="42" t="n"/>
      <c r="P690" s="41" t="n"/>
      <c r="Q690" s="41" t="n"/>
    </row>
    <row r="691" ht="15.6" customHeight="1">
      <c r="A691" s="47" t="n"/>
      <c r="B691" s="48" t="n"/>
      <c r="C691" s="47" t="n"/>
      <c r="D691" s="45" t="n"/>
      <c r="E691" s="45" t="n"/>
      <c r="F691" s="45" t="n"/>
      <c r="G691" s="45" t="n"/>
      <c r="H691" s="45" t="n"/>
      <c r="I691" s="46" t="n"/>
      <c r="J691" s="45" t="n"/>
      <c r="K691" s="205" t="n"/>
      <c r="L691" s="39" t="n"/>
      <c r="M691" s="40" t="n"/>
      <c r="N691" s="42" t="n"/>
      <c r="O691" s="42" t="n"/>
      <c r="P691" s="41" t="n"/>
      <c r="Q691" s="41" t="n"/>
    </row>
    <row r="692" ht="15.6" customHeight="1">
      <c r="A692" s="47" t="n"/>
      <c r="B692" s="48" t="n"/>
      <c r="C692" s="47" t="n"/>
      <c r="D692" s="45" t="n"/>
      <c r="E692" s="45" t="n"/>
      <c r="F692" s="45" t="n"/>
      <c r="G692" s="45" t="n"/>
      <c r="H692" s="45" t="n"/>
      <c r="I692" s="46" t="n"/>
      <c r="J692" s="45" t="n"/>
      <c r="K692" s="205" t="n"/>
      <c r="L692" s="39" t="n"/>
      <c r="M692" s="40" t="n"/>
      <c r="N692" s="42" t="n"/>
      <c r="O692" s="42" t="n"/>
      <c r="P692" s="41" t="n"/>
      <c r="Q692" s="41" t="n"/>
    </row>
    <row r="693" ht="15.6" customHeight="1">
      <c r="A693" s="47" t="n"/>
      <c r="B693" s="48" t="n"/>
      <c r="C693" s="47" t="n"/>
      <c r="D693" s="45" t="n"/>
      <c r="E693" s="45" t="n"/>
      <c r="F693" s="45" t="n"/>
      <c r="G693" s="45" t="n"/>
      <c r="H693" s="45" t="n"/>
      <c r="I693" s="46" t="n"/>
      <c r="J693" s="45" t="n"/>
      <c r="K693" s="205" t="n"/>
      <c r="L693" s="39" t="n"/>
      <c r="M693" s="40" t="n"/>
      <c r="N693" s="42" t="n"/>
      <c r="O693" s="42" t="n"/>
      <c r="P693" s="41" t="n"/>
      <c r="Q693" s="41" t="n"/>
    </row>
    <row r="694" ht="15.6" customHeight="1">
      <c r="A694" s="47" t="n"/>
      <c r="B694" s="48" t="n"/>
      <c r="C694" s="47" t="n"/>
      <c r="D694" s="45" t="n"/>
      <c r="E694" s="45" t="n"/>
      <c r="F694" s="45" t="n"/>
      <c r="G694" s="45" t="n"/>
      <c r="H694" s="45" t="n"/>
      <c r="I694" s="46" t="n"/>
      <c r="J694" s="45" t="n"/>
      <c r="K694" s="205" t="n"/>
      <c r="L694" s="39" t="n"/>
      <c r="M694" s="40" t="n"/>
      <c r="N694" s="42" t="n"/>
      <c r="O694" s="42" t="n"/>
      <c r="P694" s="41" t="n"/>
      <c r="Q694" s="41" t="n"/>
    </row>
    <row r="695" ht="15.6" customHeight="1">
      <c r="A695" s="47" t="n"/>
      <c r="B695" s="48" t="n"/>
      <c r="C695" s="47" t="n"/>
      <c r="D695" s="45" t="n"/>
      <c r="E695" s="45" t="n"/>
      <c r="F695" s="45" t="n"/>
      <c r="G695" s="45" t="n"/>
      <c r="H695" s="45" t="n"/>
      <c r="I695" s="46" t="n"/>
      <c r="J695" s="45" t="n"/>
      <c r="K695" s="205" t="n"/>
      <c r="L695" s="39" t="n"/>
      <c r="M695" s="40" t="n"/>
      <c r="N695" s="42" t="n"/>
      <c r="O695" s="42" t="n"/>
      <c r="P695" s="41" t="n"/>
      <c r="Q695" s="41" t="n"/>
    </row>
    <row r="696" ht="15.6" customHeight="1">
      <c r="A696" s="47" t="n"/>
      <c r="B696" s="48" t="n"/>
      <c r="C696" s="47" t="n"/>
      <c r="D696" s="45" t="n"/>
      <c r="E696" s="45" t="n"/>
      <c r="F696" s="45" t="n"/>
      <c r="G696" s="45" t="n"/>
      <c r="H696" s="45" t="n"/>
      <c r="I696" s="46" t="n"/>
      <c r="J696" s="45" t="n"/>
      <c r="K696" s="205" t="n"/>
      <c r="L696" s="39" t="n"/>
      <c r="M696" s="40" t="n"/>
      <c r="N696" s="42" t="n"/>
      <c r="O696" s="42" t="n"/>
      <c r="P696" s="41" t="n"/>
      <c r="Q696" s="41" t="n"/>
    </row>
    <row r="697" ht="15.6" customHeight="1">
      <c r="A697" s="47" t="n"/>
      <c r="B697" s="48" t="n"/>
      <c r="C697" s="47" t="n"/>
      <c r="D697" s="45" t="n"/>
      <c r="E697" s="45" t="n"/>
      <c r="F697" s="45" t="n"/>
      <c r="G697" s="45" t="n"/>
      <c r="H697" s="45" t="n"/>
      <c r="I697" s="46" t="n"/>
      <c r="J697" s="45" t="n"/>
      <c r="K697" s="205" t="n"/>
      <c r="L697" s="39" t="n"/>
      <c r="M697" s="40" t="n"/>
      <c r="N697" s="42" t="n"/>
      <c r="O697" s="42" t="n"/>
      <c r="P697" s="41" t="n"/>
      <c r="Q697" s="41" t="n"/>
    </row>
    <row r="698" ht="15.6" customHeight="1">
      <c r="A698" s="47" t="n"/>
      <c r="B698" s="48" t="n"/>
      <c r="C698" s="47" t="n"/>
      <c r="D698" s="45" t="n"/>
      <c r="E698" s="45" t="n"/>
      <c r="F698" s="45" t="n"/>
      <c r="G698" s="45" t="n"/>
      <c r="H698" s="45" t="n"/>
      <c r="I698" s="46" t="n"/>
      <c r="J698" s="45" t="n"/>
      <c r="K698" s="205" t="n"/>
      <c r="L698" s="39" t="n"/>
      <c r="M698" s="40" t="n"/>
      <c r="N698" s="42" t="n"/>
      <c r="O698" s="42" t="n"/>
      <c r="P698" s="41" t="n"/>
      <c r="Q698" s="41" t="n"/>
    </row>
    <row r="699" ht="15.6" customHeight="1">
      <c r="A699" s="47" t="n"/>
      <c r="B699" s="48" t="n"/>
      <c r="C699" s="47" t="n"/>
      <c r="D699" s="45" t="n"/>
      <c r="E699" s="45" t="n"/>
      <c r="F699" s="45" t="n"/>
      <c r="G699" s="45" t="n"/>
      <c r="H699" s="45" t="n"/>
      <c r="I699" s="46" t="n"/>
      <c r="J699" s="45" t="n"/>
      <c r="K699" s="205" t="n"/>
      <c r="L699" s="39" t="n"/>
      <c r="M699" s="40" t="n"/>
      <c r="N699" s="42" t="n"/>
      <c r="O699" s="42" t="n"/>
      <c r="P699" s="41" t="n"/>
      <c r="Q699" s="41" t="n"/>
    </row>
    <row r="700" ht="15.6" customHeight="1">
      <c r="A700" s="47" t="n"/>
      <c r="B700" s="48" t="n"/>
      <c r="C700" s="47" t="n"/>
      <c r="D700" s="45" t="n"/>
      <c r="E700" s="45" t="n"/>
      <c r="F700" s="45" t="n"/>
      <c r="G700" s="45" t="n"/>
      <c r="H700" s="45" t="n"/>
      <c r="I700" s="46" t="n"/>
      <c r="J700" s="45" t="n"/>
      <c r="K700" s="205" t="n"/>
      <c r="L700" s="39" t="n"/>
      <c r="M700" s="40" t="n"/>
      <c r="N700" s="42" t="n"/>
      <c r="O700" s="42" t="n"/>
      <c r="P700" s="41" t="n"/>
      <c r="Q700" s="41" t="n"/>
    </row>
    <row r="701" ht="15.6" customHeight="1">
      <c r="A701" s="47" t="n"/>
      <c r="B701" s="48" t="n"/>
      <c r="C701" s="47" t="n"/>
      <c r="D701" s="45" t="n"/>
      <c r="E701" s="45" t="n"/>
      <c r="F701" s="45" t="n"/>
      <c r="G701" s="45" t="n"/>
      <c r="H701" s="45" t="n"/>
      <c r="I701" s="46" t="n"/>
      <c r="J701" s="45" t="n"/>
      <c r="K701" s="205" t="n"/>
      <c r="L701" s="39" t="n"/>
      <c r="M701" s="40" t="n"/>
      <c r="N701" s="42" t="n"/>
      <c r="O701" s="42" t="n"/>
      <c r="P701" s="41" t="n"/>
      <c r="Q701" s="41" t="n"/>
    </row>
    <row r="702" ht="15.6" customHeight="1">
      <c r="A702" s="47" t="n"/>
      <c r="B702" s="48" t="n"/>
      <c r="C702" s="47" t="n"/>
      <c r="D702" s="45" t="n"/>
      <c r="E702" s="45" t="n"/>
      <c r="F702" s="45" t="n"/>
      <c r="G702" s="45" t="n"/>
      <c r="H702" s="45" t="n"/>
      <c r="I702" s="46" t="n"/>
      <c r="J702" s="45" t="n"/>
      <c r="K702" s="205" t="n"/>
      <c r="L702" s="39" t="n"/>
      <c r="M702" s="40" t="n"/>
      <c r="N702" s="42" t="n"/>
      <c r="O702" s="42" t="n"/>
      <c r="P702" s="41" t="n"/>
      <c r="Q702" s="41" t="n"/>
    </row>
    <row r="703" ht="15.6" customHeight="1">
      <c r="A703" s="47" t="n"/>
      <c r="B703" s="48" t="n"/>
      <c r="C703" s="47" t="n"/>
      <c r="D703" s="45" t="n"/>
      <c r="E703" s="45" t="n"/>
      <c r="F703" s="45" t="n"/>
      <c r="G703" s="45" t="n"/>
      <c r="H703" s="45" t="n"/>
      <c r="I703" s="46" t="n"/>
      <c r="J703" s="45" t="n"/>
      <c r="K703" s="205" t="n"/>
      <c r="L703" s="39" t="n"/>
      <c r="M703" s="40" t="n"/>
      <c r="N703" s="42" t="n"/>
      <c r="O703" s="42" t="n"/>
      <c r="P703" s="41" t="n"/>
      <c r="Q703" s="41" t="n"/>
    </row>
    <row r="704" ht="15.6" customHeight="1">
      <c r="A704" s="47" t="n"/>
      <c r="B704" s="48" t="n"/>
      <c r="C704" s="47" t="n"/>
      <c r="D704" s="45" t="n"/>
      <c r="E704" s="45" t="n"/>
      <c r="F704" s="45" t="n"/>
      <c r="G704" s="45" t="n"/>
      <c r="H704" s="45" t="n"/>
      <c r="I704" s="46" t="n"/>
      <c r="J704" s="45" t="n"/>
      <c r="K704" s="205" t="n"/>
      <c r="L704" s="39" t="n"/>
      <c r="M704" s="40" t="n"/>
      <c r="N704" s="42" t="n"/>
      <c r="O704" s="42" t="n"/>
      <c r="P704" s="41" t="n"/>
      <c r="Q704" s="41" t="n"/>
    </row>
    <row r="705" ht="15.6" customHeight="1">
      <c r="A705" s="47" t="n"/>
      <c r="B705" s="48" t="n"/>
      <c r="C705" s="47" t="n"/>
      <c r="D705" s="45" t="n"/>
      <c r="E705" s="45" t="n"/>
      <c r="F705" s="45" t="n"/>
      <c r="G705" s="45" t="n"/>
      <c r="H705" s="45" t="n"/>
      <c r="I705" s="46" t="n"/>
      <c r="J705" s="45" t="n"/>
      <c r="K705" s="205" t="n"/>
      <c r="L705" s="39" t="n"/>
      <c r="M705" s="40" t="n"/>
      <c r="N705" s="42" t="n"/>
      <c r="O705" s="42" t="n"/>
      <c r="P705" s="41" t="n"/>
      <c r="Q705" s="41" t="n"/>
    </row>
    <row r="706" ht="15.6" customHeight="1">
      <c r="A706" s="47" t="n"/>
      <c r="B706" s="48" t="n"/>
      <c r="C706" s="47" t="n"/>
      <c r="D706" s="45" t="n"/>
      <c r="E706" s="45" t="n"/>
      <c r="F706" s="45" t="n"/>
      <c r="G706" s="45" t="n"/>
      <c r="H706" s="45" t="n"/>
      <c r="I706" s="46" t="n"/>
      <c r="J706" s="45" t="n"/>
      <c r="K706" s="205" t="n"/>
      <c r="L706" s="39" t="n"/>
      <c r="M706" s="40" t="n"/>
      <c r="N706" s="42" t="n"/>
      <c r="O706" s="42" t="n"/>
      <c r="P706" s="41" t="n"/>
      <c r="Q706" s="41" t="n"/>
    </row>
    <row r="707" ht="15.6" customHeight="1">
      <c r="A707" s="47" t="n"/>
      <c r="B707" s="48" t="n"/>
      <c r="C707" s="47" t="n"/>
      <c r="D707" s="45" t="n"/>
      <c r="E707" s="45" t="n"/>
      <c r="F707" s="45" t="n"/>
      <c r="G707" s="45" t="n"/>
      <c r="H707" s="45" t="n"/>
      <c r="I707" s="46" t="n"/>
      <c r="J707" s="45" t="n"/>
      <c r="K707" s="205" t="n"/>
      <c r="L707" s="39" t="n"/>
      <c r="M707" s="40" t="n"/>
      <c r="N707" s="42" t="n"/>
      <c r="O707" s="42" t="n"/>
      <c r="P707" s="41" t="n"/>
      <c r="Q707" s="41" t="n"/>
    </row>
    <row r="708" ht="15.6" customHeight="1">
      <c r="A708" s="47" t="n"/>
      <c r="B708" s="48" t="n"/>
      <c r="C708" s="47" t="n"/>
      <c r="D708" s="45" t="n"/>
      <c r="E708" s="45" t="n"/>
      <c r="F708" s="45" t="n"/>
      <c r="G708" s="45" t="n"/>
      <c r="H708" s="45" t="n"/>
      <c r="I708" s="46" t="n"/>
      <c r="J708" s="45" t="n"/>
      <c r="K708" s="205" t="n"/>
      <c r="L708" s="39" t="n"/>
      <c r="M708" s="40" t="n"/>
      <c r="N708" s="42" t="n"/>
      <c r="O708" s="42" t="n"/>
      <c r="P708" s="41" t="n"/>
      <c r="Q708" s="41" t="n"/>
    </row>
    <row r="709" ht="15.6" customHeight="1">
      <c r="A709" s="47" t="n"/>
      <c r="B709" s="48" t="n"/>
      <c r="C709" s="47" t="n"/>
      <c r="D709" s="45" t="n"/>
      <c r="E709" s="45" t="n"/>
      <c r="F709" s="45" t="n"/>
      <c r="G709" s="45" t="n"/>
      <c r="H709" s="45" t="n"/>
      <c r="I709" s="46" t="n"/>
      <c r="J709" s="45" t="n"/>
      <c r="K709" s="205" t="n"/>
      <c r="L709" s="39" t="n"/>
      <c r="M709" s="40" t="n"/>
      <c r="N709" s="42" t="n"/>
      <c r="O709" s="42" t="n"/>
      <c r="P709" s="41" t="n"/>
      <c r="Q709" s="41" t="n"/>
    </row>
    <row r="710" ht="15.6" customHeight="1">
      <c r="A710" s="47" t="n"/>
      <c r="B710" s="48" t="n"/>
      <c r="C710" s="47" t="n"/>
      <c r="D710" s="45" t="n"/>
      <c r="E710" s="45" t="n"/>
      <c r="F710" s="45" t="n"/>
      <c r="G710" s="45" t="n"/>
      <c r="H710" s="45" t="n"/>
      <c r="I710" s="46" t="n"/>
      <c r="J710" s="45" t="n"/>
      <c r="K710" s="205" t="n"/>
      <c r="L710" s="39" t="n"/>
      <c r="M710" s="40" t="n"/>
      <c r="N710" s="42" t="n"/>
      <c r="O710" s="42" t="n"/>
      <c r="P710" s="41" t="n"/>
      <c r="Q710" s="41" t="n"/>
    </row>
    <row r="711" ht="15.6" customHeight="1">
      <c r="A711" s="47" t="n"/>
      <c r="B711" s="48" t="n"/>
      <c r="C711" s="47" t="n"/>
      <c r="D711" s="45" t="n"/>
      <c r="E711" s="45" t="n"/>
      <c r="F711" s="45" t="n"/>
      <c r="G711" s="45" t="n"/>
      <c r="H711" s="45" t="n"/>
      <c r="I711" s="46" t="n"/>
      <c r="J711" s="45" t="n"/>
      <c r="K711" s="205" t="n"/>
      <c r="L711" s="39" t="n"/>
      <c r="M711" s="40" t="n"/>
      <c r="N711" s="42" t="n"/>
      <c r="O711" s="42" t="n"/>
      <c r="P711" s="41" t="n"/>
      <c r="Q711" s="41" t="n"/>
    </row>
    <row r="712" ht="15.6" customHeight="1">
      <c r="A712" s="47" t="n"/>
      <c r="B712" s="48" t="n"/>
      <c r="C712" s="47" t="n"/>
      <c r="D712" s="45" t="n"/>
      <c r="E712" s="45" t="n"/>
      <c r="F712" s="45" t="n"/>
      <c r="G712" s="45" t="n"/>
      <c r="H712" s="45" t="n"/>
      <c r="I712" s="46" t="n"/>
      <c r="J712" s="45" t="n"/>
      <c r="K712" s="205" t="n"/>
      <c r="L712" s="39" t="n"/>
      <c r="M712" s="40" t="n"/>
      <c r="N712" s="42" t="n"/>
      <c r="O712" s="42" t="n"/>
      <c r="P712" s="41" t="n"/>
      <c r="Q712" s="41" t="n"/>
    </row>
    <row r="713" ht="15.6" customHeight="1">
      <c r="A713" s="47" t="n"/>
      <c r="B713" s="48" t="n"/>
      <c r="C713" s="47" t="n"/>
      <c r="D713" s="45" t="n"/>
      <c r="E713" s="45" t="n"/>
      <c r="F713" s="45" t="n"/>
      <c r="G713" s="45" t="n"/>
      <c r="H713" s="45" t="n"/>
      <c r="I713" s="46" t="n"/>
      <c r="J713" s="45" t="n"/>
      <c r="K713" s="205" t="n"/>
      <c r="L713" s="39" t="n"/>
      <c r="M713" s="40" t="n"/>
      <c r="N713" s="42" t="n"/>
      <c r="O713" s="42" t="n"/>
      <c r="P713" s="41" t="n"/>
      <c r="Q713" s="41" t="n"/>
    </row>
    <row r="714" ht="15.6" customHeight="1">
      <c r="A714" s="47" t="n"/>
      <c r="B714" s="48" t="n"/>
      <c r="C714" s="47" t="n"/>
      <c r="D714" s="45" t="n"/>
      <c r="E714" s="45" t="n"/>
      <c r="F714" s="45" t="n"/>
      <c r="G714" s="45" t="n"/>
      <c r="H714" s="45" t="n"/>
      <c r="I714" s="46" t="n"/>
      <c r="J714" s="45" t="n"/>
      <c r="K714" s="205" t="n"/>
      <c r="L714" s="39" t="n"/>
      <c r="M714" s="40" t="n"/>
      <c r="N714" s="42" t="n"/>
      <c r="O714" s="42" t="n"/>
      <c r="P714" s="41" t="n"/>
      <c r="Q714" s="41" t="n"/>
    </row>
    <row r="715" ht="15.6" customHeight="1">
      <c r="A715" s="47" t="n"/>
      <c r="B715" s="48" t="n"/>
      <c r="C715" s="47" t="n"/>
      <c r="D715" s="45" t="n"/>
      <c r="E715" s="45" t="n"/>
      <c r="F715" s="45" t="n"/>
      <c r="G715" s="45" t="n"/>
      <c r="H715" s="45" t="n"/>
      <c r="I715" s="46" t="n"/>
      <c r="J715" s="45" t="n"/>
      <c r="K715" s="205" t="n"/>
      <c r="L715" s="39" t="n"/>
      <c r="M715" s="40" t="n"/>
      <c r="N715" s="42" t="n"/>
      <c r="O715" s="42" t="n"/>
      <c r="P715" s="41" t="n"/>
      <c r="Q715" s="41" t="n"/>
    </row>
    <row r="716" ht="15.6" customHeight="1">
      <c r="A716" s="47" t="n"/>
      <c r="B716" s="48" t="n"/>
      <c r="C716" s="47" t="n"/>
      <c r="D716" s="45" t="n"/>
      <c r="E716" s="45" t="n"/>
      <c r="F716" s="45" t="n"/>
      <c r="G716" s="45" t="n"/>
      <c r="H716" s="45" t="n"/>
      <c r="I716" s="46" t="n"/>
      <c r="J716" s="45" t="n"/>
      <c r="K716" s="205" t="n"/>
      <c r="L716" s="39" t="n"/>
      <c r="M716" s="40" t="n"/>
      <c r="N716" s="42" t="n"/>
      <c r="O716" s="42" t="n"/>
      <c r="P716" s="41" t="n"/>
      <c r="Q716" s="41" t="n"/>
    </row>
    <row r="717" ht="15.6" customHeight="1">
      <c r="A717" s="47" t="n"/>
      <c r="B717" s="48" t="n"/>
      <c r="C717" s="47" t="n"/>
      <c r="D717" s="45" t="n"/>
      <c r="E717" s="45" t="n"/>
      <c r="F717" s="45" t="n"/>
      <c r="G717" s="45" t="n"/>
      <c r="H717" s="45" t="n"/>
      <c r="I717" s="46" t="n"/>
      <c r="J717" s="45" t="n"/>
      <c r="K717" s="205" t="n"/>
      <c r="L717" s="39" t="n"/>
      <c r="M717" s="40" t="n"/>
      <c r="N717" s="42" t="n"/>
      <c r="O717" s="42" t="n"/>
      <c r="P717" s="41" t="n"/>
      <c r="Q717" s="41" t="n"/>
    </row>
    <row r="718" ht="15.6" customHeight="1">
      <c r="A718" s="47" t="n"/>
      <c r="B718" s="48" t="n"/>
      <c r="C718" s="47" t="n"/>
      <c r="D718" s="45" t="n"/>
      <c r="E718" s="45" t="n"/>
      <c r="F718" s="45" t="n"/>
      <c r="G718" s="45" t="n"/>
      <c r="H718" s="45" t="n"/>
      <c r="I718" s="46" t="n"/>
      <c r="J718" s="45" t="n"/>
      <c r="K718" s="205" t="n"/>
      <c r="L718" s="39" t="n"/>
      <c r="M718" s="40" t="n"/>
      <c r="N718" s="42" t="n"/>
      <c r="O718" s="42" t="n"/>
      <c r="P718" s="41" t="n"/>
      <c r="Q718" s="41" t="n"/>
    </row>
    <row r="719" ht="15.6" customHeight="1">
      <c r="A719" s="47" t="n"/>
      <c r="B719" s="48" t="n"/>
      <c r="C719" s="47" t="n"/>
      <c r="D719" s="45" t="n"/>
      <c r="E719" s="45" t="n"/>
      <c r="F719" s="45" t="n"/>
      <c r="G719" s="45" t="n"/>
      <c r="H719" s="45" t="n"/>
      <c r="I719" s="46" t="n"/>
      <c r="J719" s="45" t="n"/>
      <c r="K719" s="205" t="n"/>
      <c r="L719" s="39" t="n"/>
      <c r="M719" s="40" t="n"/>
      <c r="N719" s="42" t="n"/>
      <c r="O719" s="42" t="n"/>
      <c r="P719" s="41" t="n"/>
      <c r="Q719" s="41" t="n"/>
    </row>
    <row r="720" ht="15.6" customHeight="1">
      <c r="A720" s="47" t="n"/>
      <c r="B720" s="48" t="n"/>
      <c r="C720" s="47" t="n"/>
      <c r="D720" s="45" t="n"/>
      <c r="E720" s="45" t="n"/>
      <c r="F720" s="45" t="n"/>
      <c r="G720" s="45" t="n"/>
      <c r="H720" s="45" t="n"/>
      <c r="I720" s="46" t="n"/>
      <c r="J720" s="45" t="n"/>
      <c r="K720" s="205" t="n"/>
      <c r="L720" s="39" t="n"/>
      <c r="M720" s="40" t="n"/>
      <c r="N720" s="42" t="n"/>
      <c r="O720" s="42" t="n"/>
      <c r="P720" s="41" t="n"/>
      <c r="Q720" s="41" t="n"/>
    </row>
    <row r="721" ht="15.6" customHeight="1">
      <c r="A721" s="47" t="n"/>
      <c r="B721" s="48" t="n"/>
      <c r="C721" s="47" t="n"/>
      <c r="D721" s="45" t="n"/>
      <c r="E721" s="45" t="n"/>
      <c r="F721" s="45" t="n"/>
      <c r="G721" s="45" t="n"/>
      <c r="H721" s="45" t="n"/>
      <c r="I721" s="46" t="n"/>
      <c r="J721" s="45" t="n"/>
      <c r="K721" s="205" t="n"/>
      <c r="L721" s="39" t="n"/>
      <c r="M721" s="40" t="n"/>
      <c r="N721" s="42" t="n"/>
      <c r="O721" s="42" t="n"/>
      <c r="P721" s="41" t="n"/>
      <c r="Q721" s="41" t="n"/>
    </row>
    <row r="722" ht="15.6" customHeight="1">
      <c r="A722" s="47" t="n"/>
      <c r="B722" s="48" t="n"/>
      <c r="C722" s="47" t="n"/>
      <c r="D722" s="45" t="n"/>
      <c r="E722" s="45" t="n"/>
      <c r="F722" s="45" t="n"/>
      <c r="G722" s="45" t="n"/>
      <c r="H722" s="45" t="n"/>
      <c r="I722" s="46" t="n"/>
      <c r="J722" s="45" t="n"/>
      <c r="K722" s="205" t="n"/>
      <c r="L722" s="39" t="n"/>
      <c r="M722" s="40" t="n"/>
      <c r="N722" s="42" t="n"/>
      <c r="O722" s="42" t="n"/>
      <c r="P722" s="41" t="n"/>
      <c r="Q722" s="41" t="n"/>
    </row>
    <row r="723" ht="15.6" customHeight="1">
      <c r="A723" s="47" t="n"/>
      <c r="B723" s="48" t="n"/>
      <c r="C723" s="47" t="n"/>
      <c r="D723" s="45" t="n"/>
      <c r="E723" s="45" t="n"/>
      <c r="F723" s="45" t="n"/>
      <c r="G723" s="45" t="n"/>
      <c r="H723" s="45" t="n"/>
      <c r="I723" s="46" t="n"/>
      <c r="J723" s="45" t="n"/>
      <c r="K723" s="205" t="n"/>
      <c r="L723" s="39" t="n"/>
      <c r="M723" s="40" t="n"/>
      <c r="N723" s="42" t="n"/>
      <c r="O723" s="42" t="n"/>
      <c r="P723" s="41" t="n"/>
      <c r="Q723" s="41" t="n"/>
    </row>
    <row r="724" ht="15.6" customHeight="1">
      <c r="A724" s="47" t="n"/>
      <c r="B724" s="48" t="n"/>
      <c r="C724" s="47" t="n"/>
      <c r="D724" s="45" t="n"/>
      <c r="E724" s="45" t="n"/>
      <c r="F724" s="45" t="n"/>
      <c r="G724" s="45" t="n"/>
      <c r="H724" s="45" t="n"/>
      <c r="I724" s="46" t="n"/>
      <c r="J724" s="45" t="n"/>
      <c r="K724" s="205" t="n"/>
      <c r="L724" s="39" t="n"/>
      <c r="M724" s="40" t="n"/>
      <c r="N724" s="42" t="n"/>
      <c r="O724" s="42" t="n"/>
      <c r="P724" s="41" t="n"/>
      <c r="Q724" s="41" t="n"/>
    </row>
    <row r="725" ht="15.6" customHeight="1">
      <c r="A725" s="47" t="n"/>
      <c r="B725" s="48" t="n"/>
      <c r="C725" s="47" t="n"/>
      <c r="D725" s="45" t="n"/>
      <c r="E725" s="45" t="n"/>
      <c r="F725" s="45" t="n"/>
      <c r="G725" s="45" t="n"/>
      <c r="H725" s="45" t="n"/>
      <c r="I725" s="46" t="n"/>
      <c r="J725" s="45" t="n"/>
      <c r="K725" s="205" t="n"/>
      <c r="L725" s="39" t="n"/>
      <c r="M725" s="40" t="n"/>
      <c r="N725" s="42" t="n"/>
      <c r="O725" s="42" t="n"/>
      <c r="P725" s="41" t="n"/>
      <c r="Q725" s="41" t="n"/>
    </row>
    <row r="726" ht="15.6" customHeight="1">
      <c r="A726" s="47" t="n"/>
      <c r="B726" s="48" t="n"/>
      <c r="C726" s="47" t="n"/>
      <c r="D726" s="45" t="n"/>
      <c r="E726" s="45" t="n"/>
      <c r="F726" s="45" t="n"/>
      <c r="G726" s="45" t="n"/>
      <c r="H726" s="45" t="n"/>
      <c r="I726" s="46" t="n"/>
      <c r="J726" s="45" t="n"/>
      <c r="K726" s="205" t="n"/>
      <c r="L726" s="39" t="n"/>
      <c r="M726" s="40" t="n"/>
      <c r="N726" s="42" t="n"/>
      <c r="O726" s="42" t="n"/>
      <c r="P726" s="41" t="n"/>
      <c r="Q726" s="41" t="n"/>
    </row>
    <row r="727" ht="15.6" customHeight="1">
      <c r="A727" s="47" t="n"/>
      <c r="B727" s="48" t="n"/>
      <c r="C727" s="47" t="n"/>
      <c r="D727" s="45" t="n"/>
      <c r="E727" s="45" t="n"/>
      <c r="F727" s="45" t="n"/>
      <c r="G727" s="45" t="n"/>
      <c r="H727" s="45" t="n"/>
      <c r="I727" s="46" t="n"/>
      <c r="J727" s="45" t="n"/>
      <c r="K727" s="205" t="n"/>
      <c r="L727" s="39" t="n"/>
      <c r="M727" s="40" t="n"/>
      <c r="N727" s="42" t="n"/>
      <c r="O727" s="42" t="n"/>
      <c r="P727" s="41" t="n"/>
      <c r="Q727" s="41" t="n"/>
    </row>
    <row r="728" ht="15.6" customHeight="1">
      <c r="A728" s="47" t="n"/>
      <c r="B728" s="48" t="n"/>
      <c r="C728" s="47" t="n"/>
      <c r="D728" s="45" t="n"/>
      <c r="E728" s="45" t="n"/>
      <c r="F728" s="45" t="n"/>
      <c r="G728" s="45" t="n"/>
      <c r="H728" s="45" t="n"/>
      <c r="I728" s="46" t="n"/>
      <c r="J728" s="45" t="n"/>
      <c r="K728" s="205" t="n"/>
      <c r="L728" s="39" t="n"/>
      <c r="M728" s="40" t="n"/>
      <c r="N728" s="42" t="n"/>
      <c r="O728" s="42" t="n"/>
      <c r="P728" s="41" t="n"/>
      <c r="Q728" s="41" t="n"/>
    </row>
    <row r="729" ht="15.6" customHeight="1">
      <c r="A729" s="47" t="n"/>
      <c r="B729" s="48" t="n"/>
      <c r="C729" s="47" t="n"/>
      <c r="D729" s="45" t="n"/>
      <c r="E729" s="45" t="n"/>
      <c r="F729" s="45" t="n"/>
      <c r="G729" s="45" t="n"/>
      <c r="H729" s="45" t="n"/>
      <c r="I729" s="46" t="n"/>
      <c r="J729" s="45" t="n"/>
      <c r="K729" s="205" t="n"/>
      <c r="L729" s="39" t="n"/>
      <c r="M729" s="40" t="n"/>
      <c r="N729" s="42" t="n"/>
      <c r="O729" s="42" t="n"/>
      <c r="P729" s="41" t="n"/>
      <c r="Q729" s="41" t="n"/>
    </row>
    <row r="730" ht="15.6" customHeight="1">
      <c r="A730" s="47" t="n"/>
      <c r="B730" s="48" t="n"/>
      <c r="C730" s="47" t="n"/>
      <c r="D730" s="45" t="n"/>
      <c r="E730" s="45" t="n"/>
      <c r="F730" s="45" t="n"/>
      <c r="G730" s="45" t="n"/>
      <c r="H730" s="45" t="n"/>
      <c r="I730" s="46" t="n"/>
      <c r="J730" s="45" t="n"/>
      <c r="K730" s="205" t="n"/>
      <c r="L730" s="39" t="n"/>
      <c r="M730" s="40" t="n"/>
      <c r="N730" s="42" t="n"/>
      <c r="O730" s="42" t="n"/>
      <c r="P730" s="41" t="n"/>
      <c r="Q730" s="41" t="n"/>
    </row>
    <row r="731" ht="15.6" customHeight="1">
      <c r="A731" s="47" t="n"/>
      <c r="B731" s="48" t="n"/>
      <c r="C731" s="47" t="n"/>
      <c r="D731" s="45" t="n"/>
      <c r="E731" s="45" t="n"/>
      <c r="F731" s="45" t="n"/>
      <c r="G731" s="45" t="n"/>
      <c r="H731" s="45" t="n"/>
      <c r="I731" s="46" t="n"/>
      <c r="J731" s="45" t="n"/>
      <c r="K731" s="205" t="n"/>
      <c r="L731" s="39" t="n"/>
      <c r="M731" s="40" t="n"/>
      <c r="N731" s="42" t="n"/>
      <c r="O731" s="42" t="n"/>
      <c r="P731" s="41" t="n"/>
      <c r="Q731" s="41" t="n"/>
    </row>
    <row r="732" ht="15.6" customHeight="1">
      <c r="A732" s="47" t="n"/>
      <c r="B732" s="48" t="n"/>
      <c r="C732" s="47" t="n"/>
      <c r="D732" s="45" t="n"/>
      <c r="E732" s="45" t="n"/>
      <c r="F732" s="45" t="n"/>
      <c r="G732" s="45" t="n"/>
      <c r="H732" s="45" t="n"/>
      <c r="I732" s="46" t="n"/>
      <c r="J732" s="45" t="n"/>
      <c r="K732" s="205" t="n"/>
      <c r="L732" s="39" t="n"/>
      <c r="M732" s="40" t="n"/>
      <c r="N732" s="42" t="n"/>
      <c r="O732" s="42" t="n"/>
      <c r="P732" s="41" t="n"/>
      <c r="Q732" s="41" t="n"/>
    </row>
    <row r="733" ht="15.6" customHeight="1">
      <c r="A733" s="47" t="n"/>
      <c r="B733" s="48" t="n"/>
      <c r="C733" s="47" t="n"/>
      <c r="D733" s="45" t="n"/>
      <c r="E733" s="45" t="n"/>
      <c r="F733" s="45" t="n"/>
      <c r="G733" s="45" t="n"/>
      <c r="H733" s="45" t="n"/>
      <c r="I733" s="46" t="n"/>
      <c r="J733" s="45" t="n"/>
      <c r="K733" s="205" t="n"/>
      <c r="L733" s="39" t="n"/>
      <c r="M733" s="40" t="n"/>
      <c r="N733" s="42" t="n"/>
      <c r="O733" s="42" t="n"/>
      <c r="P733" s="41" t="n"/>
      <c r="Q733" s="41" t="n"/>
    </row>
    <row r="734" ht="15.6" customHeight="1">
      <c r="A734" s="47" t="n"/>
      <c r="B734" s="48" t="n"/>
      <c r="C734" s="47" t="n"/>
      <c r="D734" s="45" t="n"/>
      <c r="E734" s="45" t="n"/>
      <c r="F734" s="45" t="n"/>
      <c r="G734" s="45" t="n"/>
      <c r="H734" s="45" t="n"/>
      <c r="I734" s="46" t="n"/>
      <c r="J734" s="45" t="n"/>
      <c r="K734" s="205" t="n"/>
      <c r="L734" s="39" t="n"/>
      <c r="M734" s="40" t="n"/>
      <c r="N734" s="42" t="n"/>
      <c r="O734" s="42" t="n"/>
      <c r="P734" s="41" t="n"/>
      <c r="Q734" s="41" t="n"/>
    </row>
    <row r="735" ht="15.6" customHeight="1">
      <c r="A735" s="47" t="n"/>
      <c r="B735" s="48" t="n"/>
      <c r="C735" s="47" t="n"/>
      <c r="D735" s="45" t="n"/>
      <c r="E735" s="45" t="n"/>
      <c r="F735" s="45" t="n"/>
      <c r="G735" s="45" t="n"/>
      <c r="H735" s="45" t="n"/>
      <c r="I735" s="46" t="n"/>
      <c r="J735" s="45" t="n"/>
      <c r="K735" s="205" t="n"/>
      <c r="L735" s="39" t="n"/>
      <c r="M735" s="40" t="n"/>
      <c r="N735" s="42" t="n"/>
      <c r="O735" s="42" t="n"/>
      <c r="P735" s="41" t="n"/>
      <c r="Q735" s="41" t="n"/>
    </row>
    <row r="736" ht="15.6" customHeight="1">
      <c r="A736" s="47" t="n"/>
      <c r="B736" s="48" t="n"/>
      <c r="C736" s="47" t="n"/>
      <c r="D736" s="45" t="n"/>
      <c r="E736" s="45" t="n"/>
      <c r="F736" s="45" t="n"/>
      <c r="G736" s="45" t="n"/>
      <c r="H736" s="45" t="n"/>
      <c r="I736" s="46" t="n"/>
      <c r="J736" s="45" t="n"/>
      <c r="K736" s="205" t="n"/>
      <c r="L736" s="39" t="n"/>
      <c r="M736" s="40" t="n"/>
      <c r="N736" s="42" t="n"/>
      <c r="O736" s="42" t="n"/>
      <c r="P736" s="41" t="n"/>
      <c r="Q736" s="41" t="n"/>
    </row>
    <row r="737" ht="15.6" customHeight="1">
      <c r="A737" s="47" t="n"/>
      <c r="B737" s="48" t="n"/>
      <c r="C737" s="47" t="n"/>
      <c r="D737" s="45" t="n"/>
      <c r="E737" s="45" t="n"/>
      <c r="F737" s="45" t="n"/>
      <c r="G737" s="45" t="n"/>
      <c r="H737" s="45" t="n"/>
      <c r="I737" s="46" t="n"/>
      <c r="J737" s="45" t="n"/>
      <c r="K737" s="205" t="n"/>
      <c r="L737" s="39" t="n"/>
      <c r="M737" s="40" t="n"/>
      <c r="N737" s="42" t="n"/>
      <c r="O737" s="42" t="n"/>
      <c r="P737" s="41" t="n"/>
      <c r="Q737" s="41" t="n"/>
    </row>
    <row r="738" ht="15.6" customHeight="1">
      <c r="A738" s="47" t="n"/>
      <c r="B738" s="48" t="n"/>
      <c r="C738" s="47" t="n"/>
      <c r="D738" s="45" t="n"/>
      <c r="E738" s="45" t="n"/>
      <c r="F738" s="45" t="n"/>
      <c r="G738" s="45" t="n"/>
      <c r="H738" s="45" t="n"/>
      <c r="I738" s="46" t="n"/>
      <c r="J738" s="45" t="n"/>
      <c r="K738" s="205" t="n"/>
      <c r="L738" s="39" t="n"/>
      <c r="M738" s="40" t="n"/>
      <c r="N738" s="42" t="n"/>
      <c r="O738" s="42" t="n"/>
      <c r="P738" s="41" t="n"/>
      <c r="Q738" s="41" t="n"/>
    </row>
    <row r="739" ht="15.6" customHeight="1">
      <c r="A739" s="47" t="n"/>
      <c r="B739" s="48" t="n"/>
      <c r="C739" s="47" t="n"/>
      <c r="D739" s="45" t="n"/>
      <c r="E739" s="45" t="n"/>
      <c r="F739" s="45" t="n"/>
      <c r="G739" s="45" t="n"/>
      <c r="H739" s="45" t="n"/>
      <c r="I739" s="46" t="n"/>
      <c r="J739" s="45" t="n"/>
      <c r="K739" s="205" t="n"/>
      <c r="L739" s="39" t="n"/>
      <c r="M739" s="40" t="n"/>
      <c r="N739" s="42" t="n"/>
      <c r="O739" s="42" t="n"/>
      <c r="P739" s="41" t="n"/>
      <c r="Q739" s="41" t="n"/>
    </row>
    <row r="740" ht="15.6" customHeight="1">
      <c r="A740" s="47" t="n"/>
      <c r="B740" s="48" t="n"/>
      <c r="C740" s="47" t="n"/>
      <c r="D740" s="45" t="n"/>
      <c r="E740" s="45" t="n"/>
      <c r="F740" s="45" t="n"/>
      <c r="G740" s="45" t="n"/>
      <c r="H740" s="45" t="n"/>
      <c r="I740" s="46" t="n"/>
      <c r="J740" s="45" t="n"/>
      <c r="K740" s="205" t="n"/>
      <c r="L740" s="39" t="n"/>
      <c r="M740" s="40" t="n"/>
      <c r="N740" s="42" t="n"/>
      <c r="O740" s="42" t="n"/>
      <c r="P740" s="41" t="n"/>
      <c r="Q740" s="41" t="n"/>
    </row>
    <row r="741" ht="15.6" customHeight="1">
      <c r="A741" s="47" t="n"/>
      <c r="B741" s="48" t="n"/>
      <c r="C741" s="47" t="n"/>
      <c r="D741" s="45" t="n"/>
      <c r="E741" s="45" t="n"/>
      <c r="F741" s="45" t="n"/>
      <c r="G741" s="45" t="n"/>
      <c r="H741" s="45" t="n"/>
      <c r="I741" s="46" t="n"/>
      <c r="J741" s="45" t="n"/>
      <c r="K741" s="205" t="n"/>
      <c r="L741" s="39" t="n"/>
      <c r="M741" s="40" t="n"/>
      <c r="N741" s="42" t="n"/>
      <c r="O741" s="42" t="n"/>
      <c r="P741" s="41" t="n"/>
      <c r="Q741" s="41" t="n"/>
    </row>
    <row r="742" ht="15.6" customHeight="1">
      <c r="A742" s="47" t="n"/>
      <c r="B742" s="48" t="n"/>
      <c r="C742" s="47" t="n"/>
      <c r="D742" s="45" t="n"/>
      <c r="E742" s="45" t="n"/>
      <c r="F742" s="45" t="n"/>
      <c r="G742" s="45" t="n"/>
      <c r="H742" s="45" t="n"/>
      <c r="I742" s="46" t="n"/>
      <c r="J742" s="45" t="n"/>
      <c r="K742" s="205" t="n"/>
      <c r="L742" s="39" t="n"/>
      <c r="M742" s="40" t="n"/>
      <c r="N742" s="42" t="n"/>
      <c r="O742" s="42" t="n"/>
      <c r="P742" s="41" t="n"/>
      <c r="Q742" s="41" t="n"/>
    </row>
    <row r="743" ht="15.6" customHeight="1">
      <c r="A743" s="47" t="n"/>
      <c r="B743" s="48" t="n"/>
      <c r="C743" s="47" t="n"/>
      <c r="D743" s="45" t="n"/>
      <c r="E743" s="45" t="n"/>
      <c r="F743" s="45" t="n"/>
      <c r="G743" s="45" t="n"/>
      <c r="H743" s="45" t="n"/>
      <c r="I743" s="46" t="n"/>
      <c r="J743" s="45" t="n"/>
      <c r="K743" s="205" t="n"/>
      <c r="L743" s="39" t="n"/>
      <c r="M743" s="40" t="n"/>
      <c r="N743" s="42" t="n"/>
      <c r="O743" s="42" t="n"/>
      <c r="P743" s="41" t="n"/>
      <c r="Q743" s="41" t="n"/>
    </row>
    <row r="744" ht="15.6" customHeight="1">
      <c r="A744" s="47" t="n"/>
      <c r="B744" s="48" t="n"/>
      <c r="C744" s="47" t="n"/>
      <c r="D744" s="45" t="n"/>
      <c r="E744" s="45" t="n"/>
      <c r="F744" s="45" t="n"/>
      <c r="G744" s="45" t="n"/>
      <c r="H744" s="45" t="n"/>
      <c r="I744" s="46" t="n"/>
      <c r="J744" s="45" t="n"/>
      <c r="K744" s="205" t="n"/>
      <c r="L744" s="39" t="n"/>
      <c r="M744" s="40" t="n"/>
      <c r="N744" s="42" t="n"/>
      <c r="O744" s="42" t="n"/>
      <c r="P744" s="41" t="n"/>
      <c r="Q744" s="41" t="n"/>
    </row>
    <row r="745" ht="15.6" customHeight="1">
      <c r="A745" s="47" t="n"/>
      <c r="B745" s="48" t="n"/>
      <c r="C745" s="47" t="n"/>
      <c r="D745" s="45" t="n"/>
      <c r="E745" s="45" t="n"/>
      <c r="F745" s="45" t="n"/>
      <c r="G745" s="45" t="n"/>
      <c r="H745" s="45" t="n"/>
      <c r="I745" s="46" t="n"/>
      <c r="J745" s="45" t="n"/>
      <c r="K745" s="205" t="n"/>
      <c r="L745" s="39" t="n"/>
      <c r="M745" s="40" t="n"/>
      <c r="N745" s="42" t="n"/>
      <c r="O745" s="42" t="n"/>
      <c r="P745" s="41" t="n"/>
      <c r="Q745" s="41" t="n"/>
    </row>
    <row r="746" ht="15.6" customHeight="1">
      <c r="A746" s="47" t="n"/>
      <c r="B746" s="48" t="n"/>
      <c r="C746" s="47" t="n"/>
      <c r="D746" s="45" t="n"/>
      <c r="E746" s="45" t="n"/>
      <c r="F746" s="45" t="n"/>
      <c r="G746" s="45" t="n"/>
      <c r="H746" s="45" t="n"/>
      <c r="I746" s="46" t="n"/>
      <c r="J746" s="45" t="n"/>
      <c r="K746" s="205" t="n"/>
      <c r="L746" s="39" t="n"/>
      <c r="M746" s="40" t="n"/>
      <c r="N746" s="42" t="n"/>
      <c r="O746" s="42" t="n"/>
      <c r="P746" s="41" t="n"/>
      <c r="Q746" s="41" t="n"/>
    </row>
    <row r="747" ht="15.6" customHeight="1">
      <c r="A747" s="47" t="n"/>
      <c r="B747" s="48" t="n"/>
      <c r="C747" s="47" t="n"/>
      <c r="D747" s="45" t="n"/>
      <c r="E747" s="45" t="n"/>
      <c r="F747" s="45" t="n"/>
      <c r="G747" s="45" t="n"/>
      <c r="H747" s="45" t="n"/>
      <c r="I747" s="46" t="n"/>
      <c r="J747" s="45" t="n"/>
      <c r="K747" s="205" t="n"/>
      <c r="L747" s="39" t="n"/>
      <c r="M747" s="40" t="n"/>
      <c r="N747" s="42" t="n"/>
      <c r="O747" s="42" t="n"/>
      <c r="P747" s="41" t="n"/>
      <c r="Q747" s="41" t="n"/>
    </row>
    <row r="748" ht="15.6" customHeight="1">
      <c r="A748" s="47" t="n"/>
      <c r="B748" s="48" t="n"/>
      <c r="C748" s="47" t="n"/>
      <c r="D748" s="45" t="n"/>
      <c r="E748" s="45" t="n"/>
      <c r="F748" s="45" t="n"/>
      <c r="G748" s="45" t="n"/>
      <c r="H748" s="45" t="n"/>
      <c r="I748" s="46" t="n"/>
      <c r="J748" s="45" t="n"/>
      <c r="K748" s="205" t="n"/>
      <c r="L748" s="39" t="n"/>
      <c r="M748" s="40" t="n"/>
      <c r="N748" s="42" t="n"/>
      <c r="O748" s="42" t="n"/>
      <c r="P748" s="41" t="n"/>
      <c r="Q748" s="41" t="n"/>
    </row>
    <row r="749" ht="15.6" customHeight="1">
      <c r="A749" s="47" t="n"/>
      <c r="B749" s="48" t="n"/>
      <c r="C749" s="47" t="n"/>
      <c r="D749" s="45" t="n"/>
      <c r="E749" s="45" t="n"/>
      <c r="F749" s="45" t="n"/>
      <c r="G749" s="45" t="n"/>
      <c r="H749" s="45" t="n"/>
      <c r="I749" s="46" t="n"/>
      <c r="J749" s="45" t="n"/>
      <c r="K749" s="205" t="n"/>
      <c r="L749" s="39" t="n"/>
      <c r="M749" s="40" t="n"/>
      <c r="N749" s="42" t="n"/>
      <c r="O749" s="42" t="n"/>
      <c r="P749" s="41" t="n"/>
      <c r="Q749" s="41" t="n"/>
    </row>
    <row r="750" ht="15.6" customHeight="1">
      <c r="A750" s="47" t="n"/>
      <c r="B750" s="48" t="n"/>
      <c r="C750" s="47" t="n"/>
      <c r="D750" s="45" t="n"/>
      <c r="E750" s="45" t="n"/>
      <c r="F750" s="45" t="n"/>
      <c r="G750" s="45" t="n"/>
      <c r="H750" s="45" t="n"/>
      <c r="I750" s="46" t="n"/>
      <c r="J750" s="45" t="n"/>
      <c r="K750" s="205" t="n"/>
      <c r="L750" s="39" t="n"/>
      <c r="M750" s="40" t="n"/>
      <c r="N750" s="42" t="n"/>
      <c r="O750" s="42" t="n"/>
      <c r="P750" s="41" t="n"/>
      <c r="Q750" s="41" t="n"/>
    </row>
    <row r="751" ht="15.6" customHeight="1">
      <c r="A751" s="47" t="n"/>
      <c r="B751" s="48" t="n"/>
      <c r="C751" s="47" t="n"/>
      <c r="D751" s="45" t="n"/>
      <c r="E751" s="45" t="n"/>
      <c r="F751" s="45" t="n"/>
      <c r="G751" s="45" t="n"/>
      <c r="H751" s="45" t="n"/>
      <c r="I751" s="46" t="n"/>
      <c r="J751" s="45" t="n"/>
      <c r="K751" s="205" t="n"/>
      <c r="L751" s="39" t="n"/>
      <c r="M751" s="40" t="n"/>
      <c r="N751" s="42" t="n"/>
      <c r="O751" s="42" t="n"/>
      <c r="P751" s="41" t="n"/>
      <c r="Q751" s="41" t="n"/>
    </row>
    <row r="752" ht="15.6" customHeight="1">
      <c r="A752" s="47" t="n"/>
      <c r="B752" s="48" t="n"/>
      <c r="C752" s="47" t="n"/>
      <c r="D752" s="45" t="n"/>
      <c r="E752" s="45" t="n"/>
      <c r="F752" s="45" t="n"/>
      <c r="G752" s="45" t="n"/>
      <c r="H752" s="45" t="n"/>
      <c r="I752" s="46" t="n"/>
      <c r="J752" s="45" t="n"/>
      <c r="K752" s="205" t="n"/>
      <c r="L752" s="39" t="n"/>
      <c r="M752" s="40" t="n"/>
      <c r="N752" s="42" t="n"/>
      <c r="O752" s="42" t="n"/>
      <c r="P752" s="41" t="n"/>
      <c r="Q752" s="41" t="n"/>
    </row>
    <row r="753" ht="15.6" customHeight="1">
      <c r="A753" s="47" t="n"/>
      <c r="B753" s="48" t="n"/>
      <c r="C753" s="47" t="n"/>
      <c r="D753" s="45" t="n"/>
      <c r="E753" s="45" t="n"/>
      <c r="F753" s="45" t="n"/>
      <c r="G753" s="45" t="n"/>
      <c r="H753" s="45" t="n"/>
      <c r="I753" s="46" t="n"/>
      <c r="J753" s="45" t="n"/>
      <c r="K753" s="205" t="n"/>
      <c r="L753" s="39" t="n"/>
      <c r="M753" s="40" t="n"/>
      <c r="N753" s="42" t="n"/>
      <c r="O753" s="42" t="n"/>
      <c r="P753" s="41" t="n"/>
      <c r="Q753" s="41" t="n"/>
    </row>
    <row r="754" ht="15.6" customHeight="1">
      <c r="A754" s="47" t="n"/>
      <c r="B754" s="48" t="n"/>
      <c r="C754" s="47" t="n"/>
      <c r="D754" s="45" t="n"/>
      <c r="E754" s="45" t="n"/>
      <c r="F754" s="45" t="n"/>
      <c r="G754" s="45" t="n"/>
      <c r="H754" s="45" t="n"/>
      <c r="I754" s="46" t="n"/>
      <c r="J754" s="45" t="n"/>
      <c r="K754" s="205" t="n"/>
      <c r="L754" s="39" t="n"/>
      <c r="M754" s="40" t="n"/>
      <c r="N754" s="42" t="n"/>
      <c r="O754" s="42" t="n"/>
      <c r="P754" s="41" t="n"/>
      <c r="Q754" s="41" t="n"/>
    </row>
    <row r="755" ht="15.6" customHeight="1">
      <c r="A755" s="47" t="n"/>
      <c r="B755" s="48" t="n"/>
      <c r="C755" s="47" t="n"/>
      <c r="D755" s="45" t="n"/>
      <c r="E755" s="45" t="n"/>
      <c r="F755" s="45" t="n"/>
      <c r="G755" s="45" t="n"/>
      <c r="H755" s="45" t="n"/>
      <c r="I755" s="46" t="n"/>
      <c r="J755" s="45" t="n"/>
      <c r="K755" s="205" t="n"/>
      <c r="L755" s="39" t="n"/>
      <c r="M755" s="40" t="n"/>
      <c r="N755" s="42" t="n"/>
      <c r="O755" s="42" t="n"/>
      <c r="P755" s="41" t="n"/>
      <c r="Q755" s="41" t="n"/>
    </row>
    <row r="756" ht="15.6" customHeight="1">
      <c r="A756" s="47" t="n"/>
      <c r="B756" s="48" t="n"/>
      <c r="C756" s="47" t="n"/>
      <c r="D756" s="45" t="n"/>
      <c r="E756" s="45" t="n"/>
      <c r="F756" s="45" t="n"/>
      <c r="G756" s="45" t="n"/>
      <c r="H756" s="45" t="n"/>
      <c r="I756" s="46" t="n"/>
      <c r="J756" s="45" t="n"/>
      <c r="K756" s="205" t="n"/>
      <c r="L756" s="39" t="n"/>
      <c r="M756" s="40" t="n"/>
      <c r="N756" s="42" t="n"/>
      <c r="O756" s="42" t="n"/>
      <c r="P756" s="41" t="n"/>
      <c r="Q756" s="41" t="n"/>
    </row>
    <row r="757" ht="15.6" customHeight="1">
      <c r="A757" s="47" t="n"/>
      <c r="B757" s="48" t="n"/>
      <c r="C757" s="47" t="n"/>
      <c r="D757" s="45" t="n"/>
      <c r="E757" s="45" t="n"/>
      <c r="F757" s="45" t="n"/>
      <c r="G757" s="45" t="n"/>
      <c r="H757" s="45" t="n"/>
      <c r="I757" s="46" t="n"/>
      <c r="J757" s="45" t="n"/>
      <c r="K757" s="205" t="n"/>
      <c r="L757" s="39" t="n"/>
      <c r="M757" s="40" t="n"/>
      <c r="N757" s="42" t="n"/>
      <c r="O757" s="42" t="n"/>
      <c r="P757" s="41" t="n"/>
      <c r="Q757" s="41" t="n"/>
    </row>
    <row r="758" ht="15.6" customHeight="1">
      <c r="A758" s="47" t="n"/>
      <c r="B758" s="48" t="n"/>
      <c r="C758" s="47" t="n"/>
      <c r="D758" s="45" t="n"/>
      <c r="E758" s="45" t="n"/>
      <c r="F758" s="45" t="n"/>
      <c r="G758" s="45" t="n"/>
      <c r="H758" s="45" t="n"/>
      <c r="I758" s="46" t="n"/>
      <c r="J758" s="45" t="n"/>
      <c r="K758" s="205" t="n"/>
      <c r="L758" s="39" t="n"/>
      <c r="M758" s="40" t="n"/>
      <c r="N758" s="42" t="n"/>
      <c r="O758" s="42" t="n"/>
      <c r="P758" s="41" t="n"/>
      <c r="Q758" s="41" t="n"/>
    </row>
    <row r="759" ht="15.6" customHeight="1">
      <c r="A759" s="47" t="n"/>
      <c r="B759" s="48" t="n"/>
      <c r="C759" s="47" t="n"/>
      <c r="D759" s="45" t="n"/>
      <c r="E759" s="45" t="n"/>
      <c r="F759" s="45" t="n"/>
      <c r="G759" s="45" t="n"/>
      <c r="H759" s="45" t="n"/>
      <c r="I759" s="46" t="n"/>
      <c r="J759" s="45" t="n"/>
      <c r="K759" s="205" t="n"/>
      <c r="L759" s="39" t="n"/>
      <c r="M759" s="40" t="n"/>
      <c r="N759" s="42" t="n"/>
      <c r="O759" s="42" t="n"/>
      <c r="P759" s="41" t="n"/>
      <c r="Q759" s="41" t="n"/>
    </row>
    <row r="760" ht="15.6" customHeight="1">
      <c r="A760" s="47" t="n"/>
      <c r="B760" s="48" t="n"/>
      <c r="C760" s="47" t="n"/>
      <c r="D760" s="45" t="n"/>
      <c r="E760" s="45" t="n"/>
      <c r="F760" s="45" t="n"/>
      <c r="G760" s="45" t="n"/>
      <c r="H760" s="45" t="n"/>
      <c r="I760" s="46" t="n"/>
      <c r="J760" s="45" t="n"/>
      <c r="K760" s="205" t="n"/>
      <c r="L760" s="39" t="n"/>
      <c r="M760" s="40" t="n"/>
      <c r="N760" s="42" t="n"/>
      <c r="O760" s="42" t="n"/>
      <c r="P760" s="41" t="n"/>
      <c r="Q760" s="41" t="n"/>
    </row>
    <row r="761" ht="15.6" customHeight="1">
      <c r="A761" s="47" t="n"/>
      <c r="B761" s="48" t="n"/>
      <c r="C761" s="47" t="n"/>
      <c r="D761" s="45" t="n"/>
      <c r="E761" s="45" t="n"/>
      <c r="F761" s="45" t="n"/>
      <c r="G761" s="45" t="n"/>
      <c r="H761" s="45" t="n"/>
      <c r="I761" s="46" t="n"/>
      <c r="J761" s="45" t="n"/>
      <c r="K761" s="205" t="n"/>
      <c r="L761" s="39" t="n"/>
      <c r="M761" s="40" t="n"/>
      <c r="N761" s="42" t="n"/>
      <c r="O761" s="42" t="n"/>
      <c r="P761" s="41" t="n"/>
      <c r="Q761" s="41" t="n"/>
    </row>
    <row r="762" ht="15.6" customHeight="1">
      <c r="A762" s="47" t="n"/>
      <c r="B762" s="48" t="n"/>
      <c r="C762" s="47" t="n"/>
      <c r="D762" s="45" t="n"/>
      <c r="E762" s="45" t="n"/>
      <c r="F762" s="45" t="n"/>
      <c r="G762" s="45" t="n"/>
      <c r="H762" s="45" t="n"/>
      <c r="I762" s="46" t="n"/>
      <c r="J762" s="45" t="n"/>
      <c r="K762" s="205" t="n"/>
      <c r="L762" s="39" t="n"/>
      <c r="M762" s="40" t="n"/>
      <c r="N762" s="42" t="n"/>
      <c r="O762" s="42" t="n"/>
      <c r="P762" s="41" t="n"/>
      <c r="Q762" s="41" t="n"/>
    </row>
    <row r="763" ht="15.6" customHeight="1">
      <c r="A763" s="47" t="n"/>
      <c r="B763" s="48" t="n"/>
      <c r="C763" s="47" t="n"/>
      <c r="D763" s="45" t="n"/>
      <c r="E763" s="45" t="n"/>
      <c r="F763" s="45" t="n"/>
      <c r="G763" s="45" t="n"/>
      <c r="H763" s="45" t="n"/>
      <c r="I763" s="46" t="n"/>
      <c r="J763" s="45" t="n"/>
      <c r="K763" s="205" t="n"/>
      <c r="L763" s="39" t="n"/>
      <c r="M763" s="40" t="n"/>
      <c r="N763" s="42" t="n"/>
      <c r="O763" s="42" t="n"/>
      <c r="P763" s="41" t="n"/>
      <c r="Q763" s="41" t="n"/>
    </row>
    <row r="764" ht="15.6" customHeight="1">
      <c r="A764" s="47" t="n"/>
      <c r="B764" s="48" t="n"/>
      <c r="C764" s="47" t="n"/>
      <c r="D764" s="45" t="n"/>
      <c r="E764" s="45" t="n"/>
      <c r="F764" s="45" t="n"/>
      <c r="G764" s="45" t="n"/>
      <c r="H764" s="45" t="n"/>
      <c r="I764" s="46" t="n"/>
      <c r="J764" s="45" t="n"/>
      <c r="K764" s="205" t="n"/>
      <c r="L764" s="39" t="n"/>
      <c r="M764" s="40" t="n"/>
      <c r="N764" s="42" t="n"/>
      <c r="O764" s="42" t="n"/>
      <c r="P764" s="41" t="n"/>
      <c r="Q764" s="41" t="n"/>
    </row>
    <row r="765" ht="15.6" customHeight="1">
      <c r="A765" s="47" t="n"/>
      <c r="B765" s="48" t="n"/>
      <c r="C765" s="47" t="n"/>
      <c r="D765" s="45" t="n"/>
      <c r="E765" s="45" t="n"/>
      <c r="F765" s="45" t="n"/>
      <c r="G765" s="45" t="n"/>
      <c r="H765" s="45" t="n"/>
      <c r="I765" s="46" t="n"/>
      <c r="J765" s="45" t="n"/>
      <c r="K765" s="205" t="n"/>
      <c r="L765" s="39" t="n"/>
      <c r="M765" s="40" t="n"/>
      <c r="N765" s="42" t="n"/>
      <c r="O765" s="42" t="n"/>
      <c r="P765" s="41" t="n"/>
      <c r="Q765" s="41" t="n"/>
    </row>
    <row r="766" ht="15.6" customHeight="1">
      <c r="A766" s="47" t="n"/>
      <c r="B766" s="48" t="n"/>
      <c r="C766" s="47" t="n"/>
      <c r="D766" s="45" t="n"/>
      <c r="E766" s="45" t="n"/>
      <c r="F766" s="45" t="n"/>
      <c r="G766" s="45" t="n"/>
      <c r="H766" s="45" t="n"/>
      <c r="I766" s="46" t="n"/>
      <c r="J766" s="45" t="n"/>
      <c r="K766" s="205" t="n"/>
      <c r="L766" s="39" t="n"/>
      <c r="M766" s="40" t="n"/>
      <c r="N766" s="42" t="n"/>
      <c r="O766" s="42" t="n"/>
      <c r="P766" s="41" t="n"/>
      <c r="Q766" s="41" t="n"/>
    </row>
    <row r="767" ht="15.6" customHeight="1">
      <c r="A767" s="47" t="n"/>
      <c r="B767" s="48" t="n"/>
      <c r="C767" s="47" t="n"/>
      <c r="D767" s="45" t="n"/>
      <c r="E767" s="45" t="n"/>
      <c r="F767" s="45" t="n"/>
      <c r="G767" s="45" t="n"/>
      <c r="H767" s="45" t="n"/>
      <c r="I767" s="46" t="n"/>
      <c r="J767" s="45" t="n"/>
      <c r="K767" s="205" t="n"/>
      <c r="L767" s="39" t="n"/>
      <c r="M767" s="40" t="n"/>
      <c r="N767" s="42" t="n"/>
      <c r="O767" s="42" t="n"/>
      <c r="P767" s="41" t="n"/>
      <c r="Q767" s="41" t="n"/>
    </row>
    <row r="768" ht="15.6" customHeight="1">
      <c r="A768" s="47" t="n"/>
      <c r="B768" s="48" t="n"/>
      <c r="C768" s="47" t="n"/>
      <c r="D768" s="45" t="n"/>
      <c r="E768" s="45" t="n"/>
      <c r="F768" s="45" t="n"/>
      <c r="G768" s="45" t="n"/>
      <c r="H768" s="45" t="n"/>
      <c r="I768" s="46" t="n"/>
      <c r="J768" s="45" t="n"/>
      <c r="K768" s="205" t="n"/>
      <c r="L768" s="39" t="n"/>
      <c r="M768" s="40" t="n"/>
      <c r="N768" s="42" t="n"/>
      <c r="O768" s="42" t="n"/>
      <c r="P768" s="41" t="n"/>
      <c r="Q768" s="41" t="n"/>
    </row>
    <row r="769" ht="15.6" customHeight="1">
      <c r="A769" s="47" t="n"/>
      <c r="B769" s="48" t="n"/>
      <c r="C769" s="47" t="n"/>
      <c r="D769" s="45" t="n"/>
      <c r="E769" s="45" t="n"/>
      <c r="F769" s="45" t="n"/>
      <c r="G769" s="45" t="n"/>
      <c r="H769" s="45" t="n"/>
      <c r="I769" s="46" t="n"/>
      <c r="J769" s="45" t="n"/>
      <c r="K769" s="205" t="n"/>
      <c r="L769" s="39" t="n"/>
      <c r="M769" s="40" t="n"/>
      <c r="N769" s="42" t="n"/>
      <c r="O769" s="42" t="n"/>
      <c r="P769" s="41" t="n"/>
      <c r="Q769" s="41" t="n"/>
    </row>
    <row r="770" ht="15.6" customHeight="1">
      <c r="A770" s="47" t="n"/>
      <c r="B770" s="48" t="n"/>
      <c r="C770" s="47" t="n"/>
      <c r="D770" s="45" t="n"/>
      <c r="E770" s="45" t="n"/>
      <c r="F770" s="45" t="n"/>
      <c r="G770" s="45" t="n"/>
      <c r="H770" s="45" t="n"/>
      <c r="I770" s="46" t="n"/>
      <c r="J770" s="45" t="n"/>
      <c r="K770" s="205" t="n"/>
      <c r="L770" s="39" t="n"/>
      <c r="M770" s="40" t="n"/>
      <c r="N770" s="42" t="n"/>
      <c r="O770" s="42" t="n"/>
      <c r="P770" s="41" t="n"/>
      <c r="Q770" s="41" t="n"/>
    </row>
    <row r="771" ht="15.6" customHeight="1">
      <c r="A771" s="47" t="n"/>
      <c r="B771" s="48" t="n"/>
      <c r="C771" s="47" t="n"/>
      <c r="D771" s="45" t="n"/>
      <c r="E771" s="45" t="n"/>
      <c r="F771" s="45" t="n"/>
      <c r="G771" s="45" t="n"/>
      <c r="H771" s="45" t="n"/>
      <c r="I771" s="46" t="n"/>
      <c r="J771" s="45" t="n"/>
      <c r="K771" s="205" t="n"/>
      <c r="L771" s="39" t="n"/>
      <c r="M771" s="40" t="n"/>
      <c r="N771" s="42" t="n"/>
      <c r="O771" s="42" t="n"/>
      <c r="P771" s="41" t="n"/>
      <c r="Q771" s="41" t="n"/>
    </row>
    <row r="772" ht="15.6" customHeight="1">
      <c r="A772" s="47" t="n"/>
      <c r="B772" s="48" t="n"/>
      <c r="C772" s="47" t="n"/>
      <c r="D772" s="45" t="n"/>
      <c r="E772" s="45" t="n"/>
      <c r="F772" s="45" t="n"/>
      <c r="G772" s="45" t="n"/>
      <c r="H772" s="45" t="n"/>
      <c r="I772" s="46" t="n"/>
      <c r="J772" s="45" t="n"/>
      <c r="K772" s="205" t="n"/>
      <c r="L772" s="39" t="n"/>
      <c r="M772" s="40" t="n"/>
      <c r="N772" s="42" t="n"/>
      <c r="O772" s="42" t="n"/>
      <c r="P772" s="41" t="n"/>
      <c r="Q772" s="41" t="n"/>
    </row>
    <row r="773" ht="15.6" customHeight="1">
      <c r="A773" s="47" t="n"/>
      <c r="B773" s="48" t="n"/>
      <c r="C773" s="47" t="n"/>
      <c r="D773" s="45" t="n"/>
      <c r="E773" s="45" t="n"/>
      <c r="F773" s="45" t="n"/>
      <c r="G773" s="45" t="n"/>
      <c r="H773" s="45" t="n"/>
      <c r="I773" s="46" t="n"/>
      <c r="J773" s="45" t="n"/>
      <c r="K773" s="205" t="n"/>
      <c r="L773" s="39" t="n"/>
      <c r="M773" s="40" t="n"/>
      <c r="N773" s="42" t="n"/>
      <c r="O773" s="42" t="n"/>
      <c r="P773" s="41" t="n"/>
      <c r="Q773" s="41" t="n"/>
    </row>
    <row r="774" ht="15.6" customHeight="1">
      <c r="A774" s="47" t="n"/>
      <c r="B774" s="48" t="n"/>
      <c r="C774" s="47" t="n"/>
      <c r="D774" s="45" t="n"/>
      <c r="E774" s="45" t="n"/>
      <c r="F774" s="45" t="n"/>
      <c r="G774" s="45" t="n"/>
      <c r="H774" s="45" t="n"/>
      <c r="I774" s="46" t="n"/>
      <c r="J774" s="45" t="n"/>
      <c r="K774" s="205" t="n"/>
      <c r="L774" s="39" t="n"/>
      <c r="M774" s="40" t="n"/>
      <c r="N774" s="42" t="n"/>
      <c r="O774" s="42" t="n"/>
      <c r="P774" s="41" t="n"/>
      <c r="Q774" s="41" t="n"/>
    </row>
    <row r="775" ht="15.6" customHeight="1">
      <c r="A775" s="47" t="n"/>
      <c r="B775" s="48" t="n"/>
      <c r="C775" s="47" t="n"/>
      <c r="D775" s="45" t="n"/>
      <c r="E775" s="45" t="n"/>
      <c r="F775" s="45" t="n"/>
      <c r="G775" s="45" t="n"/>
      <c r="H775" s="45" t="n"/>
      <c r="I775" s="46" t="n"/>
      <c r="J775" s="45" t="n"/>
      <c r="K775" s="205" t="n"/>
      <c r="L775" s="39" t="n"/>
      <c r="M775" s="40" t="n"/>
      <c r="N775" s="42" t="n"/>
      <c r="O775" s="42" t="n"/>
      <c r="P775" s="41" t="n"/>
      <c r="Q775" s="41" t="n"/>
    </row>
    <row r="776" ht="15.6" customHeight="1">
      <c r="A776" s="47" t="n"/>
      <c r="B776" s="48" t="n"/>
      <c r="C776" s="47" t="n"/>
      <c r="D776" s="45" t="n"/>
      <c r="E776" s="45" t="n"/>
      <c r="F776" s="45" t="n"/>
      <c r="G776" s="45" t="n"/>
      <c r="H776" s="45" t="n"/>
      <c r="I776" s="46" t="n"/>
      <c r="J776" s="45" t="n"/>
      <c r="K776" s="205" t="n"/>
      <c r="L776" s="39" t="n"/>
      <c r="M776" s="40" t="n"/>
      <c r="N776" s="42" t="n"/>
      <c r="O776" s="42" t="n"/>
      <c r="P776" s="41" t="n"/>
      <c r="Q776" s="41" t="n"/>
    </row>
    <row r="777" ht="15.6" customHeight="1">
      <c r="A777" s="47" t="n"/>
      <c r="B777" s="48" t="n"/>
      <c r="C777" s="47" t="n"/>
      <c r="D777" s="45" t="n"/>
      <c r="E777" s="45" t="n"/>
      <c r="F777" s="45" t="n"/>
      <c r="G777" s="45" t="n"/>
      <c r="H777" s="45" t="n"/>
      <c r="I777" s="46" t="n"/>
      <c r="J777" s="45" t="n"/>
      <c r="K777" s="205" t="n"/>
      <c r="L777" s="39" t="n"/>
      <c r="M777" s="40" t="n"/>
      <c r="N777" s="42" t="n"/>
      <c r="O777" s="42" t="n"/>
      <c r="P777" s="41" t="n"/>
      <c r="Q777" s="41" t="n"/>
    </row>
    <row r="778" ht="15.6" customHeight="1">
      <c r="A778" s="47" t="n"/>
      <c r="B778" s="48" t="n"/>
      <c r="C778" s="47" t="n"/>
      <c r="D778" s="45" t="n"/>
      <c r="E778" s="45" t="n"/>
      <c r="F778" s="45" t="n"/>
      <c r="G778" s="45" t="n"/>
      <c r="H778" s="45" t="n"/>
      <c r="I778" s="46" t="n"/>
      <c r="J778" s="45" t="n"/>
      <c r="K778" s="205" t="n"/>
      <c r="L778" s="39" t="n"/>
      <c r="M778" s="40" t="n"/>
      <c r="N778" s="42" t="n"/>
      <c r="O778" s="42" t="n"/>
      <c r="P778" s="41" t="n"/>
      <c r="Q778" s="41" t="n"/>
    </row>
    <row r="779" ht="15.6" customHeight="1">
      <c r="A779" s="47" t="n"/>
      <c r="B779" s="48" t="n"/>
      <c r="C779" s="47" t="n"/>
      <c r="D779" s="45" t="n"/>
      <c r="E779" s="45" t="n"/>
      <c r="F779" s="45" t="n"/>
      <c r="G779" s="45" t="n"/>
      <c r="H779" s="45" t="n"/>
      <c r="I779" s="46" t="n"/>
      <c r="J779" s="45" t="n"/>
      <c r="K779" s="205" t="n"/>
      <c r="L779" s="39" t="n"/>
      <c r="M779" s="40" t="n"/>
      <c r="N779" s="42" t="n"/>
      <c r="O779" s="42" t="n"/>
      <c r="P779" s="41" t="n"/>
      <c r="Q779" s="41" t="n"/>
    </row>
    <row r="780" ht="15.6" customHeight="1">
      <c r="A780" s="47" t="n"/>
      <c r="B780" s="48" t="n"/>
      <c r="C780" s="47" t="n"/>
      <c r="D780" s="45" t="n"/>
      <c r="E780" s="45" t="n"/>
      <c r="F780" s="45" t="n"/>
      <c r="G780" s="45" t="n"/>
      <c r="H780" s="45" t="n"/>
      <c r="I780" s="46" t="n"/>
      <c r="J780" s="45" t="n"/>
      <c r="K780" s="205" t="n"/>
      <c r="L780" s="39" t="n"/>
      <c r="M780" s="40" t="n"/>
      <c r="N780" s="42" t="n"/>
      <c r="O780" s="42" t="n"/>
      <c r="P780" s="41" t="n"/>
      <c r="Q780" s="41" t="n"/>
    </row>
    <row r="781" ht="15.6" customHeight="1">
      <c r="A781" s="47" t="n"/>
      <c r="B781" s="48" t="n"/>
      <c r="C781" s="47" t="n"/>
      <c r="D781" s="45" t="n"/>
      <c r="E781" s="45" t="n"/>
      <c r="F781" s="45" t="n"/>
      <c r="G781" s="45" t="n"/>
      <c r="H781" s="45" t="n"/>
      <c r="I781" s="46" t="n"/>
      <c r="J781" s="45" t="n"/>
      <c r="K781" s="205" t="n"/>
      <c r="L781" s="39" t="n"/>
      <c r="M781" s="40" t="n"/>
      <c r="N781" s="42" t="n"/>
      <c r="O781" s="42" t="n"/>
      <c r="P781" s="41" t="n"/>
      <c r="Q781" s="41" t="n"/>
    </row>
    <row r="782" ht="15.6" customHeight="1">
      <c r="A782" s="47" t="n"/>
      <c r="B782" s="48" t="n"/>
      <c r="C782" s="47" t="n"/>
      <c r="D782" s="45" t="n"/>
      <c r="E782" s="45" t="n"/>
      <c r="F782" s="45" t="n"/>
      <c r="G782" s="45" t="n"/>
      <c r="H782" s="45" t="n"/>
      <c r="I782" s="46" t="n"/>
      <c r="J782" s="45" t="n"/>
      <c r="K782" s="205" t="n"/>
      <c r="L782" s="39" t="n"/>
      <c r="M782" s="40" t="n"/>
      <c r="N782" s="42" t="n"/>
      <c r="O782" s="42" t="n"/>
      <c r="P782" s="41" t="n"/>
      <c r="Q782" s="41" t="n"/>
    </row>
    <row r="783" ht="15.6" customHeight="1">
      <c r="A783" s="47" t="n"/>
      <c r="B783" s="48" t="n"/>
      <c r="C783" s="47" t="n"/>
      <c r="D783" s="45" t="n"/>
      <c r="E783" s="45" t="n"/>
      <c r="F783" s="45" t="n"/>
      <c r="G783" s="45" t="n"/>
      <c r="H783" s="45" t="n"/>
      <c r="I783" s="46" t="n"/>
      <c r="J783" s="45" t="n"/>
      <c r="K783" s="205" t="n"/>
      <c r="L783" s="39" t="n"/>
      <c r="M783" s="40" t="n"/>
      <c r="N783" s="42" t="n"/>
      <c r="O783" s="42" t="n"/>
      <c r="P783" s="41" t="n"/>
      <c r="Q783" s="41" t="n"/>
    </row>
    <row r="784" ht="15.6" customHeight="1">
      <c r="A784" s="47" t="n"/>
      <c r="B784" s="48" t="n"/>
      <c r="C784" s="47" t="n"/>
      <c r="D784" s="45" t="n"/>
      <c r="E784" s="45" t="n"/>
      <c r="F784" s="45" t="n"/>
      <c r="G784" s="45" t="n"/>
      <c r="H784" s="45" t="n"/>
      <c r="I784" s="46" t="n"/>
      <c r="J784" s="45" t="n"/>
      <c r="K784" s="205" t="n"/>
      <c r="L784" s="39" t="n"/>
      <c r="M784" s="40" t="n"/>
      <c r="N784" s="42" t="n"/>
      <c r="O784" s="42" t="n"/>
      <c r="P784" s="41" t="n"/>
      <c r="Q784" s="41" t="n"/>
    </row>
    <row r="785" ht="15.6" customHeight="1">
      <c r="A785" s="47" t="n"/>
      <c r="B785" s="48" t="n"/>
      <c r="C785" s="47" t="n"/>
      <c r="D785" s="45" t="n"/>
      <c r="E785" s="45" t="n"/>
      <c r="F785" s="45" t="n"/>
      <c r="G785" s="45" t="n"/>
      <c r="H785" s="45" t="n"/>
      <c r="I785" s="46" t="n"/>
      <c r="J785" s="45" t="n"/>
      <c r="K785" s="205" t="n"/>
      <c r="L785" s="39" t="n"/>
      <c r="M785" s="40" t="n"/>
      <c r="N785" s="42" t="n"/>
      <c r="O785" s="42" t="n"/>
      <c r="P785" s="41" t="n"/>
      <c r="Q785" s="41" t="n"/>
    </row>
    <row r="786" ht="15.6" customHeight="1">
      <c r="A786" s="47" t="n"/>
      <c r="B786" s="48" t="n"/>
      <c r="C786" s="47" t="n"/>
      <c r="D786" s="45" t="n"/>
      <c r="E786" s="45" t="n"/>
      <c r="F786" s="45" t="n"/>
      <c r="G786" s="45" t="n"/>
      <c r="H786" s="45" t="n"/>
      <c r="I786" s="46" t="n"/>
      <c r="J786" s="45" t="n"/>
      <c r="K786" s="205" t="n"/>
      <c r="L786" s="39" t="n"/>
      <c r="M786" s="40" t="n"/>
      <c r="N786" s="42" t="n"/>
      <c r="O786" s="42" t="n"/>
      <c r="P786" s="41" t="n"/>
      <c r="Q786" s="41" t="n"/>
    </row>
    <row r="787" ht="15.6" customHeight="1">
      <c r="A787" s="47" t="n"/>
      <c r="B787" s="48" t="n"/>
      <c r="C787" s="47" t="n"/>
      <c r="D787" s="45" t="n"/>
      <c r="E787" s="45" t="n"/>
      <c r="F787" s="45" t="n"/>
      <c r="G787" s="45" t="n"/>
      <c r="H787" s="45" t="n"/>
      <c r="I787" s="46" t="n"/>
      <c r="J787" s="45" t="n"/>
      <c r="K787" s="205" t="n"/>
      <c r="L787" s="39" t="n"/>
      <c r="M787" s="40" t="n"/>
      <c r="N787" s="42" t="n"/>
      <c r="O787" s="42" t="n"/>
      <c r="P787" s="41" t="n"/>
      <c r="Q787" s="41" t="n"/>
    </row>
    <row r="788" ht="15.6" customHeight="1">
      <c r="A788" s="47" t="n"/>
      <c r="B788" s="48" t="n"/>
      <c r="C788" s="47" t="n"/>
      <c r="D788" s="45" t="n"/>
      <c r="E788" s="45" t="n"/>
      <c r="F788" s="45" t="n"/>
      <c r="G788" s="45" t="n"/>
      <c r="H788" s="45" t="n"/>
      <c r="I788" s="46" t="n"/>
      <c r="J788" s="45" t="n"/>
      <c r="K788" s="205" t="n"/>
      <c r="L788" s="39" t="n"/>
      <c r="M788" s="40" t="n"/>
      <c r="N788" s="42" t="n"/>
      <c r="O788" s="42" t="n"/>
      <c r="P788" s="41" t="n"/>
      <c r="Q788" s="41" t="n"/>
    </row>
    <row r="789" ht="15.6" customHeight="1">
      <c r="A789" s="47" t="n"/>
      <c r="B789" s="48" t="n"/>
      <c r="C789" s="47" t="n"/>
      <c r="D789" s="45" t="n"/>
      <c r="E789" s="45" t="n"/>
      <c r="F789" s="45" t="n"/>
      <c r="G789" s="45" t="n"/>
      <c r="H789" s="45" t="n"/>
      <c r="I789" s="46" t="n"/>
      <c r="J789" s="45" t="n"/>
      <c r="K789" s="205" t="n"/>
      <c r="L789" s="39" t="n"/>
      <c r="M789" s="40" t="n"/>
      <c r="N789" s="42" t="n"/>
      <c r="O789" s="42" t="n"/>
      <c r="P789" s="41" t="n"/>
      <c r="Q789" s="41" t="n"/>
    </row>
    <row r="790" ht="15.6" customHeight="1">
      <c r="A790" s="47" t="n"/>
      <c r="B790" s="48" t="n"/>
      <c r="C790" s="47" t="n"/>
      <c r="D790" s="45" t="n"/>
      <c r="E790" s="45" t="n"/>
      <c r="F790" s="45" t="n"/>
      <c r="G790" s="45" t="n"/>
      <c r="H790" s="45" t="n"/>
      <c r="I790" s="46" t="n"/>
      <c r="J790" s="45" t="n"/>
      <c r="K790" s="205" t="n"/>
      <c r="L790" s="39" t="n"/>
      <c r="M790" s="40" t="n"/>
      <c r="N790" s="42" t="n"/>
      <c r="O790" s="42" t="n"/>
      <c r="P790" s="41" t="n"/>
      <c r="Q790" s="41" t="n"/>
    </row>
    <row r="791" ht="15.6" customHeight="1">
      <c r="A791" s="47" t="n"/>
      <c r="B791" s="48" t="n"/>
      <c r="C791" s="47" t="n"/>
      <c r="D791" s="45" t="n"/>
      <c r="E791" s="45" t="n"/>
      <c r="F791" s="45" t="n"/>
      <c r="G791" s="45" t="n"/>
      <c r="H791" s="45" t="n"/>
      <c r="I791" s="46" t="n"/>
      <c r="J791" s="45" t="n"/>
      <c r="K791" s="205" t="n"/>
      <c r="L791" s="39" t="n"/>
      <c r="M791" s="40" t="n"/>
      <c r="N791" s="42" t="n"/>
      <c r="O791" s="42" t="n"/>
      <c r="P791" s="41" t="n"/>
      <c r="Q791" s="41" t="n"/>
    </row>
    <row r="792" ht="15.6" customHeight="1">
      <c r="A792" s="47" t="n"/>
      <c r="B792" s="48" t="n"/>
      <c r="C792" s="47" t="n"/>
      <c r="D792" s="45" t="n"/>
      <c r="E792" s="45" t="n"/>
      <c r="F792" s="45" t="n"/>
      <c r="G792" s="45" t="n"/>
      <c r="H792" s="45" t="n"/>
      <c r="I792" s="46" t="n"/>
      <c r="J792" s="45" t="n"/>
      <c r="K792" s="205" t="n"/>
      <c r="L792" s="39" t="n"/>
      <c r="M792" s="40" t="n"/>
      <c r="N792" s="42" t="n"/>
      <c r="O792" s="42" t="n"/>
      <c r="P792" s="41" t="n"/>
      <c r="Q792" s="41" t="n"/>
    </row>
    <row r="793" ht="15.6" customHeight="1">
      <c r="A793" s="47" t="n"/>
      <c r="B793" s="48" t="n"/>
      <c r="C793" s="47" t="n"/>
      <c r="D793" s="45" t="n"/>
      <c r="E793" s="45" t="n"/>
      <c r="F793" s="45" t="n"/>
      <c r="G793" s="45" t="n"/>
      <c r="H793" s="45" t="n"/>
      <c r="I793" s="46" t="n"/>
      <c r="J793" s="45" t="n"/>
      <c r="K793" s="205" t="n"/>
      <c r="L793" s="39" t="n"/>
      <c r="M793" s="40" t="n"/>
      <c r="N793" s="42" t="n"/>
      <c r="O793" s="42" t="n"/>
      <c r="P793" s="41" t="n"/>
      <c r="Q793" s="41" t="n"/>
    </row>
    <row r="794" ht="15.6" customHeight="1">
      <c r="A794" s="47" t="n"/>
      <c r="B794" s="48" t="n"/>
      <c r="C794" s="47" t="n"/>
      <c r="D794" s="45" t="n"/>
      <c r="E794" s="45" t="n"/>
      <c r="F794" s="45" t="n"/>
      <c r="G794" s="45" t="n"/>
      <c r="H794" s="45" t="n"/>
      <c r="I794" s="46" t="n"/>
      <c r="J794" s="45" t="n"/>
      <c r="K794" s="205" t="n"/>
      <c r="L794" s="39" t="n"/>
      <c r="M794" s="40" t="n"/>
      <c r="N794" s="42" t="n"/>
      <c r="O794" s="42" t="n"/>
      <c r="P794" s="41" t="n"/>
      <c r="Q794" s="41" t="n"/>
    </row>
    <row r="795" ht="15.6" customHeight="1">
      <c r="A795" s="47" t="n"/>
      <c r="B795" s="48" t="n"/>
      <c r="C795" s="47" t="n"/>
      <c r="D795" s="45" t="n"/>
      <c r="E795" s="45" t="n"/>
      <c r="F795" s="45" t="n"/>
      <c r="G795" s="45" t="n"/>
      <c r="H795" s="45" t="n"/>
      <c r="I795" s="46" t="n"/>
      <c r="J795" s="45" t="n"/>
      <c r="K795" s="205" t="n"/>
      <c r="L795" s="39" t="n"/>
      <c r="M795" s="40" t="n"/>
      <c r="N795" s="42" t="n"/>
      <c r="O795" s="42" t="n"/>
      <c r="P795" s="41" t="n"/>
      <c r="Q795" s="41" t="n"/>
    </row>
    <row r="796" ht="15.6" customHeight="1">
      <c r="A796" s="47" t="n"/>
      <c r="B796" s="48" t="n"/>
      <c r="C796" s="47" t="n"/>
      <c r="D796" s="45" t="n"/>
      <c r="E796" s="45" t="n"/>
      <c r="F796" s="45" t="n"/>
      <c r="G796" s="45" t="n"/>
      <c r="H796" s="45" t="n"/>
      <c r="I796" s="46" t="n"/>
      <c r="J796" s="45" t="n"/>
      <c r="K796" s="205" t="n"/>
      <c r="L796" s="39" t="n"/>
      <c r="M796" s="40" t="n"/>
      <c r="N796" s="42" t="n"/>
      <c r="O796" s="42" t="n"/>
      <c r="P796" s="41" t="n"/>
      <c r="Q796" s="41" t="n"/>
    </row>
    <row r="797" ht="15.6" customHeight="1">
      <c r="A797" s="47" t="n"/>
      <c r="B797" s="48" t="n"/>
      <c r="C797" s="47" t="n"/>
      <c r="D797" s="45" t="n"/>
      <c r="E797" s="45" t="n"/>
      <c r="F797" s="45" t="n"/>
      <c r="G797" s="45" t="n"/>
      <c r="H797" s="45" t="n"/>
      <c r="I797" s="46" t="n"/>
      <c r="J797" s="45" t="n"/>
      <c r="K797" s="205" t="n"/>
      <c r="L797" s="39" t="n"/>
      <c r="M797" s="40" t="n"/>
      <c r="N797" s="42" t="n"/>
      <c r="O797" s="42" t="n"/>
      <c r="P797" s="41" t="n"/>
      <c r="Q797" s="41" t="n"/>
    </row>
    <row r="798" ht="15.6" customHeight="1">
      <c r="A798" s="47" t="n"/>
      <c r="B798" s="48" t="n"/>
      <c r="C798" s="47" t="n"/>
      <c r="D798" s="45" t="n"/>
      <c r="E798" s="45" t="n"/>
      <c r="F798" s="45" t="n"/>
      <c r="G798" s="45" t="n"/>
      <c r="H798" s="45" t="n"/>
      <c r="I798" s="46" t="n"/>
      <c r="J798" s="45" t="n"/>
      <c r="K798" s="205" t="n"/>
      <c r="L798" s="39" t="n"/>
      <c r="M798" s="40" t="n"/>
      <c r="N798" s="42" t="n"/>
      <c r="O798" s="42" t="n"/>
      <c r="P798" s="41" t="n"/>
      <c r="Q798" s="41" t="n"/>
    </row>
    <row r="799" ht="15.6" customHeight="1">
      <c r="A799" s="47" t="n"/>
      <c r="B799" s="48" t="n"/>
      <c r="C799" s="47" t="n"/>
      <c r="D799" s="45" t="n"/>
      <c r="E799" s="45" t="n"/>
      <c r="F799" s="45" t="n"/>
      <c r="G799" s="45" t="n"/>
      <c r="H799" s="45" t="n"/>
      <c r="I799" s="46" t="n"/>
      <c r="J799" s="45" t="n"/>
      <c r="K799" s="205" t="n"/>
      <c r="L799" s="39" t="n"/>
      <c r="M799" s="40" t="n"/>
      <c r="N799" s="42" t="n"/>
      <c r="O799" s="42" t="n"/>
      <c r="P799" s="41" t="n"/>
      <c r="Q799" s="41" t="n"/>
    </row>
    <row r="800" ht="15.6" customHeight="1">
      <c r="A800" s="47" t="n"/>
      <c r="B800" s="48" t="n"/>
      <c r="C800" s="47" t="n"/>
      <c r="D800" s="45" t="n"/>
      <c r="E800" s="45" t="n"/>
      <c r="F800" s="45" t="n"/>
      <c r="G800" s="45" t="n"/>
      <c r="H800" s="45" t="n"/>
      <c r="I800" s="46" t="n"/>
      <c r="J800" s="45" t="n"/>
      <c r="K800" s="205" t="n"/>
      <c r="L800" s="39" t="n"/>
      <c r="M800" s="40" t="n"/>
      <c r="N800" s="42" t="n"/>
      <c r="O800" s="42" t="n"/>
      <c r="P800" s="41" t="n"/>
      <c r="Q800" s="41" t="n"/>
    </row>
    <row r="801" ht="15.6" customHeight="1">
      <c r="A801" s="47" t="n"/>
      <c r="B801" s="48" t="n"/>
      <c r="C801" s="47" t="n"/>
      <c r="D801" s="45" t="n"/>
      <c r="E801" s="45" t="n"/>
      <c r="F801" s="45" t="n"/>
      <c r="G801" s="45" t="n"/>
      <c r="H801" s="45" t="n"/>
      <c r="I801" s="46" t="n"/>
      <c r="J801" s="45" t="n"/>
      <c r="K801" s="205" t="n"/>
      <c r="L801" s="39" t="n"/>
      <c r="M801" s="40" t="n"/>
      <c r="N801" s="42" t="n"/>
      <c r="O801" s="42" t="n"/>
      <c r="P801" s="41" t="n"/>
      <c r="Q801" s="41" t="n"/>
    </row>
    <row r="802" ht="15.6" customHeight="1">
      <c r="A802" s="47" t="n"/>
      <c r="B802" s="48" t="n"/>
      <c r="C802" s="47" t="n"/>
      <c r="D802" s="45" t="n"/>
      <c r="E802" s="45" t="n"/>
      <c r="F802" s="45" t="n"/>
      <c r="G802" s="45" t="n"/>
      <c r="H802" s="45" t="n"/>
      <c r="I802" s="46" t="n"/>
      <c r="J802" s="45" t="n"/>
      <c r="K802" s="205" t="n"/>
      <c r="L802" s="39" t="n"/>
      <c r="M802" s="40" t="n"/>
      <c r="N802" s="42" t="n"/>
      <c r="O802" s="42" t="n"/>
      <c r="P802" s="41" t="n"/>
      <c r="Q802" s="41" t="n"/>
    </row>
    <row r="803" ht="15.6" customHeight="1">
      <c r="A803" s="47" t="n"/>
      <c r="B803" s="48" t="n"/>
      <c r="C803" s="47" t="n"/>
      <c r="D803" s="45" t="n"/>
      <c r="E803" s="45" t="n"/>
      <c r="F803" s="45" t="n"/>
      <c r="G803" s="45" t="n"/>
      <c r="H803" s="45" t="n"/>
      <c r="I803" s="46" t="n"/>
      <c r="J803" s="45" t="n"/>
      <c r="K803" s="205" t="n"/>
      <c r="L803" s="39" t="n"/>
      <c r="M803" s="40" t="n"/>
      <c r="N803" s="42" t="n"/>
      <c r="O803" s="42" t="n"/>
      <c r="P803" s="41" t="n"/>
      <c r="Q803" s="41" t="n"/>
    </row>
    <row r="804" ht="15.6" customHeight="1">
      <c r="A804" s="47" t="n"/>
      <c r="B804" s="48" t="n"/>
      <c r="C804" s="47" t="n"/>
      <c r="D804" s="45" t="n"/>
      <c r="E804" s="45" t="n"/>
      <c r="F804" s="45" t="n"/>
      <c r="G804" s="45" t="n"/>
      <c r="H804" s="45" t="n"/>
      <c r="I804" s="46" t="n"/>
      <c r="J804" s="45" t="n"/>
      <c r="K804" s="205" t="n"/>
      <c r="L804" s="39" t="n"/>
      <c r="M804" s="40" t="n"/>
      <c r="N804" s="42" t="n"/>
      <c r="O804" s="42" t="n"/>
      <c r="P804" s="41" t="n"/>
      <c r="Q804" s="41" t="n"/>
    </row>
    <row r="805" ht="15.6" customHeight="1">
      <c r="A805" s="47" t="n"/>
      <c r="B805" s="48" t="n"/>
      <c r="C805" s="47" t="n"/>
      <c r="D805" s="45" t="n"/>
      <c r="E805" s="45" t="n"/>
      <c r="F805" s="45" t="n"/>
      <c r="G805" s="45" t="n"/>
      <c r="H805" s="45" t="n"/>
      <c r="I805" s="46" t="n"/>
      <c r="J805" s="45" t="n"/>
      <c r="K805" s="205" t="n"/>
      <c r="L805" s="39" t="n"/>
      <c r="M805" s="40" t="n"/>
      <c r="N805" s="42" t="n"/>
      <c r="O805" s="42" t="n"/>
      <c r="P805" s="41" t="n"/>
      <c r="Q805" s="41" t="n"/>
    </row>
    <row r="806" ht="15.6" customHeight="1">
      <c r="A806" s="47" t="n"/>
      <c r="B806" s="48" t="n"/>
      <c r="C806" s="47" t="n"/>
      <c r="D806" s="45" t="n"/>
      <c r="E806" s="45" t="n"/>
      <c r="F806" s="45" t="n"/>
      <c r="G806" s="45" t="n"/>
      <c r="H806" s="45" t="n"/>
      <c r="I806" s="46" t="n"/>
      <c r="J806" s="45" t="n"/>
      <c r="K806" s="205" t="n"/>
      <c r="L806" s="39" t="n"/>
      <c r="M806" s="40" t="n"/>
      <c r="N806" s="42" t="n"/>
      <c r="O806" s="42" t="n"/>
      <c r="P806" s="41" t="n"/>
      <c r="Q806" s="41" t="n"/>
    </row>
    <row r="807" ht="15.6" customHeight="1">
      <c r="A807" s="47" t="n"/>
      <c r="B807" s="48" t="n"/>
      <c r="C807" s="47" t="n"/>
      <c r="D807" s="45" t="n"/>
      <c r="E807" s="45" t="n"/>
      <c r="F807" s="45" t="n"/>
      <c r="G807" s="45" t="n"/>
      <c r="H807" s="45" t="n"/>
      <c r="I807" s="46" t="n"/>
      <c r="J807" s="45" t="n"/>
      <c r="K807" s="205" t="n"/>
      <c r="L807" s="39" t="n"/>
      <c r="M807" s="40" t="n"/>
      <c r="N807" s="42" t="n"/>
      <c r="O807" s="42" t="n"/>
      <c r="P807" s="41" t="n"/>
      <c r="Q807" s="41" t="n"/>
    </row>
    <row r="808" ht="15.6" customHeight="1">
      <c r="A808" s="47" t="n"/>
      <c r="B808" s="48" t="n"/>
      <c r="C808" s="47" t="n"/>
      <c r="D808" s="45" t="n"/>
      <c r="E808" s="45" t="n"/>
      <c r="F808" s="45" t="n"/>
      <c r="G808" s="45" t="n"/>
      <c r="H808" s="45" t="n"/>
      <c r="I808" s="46" t="n"/>
      <c r="J808" s="45" t="n"/>
      <c r="K808" s="205" t="n"/>
      <c r="L808" s="39" t="n"/>
      <c r="M808" s="40" t="n"/>
      <c r="N808" s="42" t="n"/>
      <c r="O808" s="42" t="n"/>
      <c r="P808" s="41" t="n"/>
      <c r="Q808" s="41" t="n"/>
    </row>
    <row r="809" ht="15.6" customHeight="1">
      <c r="A809" s="47" t="n"/>
      <c r="B809" s="48" t="n"/>
      <c r="C809" s="47" t="n"/>
      <c r="D809" s="45" t="n"/>
      <c r="E809" s="45" t="n"/>
      <c r="F809" s="45" t="n"/>
      <c r="G809" s="45" t="n"/>
      <c r="H809" s="45" t="n"/>
      <c r="I809" s="46" t="n"/>
      <c r="J809" s="45" t="n"/>
      <c r="K809" s="205" t="n"/>
      <c r="L809" s="39" t="n"/>
      <c r="M809" s="40" t="n"/>
      <c r="N809" s="42" t="n"/>
      <c r="O809" s="42" t="n"/>
      <c r="P809" s="41" t="n"/>
      <c r="Q809" s="41" t="n"/>
    </row>
    <row r="810" ht="15.6" customHeight="1">
      <c r="A810" s="47" t="n"/>
      <c r="B810" s="48" t="n"/>
      <c r="C810" s="47" t="n"/>
      <c r="D810" s="45" t="n"/>
      <c r="E810" s="45" t="n"/>
      <c r="F810" s="45" t="n"/>
      <c r="G810" s="45" t="n"/>
      <c r="H810" s="45" t="n"/>
      <c r="I810" s="46" t="n"/>
      <c r="J810" s="45" t="n"/>
      <c r="K810" s="205" t="n"/>
      <c r="L810" s="39" t="n"/>
      <c r="M810" s="40" t="n"/>
      <c r="N810" s="42" t="n"/>
      <c r="O810" s="42" t="n"/>
      <c r="P810" s="41" t="n"/>
      <c r="Q810" s="41" t="n"/>
    </row>
    <row r="811" ht="15.6" customHeight="1">
      <c r="A811" s="47" t="n"/>
      <c r="B811" s="48" t="n"/>
      <c r="C811" s="47" t="n"/>
      <c r="D811" s="45" t="n"/>
      <c r="E811" s="45" t="n"/>
      <c r="F811" s="45" t="n"/>
      <c r="G811" s="45" t="n"/>
      <c r="H811" s="45" t="n"/>
      <c r="I811" s="46" t="n"/>
      <c r="J811" s="45" t="n"/>
      <c r="K811" s="205" t="n"/>
      <c r="L811" s="39" t="n"/>
      <c r="M811" s="40" t="n"/>
      <c r="N811" s="42" t="n"/>
      <c r="O811" s="42" t="n"/>
      <c r="P811" s="41" t="n"/>
      <c r="Q811" s="41" t="n"/>
    </row>
    <row r="812" ht="15.6" customHeight="1">
      <c r="A812" s="47" t="n"/>
      <c r="B812" s="48" t="n"/>
      <c r="C812" s="47" t="n"/>
      <c r="D812" s="45" t="n"/>
      <c r="E812" s="45" t="n"/>
      <c r="F812" s="45" t="n"/>
      <c r="G812" s="45" t="n"/>
      <c r="H812" s="45" t="n"/>
      <c r="I812" s="46" t="n"/>
      <c r="J812" s="45" t="n"/>
      <c r="K812" s="205" t="n"/>
      <c r="L812" s="39" t="n"/>
      <c r="M812" s="40" t="n"/>
      <c r="N812" s="42" t="n"/>
      <c r="O812" s="42" t="n"/>
      <c r="P812" s="41" t="n"/>
      <c r="Q812" s="41" t="n"/>
    </row>
    <row r="813" ht="15.6" customHeight="1">
      <c r="A813" s="47" t="n"/>
      <c r="B813" s="48" t="n"/>
      <c r="C813" s="47" t="n"/>
      <c r="D813" s="45" t="n"/>
      <c r="E813" s="45" t="n"/>
      <c r="F813" s="45" t="n"/>
      <c r="G813" s="45" t="n"/>
      <c r="H813" s="45" t="n"/>
      <c r="I813" s="46" t="n"/>
      <c r="J813" s="45" t="n"/>
      <c r="K813" s="205" t="n"/>
      <c r="L813" s="39" t="n"/>
      <c r="M813" s="40" t="n"/>
      <c r="N813" s="42" t="n"/>
      <c r="O813" s="42" t="n"/>
      <c r="P813" s="41" t="n"/>
      <c r="Q813" s="41" t="n"/>
    </row>
    <row r="814" ht="15.6" customHeight="1">
      <c r="A814" s="47" t="n"/>
      <c r="B814" s="48" t="n"/>
      <c r="C814" s="47" t="n"/>
      <c r="D814" s="45" t="n"/>
      <c r="E814" s="45" t="n"/>
      <c r="F814" s="45" t="n"/>
      <c r="G814" s="45" t="n"/>
      <c r="H814" s="45" t="n"/>
      <c r="I814" s="46" t="n"/>
      <c r="J814" s="45" t="n"/>
      <c r="K814" s="205" t="n"/>
      <c r="L814" s="39" t="n"/>
      <c r="M814" s="40" t="n"/>
      <c r="N814" s="42" t="n"/>
      <c r="O814" s="42" t="n"/>
      <c r="P814" s="41" t="n"/>
      <c r="Q814" s="41" t="n"/>
    </row>
    <row r="815" ht="15.6" customHeight="1">
      <c r="A815" s="47" t="n"/>
      <c r="B815" s="48" t="n"/>
      <c r="C815" s="47" t="n"/>
      <c r="D815" s="45" t="n"/>
      <c r="E815" s="45" t="n"/>
      <c r="F815" s="45" t="n"/>
      <c r="G815" s="45" t="n"/>
      <c r="H815" s="45" t="n"/>
      <c r="I815" s="46" t="n"/>
      <c r="J815" s="45" t="n"/>
      <c r="K815" s="205" t="n"/>
      <c r="L815" s="39" t="n"/>
      <c r="M815" s="40" t="n"/>
      <c r="N815" s="42" t="n"/>
      <c r="O815" s="42" t="n"/>
      <c r="P815" s="41" t="n"/>
      <c r="Q815" s="41" t="n"/>
    </row>
    <row r="816" ht="15.6" customHeight="1">
      <c r="A816" s="47" t="n"/>
      <c r="B816" s="48" t="n"/>
      <c r="C816" s="47" t="n"/>
      <c r="D816" s="45" t="n"/>
      <c r="E816" s="45" t="n"/>
      <c r="F816" s="45" t="n"/>
      <c r="G816" s="45" t="n"/>
      <c r="H816" s="45" t="n"/>
      <c r="I816" s="46" t="n"/>
      <c r="J816" s="45" t="n"/>
      <c r="K816" s="205" t="n"/>
      <c r="L816" s="39" t="n"/>
      <c r="M816" s="40" t="n"/>
      <c r="N816" s="42" t="n"/>
      <c r="O816" s="42" t="n"/>
      <c r="P816" s="41" t="n"/>
      <c r="Q816" s="41" t="n"/>
    </row>
    <row r="817" ht="15.6" customHeight="1">
      <c r="A817" s="47" t="n"/>
      <c r="B817" s="48" t="n"/>
      <c r="C817" s="47" t="n"/>
      <c r="D817" s="45" t="n"/>
      <c r="E817" s="45" t="n"/>
      <c r="F817" s="45" t="n"/>
      <c r="G817" s="45" t="n"/>
      <c r="H817" s="45" t="n"/>
      <c r="I817" s="46" t="n"/>
      <c r="J817" s="45" t="n"/>
      <c r="K817" s="205" t="n"/>
      <c r="L817" s="39" t="n"/>
      <c r="M817" s="40" t="n"/>
      <c r="N817" s="42" t="n"/>
      <c r="O817" s="42" t="n"/>
      <c r="P817" s="41" t="n"/>
      <c r="Q817" s="41" t="n"/>
    </row>
    <row r="818" ht="15.6" customHeight="1">
      <c r="A818" s="47" t="n"/>
      <c r="B818" s="48" t="n"/>
      <c r="C818" s="47" t="n"/>
      <c r="D818" s="45" t="n"/>
      <c r="E818" s="45" t="n"/>
      <c r="F818" s="45" t="n"/>
      <c r="G818" s="45" t="n"/>
      <c r="H818" s="45" t="n"/>
      <c r="I818" s="46" t="n"/>
      <c r="J818" s="45" t="n"/>
      <c r="K818" s="205" t="n"/>
      <c r="L818" s="39" t="n"/>
      <c r="M818" s="40" t="n"/>
      <c r="N818" s="42" t="n"/>
      <c r="O818" s="42" t="n"/>
      <c r="P818" s="41" t="n"/>
      <c r="Q818" s="41" t="n"/>
    </row>
    <row r="819" ht="15.6" customHeight="1">
      <c r="A819" s="47" t="n"/>
      <c r="B819" s="48" t="n"/>
      <c r="C819" s="47" t="n"/>
      <c r="D819" s="45" t="n"/>
      <c r="E819" s="45" t="n"/>
      <c r="F819" s="45" t="n"/>
      <c r="G819" s="45" t="n"/>
      <c r="H819" s="45" t="n"/>
      <c r="I819" s="46" t="n"/>
      <c r="J819" s="45" t="n"/>
      <c r="K819" s="205" t="n"/>
      <c r="L819" s="39" t="n"/>
      <c r="M819" s="40" t="n"/>
      <c r="N819" s="42" t="n"/>
      <c r="O819" s="42" t="n"/>
      <c r="P819" s="41" t="n"/>
      <c r="Q819" s="41" t="n"/>
    </row>
    <row r="820" ht="15.6" customHeight="1">
      <c r="A820" s="47" t="n"/>
      <c r="B820" s="48" t="n"/>
      <c r="C820" s="47" t="n"/>
      <c r="D820" s="45" t="n"/>
      <c r="E820" s="45" t="n"/>
      <c r="F820" s="45" t="n"/>
      <c r="G820" s="45" t="n"/>
      <c r="H820" s="45" t="n"/>
      <c r="I820" s="46" t="n"/>
      <c r="J820" s="45" t="n"/>
      <c r="K820" s="205" t="n"/>
      <c r="L820" s="39" t="n"/>
      <c r="M820" s="40" t="n"/>
      <c r="N820" s="42" t="n"/>
      <c r="O820" s="42" t="n"/>
      <c r="P820" s="41" t="n"/>
      <c r="Q820" s="41" t="n"/>
    </row>
    <row r="821" ht="15.6" customHeight="1">
      <c r="A821" s="47" t="n"/>
      <c r="B821" s="48" t="n"/>
      <c r="C821" s="47" t="n"/>
      <c r="D821" s="45" t="n"/>
      <c r="E821" s="45" t="n"/>
      <c r="F821" s="45" t="n"/>
      <c r="G821" s="45" t="n"/>
      <c r="H821" s="45" t="n"/>
      <c r="I821" s="46" t="n"/>
      <c r="J821" s="45" t="n"/>
      <c r="K821" s="205" t="n"/>
      <c r="L821" s="39" t="n"/>
      <c r="M821" s="40" t="n"/>
      <c r="N821" s="42" t="n"/>
      <c r="O821" s="42" t="n"/>
      <c r="P821" s="41" t="n"/>
      <c r="Q821" s="41" t="n"/>
    </row>
    <row r="822" ht="15.6" customHeight="1">
      <c r="A822" s="47" t="n"/>
      <c r="B822" s="48" t="n"/>
      <c r="C822" s="47" t="n"/>
      <c r="D822" s="45" t="n"/>
      <c r="E822" s="45" t="n"/>
      <c r="F822" s="45" t="n"/>
      <c r="G822" s="45" t="n"/>
      <c r="H822" s="45" t="n"/>
      <c r="I822" s="46" t="n"/>
      <c r="J822" s="45" t="n"/>
      <c r="K822" s="205" t="n"/>
      <c r="L822" s="39" t="n"/>
      <c r="M822" s="40" t="n"/>
      <c r="N822" s="42" t="n"/>
      <c r="O822" s="42" t="n"/>
      <c r="P822" s="41" t="n"/>
      <c r="Q822" s="41" t="n"/>
    </row>
    <row r="823" ht="15.6" customHeight="1">
      <c r="A823" s="47" t="n"/>
      <c r="B823" s="48" t="n"/>
      <c r="C823" s="47" t="n"/>
      <c r="D823" s="45" t="n"/>
      <c r="E823" s="45" t="n"/>
      <c r="F823" s="45" t="n"/>
      <c r="G823" s="45" t="n"/>
      <c r="H823" s="45" t="n"/>
      <c r="I823" s="46" t="n"/>
      <c r="J823" s="45" t="n"/>
      <c r="K823" s="205" t="n"/>
      <c r="L823" s="39" t="n"/>
      <c r="M823" s="40" t="n"/>
      <c r="N823" s="42" t="n"/>
      <c r="O823" s="42" t="n"/>
      <c r="P823" s="41" t="n"/>
      <c r="Q823" s="41" t="n"/>
    </row>
    <row r="824" ht="15.6" customHeight="1">
      <c r="A824" s="47" t="n"/>
      <c r="B824" s="48" t="n"/>
      <c r="C824" s="47" t="n"/>
      <c r="D824" s="45" t="n"/>
      <c r="E824" s="45" t="n"/>
      <c r="F824" s="45" t="n"/>
      <c r="G824" s="45" t="n"/>
      <c r="H824" s="45" t="n"/>
      <c r="I824" s="46" t="n"/>
      <c r="J824" s="45" t="n"/>
      <c r="K824" s="205" t="n"/>
      <c r="L824" s="39" t="n"/>
      <c r="M824" s="40" t="n"/>
      <c r="N824" s="42" t="n"/>
      <c r="O824" s="42" t="n"/>
      <c r="P824" s="41" t="n"/>
      <c r="Q824" s="41" t="n"/>
    </row>
    <row r="825" ht="15.6" customHeight="1">
      <c r="A825" s="47" t="n"/>
      <c r="B825" s="48" t="n"/>
      <c r="C825" s="47" t="n"/>
      <c r="D825" s="45" t="n"/>
      <c r="E825" s="45" t="n"/>
      <c r="F825" s="45" t="n"/>
      <c r="G825" s="45" t="n"/>
      <c r="H825" s="45" t="n"/>
      <c r="I825" s="46" t="n"/>
      <c r="J825" s="45" t="n"/>
      <c r="K825" s="205" t="n"/>
      <c r="L825" s="39" t="n"/>
      <c r="M825" s="40" t="n"/>
      <c r="N825" s="42" t="n"/>
      <c r="O825" s="42" t="n"/>
      <c r="P825" s="41" t="n"/>
      <c r="Q825" s="41" t="n"/>
    </row>
    <row r="826" ht="15.6" customHeight="1">
      <c r="A826" s="47" t="n"/>
      <c r="B826" s="48" t="n"/>
      <c r="C826" s="47" t="n"/>
      <c r="D826" s="45" t="n"/>
      <c r="E826" s="45" t="n"/>
      <c r="F826" s="45" t="n"/>
      <c r="G826" s="45" t="n"/>
      <c r="H826" s="45" t="n"/>
      <c r="I826" s="46" t="n"/>
      <c r="J826" s="45" t="n"/>
      <c r="K826" s="205" t="n"/>
      <c r="L826" s="39" t="n"/>
      <c r="M826" s="40" t="n"/>
      <c r="N826" s="42" t="n"/>
      <c r="O826" s="42" t="n"/>
      <c r="P826" s="41" t="n"/>
      <c r="Q826" s="41" t="n"/>
    </row>
    <row r="827" ht="15.6" customHeight="1">
      <c r="A827" s="47" t="n"/>
      <c r="B827" s="48" t="n"/>
      <c r="C827" s="47" t="n"/>
      <c r="D827" s="45" t="n"/>
      <c r="E827" s="45" t="n"/>
      <c r="F827" s="45" t="n"/>
      <c r="G827" s="45" t="n"/>
      <c r="H827" s="45" t="n"/>
      <c r="I827" s="46" t="n"/>
      <c r="J827" s="45" t="n"/>
      <c r="K827" s="205" t="n"/>
      <c r="L827" s="39" t="n"/>
      <c r="M827" s="40" t="n"/>
      <c r="N827" s="42" t="n"/>
      <c r="O827" s="42" t="n"/>
      <c r="P827" s="41" t="n"/>
      <c r="Q827" s="41" t="n"/>
    </row>
    <row r="828" ht="15.6" customHeight="1">
      <c r="A828" s="47" t="n"/>
      <c r="B828" s="48" t="n"/>
      <c r="C828" s="47" t="n"/>
      <c r="D828" s="45" t="n"/>
      <c r="E828" s="45" t="n"/>
      <c r="F828" s="45" t="n"/>
      <c r="G828" s="45" t="n"/>
      <c r="H828" s="45" t="n"/>
      <c r="I828" s="46" t="n"/>
      <c r="J828" s="45" t="n"/>
      <c r="K828" s="205" t="n"/>
      <c r="L828" s="39" t="n"/>
      <c r="M828" s="40" t="n"/>
      <c r="N828" s="42" t="n"/>
      <c r="O828" s="42" t="n"/>
      <c r="P828" s="41" t="n"/>
      <c r="Q828" s="41" t="n"/>
    </row>
    <row r="829" ht="15.6" customHeight="1">
      <c r="A829" s="47" t="n"/>
      <c r="B829" s="48" t="n"/>
      <c r="C829" s="47" t="n"/>
      <c r="D829" s="45" t="n"/>
      <c r="E829" s="45" t="n"/>
      <c r="F829" s="45" t="n"/>
      <c r="G829" s="45" t="n"/>
      <c r="H829" s="45" t="n"/>
      <c r="I829" s="46" t="n"/>
      <c r="J829" s="45" t="n"/>
      <c r="K829" s="205" t="n"/>
      <c r="L829" s="39" t="n"/>
      <c r="M829" s="40" t="n"/>
      <c r="N829" s="42" t="n"/>
      <c r="O829" s="42" t="n"/>
      <c r="P829" s="41" t="n"/>
      <c r="Q829" s="41" t="n"/>
    </row>
    <row r="830" ht="15.6" customHeight="1">
      <c r="A830" s="47" t="n"/>
      <c r="B830" s="48" t="n"/>
      <c r="C830" s="47" t="n"/>
      <c r="D830" s="45" t="n"/>
      <c r="E830" s="45" t="n"/>
      <c r="F830" s="45" t="n"/>
      <c r="G830" s="45" t="n"/>
      <c r="H830" s="45" t="n"/>
      <c r="I830" s="46" t="n"/>
      <c r="J830" s="45" t="n"/>
      <c r="K830" s="205" t="n"/>
      <c r="L830" s="39" t="n"/>
      <c r="M830" s="40" t="n"/>
      <c r="N830" s="42" t="n"/>
      <c r="O830" s="42" t="n"/>
      <c r="P830" s="41" t="n"/>
      <c r="Q830" s="41" t="n"/>
    </row>
    <row r="831" ht="15.6" customHeight="1">
      <c r="A831" s="47" t="n"/>
      <c r="B831" s="48" t="n"/>
      <c r="C831" s="47" t="n"/>
      <c r="D831" s="45" t="n"/>
      <c r="E831" s="45" t="n"/>
      <c r="F831" s="45" t="n"/>
      <c r="G831" s="45" t="n"/>
      <c r="H831" s="45" t="n"/>
      <c r="I831" s="46" t="n"/>
      <c r="J831" s="45" t="n"/>
      <c r="K831" s="205" t="n"/>
      <c r="L831" s="39" t="n"/>
      <c r="M831" s="40" t="n"/>
      <c r="N831" s="42" t="n"/>
      <c r="O831" s="42" t="n"/>
      <c r="P831" s="41" t="n"/>
      <c r="Q831" s="41" t="n"/>
    </row>
    <row r="832" ht="15.6" customHeight="1">
      <c r="A832" s="47" t="n"/>
      <c r="B832" s="48" t="n"/>
      <c r="C832" s="47" t="n"/>
      <c r="D832" s="45" t="n"/>
      <c r="E832" s="45" t="n"/>
      <c r="F832" s="45" t="n"/>
      <c r="G832" s="45" t="n"/>
      <c r="H832" s="45" t="n"/>
      <c r="I832" s="46" t="n"/>
      <c r="J832" s="45" t="n"/>
      <c r="K832" s="205" t="n"/>
      <c r="L832" s="39" t="n"/>
      <c r="M832" s="40" t="n"/>
      <c r="N832" s="42" t="n"/>
      <c r="O832" s="42" t="n"/>
      <c r="P832" s="41" t="n"/>
      <c r="Q832" s="41" t="n"/>
    </row>
    <row r="833" ht="15.6" customHeight="1">
      <c r="A833" s="47" t="n"/>
      <c r="B833" s="48" t="n"/>
      <c r="C833" s="47" t="n"/>
      <c r="D833" s="45" t="n"/>
      <c r="E833" s="45" t="n"/>
      <c r="F833" s="45" t="n"/>
      <c r="G833" s="45" t="n"/>
      <c r="H833" s="45" t="n"/>
      <c r="I833" s="46" t="n"/>
      <c r="J833" s="45" t="n"/>
      <c r="K833" s="205" t="n"/>
      <c r="L833" s="39" t="n"/>
      <c r="M833" s="40" t="n"/>
      <c r="N833" s="42" t="n"/>
      <c r="O833" s="42" t="n"/>
      <c r="P833" s="41" t="n"/>
      <c r="Q833" s="41" t="n"/>
    </row>
    <row r="834" ht="15.6" customHeight="1">
      <c r="A834" s="47" t="n"/>
      <c r="B834" s="48" t="n"/>
      <c r="C834" s="47" t="n"/>
      <c r="D834" s="45" t="n"/>
      <c r="E834" s="45" t="n"/>
      <c r="F834" s="45" t="n"/>
      <c r="G834" s="45" t="n"/>
      <c r="H834" s="45" t="n"/>
      <c r="I834" s="46" t="n"/>
      <c r="J834" s="45" t="n"/>
      <c r="K834" s="205" t="n"/>
      <c r="L834" s="39" t="n"/>
      <c r="M834" s="40" t="n"/>
      <c r="N834" s="42" t="n"/>
      <c r="O834" s="42" t="n"/>
      <c r="P834" s="41" t="n"/>
      <c r="Q834" s="41" t="n"/>
    </row>
    <row r="835" ht="15.6" customHeight="1">
      <c r="A835" s="47" t="n"/>
      <c r="B835" s="48" t="n"/>
      <c r="C835" s="47" t="n"/>
      <c r="D835" s="45" t="n"/>
      <c r="E835" s="45" t="n"/>
      <c r="F835" s="45" t="n"/>
      <c r="G835" s="45" t="n"/>
      <c r="H835" s="45" t="n"/>
      <c r="I835" s="46" t="n"/>
      <c r="J835" s="45" t="n"/>
      <c r="K835" s="205" t="n"/>
      <c r="L835" s="39" t="n"/>
      <c r="M835" s="40" t="n"/>
      <c r="N835" s="42" t="n"/>
      <c r="O835" s="42" t="n"/>
      <c r="P835" s="41" t="n"/>
      <c r="Q835" s="41" t="n"/>
    </row>
    <row r="836" ht="15.6" customHeight="1">
      <c r="A836" s="47" t="n"/>
      <c r="B836" s="48" t="n"/>
      <c r="C836" s="47" t="n"/>
      <c r="D836" s="45" t="n"/>
      <c r="E836" s="45" t="n"/>
      <c r="F836" s="45" t="n"/>
      <c r="G836" s="45" t="n"/>
      <c r="H836" s="45" t="n"/>
      <c r="I836" s="46" t="n"/>
      <c r="J836" s="45" t="n"/>
      <c r="K836" s="205" t="n"/>
      <c r="L836" s="39" t="n"/>
      <c r="M836" s="40" t="n"/>
      <c r="N836" s="42" t="n"/>
      <c r="O836" s="42" t="n"/>
      <c r="P836" s="41" t="n"/>
      <c r="Q836" s="41" t="n"/>
    </row>
    <row r="837" ht="15.6" customHeight="1">
      <c r="A837" s="47" t="n"/>
      <c r="B837" s="48" t="n"/>
      <c r="C837" s="47" t="n"/>
      <c r="D837" s="45" t="n"/>
      <c r="E837" s="45" t="n"/>
      <c r="F837" s="45" t="n"/>
      <c r="G837" s="45" t="n"/>
      <c r="H837" s="45" t="n"/>
      <c r="I837" s="46" t="n"/>
      <c r="J837" s="45" t="n"/>
      <c r="K837" s="205" t="n"/>
      <c r="L837" s="39" t="n"/>
      <c r="M837" s="40" t="n"/>
      <c r="N837" s="42" t="n"/>
      <c r="O837" s="42" t="n"/>
      <c r="P837" s="41" t="n"/>
      <c r="Q837" s="41" t="n"/>
    </row>
    <row r="838" ht="15.6" customHeight="1">
      <c r="A838" s="47" t="n"/>
      <c r="B838" s="48" t="n"/>
      <c r="C838" s="47" t="n"/>
      <c r="D838" s="45" t="n"/>
      <c r="E838" s="45" t="n"/>
      <c r="F838" s="45" t="n"/>
      <c r="G838" s="45" t="n"/>
      <c r="H838" s="45" t="n"/>
      <c r="I838" s="46" t="n"/>
      <c r="J838" s="45" t="n"/>
      <c r="K838" s="205" t="n"/>
      <c r="L838" s="39" t="n"/>
      <c r="M838" s="40" t="n"/>
      <c r="N838" s="42" t="n"/>
      <c r="O838" s="42" t="n"/>
      <c r="P838" s="41" t="n"/>
      <c r="Q838" s="41" t="n"/>
    </row>
    <row r="839" ht="15.6" customHeight="1">
      <c r="A839" s="47" t="n"/>
      <c r="B839" s="48" t="n"/>
      <c r="C839" s="47" t="n"/>
      <c r="D839" s="45" t="n"/>
      <c r="E839" s="45" t="n"/>
      <c r="F839" s="45" t="n"/>
      <c r="G839" s="45" t="n"/>
      <c r="H839" s="45" t="n"/>
      <c r="I839" s="46" t="n"/>
      <c r="J839" s="45" t="n"/>
      <c r="K839" s="205" t="n"/>
      <c r="L839" s="39" t="n"/>
      <c r="M839" s="40" t="n"/>
      <c r="N839" s="42" t="n"/>
      <c r="O839" s="42" t="n"/>
      <c r="P839" s="41" t="n"/>
      <c r="Q839" s="41" t="n"/>
    </row>
    <row r="840" ht="15.6" customHeight="1">
      <c r="A840" s="47" t="n"/>
      <c r="B840" s="48" t="n"/>
      <c r="C840" s="47" t="n"/>
      <c r="D840" s="45" t="n"/>
      <c r="E840" s="45" t="n"/>
      <c r="F840" s="45" t="n"/>
      <c r="G840" s="45" t="n"/>
      <c r="H840" s="45" t="n"/>
      <c r="I840" s="46" t="n"/>
      <c r="J840" s="45" t="n"/>
      <c r="K840" s="205" t="n"/>
      <c r="L840" s="39" t="n"/>
      <c r="M840" s="40" t="n"/>
      <c r="N840" s="42" t="n"/>
      <c r="O840" s="42" t="n"/>
      <c r="P840" s="41" t="n"/>
      <c r="Q840" s="41" t="n"/>
    </row>
    <row r="841" ht="15.6" customHeight="1">
      <c r="A841" s="47" t="n"/>
      <c r="B841" s="48" t="n"/>
      <c r="C841" s="47" t="n"/>
      <c r="D841" s="45" t="n"/>
      <c r="E841" s="45" t="n"/>
      <c r="F841" s="45" t="n"/>
      <c r="G841" s="45" t="n"/>
      <c r="H841" s="45" t="n"/>
      <c r="I841" s="46" t="n"/>
      <c r="J841" s="45" t="n"/>
      <c r="K841" s="205" t="n"/>
      <c r="L841" s="39" t="n"/>
      <c r="M841" s="40" t="n"/>
      <c r="N841" s="42" t="n"/>
      <c r="O841" s="42" t="n"/>
      <c r="P841" s="41" t="n"/>
      <c r="Q841" s="41" t="n"/>
    </row>
    <row r="842" ht="15.6" customHeight="1">
      <c r="A842" s="47" t="n"/>
      <c r="B842" s="48" t="n"/>
      <c r="C842" s="47" t="n"/>
      <c r="D842" s="45" t="n"/>
      <c r="E842" s="45" t="n"/>
      <c r="F842" s="45" t="n"/>
      <c r="G842" s="45" t="n"/>
      <c r="H842" s="45" t="n"/>
      <c r="I842" s="46" t="n"/>
      <c r="J842" s="45" t="n"/>
      <c r="K842" s="205" t="n"/>
      <c r="L842" s="39" t="n"/>
      <c r="M842" s="40" t="n"/>
      <c r="N842" s="42" t="n"/>
      <c r="O842" s="42" t="n"/>
      <c r="P842" s="41" t="n"/>
      <c r="Q842" s="41" t="n"/>
    </row>
    <row r="843" ht="15.6" customHeight="1">
      <c r="A843" s="47" t="n"/>
      <c r="B843" s="48" t="n"/>
      <c r="C843" s="47" t="n"/>
      <c r="D843" s="45" t="n"/>
      <c r="E843" s="45" t="n"/>
      <c r="F843" s="45" t="n"/>
      <c r="G843" s="45" t="n"/>
      <c r="H843" s="45" t="n"/>
      <c r="I843" s="46" t="n"/>
      <c r="J843" s="45" t="n"/>
      <c r="K843" s="205" t="n"/>
      <c r="L843" s="39" t="n"/>
      <c r="M843" s="40" t="n"/>
      <c r="N843" s="42" t="n"/>
      <c r="O843" s="42" t="n"/>
      <c r="P843" s="41" t="n"/>
      <c r="Q843" s="41" t="n"/>
    </row>
    <row r="844" ht="15.6" customHeight="1">
      <c r="A844" s="47" t="n"/>
      <c r="B844" s="48" t="n"/>
      <c r="C844" s="47" t="n"/>
      <c r="D844" s="45" t="n"/>
      <c r="E844" s="45" t="n"/>
      <c r="F844" s="45" t="n"/>
      <c r="G844" s="45" t="n"/>
      <c r="H844" s="45" t="n"/>
      <c r="I844" s="46" t="n"/>
      <c r="J844" s="45" t="n"/>
      <c r="K844" s="205" t="n"/>
      <c r="L844" s="39" t="n"/>
      <c r="M844" s="40" t="n"/>
      <c r="N844" s="42" t="n"/>
      <c r="O844" s="42" t="n"/>
      <c r="P844" s="41" t="n"/>
      <c r="Q844" s="41" t="n"/>
    </row>
    <row r="845" ht="15.6" customHeight="1">
      <c r="A845" s="47" t="n"/>
      <c r="B845" s="48" t="n"/>
      <c r="C845" s="47" t="n"/>
      <c r="D845" s="45" t="n"/>
      <c r="E845" s="45" t="n"/>
      <c r="F845" s="45" t="n"/>
      <c r="G845" s="45" t="n"/>
      <c r="H845" s="45" t="n"/>
      <c r="I845" s="46" t="n"/>
      <c r="J845" s="45" t="n"/>
      <c r="K845" s="205" t="n"/>
      <c r="L845" s="39" t="n"/>
      <c r="M845" s="40" t="n"/>
      <c r="N845" s="42" t="n"/>
      <c r="O845" s="42" t="n"/>
      <c r="P845" s="41" t="n"/>
      <c r="Q845" s="41" t="n"/>
    </row>
    <row r="846" ht="15.6" customHeight="1">
      <c r="A846" s="47" t="n"/>
      <c r="B846" s="48" t="n"/>
      <c r="C846" s="47" t="n"/>
      <c r="D846" s="45" t="n"/>
      <c r="E846" s="45" t="n"/>
      <c r="F846" s="45" t="n"/>
      <c r="G846" s="45" t="n"/>
      <c r="H846" s="45" t="n"/>
      <c r="I846" s="46" t="n"/>
      <c r="J846" s="45" t="n"/>
      <c r="K846" s="205" t="n"/>
      <c r="L846" s="39" t="n"/>
      <c r="M846" s="40" t="n"/>
      <c r="N846" s="42" t="n"/>
      <c r="O846" s="42" t="n"/>
      <c r="P846" s="41" t="n"/>
      <c r="Q846" s="41" t="n"/>
    </row>
    <row r="847" ht="15.6" customHeight="1">
      <c r="A847" s="47" t="n"/>
      <c r="B847" s="48" t="n"/>
      <c r="C847" s="47" t="n"/>
      <c r="D847" s="45" t="n"/>
      <c r="E847" s="45" t="n"/>
      <c r="F847" s="45" t="n"/>
      <c r="G847" s="45" t="n"/>
      <c r="H847" s="45" t="n"/>
      <c r="I847" s="46" t="n"/>
      <c r="J847" s="45" t="n"/>
      <c r="K847" s="205" t="n"/>
      <c r="L847" s="39" t="n"/>
      <c r="M847" s="40" t="n"/>
      <c r="N847" s="42" t="n"/>
      <c r="O847" s="42" t="n"/>
      <c r="P847" s="41" t="n"/>
      <c r="Q847" s="41" t="n"/>
    </row>
    <row r="848" ht="15.6" customHeight="1">
      <c r="A848" s="47" t="n"/>
      <c r="B848" s="48" t="n"/>
      <c r="C848" s="47" t="n"/>
      <c r="D848" s="45" t="n"/>
      <c r="E848" s="45" t="n"/>
      <c r="F848" s="45" t="n"/>
      <c r="G848" s="45" t="n"/>
      <c r="H848" s="45" t="n"/>
      <c r="I848" s="46" t="n"/>
      <c r="J848" s="45" t="n"/>
      <c r="K848" s="205" t="n"/>
      <c r="L848" s="39" t="n"/>
      <c r="M848" s="40" t="n"/>
      <c r="N848" s="42" t="n"/>
      <c r="O848" s="42" t="n"/>
      <c r="P848" s="41" t="n"/>
      <c r="Q848" s="41" t="n"/>
    </row>
    <row r="849" ht="15.6" customHeight="1">
      <c r="A849" s="47" t="n"/>
      <c r="B849" s="48" t="n"/>
      <c r="C849" s="47" t="n"/>
      <c r="D849" s="45" t="n"/>
      <c r="E849" s="45" t="n"/>
      <c r="F849" s="45" t="n"/>
      <c r="G849" s="45" t="n"/>
      <c r="H849" s="45" t="n"/>
      <c r="I849" s="46" t="n"/>
      <c r="J849" s="45" t="n"/>
      <c r="K849" s="205" t="n"/>
      <c r="L849" s="39" t="n"/>
      <c r="M849" s="40" t="n"/>
      <c r="N849" s="42" t="n"/>
      <c r="O849" s="42" t="n"/>
      <c r="P849" s="41" t="n"/>
      <c r="Q849" s="41" t="n"/>
    </row>
    <row r="850" ht="15.6" customHeight="1">
      <c r="A850" s="47" t="n"/>
      <c r="B850" s="48" t="n"/>
      <c r="C850" s="47" t="n"/>
      <c r="D850" s="45" t="n"/>
      <c r="E850" s="45" t="n"/>
      <c r="F850" s="45" t="n"/>
      <c r="G850" s="45" t="n"/>
      <c r="H850" s="45" t="n"/>
      <c r="I850" s="46" t="n"/>
      <c r="J850" s="45" t="n"/>
      <c r="K850" s="205" t="n"/>
      <c r="L850" s="39" t="n"/>
      <c r="M850" s="40" t="n"/>
      <c r="N850" s="42" t="n"/>
      <c r="O850" s="42" t="n"/>
      <c r="P850" s="41" t="n"/>
      <c r="Q850" s="41" t="n"/>
    </row>
    <row r="851" ht="15.6" customHeight="1">
      <c r="A851" s="47" t="n"/>
      <c r="B851" s="48" t="n"/>
      <c r="C851" s="47" t="n"/>
      <c r="D851" s="45" t="n"/>
      <c r="E851" s="45" t="n"/>
      <c r="F851" s="45" t="n"/>
      <c r="G851" s="45" t="n"/>
      <c r="H851" s="45" t="n"/>
      <c r="I851" s="46" t="n"/>
      <c r="J851" s="45" t="n"/>
      <c r="K851" s="205" t="n"/>
      <c r="L851" s="39" t="n"/>
      <c r="M851" s="40" t="n"/>
      <c r="N851" s="42" t="n"/>
      <c r="O851" s="42" t="n"/>
      <c r="P851" s="41" t="n"/>
      <c r="Q851" s="41" t="n"/>
    </row>
    <row r="852" ht="15.6" customHeight="1">
      <c r="A852" s="47" t="n"/>
      <c r="B852" s="48" t="n"/>
      <c r="C852" s="47" t="n"/>
      <c r="D852" s="45" t="n"/>
      <c r="E852" s="45" t="n"/>
      <c r="F852" s="45" t="n"/>
      <c r="G852" s="45" t="n"/>
      <c r="H852" s="45" t="n"/>
      <c r="I852" s="46" t="n"/>
      <c r="J852" s="45" t="n"/>
      <c r="K852" s="205" t="n"/>
      <c r="L852" s="39" t="n"/>
      <c r="M852" s="40" t="n"/>
      <c r="N852" s="42" t="n"/>
      <c r="O852" s="42" t="n"/>
      <c r="P852" s="41" t="n"/>
      <c r="Q852" s="41" t="n"/>
    </row>
    <row r="853" ht="15.6" customHeight="1">
      <c r="A853" s="47" t="n"/>
      <c r="B853" s="48" t="n"/>
      <c r="C853" s="47" t="n"/>
      <c r="D853" s="45" t="n"/>
      <c r="E853" s="45" t="n"/>
      <c r="F853" s="45" t="n"/>
      <c r="G853" s="45" t="n"/>
      <c r="H853" s="45" t="n"/>
      <c r="I853" s="46" t="n"/>
      <c r="J853" s="45" t="n"/>
      <c r="K853" s="205" t="n"/>
      <c r="L853" s="39" t="n"/>
      <c r="M853" s="40" t="n"/>
      <c r="N853" s="42" t="n"/>
      <c r="O853" s="42" t="n"/>
      <c r="P853" s="41" t="n"/>
      <c r="Q853" s="41" t="n"/>
    </row>
    <row r="854" ht="15.6" customHeight="1">
      <c r="A854" s="47" t="n"/>
      <c r="B854" s="48" t="n"/>
      <c r="C854" s="47" t="n"/>
      <c r="D854" s="45" t="n"/>
      <c r="E854" s="45" t="n"/>
      <c r="F854" s="45" t="n"/>
      <c r="G854" s="45" t="n"/>
      <c r="H854" s="45" t="n"/>
      <c r="I854" s="46" t="n"/>
      <c r="J854" s="45" t="n"/>
      <c r="K854" s="205" t="n"/>
      <c r="L854" s="39" t="n"/>
      <c r="M854" s="40" t="n"/>
      <c r="N854" s="42" t="n"/>
      <c r="O854" s="42" t="n"/>
      <c r="P854" s="41" t="n"/>
      <c r="Q854" s="41" t="n"/>
    </row>
    <row r="855" ht="15.6" customHeight="1">
      <c r="A855" s="47" t="n"/>
      <c r="B855" s="48" t="n"/>
      <c r="C855" s="47" t="n"/>
      <c r="D855" s="45" t="n"/>
      <c r="E855" s="45" t="n"/>
      <c r="F855" s="45" t="n"/>
      <c r="G855" s="45" t="n"/>
      <c r="H855" s="45" t="n"/>
      <c r="I855" s="46" t="n"/>
      <c r="J855" s="45" t="n"/>
      <c r="K855" s="205" t="n"/>
      <c r="L855" s="39" t="n"/>
      <c r="M855" s="40" t="n"/>
      <c r="N855" s="42" t="n"/>
      <c r="O855" s="42" t="n"/>
      <c r="P855" s="41" t="n"/>
      <c r="Q855" s="41" t="n"/>
    </row>
    <row r="856" ht="15.6" customHeight="1">
      <c r="A856" s="47" t="n"/>
      <c r="B856" s="48" t="n"/>
      <c r="C856" s="47" t="n"/>
      <c r="D856" s="45" t="n"/>
      <c r="E856" s="45" t="n"/>
      <c r="F856" s="45" t="n"/>
      <c r="G856" s="45" t="n"/>
      <c r="H856" s="45" t="n"/>
      <c r="I856" s="46" t="n"/>
      <c r="J856" s="45" t="n"/>
      <c r="K856" s="205" t="n"/>
      <c r="L856" s="39" t="n"/>
      <c r="M856" s="40" t="n"/>
      <c r="N856" s="42" t="n"/>
      <c r="O856" s="42" t="n"/>
      <c r="P856" s="41" t="n"/>
      <c r="Q856" s="41" t="n"/>
    </row>
    <row r="857" ht="15.6" customHeight="1">
      <c r="A857" s="47" t="n"/>
      <c r="B857" s="48" t="n"/>
      <c r="C857" s="47" t="n"/>
      <c r="D857" s="45" t="n"/>
      <c r="E857" s="45" t="n"/>
      <c r="F857" s="45" t="n"/>
      <c r="G857" s="45" t="n"/>
      <c r="H857" s="45" t="n"/>
      <c r="I857" s="46" t="n"/>
      <c r="J857" s="45" t="n"/>
      <c r="K857" s="205" t="n"/>
      <c r="L857" s="39" t="n"/>
      <c r="M857" s="40" t="n"/>
      <c r="N857" s="42" t="n"/>
      <c r="O857" s="42" t="n"/>
      <c r="P857" s="41" t="n"/>
      <c r="Q857" s="41" t="n"/>
    </row>
    <row r="858" ht="15.6" customHeight="1">
      <c r="A858" s="47" t="n"/>
      <c r="B858" s="48" t="n"/>
      <c r="C858" s="47" t="n"/>
      <c r="D858" s="45" t="n"/>
      <c r="E858" s="45" t="n"/>
      <c r="F858" s="45" t="n"/>
      <c r="G858" s="45" t="n"/>
      <c r="H858" s="45" t="n"/>
      <c r="I858" s="46" t="n"/>
      <c r="J858" s="45" t="n"/>
      <c r="K858" s="205" t="n"/>
      <c r="L858" s="39" t="n"/>
      <c r="M858" s="40" t="n"/>
      <c r="N858" s="42" t="n"/>
      <c r="O858" s="42" t="n"/>
      <c r="P858" s="41" t="n"/>
      <c r="Q858" s="41" t="n"/>
    </row>
    <row r="859" ht="15.6" customHeight="1">
      <c r="A859" s="47" t="n"/>
      <c r="B859" s="48" t="n"/>
      <c r="C859" s="47" t="n"/>
      <c r="D859" s="45" t="n"/>
      <c r="E859" s="45" t="n"/>
      <c r="F859" s="45" t="n"/>
      <c r="G859" s="45" t="n"/>
      <c r="H859" s="45" t="n"/>
      <c r="I859" s="46" t="n"/>
      <c r="J859" s="45" t="n"/>
      <c r="K859" s="205" t="n"/>
      <c r="L859" s="39" t="n"/>
      <c r="M859" s="40" t="n"/>
      <c r="N859" s="42" t="n"/>
      <c r="O859" s="42" t="n"/>
      <c r="P859" s="41" t="n"/>
      <c r="Q859" s="41" t="n"/>
    </row>
    <row r="860" ht="15.6" customHeight="1">
      <c r="A860" s="47" t="n"/>
      <c r="B860" s="48" t="n"/>
      <c r="C860" s="47" t="n"/>
      <c r="D860" s="45" t="n"/>
      <c r="E860" s="45" t="n"/>
      <c r="F860" s="45" t="n"/>
      <c r="G860" s="45" t="n"/>
      <c r="H860" s="45" t="n"/>
      <c r="I860" s="46" t="n"/>
      <c r="J860" s="45" t="n"/>
      <c r="K860" s="205" t="n"/>
      <c r="L860" s="39" t="n"/>
      <c r="M860" s="40" t="n"/>
      <c r="N860" s="42" t="n"/>
      <c r="O860" s="42" t="n"/>
      <c r="P860" s="41" t="n"/>
      <c r="Q860" s="41" t="n"/>
    </row>
    <row r="861" ht="15.6" customHeight="1">
      <c r="A861" s="47" t="n"/>
      <c r="B861" s="48" t="n"/>
      <c r="C861" s="47" t="n"/>
      <c r="D861" s="45" t="n"/>
      <c r="E861" s="45" t="n"/>
      <c r="F861" s="45" t="n"/>
      <c r="G861" s="45" t="n"/>
      <c r="H861" s="45" t="n"/>
      <c r="I861" s="46" t="n"/>
      <c r="J861" s="45" t="n"/>
      <c r="K861" s="205" t="n"/>
      <c r="L861" s="39" t="n"/>
      <c r="M861" s="40" t="n"/>
      <c r="N861" s="42" t="n"/>
      <c r="O861" s="42" t="n"/>
      <c r="P861" s="41" t="n"/>
      <c r="Q861" s="41" t="n"/>
    </row>
    <row r="862" ht="15.6" customHeight="1">
      <c r="A862" s="47" t="n"/>
      <c r="B862" s="48" t="n"/>
      <c r="C862" s="47" t="n"/>
      <c r="D862" s="45" t="n"/>
      <c r="E862" s="45" t="n"/>
      <c r="F862" s="45" t="n"/>
      <c r="G862" s="45" t="n"/>
      <c r="H862" s="45" t="n"/>
      <c r="I862" s="46" t="n"/>
      <c r="J862" s="45" t="n"/>
      <c r="K862" s="205" t="n"/>
      <c r="L862" s="39" t="n"/>
      <c r="M862" s="40" t="n"/>
      <c r="N862" s="42" t="n"/>
      <c r="O862" s="42" t="n"/>
      <c r="P862" s="41" t="n"/>
      <c r="Q862" s="41" t="n"/>
    </row>
    <row r="863" ht="15.6" customHeight="1">
      <c r="A863" s="47" t="n"/>
      <c r="B863" s="48" t="n"/>
      <c r="C863" s="47" t="n"/>
      <c r="D863" s="45" t="n"/>
      <c r="E863" s="45" t="n"/>
      <c r="F863" s="45" t="n"/>
      <c r="G863" s="45" t="n"/>
      <c r="H863" s="45" t="n"/>
      <c r="I863" s="46" t="n"/>
      <c r="J863" s="45" t="n"/>
      <c r="K863" s="205" t="n"/>
      <c r="L863" s="39" t="n"/>
      <c r="M863" s="40" t="n"/>
      <c r="N863" s="42" t="n"/>
      <c r="O863" s="42" t="n"/>
      <c r="P863" s="41" t="n"/>
      <c r="Q863" s="41" t="n"/>
    </row>
    <row r="864" ht="15.6" customHeight="1">
      <c r="A864" s="47" t="n"/>
      <c r="B864" s="48" t="n"/>
      <c r="C864" s="47" t="n"/>
      <c r="D864" s="45" t="n"/>
      <c r="E864" s="45" t="n"/>
      <c r="F864" s="45" t="n"/>
      <c r="G864" s="45" t="n"/>
      <c r="H864" s="45" t="n"/>
      <c r="I864" s="46" t="n"/>
      <c r="J864" s="45" t="n"/>
      <c r="K864" s="205" t="n"/>
      <c r="L864" s="39" t="n"/>
      <c r="M864" s="40" t="n"/>
      <c r="N864" s="42" t="n"/>
      <c r="O864" s="42" t="n"/>
      <c r="P864" s="41" t="n"/>
      <c r="Q864" s="41" t="n"/>
    </row>
    <row r="865" ht="15.6" customHeight="1">
      <c r="A865" s="47" t="n"/>
      <c r="B865" s="48" t="n"/>
      <c r="C865" s="47" t="n"/>
      <c r="D865" s="45" t="n"/>
      <c r="E865" s="45" t="n"/>
      <c r="F865" s="45" t="n"/>
      <c r="G865" s="45" t="n"/>
      <c r="H865" s="45" t="n"/>
      <c r="I865" s="46" t="n"/>
      <c r="J865" s="45" t="n"/>
      <c r="K865" s="205" t="n"/>
      <c r="L865" s="39" t="n"/>
      <c r="M865" s="40" t="n"/>
      <c r="N865" s="42" t="n"/>
      <c r="O865" s="42" t="n"/>
      <c r="P865" s="41" t="n"/>
      <c r="Q865" s="41" t="n"/>
    </row>
    <row r="866" ht="15.6" customHeight="1">
      <c r="A866" s="47" t="n"/>
      <c r="B866" s="48" t="n"/>
      <c r="C866" s="47" t="n"/>
      <c r="D866" s="45" t="n"/>
      <c r="E866" s="45" t="n"/>
      <c r="F866" s="45" t="n"/>
      <c r="G866" s="45" t="n"/>
      <c r="H866" s="45" t="n"/>
      <c r="I866" s="46" t="n"/>
      <c r="J866" s="45" t="n"/>
      <c r="K866" s="205" t="n"/>
      <c r="L866" s="39" t="n"/>
      <c r="M866" s="40" t="n"/>
      <c r="N866" s="42" t="n"/>
      <c r="O866" s="42" t="n"/>
      <c r="P866" s="41" t="n"/>
      <c r="Q866" s="41" t="n"/>
    </row>
    <row r="867" ht="15.6" customHeight="1">
      <c r="A867" s="47" t="n"/>
      <c r="B867" s="48" t="n"/>
      <c r="C867" s="47" t="n"/>
      <c r="D867" s="45" t="n"/>
      <c r="E867" s="45" t="n"/>
      <c r="F867" s="45" t="n"/>
      <c r="G867" s="45" t="n"/>
      <c r="H867" s="45" t="n"/>
      <c r="I867" s="46" t="n"/>
      <c r="J867" s="45" t="n"/>
      <c r="K867" s="205" t="n"/>
      <c r="L867" s="39" t="n"/>
      <c r="M867" s="40" t="n"/>
      <c r="N867" s="42" t="n"/>
      <c r="O867" s="42" t="n"/>
      <c r="P867" s="41" t="n"/>
      <c r="Q867" s="41" t="n"/>
    </row>
    <row r="868" ht="15.6" customHeight="1">
      <c r="A868" s="47" t="n"/>
      <c r="B868" s="48" t="n"/>
      <c r="C868" s="47" t="n"/>
      <c r="D868" s="45" t="n"/>
      <c r="E868" s="45" t="n"/>
      <c r="F868" s="45" t="n"/>
      <c r="G868" s="45" t="n"/>
      <c r="H868" s="45" t="n"/>
      <c r="I868" s="46" t="n"/>
      <c r="J868" s="45" t="n"/>
      <c r="K868" s="205" t="n"/>
      <c r="L868" s="39" t="n"/>
      <c r="M868" s="40" t="n"/>
      <c r="N868" s="42" t="n"/>
      <c r="O868" s="42" t="n"/>
      <c r="P868" s="41" t="n"/>
      <c r="Q868" s="41" t="n"/>
    </row>
    <row r="869" ht="15.6" customHeight="1">
      <c r="A869" s="47" t="n"/>
      <c r="B869" s="48" t="n"/>
      <c r="C869" s="47" t="n"/>
      <c r="D869" s="45" t="n"/>
      <c r="E869" s="45" t="n"/>
      <c r="F869" s="45" t="n"/>
      <c r="G869" s="45" t="n"/>
      <c r="H869" s="45" t="n"/>
      <c r="I869" s="46" t="n"/>
      <c r="J869" s="45" t="n"/>
      <c r="K869" s="205" t="n"/>
      <c r="L869" s="39" t="n"/>
      <c r="M869" s="40" t="n"/>
      <c r="N869" s="42" t="n"/>
      <c r="O869" s="42" t="n"/>
      <c r="P869" s="41" t="n"/>
      <c r="Q869" s="41" t="n"/>
    </row>
    <row r="870" ht="15.6" customHeight="1">
      <c r="A870" s="47" t="n"/>
      <c r="B870" s="48" t="n"/>
      <c r="C870" s="47" t="n"/>
      <c r="D870" s="45" t="n"/>
      <c r="E870" s="45" t="n"/>
      <c r="F870" s="45" t="n"/>
      <c r="G870" s="45" t="n"/>
      <c r="H870" s="45" t="n"/>
      <c r="I870" s="46" t="n"/>
      <c r="J870" s="45" t="n"/>
      <c r="K870" s="205" t="n"/>
      <c r="L870" s="39" t="n"/>
      <c r="M870" s="40" t="n"/>
      <c r="N870" s="42" t="n"/>
      <c r="O870" s="42" t="n"/>
      <c r="P870" s="41" t="n"/>
      <c r="Q870" s="41" t="n"/>
    </row>
    <row r="871" ht="15.6" customHeight="1">
      <c r="A871" s="47" t="n"/>
      <c r="B871" s="48" t="n"/>
      <c r="C871" s="47" t="n"/>
      <c r="D871" s="45" t="n"/>
      <c r="E871" s="45" t="n"/>
      <c r="F871" s="45" t="n"/>
      <c r="G871" s="45" t="n"/>
      <c r="H871" s="45" t="n"/>
      <c r="I871" s="46" t="n"/>
      <c r="J871" s="45" t="n"/>
      <c r="K871" s="205" t="n"/>
      <c r="L871" s="39" t="n"/>
      <c r="M871" s="40" t="n"/>
      <c r="N871" s="42" t="n"/>
      <c r="O871" s="42" t="n"/>
      <c r="P871" s="41" t="n"/>
      <c r="Q871" s="41" t="n"/>
    </row>
    <row r="872" ht="15.6" customHeight="1">
      <c r="A872" s="47" t="n"/>
      <c r="B872" s="48" t="n"/>
      <c r="C872" s="47" t="n"/>
      <c r="D872" s="45" t="n"/>
      <c r="E872" s="45" t="n"/>
      <c r="F872" s="45" t="n"/>
      <c r="G872" s="45" t="n"/>
      <c r="H872" s="45" t="n"/>
      <c r="I872" s="46" t="n"/>
      <c r="J872" s="45" t="n"/>
      <c r="K872" s="205" t="n"/>
      <c r="L872" s="39" t="n"/>
      <c r="M872" s="40" t="n"/>
      <c r="N872" s="42" t="n"/>
      <c r="O872" s="42" t="n"/>
      <c r="P872" s="41" t="n"/>
      <c r="Q872" s="41" t="n"/>
    </row>
    <row r="873" ht="15.6" customHeight="1">
      <c r="A873" s="47" t="n"/>
      <c r="B873" s="48" t="n"/>
      <c r="C873" s="47" t="n"/>
      <c r="D873" s="45" t="n"/>
      <c r="E873" s="45" t="n"/>
      <c r="F873" s="45" t="n"/>
      <c r="G873" s="45" t="n"/>
      <c r="H873" s="45" t="n"/>
      <c r="I873" s="46" t="n"/>
      <c r="J873" s="45" t="n"/>
      <c r="K873" s="205" t="n"/>
      <c r="L873" s="39" t="n"/>
      <c r="M873" s="40" t="n"/>
      <c r="N873" s="42" t="n"/>
      <c r="O873" s="42" t="n"/>
      <c r="P873" s="41" t="n"/>
      <c r="Q873" s="41" t="n"/>
    </row>
    <row r="874" ht="15.6" customHeight="1">
      <c r="A874" s="47" t="n"/>
      <c r="B874" s="48" t="n"/>
      <c r="C874" s="47" t="n"/>
      <c r="D874" s="45" t="n"/>
      <c r="E874" s="45" t="n"/>
      <c r="F874" s="45" t="n"/>
      <c r="G874" s="45" t="n"/>
      <c r="H874" s="45" t="n"/>
      <c r="I874" s="46" t="n"/>
      <c r="J874" s="45" t="n"/>
      <c r="K874" s="205" t="n"/>
      <c r="L874" s="39" t="n"/>
      <c r="M874" s="40" t="n"/>
      <c r="N874" s="42" t="n"/>
      <c r="O874" s="42" t="n"/>
      <c r="P874" s="41" t="n"/>
      <c r="Q874" s="41" t="n"/>
    </row>
    <row r="875" ht="15.6" customHeight="1">
      <c r="A875" s="47" t="n"/>
      <c r="B875" s="48" t="n"/>
      <c r="C875" s="47" t="n"/>
      <c r="D875" s="45" t="n"/>
      <c r="E875" s="45" t="n"/>
      <c r="F875" s="45" t="n"/>
      <c r="G875" s="45" t="n"/>
      <c r="H875" s="45" t="n"/>
      <c r="I875" s="46" t="n"/>
      <c r="J875" s="45" t="n"/>
      <c r="K875" s="205" t="n"/>
      <c r="L875" s="39" t="n"/>
      <c r="M875" s="40" t="n"/>
      <c r="N875" s="42" t="n"/>
      <c r="O875" s="42" t="n"/>
      <c r="P875" s="41" t="n"/>
      <c r="Q875" s="41" t="n"/>
    </row>
    <row r="876" ht="15.6" customHeight="1">
      <c r="A876" s="47" t="n"/>
      <c r="B876" s="48" t="n"/>
      <c r="C876" s="47" t="n"/>
      <c r="D876" s="45" t="n"/>
      <c r="E876" s="45" t="n"/>
      <c r="F876" s="45" t="n"/>
      <c r="G876" s="45" t="n"/>
      <c r="H876" s="45" t="n"/>
      <c r="I876" s="46" t="n"/>
      <c r="J876" s="45" t="n"/>
      <c r="K876" s="205" t="n"/>
      <c r="L876" s="39" t="n"/>
      <c r="M876" s="40" t="n"/>
      <c r="N876" s="42" t="n"/>
      <c r="O876" s="42" t="n"/>
      <c r="P876" s="41" t="n"/>
      <c r="Q876" s="41" t="n"/>
    </row>
    <row r="877" ht="15.6" customHeight="1">
      <c r="A877" s="47" t="n"/>
      <c r="B877" s="48" t="n"/>
      <c r="C877" s="47" t="n"/>
      <c r="D877" s="45" t="n"/>
      <c r="E877" s="45" t="n"/>
      <c r="F877" s="45" t="n"/>
      <c r="G877" s="45" t="n"/>
      <c r="H877" s="45" t="n"/>
      <c r="I877" s="46" t="n"/>
      <c r="J877" s="45" t="n"/>
      <c r="K877" s="205" t="n"/>
      <c r="L877" s="39" t="n"/>
      <c r="M877" s="40" t="n"/>
      <c r="N877" s="42" t="n"/>
      <c r="O877" s="42" t="n"/>
      <c r="P877" s="41" t="n"/>
      <c r="Q877" s="41" t="n"/>
    </row>
    <row r="878" ht="15.6" customHeight="1">
      <c r="A878" s="47" t="n"/>
      <c r="B878" s="48" t="n"/>
      <c r="C878" s="47" t="n"/>
      <c r="D878" s="45" t="n"/>
      <c r="E878" s="45" t="n"/>
      <c r="F878" s="45" t="n"/>
      <c r="G878" s="45" t="n"/>
      <c r="H878" s="45" t="n"/>
      <c r="I878" s="46" t="n"/>
      <c r="J878" s="45" t="n"/>
      <c r="K878" s="205" t="n"/>
      <c r="L878" s="39" t="n"/>
      <c r="M878" s="40" t="n"/>
      <c r="N878" s="42" t="n"/>
      <c r="O878" s="42" t="n"/>
      <c r="P878" s="41" t="n"/>
      <c r="Q878" s="41" t="n"/>
    </row>
    <row r="879" ht="15.6" customHeight="1">
      <c r="A879" s="47" t="n"/>
      <c r="B879" s="48" t="n"/>
      <c r="C879" s="47" t="n"/>
      <c r="D879" s="45" t="n"/>
      <c r="E879" s="45" t="n"/>
      <c r="F879" s="45" t="n"/>
      <c r="G879" s="45" t="n"/>
      <c r="H879" s="45" t="n"/>
      <c r="I879" s="46" t="n"/>
      <c r="J879" s="45" t="n"/>
      <c r="K879" s="205" t="n"/>
      <c r="L879" s="39" t="n"/>
      <c r="M879" s="40" t="n"/>
      <c r="N879" s="42" t="n"/>
      <c r="O879" s="42" t="n"/>
      <c r="P879" s="41" t="n"/>
      <c r="Q879" s="41" t="n"/>
    </row>
    <row r="880" ht="15.6" customHeight="1">
      <c r="A880" s="47" t="n"/>
      <c r="B880" s="48" t="n"/>
      <c r="C880" s="47" t="n"/>
      <c r="D880" s="45" t="n"/>
      <c r="E880" s="45" t="n"/>
      <c r="F880" s="45" t="n"/>
      <c r="G880" s="45" t="n"/>
      <c r="H880" s="45" t="n"/>
      <c r="I880" s="46" t="n"/>
      <c r="J880" s="45" t="n"/>
      <c r="K880" s="205" t="n"/>
      <c r="L880" s="39" t="n"/>
      <c r="M880" s="40" t="n"/>
      <c r="N880" s="42" t="n"/>
      <c r="O880" s="42" t="n"/>
      <c r="P880" s="41" t="n"/>
      <c r="Q880" s="41" t="n"/>
    </row>
    <row r="881" ht="15.6" customHeight="1">
      <c r="A881" s="47" t="n"/>
      <c r="B881" s="48" t="n"/>
      <c r="C881" s="47" t="n"/>
      <c r="D881" s="45" t="n"/>
      <c r="E881" s="45" t="n"/>
      <c r="F881" s="45" t="n"/>
      <c r="G881" s="45" t="n"/>
      <c r="H881" s="45" t="n"/>
      <c r="I881" s="46" t="n"/>
      <c r="J881" s="45" t="n"/>
      <c r="K881" s="205" t="n"/>
      <c r="L881" s="39" t="n"/>
      <c r="M881" s="40" t="n"/>
      <c r="N881" s="42" t="n"/>
      <c r="O881" s="42" t="n"/>
      <c r="P881" s="41" t="n"/>
      <c r="Q881" s="41" t="n"/>
    </row>
    <row r="882" ht="15.6" customHeight="1">
      <c r="A882" s="47" t="n"/>
      <c r="B882" s="48" t="n"/>
      <c r="C882" s="47" t="n"/>
      <c r="D882" s="45" t="n"/>
      <c r="E882" s="45" t="n"/>
      <c r="F882" s="45" t="n"/>
      <c r="G882" s="45" t="n"/>
      <c r="H882" s="45" t="n"/>
      <c r="I882" s="46" t="n"/>
      <c r="J882" s="45" t="n"/>
      <c r="K882" s="205" t="n"/>
      <c r="L882" s="39" t="n"/>
      <c r="M882" s="40" t="n"/>
      <c r="N882" s="42" t="n"/>
      <c r="O882" s="42" t="n"/>
      <c r="P882" s="41" t="n"/>
      <c r="Q882" s="41" t="n"/>
    </row>
    <row r="883" ht="15.6" customHeight="1">
      <c r="A883" s="47" t="n"/>
      <c r="B883" s="48" t="n"/>
      <c r="C883" s="47" t="n"/>
      <c r="D883" s="45" t="n"/>
      <c r="E883" s="45" t="n"/>
      <c r="F883" s="45" t="n"/>
      <c r="G883" s="45" t="n"/>
      <c r="H883" s="45" t="n"/>
      <c r="I883" s="46" t="n"/>
      <c r="J883" s="45" t="n"/>
      <c r="K883" s="205" t="n"/>
      <c r="L883" s="39" t="n"/>
      <c r="M883" s="40" t="n"/>
      <c r="N883" s="42" t="n"/>
      <c r="O883" s="42" t="n"/>
      <c r="P883" s="41" t="n"/>
      <c r="Q883" s="41" t="n"/>
    </row>
    <row r="884" ht="15.6" customHeight="1">
      <c r="A884" s="47" t="n"/>
      <c r="B884" s="48" t="n"/>
      <c r="C884" s="47" t="n"/>
      <c r="D884" s="45" t="n"/>
      <c r="E884" s="45" t="n"/>
      <c r="F884" s="45" t="n"/>
      <c r="G884" s="45" t="n"/>
      <c r="H884" s="45" t="n"/>
      <c r="I884" s="46" t="n"/>
      <c r="J884" s="45" t="n"/>
      <c r="K884" s="205" t="n"/>
      <c r="L884" s="39" t="n"/>
      <c r="M884" s="40" t="n"/>
      <c r="N884" s="42" t="n"/>
      <c r="O884" s="42" t="n"/>
      <c r="P884" s="41" t="n"/>
      <c r="Q884" s="41" t="n"/>
    </row>
    <row r="885" ht="15.6" customHeight="1">
      <c r="A885" s="47" t="n"/>
      <c r="B885" s="48" t="n"/>
      <c r="C885" s="47" t="n"/>
      <c r="D885" s="45" t="n"/>
      <c r="E885" s="45" t="n"/>
      <c r="F885" s="45" t="n"/>
      <c r="G885" s="45" t="n"/>
      <c r="H885" s="45" t="n"/>
      <c r="I885" s="46" t="n"/>
      <c r="J885" s="45" t="n"/>
      <c r="K885" s="205" t="n"/>
      <c r="L885" s="39" t="n"/>
      <c r="M885" s="40" t="n"/>
      <c r="N885" s="42" t="n"/>
      <c r="O885" s="42" t="n"/>
      <c r="P885" s="41" t="n"/>
      <c r="Q885" s="41" t="n"/>
    </row>
    <row r="886" ht="15.6" customHeight="1">
      <c r="A886" s="47" t="n"/>
      <c r="B886" s="48" t="n"/>
      <c r="C886" s="47" t="n"/>
      <c r="D886" s="45" t="n"/>
      <c r="E886" s="45" t="n"/>
      <c r="F886" s="45" t="n"/>
      <c r="G886" s="45" t="n"/>
      <c r="H886" s="45" t="n"/>
      <c r="I886" s="46" t="n"/>
      <c r="J886" s="45" t="n"/>
      <c r="K886" s="205" t="n"/>
      <c r="L886" s="39" t="n"/>
      <c r="M886" s="40" t="n"/>
      <c r="N886" s="42" t="n"/>
      <c r="O886" s="42" t="n"/>
      <c r="P886" s="41" t="n"/>
      <c r="Q886" s="41" t="n"/>
    </row>
    <row r="887" ht="15.6" customHeight="1">
      <c r="A887" s="47" t="n"/>
      <c r="B887" s="48" t="n"/>
      <c r="C887" s="47" t="n"/>
      <c r="D887" s="45" t="n"/>
      <c r="E887" s="45" t="n"/>
      <c r="F887" s="45" t="n"/>
      <c r="G887" s="45" t="n"/>
      <c r="H887" s="45" t="n"/>
      <c r="I887" s="46" t="n"/>
      <c r="J887" s="45" t="n"/>
      <c r="K887" s="205" t="n"/>
      <c r="L887" s="39" t="n"/>
      <c r="M887" s="40" t="n"/>
      <c r="N887" s="42" t="n"/>
      <c r="O887" s="42" t="n"/>
      <c r="P887" s="41" t="n"/>
      <c r="Q887" s="41" t="n"/>
    </row>
    <row r="888" ht="15.6" customHeight="1">
      <c r="A888" s="47" t="n"/>
      <c r="B888" s="48" t="n"/>
      <c r="C888" s="47" t="n"/>
      <c r="D888" s="45" t="n"/>
      <c r="E888" s="45" t="n"/>
      <c r="F888" s="45" t="n"/>
      <c r="G888" s="45" t="n"/>
      <c r="H888" s="45" t="n"/>
      <c r="I888" s="46" t="n"/>
      <c r="J888" s="45" t="n"/>
      <c r="K888" s="205" t="n"/>
      <c r="L888" s="39" t="n"/>
      <c r="M888" s="40" t="n"/>
      <c r="N888" s="42" t="n"/>
      <c r="O888" s="42" t="n"/>
      <c r="P888" s="41" t="n"/>
      <c r="Q888" s="41" t="n"/>
    </row>
    <row r="889" ht="15.6" customHeight="1">
      <c r="A889" s="47" t="n"/>
      <c r="B889" s="48" t="n"/>
      <c r="C889" s="47" t="n"/>
      <c r="D889" s="45" t="n"/>
      <c r="E889" s="45" t="n"/>
      <c r="F889" s="45" t="n"/>
      <c r="G889" s="45" t="n"/>
      <c r="H889" s="45" t="n"/>
      <c r="I889" s="46" t="n"/>
      <c r="J889" s="45" t="n"/>
      <c r="K889" s="205" t="n"/>
      <c r="L889" s="39" t="n"/>
      <c r="M889" s="40" t="n"/>
      <c r="N889" s="42" t="n"/>
      <c r="O889" s="42" t="n"/>
      <c r="P889" s="41" t="n"/>
      <c r="Q889" s="41" t="n"/>
    </row>
    <row r="890" ht="15.6" customHeight="1">
      <c r="A890" s="47" t="n"/>
      <c r="B890" s="48" t="n"/>
      <c r="C890" s="47" t="n"/>
      <c r="D890" s="45" t="n"/>
      <c r="E890" s="45" t="n"/>
      <c r="F890" s="45" t="n"/>
      <c r="G890" s="45" t="n"/>
      <c r="H890" s="45" t="n"/>
      <c r="I890" s="46" t="n"/>
      <c r="J890" s="45" t="n"/>
      <c r="K890" s="205" t="n"/>
      <c r="L890" s="39" t="n"/>
      <c r="M890" s="40" t="n"/>
      <c r="N890" s="42" t="n"/>
      <c r="O890" s="42" t="n"/>
      <c r="P890" s="41" t="n"/>
      <c r="Q890" s="41" t="n"/>
    </row>
    <row r="891" ht="15.6" customHeight="1">
      <c r="A891" s="47" t="n"/>
      <c r="B891" s="48" t="n"/>
      <c r="C891" s="47" t="n"/>
      <c r="D891" s="45" t="n"/>
      <c r="E891" s="45" t="n"/>
      <c r="F891" s="45" t="n"/>
      <c r="G891" s="45" t="n"/>
      <c r="H891" s="45" t="n"/>
      <c r="I891" s="46" t="n"/>
      <c r="J891" s="45" t="n"/>
      <c r="K891" s="205" t="n"/>
      <c r="L891" s="39" t="n"/>
      <c r="M891" s="40" t="n"/>
      <c r="N891" s="42" t="n"/>
      <c r="O891" s="42" t="n"/>
      <c r="P891" s="41" t="n"/>
      <c r="Q891" s="41" t="n"/>
    </row>
    <row r="892" ht="15.6" customHeight="1">
      <c r="A892" s="47" t="n"/>
      <c r="B892" s="48" t="n"/>
      <c r="C892" s="47" t="n"/>
      <c r="D892" s="45" t="n"/>
      <c r="E892" s="45" t="n"/>
      <c r="F892" s="45" t="n"/>
      <c r="G892" s="45" t="n"/>
      <c r="H892" s="45" t="n"/>
      <c r="I892" s="46" t="n"/>
      <c r="J892" s="45" t="n"/>
      <c r="K892" s="205" t="n"/>
      <c r="L892" s="39" t="n"/>
      <c r="M892" s="40" t="n"/>
      <c r="N892" s="42" t="n"/>
      <c r="O892" s="42" t="n"/>
      <c r="P892" s="41" t="n"/>
      <c r="Q892" s="41" t="n"/>
    </row>
    <row r="893" ht="15.6" customHeight="1">
      <c r="A893" s="47" t="n"/>
      <c r="B893" s="48" t="n"/>
      <c r="C893" s="47" t="n"/>
      <c r="D893" s="45" t="n"/>
      <c r="E893" s="45" t="n"/>
      <c r="F893" s="45" t="n"/>
      <c r="G893" s="45" t="n"/>
      <c r="H893" s="45" t="n"/>
      <c r="I893" s="46" t="n"/>
      <c r="J893" s="45" t="n"/>
      <c r="K893" s="205" t="n"/>
      <c r="L893" s="39" t="n"/>
      <c r="M893" s="40" t="n"/>
      <c r="N893" s="42" t="n"/>
      <c r="O893" s="42" t="n"/>
      <c r="P893" s="41" t="n"/>
      <c r="Q893" s="41" t="n"/>
    </row>
    <row r="894" ht="15.6" customHeight="1">
      <c r="A894" s="47" t="n"/>
      <c r="B894" s="48" t="n"/>
      <c r="C894" s="47" t="n"/>
      <c r="D894" s="45" t="n"/>
      <c r="E894" s="45" t="n"/>
      <c r="F894" s="45" t="n"/>
      <c r="G894" s="45" t="n"/>
      <c r="H894" s="45" t="n"/>
      <c r="I894" s="46" t="n"/>
      <c r="J894" s="45" t="n"/>
      <c r="K894" s="205" t="n"/>
      <c r="L894" s="39" t="n"/>
      <c r="M894" s="40" t="n"/>
      <c r="N894" s="42" t="n"/>
      <c r="O894" s="42" t="n"/>
      <c r="P894" s="41" t="n"/>
      <c r="Q894" s="41" t="n"/>
    </row>
    <row r="895" ht="15.6" customHeight="1">
      <c r="A895" s="47" t="n"/>
      <c r="B895" s="48" t="n"/>
      <c r="C895" s="47" t="n"/>
      <c r="D895" s="45" t="n"/>
      <c r="E895" s="45" t="n"/>
      <c r="F895" s="45" t="n"/>
      <c r="G895" s="45" t="n"/>
      <c r="H895" s="45" t="n"/>
      <c r="I895" s="46" t="n"/>
      <c r="J895" s="45" t="n"/>
      <c r="K895" s="205" t="n"/>
      <c r="L895" s="39" t="n"/>
      <c r="M895" s="40" t="n"/>
      <c r="N895" s="42" t="n"/>
      <c r="O895" s="42" t="n"/>
      <c r="P895" s="41" t="n"/>
      <c r="Q895" s="41" t="n"/>
    </row>
    <row r="896" ht="15.6" customHeight="1">
      <c r="A896" s="47" t="n"/>
      <c r="B896" s="48" t="n"/>
      <c r="C896" s="47" t="n"/>
      <c r="D896" s="45" t="n"/>
      <c r="E896" s="45" t="n"/>
      <c r="F896" s="45" t="n"/>
      <c r="G896" s="45" t="n"/>
      <c r="H896" s="45" t="n"/>
      <c r="I896" s="46" t="n"/>
      <c r="J896" s="45" t="n"/>
      <c r="K896" s="205" t="n"/>
      <c r="L896" s="39" t="n"/>
      <c r="M896" s="40" t="n"/>
      <c r="N896" s="42" t="n"/>
      <c r="O896" s="42" t="n"/>
      <c r="P896" s="41" t="n"/>
      <c r="Q896" s="41" t="n"/>
    </row>
    <row r="897" ht="15.6" customHeight="1">
      <c r="A897" s="47" t="n"/>
      <c r="B897" s="48" t="n"/>
      <c r="C897" s="47" t="n"/>
      <c r="D897" s="45" t="n"/>
      <c r="E897" s="45" t="n"/>
      <c r="F897" s="45" t="n"/>
      <c r="G897" s="45" t="n"/>
      <c r="H897" s="45" t="n"/>
      <c r="I897" s="46" t="n"/>
      <c r="J897" s="45" t="n"/>
      <c r="K897" s="205" t="n"/>
      <c r="L897" s="39" t="n"/>
      <c r="M897" s="40" t="n"/>
      <c r="N897" s="42" t="n"/>
      <c r="O897" s="42" t="n"/>
      <c r="P897" s="41" t="n"/>
      <c r="Q897" s="41" t="n"/>
    </row>
    <row r="898" ht="15.6" customHeight="1">
      <c r="A898" s="47" t="n"/>
      <c r="B898" s="48" t="n"/>
      <c r="C898" s="47" t="n"/>
      <c r="D898" s="45" t="n"/>
      <c r="E898" s="45" t="n"/>
      <c r="F898" s="45" t="n"/>
      <c r="G898" s="45" t="n"/>
      <c r="H898" s="45" t="n"/>
      <c r="I898" s="46" t="n"/>
      <c r="J898" s="45" t="n"/>
      <c r="K898" s="205" t="n"/>
      <c r="L898" s="39" t="n"/>
      <c r="M898" s="40" t="n"/>
      <c r="N898" s="42" t="n"/>
      <c r="O898" s="42" t="n"/>
      <c r="P898" s="41" t="n"/>
      <c r="Q898" s="41" t="n"/>
    </row>
    <row r="899" ht="15.6" customHeight="1">
      <c r="A899" s="47" t="n"/>
      <c r="B899" s="48" t="n"/>
      <c r="C899" s="47" t="n"/>
      <c r="D899" s="45" t="n"/>
      <c r="E899" s="45" t="n"/>
      <c r="F899" s="45" t="n"/>
      <c r="G899" s="45" t="n"/>
      <c r="H899" s="45" t="n"/>
      <c r="I899" s="46" t="n"/>
      <c r="J899" s="45" t="n"/>
      <c r="K899" s="205" t="n"/>
      <c r="L899" s="39" t="n"/>
      <c r="M899" s="40" t="n"/>
      <c r="N899" s="42" t="n"/>
      <c r="O899" s="42" t="n"/>
      <c r="P899" s="41" t="n"/>
      <c r="Q899" s="41" t="n"/>
    </row>
    <row r="900" ht="15.6" customHeight="1">
      <c r="A900" s="47" t="n"/>
      <c r="B900" s="48" t="n"/>
      <c r="C900" s="47" t="n"/>
      <c r="D900" s="45" t="n"/>
      <c r="E900" s="45" t="n"/>
      <c r="F900" s="45" t="n"/>
      <c r="G900" s="45" t="n"/>
      <c r="H900" s="45" t="n"/>
      <c r="I900" s="46" t="n"/>
      <c r="J900" s="45" t="n"/>
      <c r="K900" s="205" t="n"/>
      <c r="L900" s="39" t="n"/>
      <c r="M900" s="40" t="n"/>
      <c r="N900" s="42" t="n"/>
      <c r="O900" s="42" t="n"/>
      <c r="P900" s="41" t="n"/>
      <c r="Q900" s="41" t="n"/>
    </row>
    <row r="901" ht="15.6" customHeight="1">
      <c r="A901" s="47" t="n"/>
      <c r="B901" s="48" t="n"/>
      <c r="C901" s="47" t="n"/>
      <c r="D901" s="45" t="n"/>
      <c r="E901" s="45" t="n"/>
      <c r="F901" s="45" t="n"/>
      <c r="G901" s="45" t="n"/>
      <c r="H901" s="45" t="n"/>
      <c r="I901" s="46" t="n"/>
      <c r="J901" s="45" t="n"/>
      <c r="K901" s="205" t="n"/>
      <c r="L901" s="39" t="n"/>
      <c r="M901" s="40" t="n"/>
      <c r="N901" s="42" t="n"/>
      <c r="O901" s="42" t="n"/>
      <c r="P901" s="41" t="n"/>
      <c r="Q901" s="41" t="n"/>
    </row>
    <row r="902" ht="15.6" customHeight="1">
      <c r="A902" s="47" t="n"/>
      <c r="B902" s="48" t="n"/>
      <c r="C902" s="47" t="n"/>
      <c r="D902" s="45" t="n"/>
      <c r="E902" s="45" t="n"/>
      <c r="F902" s="45" t="n"/>
      <c r="G902" s="45" t="n"/>
      <c r="H902" s="45" t="n"/>
      <c r="I902" s="46" t="n"/>
      <c r="J902" s="45" t="n"/>
      <c r="K902" s="205" t="n"/>
      <c r="L902" s="39" t="n"/>
      <c r="M902" s="40" t="n"/>
      <c r="N902" s="42" t="n"/>
      <c r="O902" s="42" t="n"/>
      <c r="P902" s="41" t="n"/>
      <c r="Q902" s="41" t="n"/>
    </row>
    <row r="903" ht="15.6" customHeight="1">
      <c r="A903" s="47" t="n"/>
      <c r="B903" s="48" t="n"/>
      <c r="C903" s="47" t="n"/>
      <c r="D903" s="45" t="n"/>
      <c r="E903" s="45" t="n"/>
      <c r="F903" s="45" t="n"/>
      <c r="G903" s="45" t="n"/>
      <c r="H903" s="45" t="n"/>
      <c r="I903" s="46" t="n"/>
      <c r="J903" s="45" t="n"/>
      <c r="K903" s="205" t="n"/>
      <c r="L903" s="39" t="n"/>
      <c r="M903" s="40" t="n"/>
      <c r="N903" s="42" t="n"/>
      <c r="O903" s="42" t="n"/>
      <c r="P903" s="41" t="n"/>
      <c r="Q903" s="41" t="n"/>
    </row>
    <row r="904" ht="15.6" customHeight="1">
      <c r="A904" s="47" t="n"/>
      <c r="B904" s="48" t="n"/>
      <c r="C904" s="47" t="n"/>
      <c r="D904" s="45" t="n"/>
      <c r="E904" s="45" t="n"/>
      <c r="F904" s="45" t="n"/>
      <c r="G904" s="45" t="n"/>
      <c r="H904" s="45" t="n"/>
      <c r="I904" s="46" t="n"/>
      <c r="J904" s="45" t="n"/>
      <c r="K904" s="205" t="n"/>
      <c r="L904" s="39" t="n"/>
      <c r="M904" s="40" t="n"/>
      <c r="N904" s="42" t="n"/>
      <c r="O904" s="42" t="n"/>
      <c r="P904" s="41" t="n"/>
      <c r="Q904" s="41" t="n"/>
    </row>
    <row r="905" ht="15.6" customHeight="1">
      <c r="A905" s="47" t="n"/>
      <c r="B905" s="48" t="n"/>
      <c r="C905" s="47" t="n"/>
      <c r="D905" s="45" t="n"/>
      <c r="E905" s="45" t="n"/>
      <c r="F905" s="45" t="n"/>
      <c r="G905" s="45" t="n"/>
      <c r="H905" s="45" t="n"/>
      <c r="I905" s="46" t="n"/>
      <c r="J905" s="45" t="n"/>
      <c r="K905" s="205" t="n"/>
      <c r="L905" s="39" t="n"/>
      <c r="M905" s="40" t="n"/>
      <c r="N905" s="42" t="n"/>
      <c r="O905" s="42" t="n"/>
      <c r="P905" s="41" t="n"/>
      <c r="Q905" s="41" t="n"/>
    </row>
    <row r="906" ht="15.6" customHeight="1">
      <c r="A906" s="47" t="n"/>
      <c r="B906" s="48" t="n"/>
      <c r="C906" s="47" t="n"/>
      <c r="D906" s="45" t="n"/>
      <c r="E906" s="45" t="n"/>
      <c r="F906" s="45" t="n"/>
      <c r="G906" s="45" t="n"/>
      <c r="H906" s="45" t="n"/>
      <c r="I906" s="46" t="n"/>
      <c r="J906" s="45" t="n"/>
      <c r="K906" s="205" t="n"/>
      <c r="L906" s="39" t="n"/>
      <c r="M906" s="40" t="n"/>
      <c r="N906" s="42" t="n"/>
      <c r="O906" s="42" t="n"/>
      <c r="P906" s="41" t="n"/>
      <c r="Q906" s="41" t="n"/>
    </row>
    <row r="907" ht="15.6" customHeight="1">
      <c r="A907" s="47" t="n"/>
      <c r="B907" s="48" t="n"/>
      <c r="C907" s="47" t="n"/>
      <c r="D907" s="45" t="n"/>
      <c r="E907" s="45" t="n"/>
      <c r="F907" s="45" t="n"/>
      <c r="G907" s="45" t="n"/>
      <c r="H907" s="45" t="n"/>
      <c r="I907" s="46" t="n"/>
      <c r="J907" s="45" t="n"/>
      <c r="K907" s="205" t="n"/>
      <c r="L907" s="39" t="n"/>
      <c r="M907" s="40" t="n"/>
      <c r="N907" s="42" t="n"/>
      <c r="O907" s="42" t="n"/>
      <c r="P907" s="41" t="n"/>
      <c r="Q907" s="41" t="n"/>
    </row>
    <row r="908" ht="15.6" customHeight="1">
      <c r="A908" s="47" t="n"/>
      <c r="B908" s="48" t="n"/>
      <c r="C908" s="47" t="n"/>
      <c r="D908" s="45" t="n"/>
      <c r="E908" s="45" t="n"/>
      <c r="F908" s="45" t="n"/>
      <c r="G908" s="45" t="n"/>
      <c r="H908" s="45" t="n"/>
      <c r="I908" s="46" t="n"/>
      <c r="J908" s="45" t="n"/>
      <c r="K908" s="205" t="n"/>
      <c r="L908" s="39" t="n"/>
      <c r="M908" s="40" t="n"/>
      <c r="N908" s="42" t="n"/>
      <c r="O908" s="42" t="n"/>
      <c r="P908" s="41" t="n"/>
      <c r="Q908" s="41" t="n"/>
    </row>
    <row r="909" ht="15.6" customHeight="1">
      <c r="A909" s="47" t="n"/>
      <c r="B909" s="48" t="n"/>
      <c r="C909" s="47" t="n"/>
      <c r="D909" s="45" t="n"/>
      <c r="E909" s="45" t="n"/>
      <c r="F909" s="45" t="n"/>
      <c r="G909" s="45" t="n"/>
      <c r="H909" s="45" t="n"/>
      <c r="I909" s="46" t="n"/>
      <c r="J909" s="45" t="n"/>
      <c r="K909" s="205" t="n"/>
      <c r="L909" s="39" t="n"/>
      <c r="M909" s="40" t="n"/>
      <c r="N909" s="42" t="n"/>
      <c r="O909" s="42" t="n"/>
      <c r="P909" s="41" t="n"/>
      <c r="Q909" s="41" t="n"/>
    </row>
    <row r="910" ht="15.6" customHeight="1">
      <c r="A910" s="47" t="n"/>
      <c r="B910" s="48" t="n"/>
      <c r="C910" s="47" t="n"/>
      <c r="D910" s="45" t="n"/>
      <c r="E910" s="45" t="n"/>
      <c r="F910" s="45" t="n"/>
      <c r="G910" s="45" t="n"/>
      <c r="H910" s="45" t="n"/>
      <c r="I910" s="46" t="n"/>
      <c r="J910" s="45" t="n"/>
      <c r="K910" s="205" t="n"/>
      <c r="L910" s="39" t="n"/>
      <c r="M910" s="40" t="n"/>
      <c r="N910" s="42" t="n"/>
      <c r="O910" s="42" t="n"/>
      <c r="P910" s="41" t="n"/>
      <c r="Q910" s="41" t="n"/>
    </row>
    <row r="911" ht="15.6" customHeight="1">
      <c r="A911" s="47" t="n"/>
      <c r="B911" s="48" t="n"/>
      <c r="C911" s="47" t="n"/>
      <c r="D911" s="45" t="n"/>
      <c r="E911" s="45" t="n"/>
      <c r="F911" s="45" t="n"/>
      <c r="G911" s="45" t="n"/>
      <c r="H911" s="45" t="n"/>
      <c r="I911" s="46" t="n"/>
      <c r="J911" s="45" t="n"/>
      <c r="K911" s="205" t="n"/>
      <c r="L911" s="39" t="n"/>
      <c r="M911" s="40" t="n"/>
      <c r="N911" s="42" t="n"/>
      <c r="O911" s="42" t="n"/>
      <c r="P911" s="41" t="n"/>
      <c r="Q911" s="41" t="n"/>
    </row>
    <row r="912" ht="15.6" customHeight="1">
      <c r="A912" s="47" t="n"/>
      <c r="B912" s="48" t="n"/>
      <c r="C912" s="47" t="n"/>
      <c r="D912" s="45" t="n"/>
      <c r="E912" s="45" t="n"/>
      <c r="F912" s="45" t="n"/>
      <c r="G912" s="45" t="n"/>
      <c r="H912" s="45" t="n"/>
      <c r="I912" s="46" t="n"/>
      <c r="J912" s="45" t="n"/>
      <c r="K912" s="205" t="n"/>
      <c r="L912" s="39" t="n"/>
      <c r="M912" s="40" t="n"/>
      <c r="N912" s="42" t="n"/>
      <c r="O912" s="42" t="n"/>
      <c r="P912" s="41" t="n"/>
      <c r="Q912" s="41" t="n"/>
    </row>
    <row r="913" ht="15.6" customHeight="1">
      <c r="A913" s="47" t="n"/>
      <c r="B913" s="48" t="n"/>
      <c r="C913" s="47" t="n"/>
      <c r="D913" s="45" t="n"/>
      <c r="E913" s="45" t="n"/>
      <c r="F913" s="45" t="n"/>
      <c r="G913" s="45" t="n"/>
      <c r="H913" s="45" t="n"/>
      <c r="I913" s="46" t="n"/>
      <c r="J913" s="45" t="n"/>
      <c r="K913" s="205" t="n"/>
      <c r="L913" s="39" t="n"/>
      <c r="M913" s="40" t="n"/>
      <c r="N913" s="42" t="n"/>
      <c r="O913" s="42" t="n"/>
      <c r="P913" s="41" t="n"/>
      <c r="Q913" s="41" t="n"/>
    </row>
    <row r="914" ht="15.6" customHeight="1">
      <c r="A914" s="47" t="n"/>
      <c r="B914" s="48" t="n"/>
      <c r="C914" s="47" t="n"/>
      <c r="D914" s="45" t="n"/>
      <c r="E914" s="45" t="n"/>
      <c r="F914" s="45" t="n"/>
      <c r="G914" s="45" t="n"/>
      <c r="H914" s="45" t="n"/>
      <c r="I914" s="46" t="n"/>
      <c r="J914" s="45" t="n"/>
      <c r="K914" s="205" t="n"/>
      <c r="L914" s="39" t="n"/>
      <c r="M914" s="40" t="n"/>
      <c r="N914" s="42" t="n"/>
      <c r="O914" s="42" t="n"/>
      <c r="P914" s="41" t="n"/>
      <c r="Q914" s="41" t="n"/>
    </row>
    <row r="915" ht="15.6" customHeight="1">
      <c r="A915" s="47" t="n"/>
      <c r="B915" s="48" t="n"/>
      <c r="C915" s="47" t="n"/>
      <c r="D915" s="45" t="n"/>
      <c r="E915" s="45" t="n"/>
      <c r="F915" s="45" t="n"/>
      <c r="G915" s="45" t="n"/>
      <c r="H915" s="45" t="n"/>
      <c r="I915" s="46" t="n"/>
      <c r="J915" s="45" t="n"/>
      <c r="K915" s="205" t="n"/>
      <c r="L915" s="39" t="n"/>
      <c r="M915" s="40" t="n"/>
      <c r="N915" s="42" t="n"/>
      <c r="O915" s="42" t="n"/>
      <c r="P915" s="41" t="n"/>
      <c r="Q915" s="41" t="n"/>
    </row>
    <row r="916" ht="15.6" customHeight="1">
      <c r="A916" s="47" t="n"/>
      <c r="B916" s="48" t="n"/>
      <c r="C916" s="47" t="n"/>
      <c r="D916" s="45" t="n"/>
      <c r="E916" s="45" t="n"/>
      <c r="F916" s="45" t="n"/>
      <c r="G916" s="45" t="n"/>
      <c r="H916" s="45" t="n"/>
      <c r="I916" s="46" t="n"/>
      <c r="J916" s="45" t="n"/>
      <c r="K916" s="205" t="n"/>
      <c r="L916" s="39" t="n"/>
      <c r="M916" s="40" t="n"/>
      <c r="N916" s="42" t="n"/>
      <c r="O916" s="42" t="n"/>
      <c r="P916" s="41" t="n"/>
      <c r="Q916" s="41" t="n"/>
    </row>
    <row r="917" ht="15.6" customHeight="1">
      <c r="A917" s="47" t="n"/>
      <c r="B917" s="48" t="n"/>
      <c r="C917" s="47" t="n"/>
      <c r="D917" s="45" t="n"/>
      <c r="E917" s="45" t="n"/>
      <c r="F917" s="45" t="n"/>
      <c r="G917" s="45" t="n"/>
      <c r="H917" s="45" t="n"/>
      <c r="I917" s="46" t="n"/>
      <c r="J917" s="45" t="n"/>
      <c r="K917" s="205" t="n"/>
      <c r="L917" s="39" t="n"/>
      <c r="M917" s="40" t="n"/>
      <c r="N917" s="42" t="n"/>
      <c r="O917" s="42" t="n"/>
      <c r="P917" s="41" t="n"/>
      <c r="Q917" s="41" t="n"/>
    </row>
    <row r="918" ht="15.6" customHeight="1">
      <c r="A918" s="47" t="n"/>
      <c r="B918" s="48" t="n"/>
      <c r="C918" s="47" t="n"/>
      <c r="D918" s="45" t="n"/>
      <c r="E918" s="45" t="n"/>
      <c r="F918" s="45" t="n"/>
      <c r="G918" s="45" t="n"/>
      <c r="H918" s="45" t="n"/>
      <c r="I918" s="46" t="n"/>
      <c r="J918" s="45" t="n"/>
      <c r="K918" s="205" t="n"/>
      <c r="L918" s="39" t="n"/>
      <c r="M918" s="40" t="n"/>
      <c r="N918" s="42" t="n"/>
      <c r="O918" s="42" t="n"/>
      <c r="P918" s="41" t="n"/>
      <c r="Q918" s="41" t="n"/>
    </row>
    <row r="919" ht="15.6" customHeight="1">
      <c r="A919" s="47" t="n"/>
      <c r="B919" s="48" t="n"/>
      <c r="C919" s="47" t="n"/>
      <c r="D919" s="45" t="n"/>
      <c r="E919" s="45" t="n"/>
      <c r="F919" s="45" t="n"/>
      <c r="G919" s="45" t="n"/>
      <c r="H919" s="45" t="n"/>
      <c r="I919" s="46" t="n"/>
      <c r="J919" s="45" t="n"/>
      <c r="K919" s="205" t="n"/>
      <c r="L919" s="39" t="n"/>
      <c r="M919" s="40" t="n"/>
      <c r="N919" s="42" t="n"/>
      <c r="O919" s="42" t="n"/>
      <c r="P919" s="41" t="n"/>
      <c r="Q919" s="41" t="n"/>
    </row>
    <row r="920" ht="15.6" customHeight="1">
      <c r="A920" s="47" t="n"/>
      <c r="B920" s="48" t="n"/>
      <c r="C920" s="47" t="n"/>
      <c r="D920" s="45" t="n"/>
      <c r="E920" s="45" t="n"/>
      <c r="F920" s="45" t="n"/>
      <c r="G920" s="45" t="n"/>
      <c r="H920" s="45" t="n"/>
      <c r="I920" s="46" t="n"/>
      <c r="J920" s="45" t="n"/>
      <c r="K920" s="205" t="n"/>
      <c r="L920" s="39" t="n"/>
      <c r="M920" s="40" t="n"/>
      <c r="N920" s="42" t="n"/>
      <c r="O920" s="42" t="n"/>
      <c r="P920" s="41" t="n"/>
      <c r="Q920" s="41" t="n"/>
    </row>
    <row r="921" ht="15.6" customHeight="1">
      <c r="A921" s="47" t="n"/>
      <c r="B921" s="48" t="n"/>
      <c r="C921" s="47" t="n"/>
      <c r="D921" s="45" t="n"/>
      <c r="E921" s="45" t="n"/>
      <c r="F921" s="45" t="n"/>
      <c r="G921" s="45" t="n"/>
      <c r="H921" s="45" t="n"/>
      <c r="I921" s="46" t="n"/>
      <c r="J921" s="45" t="n"/>
      <c r="K921" s="205" t="n"/>
      <c r="L921" s="39" t="n"/>
      <c r="M921" s="40" t="n"/>
      <c r="N921" s="42" t="n"/>
      <c r="O921" s="42" t="n"/>
      <c r="P921" s="41" t="n"/>
      <c r="Q921" s="41" t="n"/>
    </row>
    <row r="922" ht="15.6" customHeight="1">
      <c r="A922" s="47" t="n"/>
      <c r="B922" s="48" t="n"/>
      <c r="C922" s="47" t="n"/>
      <c r="D922" s="45" t="n"/>
      <c r="E922" s="45" t="n"/>
      <c r="F922" s="45" t="n"/>
      <c r="G922" s="45" t="n"/>
      <c r="H922" s="45" t="n"/>
      <c r="I922" s="46" t="n"/>
      <c r="J922" s="45" t="n"/>
      <c r="K922" s="205" t="n"/>
      <c r="L922" s="39" t="n"/>
      <c r="M922" s="40" t="n"/>
      <c r="N922" s="42" t="n"/>
      <c r="O922" s="42" t="n"/>
      <c r="P922" s="41" t="n"/>
      <c r="Q922" s="41" t="n"/>
    </row>
    <row r="923" ht="15.6" customHeight="1">
      <c r="A923" s="47" t="n"/>
      <c r="B923" s="48" t="n"/>
      <c r="C923" s="47" t="n"/>
      <c r="D923" s="45" t="n"/>
      <c r="E923" s="45" t="n"/>
      <c r="F923" s="45" t="n"/>
      <c r="G923" s="45" t="n"/>
      <c r="H923" s="45" t="n"/>
      <c r="I923" s="46" t="n"/>
      <c r="J923" s="45" t="n"/>
      <c r="K923" s="205" t="n"/>
      <c r="L923" s="39" t="n"/>
      <c r="M923" s="40" t="n"/>
      <c r="N923" s="42" t="n"/>
      <c r="O923" s="42" t="n"/>
      <c r="P923" s="41" t="n"/>
      <c r="Q923" s="41" t="n"/>
    </row>
    <row r="924" ht="15.6" customHeight="1">
      <c r="A924" s="47" t="n"/>
      <c r="B924" s="48" t="n"/>
      <c r="C924" s="47" t="n"/>
      <c r="D924" s="45" t="n"/>
      <c r="E924" s="45" t="n"/>
      <c r="F924" s="45" t="n"/>
      <c r="G924" s="45" t="n"/>
      <c r="H924" s="45" t="n"/>
      <c r="I924" s="46" t="n"/>
      <c r="J924" s="45" t="n"/>
      <c r="K924" s="205" t="n"/>
      <c r="L924" s="39" t="n"/>
      <c r="M924" s="40" t="n"/>
      <c r="N924" s="42" t="n"/>
      <c r="O924" s="42" t="n"/>
      <c r="P924" s="41" t="n"/>
      <c r="Q924" s="41" t="n"/>
    </row>
    <row r="925" ht="15.6" customHeight="1">
      <c r="A925" s="47" t="n"/>
      <c r="B925" s="48" t="n"/>
      <c r="C925" s="47" t="n"/>
      <c r="D925" s="45" t="n"/>
      <c r="E925" s="45" t="n"/>
      <c r="F925" s="45" t="n"/>
      <c r="G925" s="45" t="n"/>
      <c r="H925" s="45" t="n"/>
      <c r="I925" s="46" t="n"/>
      <c r="J925" s="45" t="n"/>
      <c r="K925" s="205" t="n"/>
      <c r="L925" s="39" t="n"/>
      <c r="M925" s="40" t="n"/>
      <c r="N925" s="42" t="n"/>
      <c r="O925" s="42" t="n"/>
      <c r="P925" s="41" t="n"/>
      <c r="Q925" s="41" t="n"/>
    </row>
    <row r="926" ht="15.6" customHeight="1">
      <c r="A926" s="47" t="n"/>
      <c r="B926" s="48" t="n"/>
      <c r="C926" s="47" t="n"/>
      <c r="D926" s="45" t="n"/>
      <c r="E926" s="45" t="n"/>
      <c r="F926" s="45" t="n"/>
      <c r="G926" s="45" t="n"/>
      <c r="H926" s="45" t="n"/>
      <c r="I926" s="46" t="n"/>
      <c r="J926" s="45" t="n"/>
      <c r="K926" s="205" t="n"/>
      <c r="L926" s="39" t="n"/>
      <c r="M926" s="40" t="n"/>
      <c r="N926" s="42" t="n"/>
      <c r="O926" s="42" t="n"/>
      <c r="P926" s="41" t="n"/>
      <c r="Q926" s="41" t="n"/>
    </row>
    <row r="927" ht="15.6" customHeight="1">
      <c r="A927" s="47" t="n"/>
      <c r="B927" s="48" t="n"/>
      <c r="C927" s="47" t="n"/>
      <c r="D927" s="45" t="n"/>
      <c r="E927" s="45" t="n"/>
      <c r="F927" s="45" t="n"/>
      <c r="G927" s="45" t="n"/>
      <c r="H927" s="45" t="n"/>
      <c r="I927" s="46" t="n"/>
      <c r="J927" s="45" t="n"/>
      <c r="K927" s="205" t="n"/>
      <c r="L927" s="39" t="n"/>
      <c r="M927" s="40" t="n"/>
      <c r="N927" s="42" t="n"/>
      <c r="O927" s="42" t="n"/>
      <c r="P927" s="41" t="n"/>
      <c r="Q927" s="41" t="n"/>
    </row>
    <row r="928" ht="15.6" customHeight="1">
      <c r="A928" s="47" t="n"/>
      <c r="B928" s="48" t="n"/>
      <c r="C928" s="47" t="n"/>
      <c r="D928" s="45" t="n"/>
      <c r="E928" s="45" t="n"/>
      <c r="F928" s="45" t="n"/>
      <c r="G928" s="45" t="n"/>
      <c r="H928" s="45" t="n"/>
      <c r="I928" s="46" t="n"/>
      <c r="J928" s="45" t="n"/>
      <c r="K928" s="205" t="n"/>
      <c r="L928" s="39" t="n"/>
      <c r="M928" s="40" t="n"/>
      <c r="N928" s="42" t="n"/>
      <c r="O928" s="42" t="n"/>
      <c r="P928" s="41" t="n"/>
      <c r="Q928" s="41" t="n"/>
    </row>
    <row r="929" ht="15.6" customHeight="1">
      <c r="A929" s="47" t="n"/>
      <c r="B929" s="48" t="n"/>
      <c r="C929" s="47" t="n"/>
      <c r="D929" s="45" t="n"/>
      <c r="E929" s="45" t="n"/>
      <c r="F929" s="45" t="n"/>
      <c r="G929" s="45" t="n"/>
      <c r="H929" s="45" t="n"/>
      <c r="I929" s="46" t="n"/>
      <c r="J929" s="45" t="n"/>
      <c r="K929" s="205" t="n"/>
      <c r="L929" s="39" t="n"/>
      <c r="M929" s="40" t="n"/>
      <c r="N929" s="42" t="n"/>
      <c r="O929" s="42" t="n"/>
      <c r="P929" s="41" t="n"/>
      <c r="Q929" s="41" t="n"/>
    </row>
    <row r="930" ht="15.6" customHeight="1">
      <c r="A930" s="47" t="n"/>
      <c r="B930" s="48" t="n"/>
      <c r="C930" s="47" t="n"/>
      <c r="D930" s="45" t="n"/>
      <c r="E930" s="45" t="n"/>
      <c r="F930" s="45" t="n"/>
      <c r="G930" s="45" t="n"/>
      <c r="H930" s="45" t="n"/>
      <c r="I930" s="46" t="n"/>
      <c r="J930" s="45" t="n"/>
      <c r="K930" s="205" t="n"/>
      <c r="L930" s="39" t="n"/>
      <c r="M930" s="40" t="n"/>
      <c r="N930" s="42" t="n"/>
      <c r="O930" s="42" t="n"/>
      <c r="P930" s="41" t="n"/>
      <c r="Q930" s="41" t="n"/>
    </row>
    <row r="931" ht="15.6" customHeight="1">
      <c r="A931" s="47" t="n"/>
      <c r="B931" s="48" t="n"/>
      <c r="C931" s="47" t="n"/>
      <c r="D931" s="45" t="n"/>
      <c r="E931" s="45" t="n"/>
      <c r="F931" s="45" t="n"/>
      <c r="G931" s="45" t="n"/>
      <c r="H931" s="45" t="n"/>
      <c r="I931" s="46" t="n"/>
      <c r="J931" s="45" t="n"/>
      <c r="K931" s="205" t="n"/>
      <c r="L931" s="39" t="n"/>
      <c r="M931" s="40" t="n"/>
      <c r="N931" s="42" t="n"/>
      <c r="O931" s="42" t="n"/>
      <c r="P931" s="41" t="n"/>
      <c r="Q931" s="41" t="n"/>
    </row>
    <row r="932" ht="15.6" customHeight="1">
      <c r="A932" s="47" t="n"/>
      <c r="B932" s="48" t="n"/>
      <c r="C932" s="47" t="n"/>
      <c r="D932" s="45" t="n"/>
      <c r="E932" s="45" t="n"/>
      <c r="F932" s="45" t="n"/>
      <c r="G932" s="45" t="n"/>
      <c r="H932" s="45" t="n"/>
      <c r="I932" s="46" t="n"/>
      <c r="J932" s="45" t="n"/>
      <c r="K932" s="205" t="n"/>
      <c r="L932" s="39" t="n"/>
      <c r="M932" s="40" t="n"/>
      <c r="N932" s="42" t="n"/>
      <c r="O932" s="42" t="n"/>
      <c r="P932" s="41" t="n"/>
      <c r="Q932" s="41" t="n"/>
    </row>
    <row r="933" ht="15.6" customHeight="1">
      <c r="A933" s="47" t="n"/>
      <c r="B933" s="48" t="n"/>
      <c r="C933" s="47" t="n"/>
      <c r="D933" s="45" t="n"/>
      <c r="E933" s="45" t="n"/>
      <c r="F933" s="45" t="n"/>
      <c r="G933" s="45" t="n"/>
      <c r="H933" s="45" t="n"/>
      <c r="I933" s="46" t="n"/>
      <c r="J933" s="45" t="n"/>
      <c r="K933" s="205" t="n"/>
      <c r="L933" s="39" t="n"/>
      <c r="M933" s="40" t="n"/>
      <c r="N933" s="42" t="n"/>
      <c r="O933" s="42" t="n"/>
      <c r="P933" s="41" t="n"/>
      <c r="Q933" s="41" t="n"/>
    </row>
    <row r="934" ht="15.6" customHeight="1">
      <c r="A934" s="47" t="n"/>
      <c r="B934" s="48" t="n"/>
      <c r="C934" s="47" t="n"/>
      <c r="D934" s="45" t="n"/>
      <c r="E934" s="45" t="n"/>
      <c r="F934" s="45" t="n"/>
      <c r="G934" s="45" t="n"/>
      <c r="H934" s="45" t="n"/>
      <c r="I934" s="46" t="n"/>
      <c r="J934" s="45" t="n"/>
      <c r="K934" s="205" t="n"/>
      <c r="L934" s="39" t="n"/>
      <c r="M934" s="40" t="n"/>
      <c r="N934" s="42" t="n"/>
      <c r="O934" s="42" t="n"/>
      <c r="P934" s="41" t="n"/>
      <c r="Q934" s="41" t="n"/>
    </row>
    <row r="935" ht="15.6" customHeight="1">
      <c r="A935" s="47" t="n"/>
      <c r="B935" s="48" t="n"/>
      <c r="C935" s="47" t="n"/>
      <c r="D935" s="45" t="n"/>
      <c r="E935" s="45" t="n"/>
      <c r="F935" s="45" t="n"/>
      <c r="G935" s="45" t="n"/>
      <c r="H935" s="45" t="n"/>
      <c r="I935" s="46" t="n"/>
      <c r="J935" s="45" t="n"/>
      <c r="K935" s="205" t="n"/>
      <c r="L935" s="39" t="n"/>
      <c r="M935" s="40" t="n"/>
      <c r="N935" s="42" t="n"/>
      <c r="O935" s="42" t="n"/>
      <c r="P935" s="41" t="n"/>
      <c r="Q935" s="41" t="n"/>
    </row>
    <row r="936" ht="15.6" customHeight="1">
      <c r="A936" s="47" t="n"/>
      <c r="B936" s="48" t="n"/>
      <c r="C936" s="47" t="n"/>
      <c r="D936" s="45" t="n"/>
      <c r="E936" s="45" t="n"/>
      <c r="F936" s="45" t="n"/>
      <c r="G936" s="45" t="n"/>
      <c r="H936" s="45" t="n"/>
      <c r="I936" s="46" t="n"/>
      <c r="J936" s="45" t="n"/>
      <c r="K936" s="205" t="n"/>
      <c r="L936" s="39" t="n"/>
      <c r="M936" s="40" t="n"/>
      <c r="N936" s="42" t="n"/>
      <c r="O936" s="42" t="n"/>
      <c r="P936" s="41" t="n"/>
      <c r="Q936" s="41" t="n"/>
    </row>
    <row r="937" ht="15.6" customHeight="1">
      <c r="A937" s="47" t="n"/>
      <c r="B937" s="48" t="n"/>
      <c r="C937" s="47" t="n"/>
      <c r="D937" s="45" t="n"/>
      <c r="E937" s="45" t="n"/>
      <c r="F937" s="45" t="n"/>
      <c r="G937" s="45" t="n"/>
      <c r="H937" s="45" t="n"/>
      <c r="I937" s="46" t="n"/>
      <c r="J937" s="45" t="n"/>
      <c r="K937" s="205" t="n"/>
      <c r="L937" s="39" t="n"/>
      <c r="M937" s="40" t="n"/>
      <c r="N937" s="42" t="n"/>
      <c r="O937" s="42" t="n"/>
      <c r="P937" s="41" t="n"/>
      <c r="Q937" s="41" t="n"/>
    </row>
    <row r="938" ht="15.6" customHeight="1">
      <c r="A938" s="47" t="n"/>
      <c r="B938" s="48" t="n"/>
      <c r="C938" s="47" t="n"/>
      <c r="D938" s="45" t="n"/>
      <c r="E938" s="45" t="n"/>
      <c r="F938" s="45" t="n"/>
      <c r="G938" s="45" t="n"/>
      <c r="H938" s="45" t="n"/>
      <c r="I938" s="46" t="n"/>
      <c r="J938" s="45" t="n"/>
      <c r="K938" s="205" t="n"/>
      <c r="L938" s="39" t="n"/>
      <c r="M938" s="40" t="n"/>
      <c r="N938" s="42" t="n"/>
      <c r="O938" s="42" t="n"/>
      <c r="P938" s="41" t="n"/>
      <c r="Q938" s="41" t="n"/>
    </row>
    <row r="939" ht="15.6" customHeight="1">
      <c r="A939" s="47" t="n"/>
      <c r="B939" s="48" t="n"/>
      <c r="C939" s="47" t="n"/>
      <c r="D939" s="45" t="n"/>
      <c r="E939" s="45" t="n"/>
      <c r="F939" s="45" t="n"/>
      <c r="G939" s="45" t="n"/>
      <c r="H939" s="45" t="n"/>
      <c r="I939" s="46" t="n"/>
      <c r="J939" s="45" t="n"/>
      <c r="K939" s="205" t="n"/>
      <c r="L939" s="39" t="n"/>
      <c r="M939" s="40" t="n"/>
      <c r="N939" s="42" t="n"/>
      <c r="O939" s="42" t="n"/>
      <c r="P939" s="41" t="n"/>
      <c r="Q939" s="41" t="n"/>
    </row>
    <row r="940" ht="15.6" customHeight="1">
      <c r="A940" s="47" t="n"/>
      <c r="B940" s="48" t="n"/>
      <c r="C940" s="47" t="n"/>
      <c r="D940" s="45" t="n"/>
      <c r="E940" s="45" t="n"/>
      <c r="F940" s="45" t="n"/>
      <c r="G940" s="45" t="n"/>
      <c r="H940" s="45" t="n"/>
      <c r="I940" s="46" t="n"/>
      <c r="J940" s="45" t="n"/>
      <c r="K940" s="205" t="n"/>
      <c r="L940" s="39" t="n"/>
      <c r="M940" s="40" t="n"/>
      <c r="N940" s="42" t="n"/>
      <c r="O940" s="42" t="n"/>
      <c r="P940" s="41" t="n"/>
      <c r="Q940" s="41" t="n"/>
    </row>
    <row r="941" ht="15.6" customHeight="1">
      <c r="A941" s="47" t="n"/>
      <c r="B941" s="48" t="n"/>
      <c r="C941" s="47" t="n"/>
      <c r="D941" s="45" t="n"/>
      <c r="E941" s="45" t="n"/>
      <c r="F941" s="45" t="n"/>
      <c r="G941" s="45" t="n"/>
      <c r="H941" s="45" t="n"/>
      <c r="I941" s="46" t="n"/>
      <c r="J941" s="45" t="n"/>
      <c r="K941" s="205" t="n"/>
      <c r="L941" s="39" t="n"/>
      <c r="M941" s="40" t="n"/>
      <c r="N941" s="42" t="n"/>
      <c r="O941" s="42" t="n"/>
      <c r="P941" s="41" t="n"/>
      <c r="Q941" s="41" t="n"/>
    </row>
    <row r="942" ht="15.6" customHeight="1">
      <c r="A942" s="47" t="n"/>
      <c r="B942" s="48" t="n"/>
      <c r="C942" s="47" t="n"/>
      <c r="D942" s="45" t="n"/>
      <c r="E942" s="45" t="n"/>
      <c r="F942" s="45" t="n"/>
      <c r="G942" s="45" t="n"/>
      <c r="H942" s="45" t="n"/>
      <c r="I942" s="46" t="n"/>
      <c r="J942" s="45" t="n"/>
      <c r="K942" s="205" t="n"/>
      <c r="L942" s="39" t="n"/>
      <c r="M942" s="40" t="n"/>
      <c r="N942" s="42" t="n"/>
      <c r="O942" s="42" t="n"/>
      <c r="P942" s="41" t="n"/>
      <c r="Q942" s="41" t="n"/>
    </row>
    <row r="943" ht="15.6" customHeight="1">
      <c r="A943" s="47" t="n"/>
      <c r="B943" s="48" t="n"/>
      <c r="C943" s="47" t="n"/>
      <c r="D943" s="45" t="n"/>
      <c r="E943" s="45" t="n"/>
      <c r="F943" s="45" t="n"/>
      <c r="G943" s="45" t="n"/>
      <c r="H943" s="45" t="n"/>
      <c r="I943" s="46" t="n"/>
      <c r="J943" s="45" t="n"/>
      <c r="K943" s="205" t="n"/>
      <c r="L943" s="39" t="n"/>
      <c r="M943" s="40" t="n"/>
      <c r="N943" s="42" t="n"/>
      <c r="O943" s="42" t="n"/>
      <c r="P943" s="41" t="n"/>
      <c r="Q943" s="41" t="n"/>
    </row>
    <row r="944" ht="15.6" customHeight="1">
      <c r="A944" s="47" t="n"/>
      <c r="B944" s="48" t="n"/>
      <c r="C944" s="47" t="n"/>
      <c r="D944" s="45" t="n"/>
      <c r="E944" s="45" t="n"/>
      <c r="F944" s="45" t="n"/>
      <c r="G944" s="45" t="n"/>
      <c r="H944" s="45" t="n"/>
      <c r="I944" s="46" t="n"/>
      <c r="J944" s="45" t="n"/>
      <c r="K944" s="205" t="n"/>
      <c r="L944" s="39" t="n"/>
      <c r="M944" s="40" t="n"/>
      <c r="N944" s="42" t="n"/>
      <c r="O944" s="42" t="n"/>
      <c r="P944" s="41" t="n"/>
      <c r="Q944" s="41" t="n"/>
    </row>
    <row r="945" ht="15.6" customHeight="1">
      <c r="A945" s="47" t="n"/>
      <c r="B945" s="48" t="n"/>
      <c r="C945" s="47" t="n"/>
      <c r="D945" s="45" t="n"/>
      <c r="E945" s="45" t="n"/>
      <c r="F945" s="45" t="n"/>
      <c r="G945" s="45" t="n"/>
      <c r="H945" s="45" t="n"/>
      <c r="I945" s="46" t="n"/>
      <c r="J945" s="45" t="n"/>
      <c r="K945" s="205" t="n"/>
      <c r="L945" s="39" t="n"/>
      <c r="M945" s="40" t="n"/>
      <c r="N945" s="42" t="n"/>
      <c r="O945" s="42" t="n"/>
      <c r="P945" s="41" t="n"/>
      <c r="Q945" s="41" t="n"/>
    </row>
    <row r="946" ht="15.6" customHeight="1">
      <c r="A946" s="47" t="n"/>
      <c r="B946" s="48" t="n"/>
      <c r="C946" s="47" t="n"/>
      <c r="D946" s="45" t="n"/>
      <c r="E946" s="45" t="n"/>
      <c r="F946" s="45" t="n"/>
      <c r="G946" s="45" t="n"/>
      <c r="H946" s="45" t="n"/>
      <c r="I946" s="46" t="n"/>
      <c r="J946" s="45" t="n"/>
      <c r="K946" s="205" t="n"/>
      <c r="L946" s="39" t="n"/>
      <c r="M946" s="40" t="n"/>
      <c r="N946" s="42" t="n"/>
      <c r="O946" s="42" t="n"/>
      <c r="P946" s="41" t="n"/>
      <c r="Q946" s="41" t="n"/>
    </row>
    <row r="947" ht="15.6" customHeight="1">
      <c r="A947" s="47" t="n"/>
      <c r="B947" s="48" t="n"/>
      <c r="C947" s="47" t="n"/>
      <c r="D947" s="45" t="n"/>
      <c r="E947" s="45" t="n"/>
      <c r="F947" s="45" t="n"/>
      <c r="G947" s="45" t="n"/>
      <c r="H947" s="45" t="n"/>
      <c r="I947" s="46" t="n"/>
      <c r="J947" s="45" t="n"/>
      <c r="K947" s="205" t="n"/>
      <c r="L947" s="39" t="n"/>
      <c r="M947" s="40" t="n"/>
      <c r="N947" s="42" t="n"/>
      <c r="O947" s="42" t="n"/>
      <c r="P947" s="41" t="n"/>
      <c r="Q947" s="41" t="n"/>
    </row>
    <row r="948" ht="15.6" customHeight="1">
      <c r="A948" s="47" t="n"/>
      <c r="B948" s="48" t="n"/>
      <c r="C948" s="47" t="n"/>
      <c r="D948" s="45" t="n"/>
      <c r="E948" s="45" t="n"/>
      <c r="F948" s="45" t="n"/>
      <c r="G948" s="45" t="n"/>
      <c r="H948" s="45" t="n"/>
      <c r="I948" s="46" t="n"/>
      <c r="J948" s="45" t="n"/>
      <c r="K948" s="205" t="n"/>
      <c r="L948" s="39" t="n"/>
      <c r="M948" s="40" t="n"/>
      <c r="N948" s="42" t="n"/>
      <c r="O948" s="42" t="n"/>
      <c r="P948" s="41" t="n"/>
      <c r="Q948" s="41" t="n"/>
    </row>
    <row r="949" ht="15.6" customHeight="1">
      <c r="A949" s="47" t="n"/>
      <c r="B949" s="48" t="n"/>
      <c r="C949" s="47" t="n"/>
      <c r="D949" s="45" t="n"/>
      <c r="E949" s="45" t="n"/>
      <c r="F949" s="45" t="n"/>
      <c r="G949" s="45" t="n"/>
      <c r="H949" s="45" t="n"/>
      <c r="I949" s="46" t="n"/>
      <c r="J949" s="45" t="n"/>
      <c r="K949" s="205" t="n"/>
      <c r="L949" s="39" t="n"/>
      <c r="M949" s="40" t="n"/>
      <c r="N949" s="42" t="n"/>
      <c r="O949" s="42" t="n"/>
      <c r="P949" s="41" t="n"/>
      <c r="Q949" s="41" t="n"/>
    </row>
    <row r="950" ht="15.6" customHeight="1">
      <c r="A950" s="47" t="n"/>
      <c r="B950" s="48" t="n"/>
      <c r="C950" s="47" t="n"/>
      <c r="D950" s="45" t="n"/>
      <c r="E950" s="45" t="n"/>
      <c r="F950" s="45" t="n"/>
      <c r="G950" s="45" t="n"/>
      <c r="H950" s="45" t="n"/>
      <c r="I950" s="46" t="n"/>
      <c r="J950" s="45" t="n"/>
      <c r="K950" s="205" t="n"/>
      <c r="L950" s="39" t="n"/>
      <c r="M950" s="40" t="n"/>
      <c r="N950" s="42" t="n"/>
      <c r="O950" s="42" t="n"/>
      <c r="P950" s="41" t="n"/>
      <c r="Q950" s="41" t="n"/>
    </row>
    <row r="951" ht="15.6" customHeight="1">
      <c r="A951" s="47" t="n"/>
      <c r="B951" s="48" t="n"/>
      <c r="C951" s="47" t="n"/>
      <c r="D951" s="45" t="n"/>
      <c r="E951" s="45" t="n"/>
      <c r="F951" s="45" t="n"/>
      <c r="G951" s="45" t="n"/>
      <c r="H951" s="45" t="n"/>
      <c r="I951" s="46" t="n"/>
      <c r="J951" s="45" t="n"/>
      <c r="K951" s="205" t="n"/>
      <c r="L951" s="39" t="n"/>
      <c r="M951" s="40" t="n"/>
      <c r="N951" s="42" t="n"/>
      <c r="O951" s="42" t="n"/>
      <c r="P951" s="41" t="n"/>
      <c r="Q951" s="41" t="n"/>
    </row>
    <row r="952" ht="15.6" customHeight="1">
      <c r="A952" s="47" t="n"/>
      <c r="B952" s="48" t="n"/>
      <c r="C952" s="47" t="n"/>
      <c r="D952" s="45" t="n"/>
      <c r="E952" s="45" t="n"/>
      <c r="F952" s="45" t="n"/>
      <c r="G952" s="45" t="n"/>
      <c r="H952" s="45" t="n"/>
      <c r="I952" s="46" t="n"/>
      <c r="J952" s="45" t="n"/>
      <c r="K952" s="205" t="n"/>
      <c r="L952" s="39" t="n"/>
      <c r="M952" s="40" t="n"/>
      <c r="N952" s="42" t="n"/>
      <c r="O952" s="42" t="n"/>
      <c r="P952" s="41" t="n"/>
      <c r="Q952" s="41" t="n"/>
    </row>
    <row r="953" ht="15.6" customHeight="1">
      <c r="A953" s="47" t="n"/>
      <c r="B953" s="48" t="n"/>
      <c r="C953" s="47" t="n"/>
      <c r="D953" s="45" t="n"/>
      <c r="E953" s="45" t="n"/>
      <c r="F953" s="45" t="n"/>
      <c r="G953" s="45" t="n"/>
      <c r="H953" s="45" t="n"/>
      <c r="I953" s="46" t="n"/>
      <c r="J953" s="45" t="n"/>
      <c r="K953" s="205" t="n"/>
      <c r="L953" s="39" t="n"/>
      <c r="M953" s="40" t="n"/>
      <c r="N953" s="42" t="n"/>
      <c r="O953" s="42" t="n"/>
      <c r="P953" s="41" t="n"/>
      <c r="Q953" s="41" t="n"/>
    </row>
    <row r="954" ht="15.6" customHeight="1">
      <c r="A954" s="47" t="n"/>
      <c r="B954" s="48" t="n"/>
      <c r="C954" s="47" t="n"/>
      <c r="D954" s="45" t="n"/>
      <c r="E954" s="45" t="n"/>
      <c r="F954" s="45" t="n"/>
      <c r="G954" s="45" t="n"/>
      <c r="H954" s="45" t="n"/>
      <c r="I954" s="46" t="n"/>
      <c r="J954" s="45" t="n"/>
      <c r="K954" s="205" t="n"/>
      <c r="L954" s="39" t="n"/>
      <c r="M954" s="40" t="n"/>
      <c r="N954" s="42" t="n"/>
      <c r="O954" s="42" t="n"/>
      <c r="P954" s="41" t="n"/>
      <c r="Q954" s="41" t="n"/>
    </row>
    <row r="955" ht="15.6" customHeight="1">
      <c r="A955" s="47" t="n"/>
      <c r="B955" s="48" t="n"/>
      <c r="C955" s="47" t="n"/>
      <c r="D955" s="45" t="n"/>
      <c r="E955" s="45" t="n"/>
      <c r="F955" s="45" t="n"/>
      <c r="G955" s="45" t="n"/>
      <c r="H955" s="45" t="n"/>
      <c r="I955" s="46" t="n"/>
      <c r="J955" s="45" t="n"/>
      <c r="K955" s="205" t="n"/>
      <c r="L955" s="39" t="n"/>
      <c r="M955" s="40" t="n"/>
      <c r="N955" s="42" t="n"/>
      <c r="O955" s="42" t="n"/>
      <c r="P955" s="41" t="n"/>
      <c r="Q955" s="41" t="n"/>
    </row>
    <row r="956" ht="15.6" customHeight="1">
      <c r="A956" s="47" t="n"/>
      <c r="B956" s="48" t="n"/>
      <c r="C956" s="47" t="n"/>
      <c r="D956" s="45" t="n"/>
      <c r="E956" s="45" t="n"/>
      <c r="F956" s="45" t="n"/>
      <c r="G956" s="45" t="n"/>
      <c r="H956" s="45" t="n"/>
      <c r="I956" s="46" t="n"/>
      <c r="J956" s="45" t="n"/>
      <c r="K956" s="205" t="n"/>
      <c r="L956" s="39" t="n"/>
      <c r="M956" s="40" t="n"/>
      <c r="N956" s="42" t="n"/>
      <c r="O956" s="42" t="n"/>
      <c r="P956" s="41" t="n"/>
      <c r="Q956" s="41" t="n"/>
    </row>
    <row r="957" ht="15.6" customHeight="1">
      <c r="A957" s="47" t="n"/>
      <c r="B957" s="48" t="n"/>
      <c r="C957" s="47" t="n"/>
      <c r="D957" s="45" t="n"/>
      <c r="E957" s="45" t="n"/>
      <c r="F957" s="45" t="n"/>
      <c r="G957" s="45" t="n"/>
      <c r="H957" s="45" t="n"/>
      <c r="I957" s="46" t="n"/>
      <c r="J957" s="45" t="n"/>
      <c r="K957" s="205" t="n"/>
      <c r="L957" s="39" t="n"/>
      <c r="M957" s="40" t="n"/>
      <c r="N957" s="42" t="n"/>
      <c r="O957" s="42" t="n"/>
      <c r="P957" s="41" t="n"/>
      <c r="Q957" s="41" t="n"/>
    </row>
    <row r="958" ht="15.6" customHeight="1">
      <c r="A958" s="47" t="n"/>
      <c r="B958" s="48" t="n"/>
      <c r="C958" s="47" t="n"/>
      <c r="D958" s="45" t="n"/>
      <c r="E958" s="45" t="n"/>
      <c r="F958" s="45" t="n"/>
      <c r="G958" s="45" t="n"/>
      <c r="H958" s="45" t="n"/>
      <c r="I958" s="46" t="n"/>
      <c r="J958" s="45" t="n"/>
      <c r="K958" s="205" t="n"/>
      <c r="L958" s="39" t="n"/>
      <c r="M958" s="40" t="n"/>
      <c r="N958" s="42" t="n"/>
      <c r="O958" s="42" t="n"/>
      <c r="P958" s="41" t="n"/>
      <c r="Q958" s="41" t="n"/>
    </row>
    <row r="959" ht="15.6" customHeight="1">
      <c r="A959" s="47" t="n"/>
      <c r="B959" s="48" t="n"/>
      <c r="C959" s="47" t="n"/>
      <c r="D959" s="45" t="n"/>
      <c r="E959" s="45" t="n"/>
      <c r="F959" s="45" t="n"/>
      <c r="G959" s="45" t="n"/>
      <c r="H959" s="45" t="n"/>
      <c r="I959" s="46" t="n"/>
      <c r="J959" s="45" t="n"/>
      <c r="K959" s="205" t="n"/>
      <c r="L959" s="39" t="n"/>
      <c r="M959" s="40" t="n"/>
      <c r="N959" s="42" t="n"/>
      <c r="O959" s="42" t="n"/>
      <c r="P959" s="41" t="n"/>
      <c r="Q959" s="41" t="n"/>
    </row>
    <row r="960" ht="15.6" customHeight="1">
      <c r="A960" s="47" t="n"/>
      <c r="B960" s="48" t="n"/>
      <c r="C960" s="47" t="n"/>
      <c r="D960" s="45" t="n"/>
      <c r="E960" s="45" t="n"/>
      <c r="F960" s="45" t="n"/>
      <c r="G960" s="45" t="n"/>
      <c r="H960" s="45" t="n"/>
      <c r="I960" s="46" t="n"/>
      <c r="J960" s="45" t="n"/>
      <c r="K960" s="205" t="n"/>
      <c r="L960" s="39" t="n"/>
      <c r="M960" s="40" t="n"/>
      <c r="N960" s="42" t="n"/>
      <c r="O960" s="42" t="n"/>
      <c r="P960" s="41" t="n"/>
      <c r="Q960" s="41" t="n"/>
    </row>
    <row r="961" ht="15.6" customHeight="1">
      <c r="A961" s="47" t="n"/>
      <c r="B961" s="48" t="n"/>
      <c r="C961" s="47" t="n"/>
      <c r="D961" s="45" t="n"/>
      <c r="E961" s="45" t="n"/>
      <c r="F961" s="45" t="n"/>
      <c r="G961" s="45" t="n"/>
      <c r="H961" s="45" t="n"/>
      <c r="I961" s="46" t="n"/>
      <c r="J961" s="45" t="n"/>
      <c r="K961" s="205" t="n"/>
      <c r="L961" s="39" t="n"/>
      <c r="M961" s="40" t="n"/>
      <c r="N961" s="42" t="n"/>
      <c r="O961" s="42" t="n"/>
      <c r="P961" s="41" t="n"/>
      <c r="Q961" s="41" t="n"/>
    </row>
    <row r="962" ht="15.6" customHeight="1">
      <c r="A962" s="47" t="n"/>
      <c r="B962" s="48" t="n"/>
      <c r="C962" s="47" t="n"/>
      <c r="D962" s="45" t="n"/>
      <c r="E962" s="45" t="n"/>
      <c r="F962" s="45" t="n"/>
      <c r="G962" s="45" t="n"/>
      <c r="H962" s="45" t="n"/>
      <c r="I962" s="46" t="n"/>
      <c r="J962" s="45" t="n"/>
      <c r="K962" s="205" t="n"/>
      <c r="L962" s="39" t="n"/>
      <c r="M962" s="40" t="n"/>
      <c r="N962" s="42" t="n"/>
      <c r="O962" s="42" t="n"/>
      <c r="P962" s="41" t="n"/>
      <c r="Q962" s="41" t="n"/>
    </row>
    <row r="963" ht="15.6" customHeight="1">
      <c r="A963" s="47" t="n"/>
      <c r="B963" s="48" t="n"/>
      <c r="C963" s="47" t="n"/>
      <c r="D963" s="45" t="n"/>
      <c r="E963" s="45" t="n"/>
      <c r="F963" s="45" t="n"/>
      <c r="G963" s="45" t="n"/>
      <c r="H963" s="45" t="n"/>
      <c r="I963" s="46" t="n"/>
      <c r="J963" s="45" t="n"/>
      <c r="K963" s="205" t="n"/>
      <c r="L963" s="39" t="n"/>
      <c r="M963" s="40" t="n"/>
      <c r="N963" s="42" t="n"/>
      <c r="O963" s="42" t="n"/>
      <c r="P963" s="41" t="n"/>
      <c r="Q963" s="41" t="n"/>
    </row>
    <row r="964" ht="15.6" customHeight="1">
      <c r="A964" s="47" t="n"/>
      <c r="B964" s="48" t="n"/>
      <c r="C964" s="47" t="n"/>
      <c r="D964" s="45" t="n"/>
      <c r="E964" s="45" t="n"/>
      <c r="F964" s="45" t="n"/>
      <c r="G964" s="45" t="n"/>
      <c r="H964" s="45" t="n"/>
      <c r="I964" s="46" t="n"/>
      <c r="J964" s="45" t="n"/>
      <c r="K964" s="205" t="n"/>
      <c r="L964" s="39" t="n"/>
      <c r="M964" s="40" t="n"/>
      <c r="N964" s="42" t="n"/>
      <c r="O964" s="42" t="n"/>
      <c r="P964" s="41" t="n"/>
      <c r="Q964" s="41" t="n"/>
    </row>
    <row r="965" ht="15.6" customHeight="1">
      <c r="A965" s="47" t="n"/>
      <c r="B965" s="48" t="n"/>
      <c r="C965" s="47" t="n"/>
      <c r="D965" s="45" t="n"/>
      <c r="E965" s="45" t="n"/>
      <c r="F965" s="45" t="n"/>
      <c r="G965" s="45" t="n"/>
      <c r="H965" s="45" t="n"/>
      <c r="I965" s="46" t="n"/>
      <c r="J965" s="45" t="n"/>
      <c r="K965" s="205" t="n"/>
      <c r="L965" s="39" t="n"/>
      <c r="M965" s="40" t="n"/>
      <c r="N965" s="42" t="n"/>
      <c r="O965" s="42" t="n"/>
      <c r="P965" s="41" t="n"/>
      <c r="Q965" s="41" t="n"/>
    </row>
    <row r="966" ht="15.6" customHeight="1">
      <c r="A966" s="47" t="n"/>
      <c r="B966" s="48" t="n"/>
      <c r="C966" s="47" t="n"/>
      <c r="D966" s="45" t="n"/>
      <c r="E966" s="45" t="n"/>
      <c r="F966" s="45" t="n"/>
      <c r="G966" s="45" t="n"/>
      <c r="H966" s="45" t="n"/>
      <c r="I966" s="46" t="n"/>
      <c r="J966" s="45" t="n"/>
      <c r="K966" s="205" t="n"/>
      <c r="L966" s="39" t="n"/>
      <c r="M966" s="40" t="n"/>
      <c r="N966" s="42" t="n"/>
      <c r="O966" s="42" t="n"/>
      <c r="P966" s="41" t="n"/>
      <c r="Q966" s="41" t="n"/>
    </row>
    <row r="967" ht="15.6" customHeight="1">
      <c r="A967" s="47" t="n"/>
      <c r="B967" s="48" t="n"/>
      <c r="C967" s="47" t="n"/>
      <c r="D967" s="45" t="n"/>
      <c r="E967" s="45" t="n"/>
      <c r="F967" s="45" t="n"/>
      <c r="G967" s="45" t="n"/>
      <c r="H967" s="45" t="n"/>
      <c r="I967" s="46" t="n"/>
      <c r="J967" s="45" t="n"/>
      <c r="K967" s="205" t="n"/>
      <c r="L967" s="39" t="n"/>
      <c r="M967" s="40" t="n"/>
      <c r="N967" s="42" t="n"/>
      <c r="O967" s="42" t="n"/>
      <c r="P967" s="41" t="n"/>
      <c r="Q967" s="41" t="n"/>
    </row>
    <row r="968" ht="15.6" customHeight="1">
      <c r="A968" s="47" t="n"/>
      <c r="B968" s="48" t="n"/>
      <c r="C968" s="47" t="n"/>
      <c r="D968" s="45" t="n"/>
      <c r="E968" s="45" t="n"/>
      <c r="F968" s="45" t="n"/>
      <c r="G968" s="45" t="n"/>
      <c r="H968" s="45" t="n"/>
      <c r="I968" s="46" t="n"/>
      <c r="J968" s="45" t="n"/>
      <c r="K968" s="205" t="n"/>
      <c r="L968" s="39" t="n"/>
      <c r="M968" s="40" t="n"/>
      <c r="N968" s="42" t="n"/>
      <c r="O968" s="42" t="n"/>
      <c r="P968" s="41" t="n"/>
      <c r="Q968" s="41" t="n"/>
    </row>
    <row r="969" ht="15.6" customHeight="1">
      <c r="A969" s="47" t="n"/>
      <c r="B969" s="48" t="n"/>
      <c r="C969" s="47" t="n"/>
      <c r="D969" s="45" t="n"/>
      <c r="E969" s="45" t="n"/>
      <c r="F969" s="45" t="n"/>
      <c r="G969" s="45" t="n"/>
      <c r="H969" s="45" t="n"/>
      <c r="I969" s="46" t="n"/>
      <c r="J969" s="45" t="n"/>
      <c r="K969" s="205" t="n"/>
      <c r="L969" s="39" t="n"/>
      <c r="M969" s="40" t="n"/>
      <c r="N969" s="42" t="n"/>
      <c r="O969" s="42" t="n"/>
      <c r="P969" s="41" t="n"/>
      <c r="Q969" s="41" t="n"/>
    </row>
    <row r="970" ht="15.6" customHeight="1">
      <c r="A970" s="47" t="n"/>
      <c r="B970" s="48" t="n"/>
      <c r="C970" s="47" t="n"/>
      <c r="D970" s="45" t="n"/>
      <c r="E970" s="45" t="n"/>
      <c r="F970" s="45" t="n"/>
      <c r="G970" s="45" t="n"/>
      <c r="H970" s="45" t="n"/>
      <c r="I970" s="46" t="n"/>
      <c r="J970" s="45" t="n"/>
      <c r="K970" s="205" t="n"/>
      <c r="L970" s="39" t="n"/>
      <c r="M970" s="40" t="n"/>
      <c r="N970" s="42" t="n"/>
      <c r="O970" s="42" t="n"/>
      <c r="P970" s="41" t="n"/>
      <c r="Q970" s="41" t="n"/>
    </row>
    <row r="971" ht="15.6" customHeight="1">
      <c r="A971" s="47" t="n"/>
      <c r="B971" s="48" t="n"/>
      <c r="C971" s="47" t="n"/>
      <c r="D971" s="45" t="n"/>
      <c r="E971" s="45" t="n"/>
      <c r="F971" s="45" t="n"/>
      <c r="G971" s="45" t="n"/>
      <c r="H971" s="45" t="n"/>
      <c r="I971" s="46" t="n"/>
      <c r="J971" s="45" t="n"/>
      <c r="K971" s="205" t="n"/>
      <c r="L971" s="39" t="n"/>
      <c r="M971" s="40" t="n"/>
      <c r="N971" s="42" t="n"/>
      <c r="O971" s="42" t="n"/>
      <c r="P971" s="41" t="n"/>
      <c r="Q971" s="41" t="n"/>
    </row>
    <row r="972" ht="15.6" customHeight="1">
      <c r="A972" s="47" t="n"/>
      <c r="B972" s="48" t="n"/>
      <c r="C972" s="47" t="n"/>
      <c r="D972" s="45" t="n"/>
      <c r="E972" s="45" t="n"/>
      <c r="F972" s="45" t="n"/>
      <c r="G972" s="45" t="n"/>
      <c r="H972" s="45" t="n"/>
      <c r="I972" s="46" t="n"/>
      <c r="J972" s="45" t="n"/>
      <c r="K972" s="205" t="n"/>
      <c r="L972" s="39" t="n"/>
      <c r="M972" s="40" t="n"/>
      <c r="N972" s="42" t="n"/>
      <c r="O972" s="42" t="n"/>
      <c r="P972" s="41" t="n"/>
      <c r="Q972" s="41" t="n"/>
    </row>
    <row r="973" ht="15.6" customHeight="1">
      <c r="A973" s="47" t="n"/>
      <c r="B973" s="48" t="n"/>
      <c r="C973" s="47" t="n"/>
      <c r="D973" s="45" t="n"/>
      <c r="E973" s="45" t="n"/>
      <c r="F973" s="45" t="n"/>
      <c r="G973" s="45" t="n"/>
      <c r="H973" s="45" t="n"/>
      <c r="I973" s="46" t="n"/>
      <c r="J973" s="45" t="n"/>
      <c r="K973" s="205" t="n"/>
      <c r="L973" s="39" t="n"/>
      <c r="M973" s="40" t="n"/>
      <c r="N973" s="42" t="n"/>
      <c r="O973" s="42" t="n"/>
      <c r="P973" s="41" t="n"/>
      <c r="Q973" s="41" t="n"/>
    </row>
    <row r="974" ht="15.6" customHeight="1">
      <c r="A974" s="47" t="n"/>
      <c r="B974" s="48" t="n"/>
      <c r="C974" s="47" t="n"/>
      <c r="D974" s="45" t="n"/>
      <c r="E974" s="45" t="n"/>
      <c r="F974" s="45" t="n"/>
      <c r="G974" s="45" t="n"/>
      <c r="H974" s="45" t="n"/>
      <c r="I974" s="46" t="n"/>
      <c r="J974" s="45" t="n"/>
      <c r="K974" s="205" t="n"/>
      <c r="L974" s="39" t="n"/>
      <c r="M974" s="40" t="n"/>
      <c r="N974" s="42" t="n"/>
      <c r="O974" s="42" t="n"/>
      <c r="P974" s="41" t="n"/>
      <c r="Q974" s="41" t="n"/>
    </row>
    <row r="975" ht="15.6" customHeight="1">
      <c r="A975" s="47" t="n"/>
      <c r="B975" s="48" t="n"/>
      <c r="C975" s="47" t="n"/>
      <c r="D975" s="45" t="n"/>
      <c r="E975" s="45" t="n"/>
      <c r="F975" s="45" t="n"/>
      <c r="G975" s="45" t="n"/>
      <c r="H975" s="45" t="n"/>
      <c r="I975" s="46" t="n"/>
      <c r="J975" s="45" t="n"/>
      <c r="K975" s="205" t="n"/>
      <c r="L975" s="39" t="n"/>
      <c r="M975" s="40" t="n"/>
      <c r="N975" s="42" t="n"/>
      <c r="O975" s="42" t="n"/>
      <c r="P975" s="41" t="n"/>
      <c r="Q975" s="41" t="n"/>
    </row>
    <row r="976" ht="15.6" customHeight="1">
      <c r="A976" s="47" t="n"/>
      <c r="B976" s="48" t="n"/>
      <c r="C976" s="47" t="n"/>
      <c r="D976" s="45" t="n"/>
      <c r="E976" s="45" t="n"/>
      <c r="F976" s="45" t="n"/>
      <c r="G976" s="45" t="n"/>
      <c r="H976" s="45" t="n"/>
      <c r="I976" s="46" t="n"/>
      <c r="J976" s="45" t="n"/>
      <c r="K976" s="205" t="n"/>
      <c r="L976" s="39" t="n"/>
      <c r="M976" s="40" t="n"/>
      <c r="N976" s="42" t="n"/>
      <c r="O976" s="42" t="n"/>
      <c r="P976" s="41" t="n"/>
      <c r="Q976" s="41" t="n"/>
    </row>
    <row r="977" ht="15.6" customHeight="1">
      <c r="A977" s="47" t="n"/>
      <c r="B977" s="48" t="n"/>
      <c r="C977" s="47" t="n"/>
      <c r="D977" s="45" t="n"/>
      <c r="E977" s="45" t="n"/>
      <c r="F977" s="45" t="n"/>
      <c r="G977" s="45" t="n"/>
      <c r="H977" s="45" t="n"/>
      <c r="I977" s="46" t="n"/>
      <c r="J977" s="45" t="n"/>
      <c r="K977" s="205" t="n"/>
      <c r="L977" s="39" t="n"/>
      <c r="M977" s="40" t="n"/>
      <c r="N977" s="42" t="n"/>
      <c r="O977" s="42" t="n"/>
      <c r="P977" s="41" t="n"/>
      <c r="Q977" s="41" t="n"/>
    </row>
    <row r="978" ht="15.6" customHeight="1">
      <c r="A978" s="47" t="n"/>
      <c r="B978" s="48" t="n"/>
      <c r="C978" s="47" t="n"/>
      <c r="D978" s="45" t="n"/>
      <c r="E978" s="45" t="n"/>
      <c r="F978" s="45" t="n"/>
      <c r="G978" s="45" t="n"/>
      <c r="H978" s="45" t="n"/>
      <c r="I978" s="46" t="n"/>
      <c r="J978" s="45" t="n"/>
      <c r="K978" s="205" t="n"/>
      <c r="L978" s="39" t="n"/>
      <c r="M978" s="40" t="n"/>
      <c r="N978" s="42" t="n"/>
      <c r="O978" s="42" t="n"/>
      <c r="P978" s="41" t="n"/>
      <c r="Q978" s="41" t="n"/>
    </row>
    <row r="979" ht="15.6" customHeight="1">
      <c r="A979" s="47" t="n"/>
      <c r="B979" s="48" t="n"/>
      <c r="C979" s="47" t="n"/>
      <c r="D979" s="45" t="n"/>
      <c r="E979" s="45" t="n"/>
      <c r="F979" s="45" t="n"/>
      <c r="G979" s="45" t="n"/>
      <c r="H979" s="45" t="n"/>
      <c r="I979" s="46" t="n"/>
      <c r="J979" s="45" t="n"/>
      <c r="K979" s="205" t="n"/>
      <c r="L979" s="39" t="n"/>
      <c r="M979" s="40" t="n"/>
      <c r="N979" s="42" t="n"/>
      <c r="O979" s="42" t="n"/>
      <c r="P979" s="41" t="n"/>
      <c r="Q979" s="41" t="n"/>
    </row>
    <row r="980" ht="15.6" customHeight="1">
      <c r="A980" s="47" t="n"/>
      <c r="B980" s="48" t="n"/>
      <c r="C980" s="47" t="n"/>
      <c r="D980" s="45" t="n"/>
      <c r="E980" s="45" t="n"/>
      <c r="F980" s="45" t="n"/>
      <c r="G980" s="45" t="n"/>
      <c r="H980" s="45" t="n"/>
      <c r="I980" s="46" t="n"/>
      <c r="J980" s="45" t="n"/>
      <c r="K980" s="205" t="n"/>
      <c r="L980" s="39" t="n"/>
      <c r="M980" s="40" t="n"/>
      <c r="N980" s="42" t="n"/>
      <c r="O980" s="42" t="n"/>
      <c r="P980" s="41" t="n"/>
      <c r="Q980" s="41" t="n"/>
    </row>
    <row r="981" ht="15.6" customHeight="1">
      <c r="A981" s="47" t="n"/>
      <c r="B981" s="48" t="n"/>
      <c r="C981" s="47" t="n"/>
      <c r="D981" s="45" t="n"/>
      <c r="E981" s="45" t="n"/>
      <c r="F981" s="45" t="n"/>
      <c r="G981" s="45" t="n"/>
      <c r="H981" s="45" t="n"/>
      <c r="I981" s="46" t="n"/>
      <c r="J981" s="45" t="n"/>
      <c r="K981" s="205" t="n"/>
      <c r="L981" s="39" t="n"/>
      <c r="M981" s="40" t="n"/>
      <c r="N981" s="42" t="n"/>
      <c r="O981" s="42" t="n"/>
      <c r="P981" s="41" t="n"/>
      <c r="Q981" s="41" t="n"/>
    </row>
    <row r="982" ht="15.6" customHeight="1">
      <c r="A982" s="47" t="n"/>
      <c r="B982" s="48" t="n"/>
      <c r="C982" s="47" t="n"/>
      <c r="D982" s="45" t="n"/>
      <c r="E982" s="45" t="n"/>
      <c r="F982" s="45" t="n"/>
      <c r="G982" s="45" t="n"/>
      <c r="H982" s="45" t="n"/>
      <c r="I982" s="46" t="n"/>
      <c r="J982" s="45" t="n"/>
      <c r="K982" s="205" t="n"/>
      <c r="L982" s="39" t="n"/>
      <c r="M982" s="40" t="n"/>
      <c r="N982" s="42" t="n"/>
      <c r="O982" s="42" t="n"/>
      <c r="P982" s="41" t="n"/>
      <c r="Q982" s="41" t="n"/>
    </row>
    <row r="983" ht="15.6" customHeight="1">
      <c r="A983" s="47" t="n"/>
      <c r="B983" s="48" t="n"/>
      <c r="C983" s="47" t="n"/>
      <c r="D983" s="45" t="n"/>
      <c r="E983" s="45" t="n"/>
      <c r="F983" s="45" t="n"/>
      <c r="G983" s="45" t="n"/>
      <c r="H983" s="45" t="n"/>
      <c r="I983" s="46" t="n"/>
      <c r="J983" s="45" t="n"/>
      <c r="K983" s="205" t="n"/>
      <c r="L983" s="39" t="n"/>
      <c r="M983" s="40" t="n"/>
      <c r="N983" s="42" t="n"/>
      <c r="O983" s="42" t="n"/>
      <c r="P983" s="41" t="n"/>
      <c r="Q983" s="41" t="n"/>
    </row>
    <row r="984" ht="15.6" customHeight="1">
      <c r="A984" s="47" t="n"/>
      <c r="B984" s="48" t="n"/>
      <c r="C984" s="47" t="n"/>
      <c r="D984" s="45" t="n"/>
      <c r="E984" s="45" t="n"/>
      <c r="F984" s="45" t="n"/>
      <c r="G984" s="45" t="n"/>
      <c r="H984" s="45" t="n"/>
      <c r="I984" s="46" t="n"/>
      <c r="J984" s="45" t="n"/>
      <c r="K984" s="205" t="n"/>
      <c r="L984" s="39" t="n"/>
      <c r="M984" s="40" t="n"/>
      <c r="N984" s="42" t="n"/>
      <c r="O984" s="42" t="n"/>
      <c r="P984" s="41" t="n"/>
      <c r="Q984" s="41" t="n"/>
    </row>
    <row r="985" ht="15.6" customHeight="1">
      <c r="A985" s="47" t="n"/>
      <c r="B985" s="48" t="n"/>
      <c r="C985" s="47" t="n"/>
      <c r="D985" s="45" t="n"/>
      <c r="E985" s="45" t="n"/>
      <c r="F985" s="45" t="n"/>
      <c r="G985" s="45" t="n"/>
      <c r="H985" s="45" t="n"/>
      <c r="I985" s="46" t="n"/>
      <c r="J985" s="45" t="n"/>
      <c r="K985" s="205" t="n"/>
      <c r="L985" s="39" t="n"/>
      <c r="M985" s="40" t="n"/>
      <c r="N985" s="42" t="n"/>
      <c r="O985" s="42" t="n"/>
      <c r="P985" s="41" t="n"/>
      <c r="Q985" s="41" t="n"/>
    </row>
    <row r="986" ht="15.6" customHeight="1">
      <c r="A986" s="47" t="n"/>
      <c r="B986" s="48" t="n"/>
      <c r="C986" s="47" t="n"/>
      <c r="D986" s="45" t="n"/>
      <c r="E986" s="45" t="n"/>
      <c r="F986" s="45" t="n"/>
      <c r="G986" s="45" t="n"/>
      <c r="H986" s="45" t="n"/>
      <c r="I986" s="46" t="n"/>
      <c r="J986" s="45" t="n"/>
      <c r="K986" s="205" t="n"/>
      <c r="L986" s="39" t="n"/>
      <c r="M986" s="40" t="n"/>
      <c r="N986" s="42" t="n"/>
      <c r="O986" s="42" t="n"/>
      <c r="P986" s="41" t="n"/>
      <c r="Q986" s="41" t="n"/>
    </row>
    <row r="987" ht="15.6" customHeight="1">
      <c r="A987" s="47" t="n"/>
      <c r="B987" s="48" t="n"/>
      <c r="C987" s="47" t="n"/>
      <c r="D987" s="45" t="n"/>
      <c r="E987" s="45" t="n"/>
      <c r="F987" s="45" t="n"/>
      <c r="G987" s="45" t="n"/>
      <c r="H987" s="45" t="n"/>
      <c r="I987" s="46" t="n"/>
      <c r="J987" s="45" t="n"/>
      <c r="K987" s="205" t="n"/>
      <c r="L987" s="39" t="n"/>
      <c r="M987" s="40" t="n"/>
      <c r="N987" s="42" t="n"/>
      <c r="O987" s="42" t="n"/>
      <c r="P987" s="41" t="n"/>
      <c r="Q987" s="41" t="n"/>
    </row>
    <row r="988" ht="15.6" customHeight="1">
      <c r="A988" s="47" t="n"/>
      <c r="B988" s="48" t="n"/>
      <c r="C988" s="47" t="n"/>
      <c r="D988" s="45" t="n"/>
      <c r="E988" s="45" t="n"/>
      <c r="F988" s="45" t="n"/>
      <c r="G988" s="45" t="n"/>
      <c r="H988" s="45" t="n"/>
      <c r="I988" s="46" t="n"/>
      <c r="J988" s="45" t="n"/>
      <c r="K988" s="205" t="n"/>
      <c r="L988" s="39" t="n"/>
      <c r="M988" s="40" t="n"/>
      <c r="N988" s="42" t="n"/>
      <c r="O988" s="42" t="n"/>
      <c r="P988" s="41" t="n"/>
      <c r="Q988" s="41" t="n"/>
    </row>
    <row r="989" ht="15.6" customHeight="1">
      <c r="A989" s="47" t="n"/>
      <c r="B989" s="48" t="n"/>
      <c r="C989" s="47" t="n"/>
      <c r="D989" s="45" t="n"/>
      <c r="E989" s="45" t="n"/>
      <c r="F989" s="45" t="n"/>
      <c r="G989" s="45" t="n"/>
      <c r="H989" s="45" t="n"/>
      <c r="I989" s="46" t="n"/>
      <c r="J989" s="45" t="n"/>
      <c r="K989" s="205" t="n"/>
      <c r="L989" s="39" t="n"/>
      <c r="M989" s="40" t="n"/>
      <c r="N989" s="42" t="n"/>
      <c r="O989" s="42" t="n"/>
      <c r="P989" s="41" t="n"/>
      <c r="Q989" s="41" t="n"/>
    </row>
    <row r="990" ht="15.6" customHeight="1">
      <c r="A990" s="47" t="n"/>
      <c r="B990" s="48" t="n"/>
      <c r="C990" s="47" t="n"/>
      <c r="D990" s="45" t="n"/>
      <c r="E990" s="45" t="n"/>
      <c r="F990" s="45" t="n"/>
      <c r="G990" s="45" t="n"/>
      <c r="H990" s="45" t="n"/>
      <c r="I990" s="46" t="n"/>
      <c r="J990" s="45" t="n"/>
      <c r="K990" s="205" t="n"/>
      <c r="L990" s="39" t="n"/>
      <c r="M990" s="40" t="n"/>
      <c r="N990" s="42" t="n"/>
      <c r="O990" s="42" t="n"/>
      <c r="P990" s="41" t="n"/>
      <c r="Q990" s="41" t="n"/>
    </row>
    <row r="991" ht="15.6" customHeight="1">
      <c r="A991" s="47" t="n"/>
      <c r="B991" s="48" t="n"/>
      <c r="C991" s="47" t="n"/>
      <c r="D991" s="45" t="n"/>
      <c r="E991" s="45" t="n"/>
      <c r="F991" s="45" t="n"/>
      <c r="G991" s="45" t="n"/>
      <c r="H991" s="45" t="n"/>
      <c r="I991" s="46" t="n"/>
      <c r="J991" s="45" t="n"/>
      <c r="K991" s="205" t="n"/>
      <c r="L991" s="39" t="n"/>
      <c r="M991" s="40" t="n"/>
      <c r="N991" s="42" t="n"/>
      <c r="O991" s="42" t="n"/>
      <c r="P991" s="41" t="n"/>
      <c r="Q991" s="41" t="n"/>
    </row>
    <row r="992" ht="15.6" customHeight="1">
      <c r="A992" s="47" t="n"/>
      <c r="B992" s="48" t="n"/>
      <c r="C992" s="47" t="n"/>
      <c r="D992" s="45" t="n"/>
      <c r="E992" s="45" t="n"/>
      <c r="F992" s="45" t="n"/>
      <c r="G992" s="45" t="n"/>
      <c r="H992" s="45" t="n"/>
      <c r="I992" s="46" t="n"/>
      <c r="J992" s="45" t="n"/>
      <c r="K992" s="205" t="n"/>
      <c r="L992" s="39" t="n"/>
      <c r="M992" s="40" t="n"/>
      <c r="N992" s="42" t="n"/>
      <c r="O992" s="42" t="n"/>
      <c r="P992" s="41" t="n"/>
      <c r="Q992" s="41" t="n"/>
    </row>
    <row r="993" ht="15.6" customHeight="1">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1" dxfId="100">
      <formula>AND($A367&lt;&gt;"",$L367=TODAY())</formula>
    </cfRule>
    <cfRule type="expression" priority="2" dxfId="96">
      <formula>AND($A367&lt;&gt;"",MOD(ROW(),2)=0)</formula>
    </cfRule>
  </conditionalFormatting>
  <conditionalFormatting sqref="A4:B366 A367:A992 B372:B992 C4:C992">
    <cfRule type="expression" priority="163" dxfId="74">
      <formula>$F4="Critical"</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B367:B537">
    <cfRule type="expression" priority="3" dxfId="72">
      <formula>$F367="AOG"</formula>
    </cfRule>
    <cfRule type="expression" priority="4" dxfId="74">
      <formula>$F367="Critical"</formula>
    </cfRule>
    <cfRule type="expression" priority="5" dxfId="96">
      <formula>AND($A367&lt;&gt;"",MOD(ROW(),2)=0)</formula>
    </cfRule>
  </conditionalFormatting>
  <conditionalFormatting sqref="A4:B366 A367:A992 B372:B992">
    <cfRule type="expression" priority="54" dxfId="72">
      <formula>$F4="AOG"</formula>
    </cfRule>
  </conditionalFormatting>
  <conditionalFormatting sqref="B401:B415 B402:C413">
    <cfRule type="expression" priority="6" dxfId="74">
      <formula>$F401="Critical"</formula>
    </cfRule>
  </conditionalFormatting>
  <conditionalFormatting sqref="C4:C184">
    <cfRule type="expression" priority="8" dxfId="72">
      <formula>$F4="AOG"</formula>
    </cfRule>
    <cfRule type="expression" priority="9" dxfId="74">
      <formula>$F4="Critical"</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expression" priority="166" dxfId="74">
      <formula>$F4="Critical"</formula>
    </cfRule>
    <cfRule type="cellIs" priority="166" operator="equal" dxfId="73">
      <formula>"Closed"</formula>
    </cfRule>
    <cfRule type="expression" priority="166" dxfId="72">
      <formula>$F4="AOG"</formula>
    </cfRule>
    <cfRule type="cellIs" priority="166" operator="equal" dxfId="71">
      <formula>"Deferred"</formula>
    </cfRule>
  </conditionalFormatting>
  <conditionalFormatting sqref="F4:F992">
    <cfRule type="cellIs" priority="64" operator="equal" dxfId="70">
      <formula>"Normal"</formula>
    </cfRule>
    <cfRule type="cellIs" priority="109" operator="equal" dxfId="69">
      <formula>"AOG"</formula>
    </cfRule>
    <cfRule type="cellIs" priority="110" operator="equal" dxfId="68">
      <formula>"Critical"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B4:B1004">
    <cfRule type="expression" priority="69" dxfId="142">
      <formula>OR($F4="AOG",$F4="Critical")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14.1" customHeight="1">
      <c r="A4" s="145" t="inlineStr">
        <is>
          <t>TOTAL WOs</t>
        </is>
      </c>
      <c r="B4" s="146" t="inlineStr">
        <is>
          <t>CLOSED</t>
        </is>
      </c>
      <c r="C4" s="147" t="inlineStr">
        <is>
          <t>OPEN</t>
        </is>
      </c>
      <c r="D4" s="148" t="inlineStr">
        <is>
          <t>HPC ⏳</t>
        </is>
      </c>
      <c r="E4" s="149" t="inlineStr">
        <is>
          <t>🔴 AOG</t>
        </is>
      </c>
      <c r="F4" s="150" t="inlineStr">
        <is>
          <t>⚠️ CRITICAL</t>
        </is>
      </c>
      <c r="G4" s="151"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195" t="n"/>
      <c r="B61" s="195" t="n"/>
      <c r="C61" s="195" t="n"/>
      <c r="D61" s="195" t="n"/>
      <c r="E61" s="195" t="n"/>
      <c r="F61" s="195" t="n"/>
      <c r="G61" s="195" t="n"/>
    </row>
    <row r="62" ht="17.1" customHeight="1">
      <c r="A62" s="336">
        <f>"🔧 PARTS  —  Requested: "&amp;(COUNTIFS('HZ-ASD Tracker'!$A$5:$A$993,"&lt;&gt;",'HZ-ASD Tracker'!$H$5:$H$993,"Requested")+COUNTIFS('HZ-ASD Tracker'!$A$5:$A$993,"&lt;&gt;",'HZ-ASD Tracker'!$H$5:$H$993,"Requested - R")+COUNTIFS('HZ-ASD Tracker'!$A$5:$A$993,"&lt;&gt;",'HZ-ASD Tracker'!$H$5:$H$993,"Requested - CR"))&amp;"      ·      Pending EVAL: "&amp;COUNTIFS('HZ-ASD Tracker'!$A$5:$A$993,"&lt;&gt;",'HZ-ASD Tracker'!$H$5:$H$993,"Pending EVAL")</f>
        <v/>
      </c>
    </row>
    <row r="63" ht="17.1" customHeight="1">
      <c r="A63" s="336">
        <f>"⚙️ Deferred: "&amp;COUNTIFS('HZ-ASD Tracker'!$A$5:$A$993,"&lt;&gt;",'HZ-ASD Tracker'!$E$5:$E$993,"Deferred")&amp;"   ·   On Hold: "&amp;COUNTIFS('HZ-ASD Tracker'!$A$5:$A$993,"&lt;&gt;",'HZ-ASD Tracker'!$E$5:$E$993,"On Hold")&amp;"   ·   N/A: "&amp;COUNTIFS('HZ-ASD Tracker'!$A$5:$A$993,"&lt;&gt;",'HZ-ASD Tracker'!$E$5:$E$993,"N/A")&amp;"        🚨 AOG open: "&amp;COUNTIFS('HZ-ASD Tracker'!$A$5:$A$993,"&lt;&gt;",'HZ-ASD Tracker'!$F$5:$F$993,"AOG",'HZ-ASD Tracker'!$E$5:$E$993,"&lt;&gt;Closed")&amp;"   ·   Critical open: "&amp;COUNTIFS('HZ-ASD Tracker'!$A$5:$A$993,"&lt;&gt;",'HZ-ASD Tracker'!$F$5:$F$993,"Critical",'HZ-ASD Tracker'!$E$5:$E$993,"&lt;&gt;Closed")&amp;"   ·   🔁 Reopened: "&amp;SUMPRODUCT(('HZ-ASD Tracker'!$M$5:$M$993&lt;&gt;"")*('HZ-ASD Tracker'!$E$5:$E$993&lt;&gt;"Closed")*('HZ-ASD Tracker'!$A$5:$A$993&lt;&gt;""))</f>
        <v/>
      </c>
    </row>
    <row r="64" ht="18" customHeight="1">
      <c r="A64" s="337">
        <f>"🕐 WORKLOAD — Est "&amp;TEXT(SUM('HZ-ASD Tracker'!$N$5:$N$993),"#,##0")&amp;" MH  ·  Booked "&amp;TEXT(SUM('HZ-ASD Tracker'!$P$5:$P$993),"#,##0")&amp;"  ·  Closed "&amp;TEXT(SUMIFS('HZ-ASD Tracker'!$N$5:$N$993,'HZ-ASD Tracker'!$E$5:$E$993,"Closed"),"#,##0")&amp;"  ·  MH "&amp;TEXT(IFERROR(SUMIFS('HZ-ASD Tracker'!$N$5:$N$993,'HZ-ASD Tracker'!$E$5:$E$993,"Closed")/SUM('HZ-ASD Tracker'!$N$5:$N$993),0),"0%")&amp;" vs cards "&amp;TEXT(IFERROR(COUNTIFS('HZ-ASD Tracker'!$A$5:$A$993,"&lt;&gt;",'HZ-ASD Tracker'!$E$5:$E$993,"Closed")/COUNTIF('HZ-ASD Tracker'!$A$5:$A$993,"&lt;&gt;"),0),"0%")&amp;"  ·  cabin "&amp;TEXT(IFERROR(SUM('HZ-ASD Tracker'!$N$5:$N$993)/SUM('FULL PKG'!$E$2:$E$2000),0),"0%")&amp;" of acft pkg"</f>
        <v/>
      </c>
    </row>
    <row r="65" ht="17.1" customHeight="1">
      <c r="A65" s="338" t="n"/>
    </row>
    <row r="66" ht="18" customHeight="1">
      <c r="A66" s="329" t="inlineStr">
        <is>
          <t xml:space="preserve">  WORKLOAD BY SPECIALTY  (Est MH)</t>
        </is>
      </c>
      <c r="C66" s="163" t="inlineStr">
        <is>
          <t>Est MH</t>
        </is>
      </c>
      <c r="D66" s="163" t="inlineStr">
        <is>
          <t>Booked</t>
        </is>
      </c>
      <c r="E66" s="163" t="inlineStr">
        <is>
          <t>Share %</t>
        </is>
      </c>
      <c r="F66" s="164" t="n"/>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1" t="n"/>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1" t="n"/>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1" t="n"/>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1" t="n"/>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1" t="n"/>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1" t="n"/>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1" t="n"/>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1" t="n"/>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1" t="n"/>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"&amp;TEXT(IFERROR(COUNTIFS('HZ-ASD Tracker'!$A$5:$A$993,"&lt;&gt;",'HZ-ASD Tracker'!$E$5:$E$993,"Closed")/COUNTIF('HZ-ASD Tracker'!$A$5:$A$993,"&lt;&gt;"),0),"0%")&amp;"   ·   Non-cabin: "&amp;TEXT(IFERROR((COUNTIF('FULL PKG'!$H$2:$H$3000,"Closed")-COUNTIFS('HZ-ASD Tracker'!$A$5:$A$993,"&lt;&gt;",'HZ-ASD Tracker'!$E$5:$E$993,"Closed"))/MAX(COUNTIF('FULL PKG'!$B$2:$B$3000,"&lt;&gt;")-COUNTIF('HZ-ASD Tracker'!$A$5:$A$993,"&lt;&gt;"),1),0),"0%")&amp;"   ·   Whole pkg: "&amp;TEXT(IFERROR(COUNTIF('FULL PKG'!$H$2:$H$3000,"Closed")/COUNTIF('FULL PKG'!$B$2:$B$3000,"&lt;&gt;"),0),"0%")&amp;"   ·   cabin share of pkg closures: "&amp;TEXT(IFERROR(COUNTIFS('HZ-ASD Tracker'!$A$5:$A$993,"&lt;&gt;",'HZ-ASD Tracker'!$E$5:$E$993,"Closed")/MAX(COUNTIF('FULL PKG'!$H$2:$H$3000,"Closed"),1),0),"0%")</f>
        <v/>
      </c>
    </row>
    <row r="82" ht="15.9" customHeight="1">
      <c r="A82" s="341">
        <f>"⏱ MH CABIN — Est "&amp;TEXT(SUM('HZ-ASD Tracker'!$N$5:$N$993),"#,##0")&amp;"h · Booked "&amp;TEXT(SUM('HZ-ASD Tracker'!$P$5:$P$993),"#,##0")&amp;"h ("&amp;TEXT(IFERROR(SUM('HZ-ASD Tracker'!$P$5:$P$993)/SUM('HZ-ASD Tracker'!$N$5:$N$993),0),"0%")&amp;" of est)"</f>
        <v/>
      </c>
    </row>
    <row r="83" ht="15.9" customHeight="1">
      <c r="A83" s="341">
        <f>"⏱ MH PKG — Est "&amp;TEXT(SUM('FULL PKG'!$E$2:$E$3000),"#,##0")&amp;"h · Booked "&amp;TEXT(SUM('FULL PKG'!$F$2:$F$3000),"#,##0")&amp;"h ("&amp;TEXT(IFERROR(SUM('FULL PKG'!$F$2:$F$3000)/SUM('FULL PKG'!$E$2:$E$3000),0),"0%")&amp;")  ·  cabin est share "&amp;TEXT(IFERROR(SUM('HZ-ASD Tracker'!$N$5:$N$993)/SUM('FULL PKG'!$E$2:$E$3000),0),"0%")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6" customWidth="1" min="3" max="3"/>
    <col width="52" customWidth="1" min="4" max="4"/>
    <col width="17" customWidth="1" min="5" max="5"/>
    <col width="28" customWidth="1" min="6" max="6"/>
    <col width="7" customWidth="1" min="7" max="7"/>
    <col width="6" customWidth="1" min="8" max="8"/>
    <col width="17" customWidth="1" min="9" max="9"/>
    <col width="16" customWidth="1" min="10" max="10"/>
    <col width="12" customWidth="1" min="11" max="11"/>
    <col width="24" customWidth="1" min="12" max="12"/>
    <col width="12" customWidth="1" min="13" max="13"/>
  </cols>
  <sheetData>
    <row r="1" ht="26" customHeight="1">
      <c r="A1" s="417" t="inlineStr">
        <is>
          <t>AOG / MATERIAL — CABIN CARDS · HZ-ASD C2+6Y · 31-Jul-2026</t>
        </is>
      </c>
    </row>
    <row r="2" ht="20" customHeight="1">
      <c r="A2" s="418">
        <f>"Part lines: "&amp;COUNTIF($B$5:$B$200,"&lt;&gt;")&amp;"     ·     🔴 NOT AVAILABLE: "&amp;COUNTIF($I$5:$I$200,"NOT AVAILABLE")&amp;"     ·     🟢 AVAILABLE: "&amp;COUNTIF($I$5:$I$200,"AVAILABLE")&amp;"     ·     🟠 ORDERED: "&amp;COUNTIF($I$5:$I$200,"ORDERED")&amp;"     ·     🚚 TRANSFER: "&amp;COUNTIF($I$5:$I$200,"TRANSFER NEEDED")</f>
        <v/>
      </c>
    </row>
    <row r="4" ht="24" customHeight="1">
      <c r="A4" s="419" t="inlineStr">
        <is>
          <t>#</t>
        </is>
      </c>
      <c r="B4" s="419" t="inlineStr">
        <is>
          <t>WO</t>
        </is>
      </c>
      <c r="C4" s="419" t="inlineStr">
        <is>
          <t>Seq</t>
        </is>
      </c>
      <c r="D4" s="419" t="inlineStr">
        <is>
          <t>Card Description</t>
        </is>
      </c>
      <c r="E4" s="419" t="inlineStr">
        <is>
          <t>Part No.</t>
        </is>
      </c>
      <c r="F4" s="419" t="inlineStr">
        <is>
          <t>Part Description</t>
        </is>
      </c>
      <c r="G4" s="419" t="inlineStr">
        <is>
          <t>Qty</t>
        </is>
      </c>
      <c r="H4" s="419" t="inlineStr">
        <is>
          <t>Unit</t>
        </is>
      </c>
      <c r="I4" s="419" t="inlineStr">
        <is>
          <t>Availability</t>
        </is>
      </c>
      <c r="J4" s="419" t="inlineStr">
        <is>
          <t>Transfer</t>
        </is>
      </c>
      <c r="K4" s="419" t="inlineStr">
        <is>
          <t>Created</t>
        </is>
      </c>
      <c r="L4" s="419" t="inlineStr">
        <is>
          <t>Note</t>
        </is>
      </c>
      <c r="M4" s="419" t="inlineStr">
        <is>
          <t>Delivery</t>
        </is>
      </c>
    </row>
    <row r="5">
      <c r="A5" s="420">
        <f>IF($B5="","",COUNTA($B$5:$B5))</f>
        <v/>
      </c>
      <c r="B5" s="421" t="inlineStr">
        <is>
          <t>32985332</t>
        </is>
      </c>
      <c r="C5" s="422" t="n">
        <v>1038</v>
      </c>
      <c r="D5" s="423" t="inlineStr">
        <is>
          <t>CAB - NO CALL BACK L1 DOOR INBOARD F/A SEAT BELT DIRTY</t>
        </is>
      </c>
      <c r="E5" s="421" t="inlineStr">
        <is>
          <t>4115-1-131-8110</t>
        </is>
      </c>
      <c r="F5" s="423" t="inlineStr">
        <is>
          <t>RESTRNT-SYSTEM</t>
        </is>
      </c>
      <c r="G5" s="422" t="inlineStr">
        <is>
          <t>2.00</t>
        </is>
      </c>
      <c r="H5" s="422" t="inlineStr">
        <is>
          <t>EA</t>
        </is>
      </c>
      <c r="I5" s="422" t="inlineStr">
        <is>
          <t>NOT AVAILABLE</t>
        </is>
      </c>
      <c r="J5" s="422" t="inlineStr">
        <is>
          <t>—</t>
        </is>
      </c>
      <c r="K5" s="422" t="inlineStr">
        <is>
          <t>20.Jul.2026</t>
        </is>
      </c>
      <c r="L5" s="423" t="inlineStr">
        <is>
          <t>P26081726, 60 EA, EDD 10AUG26</t>
        </is>
      </c>
      <c r="M5" s="422" t="inlineStr">
        <is>
          <t>—</t>
        </is>
      </c>
    </row>
    <row r="6">
      <c r="A6" s="420">
        <f>IF($B6="","",COUNTA($B$5:$B6))</f>
        <v/>
      </c>
      <c r="B6" s="421" t="inlineStr">
        <is>
          <t>32985343</t>
        </is>
      </c>
      <c r="C6" s="422" t="n">
        <v>1045</v>
      </c>
      <c r="D6" s="423" t="inlineStr">
        <is>
          <t>CAB - NO CALLBACK L1 DOOR OUTBOARD F/A SEAT BELT DIRTY</t>
        </is>
      </c>
      <c r="E6" s="421" t="inlineStr">
        <is>
          <t>4115-1-131-8110</t>
        </is>
      </c>
      <c r="F6" s="423" t="inlineStr">
        <is>
          <t>RESTRNT-SYSTEM</t>
        </is>
      </c>
      <c r="G6" s="422" t="inlineStr">
        <is>
          <t>2.00</t>
        </is>
      </c>
      <c r="H6" s="422" t="inlineStr">
        <is>
          <t>EA</t>
        </is>
      </c>
      <c r="I6" s="422" t="inlineStr">
        <is>
          <t>NOT AVAILABLE</t>
        </is>
      </c>
      <c r="J6" s="422" t="inlineStr">
        <is>
          <t>—</t>
        </is>
      </c>
      <c r="K6" s="422" t="inlineStr">
        <is>
          <t>20.Jul.2026</t>
        </is>
      </c>
      <c r="L6" s="423" t="inlineStr">
        <is>
          <t>P26081726, 60 EA, EDD 10AUG26</t>
        </is>
      </c>
      <c r="M6" s="422" t="inlineStr">
        <is>
          <t>—</t>
        </is>
      </c>
    </row>
    <row r="7">
      <c r="A7" s="420">
        <f>IF($B7="","",COUNTA($B$5:$B7))</f>
        <v/>
      </c>
      <c r="B7" s="421" t="inlineStr">
        <is>
          <t>32985832</t>
        </is>
      </c>
      <c r="C7" s="422" t="n">
        <v>1061</v>
      </c>
      <c r="D7" s="423" t="inlineStr">
        <is>
          <t>CAB -RII DURING OXYGEN GENERATOR CHECK FOUND GREEN LANYARD MISSING AND  BRIDLE ASSY  AT SEAT# 1 AC,2AC ,4AC,5AC,30ABC,31ABC,32ABC,34ABC,35ABC,36ABC,37ABC,38ABC,40ABC,41ABC,42ABC,43ABC,44ABC,</t>
        </is>
      </c>
      <c r="E7" s="421" t="inlineStr">
        <is>
          <t>E60614-00XXXX</t>
        </is>
      </c>
      <c r="F7" s="423" t="inlineStr">
        <is>
          <t>LANYARD, GENERATOR RELEASE (GREEN)</t>
        </is>
      </c>
      <c r="G7" s="422" t="inlineStr">
        <is>
          <t>72.00</t>
        </is>
      </c>
      <c r="H7" s="422" t="inlineStr">
        <is>
          <t>EA</t>
        </is>
      </c>
      <c r="I7" s="422" t="inlineStr">
        <is>
          <t>NOT AVAILABLE</t>
        </is>
      </c>
      <c r="J7" s="422" t="inlineStr">
        <is>
          <t>—</t>
        </is>
      </c>
      <c r="K7" s="422" t="inlineStr">
        <is>
          <t>20.Jul.2026</t>
        </is>
      </c>
      <c r="L7" s="423" t="inlineStr">
        <is>
          <t>(I/W</t>
        </is>
      </c>
      <c r="M7" s="422" t="inlineStr">
        <is>
          <t>—</t>
        </is>
      </c>
    </row>
    <row r="8">
      <c r="A8" s="420">
        <f>IF($B8="","",COUNTA($B$5:$B8))</f>
        <v/>
      </c>
      <c r="B8" s="421" t="inlineStr">
        <is>
          <t>32985833</t>
        </is>
      </c>
      <c r="C8" s="422" t="n">
        <v>1062</v>
      </c>
      <c r="D8" s="423" t="inlineStr">
        <is>
          <t>CAB -RII DURING OXYGEN GENERATOR CHECK FOUND GREEN LANYARD MISSING AND  BRIDLE ASSY  AT SEAT# 2JL,4JL,30JKL,31JKL32JKL,34JKL,36JKL,37JKL,38JKL,39JKL,40JKL,41JKL,42JKL,43JKL,44JKL.</t>
        </is>
      </c>
      <c r="E8" s="421" t="inlineStr">
        <is>
          <t>E60614-00XXXX</t>
        </is>
      </c>
      <c r="F8" s="423" t="inlineStr">
        <is>
          <t>LANYARD, GENERATOR RELEASE (GREEN)</t>
        </is>
      </c>
      <c r="G8" s="422" t="inlineStr">
        <is>
          <t>72.00</t>
        </is>
      </c>
      <c r="H8" s="422" t="inlineStr">
        <is>
          <t>EA</t>
        </is>
      </c>
      <c r="I8" s="422" t="inlineStr">
        <is>
          <t>NOT AVAILABLE</t>
        </is>
      </c>
      <c r="J8" s="422" t="inlineStr">
        <is>
          <t>—</t>
        </is>
      </c>
      <c r="K8" s="422" t="inlineStr">
        <is>
          <t>20.Jul.2026</t>
        </is>
      </c>
      <c r="L8" s="423" t="inlineStr">
        <is>
          <t>(I/W</t>
        </is>
      </c>
      <c r="M8" s="422" t="inlineStr">
        <is>
          <t>—</t>
        </is>
      </c>
    </row>
    <row r="9">
      <c r="A9" s="420">
        <f>IF($B9="","",COUNTA($B$5:$B9))</f>
        <v/>
      </c>
      <c r="B9" s="421" t="inlineStr">
        <is>
          <t>32984848</t>
        </is>
      </c>
      <c r="C9" s="422" t="n">
        <v>1012</v>
      </c>
      <c r="D9" s="423" t="inlineStr">
        <is>
          <t>SM - NO CALLBACK - GALLEY G2 G2 GALLEY COMP.  205, 202, AND 209 MISSING STRIKER.</t>
        </is>
      </c>
      <c r="E9" s="421" t="inlineStr">
        <is>
          <t>SP0614</t>
        </is>
      </c>
      <c r="F9" s="423" t="inlineStr">
        <is>
          <t>STRIKER PLATE U/O PN 330SVA4RGA00</t>
        </is>
      </c>
      <c r="G9" s="422" t="n">
        <v>3</v>
      </c>
      <c r="H9" s="422" t="inlineStr">
        <is>
          <t>EA</t>
        </is>
      </c>
      <c r="I9" s="422" t="inlineStr">
        <is>
          <t>NOT AVAILABLE</t>
        </is>
      </c>
      <c r="J9" s="422" t="inlineStr">
        <is>
          <t>TRANSFER_NEEDED</t>
        </is>
      </c>
      <c r="K9" s="422" t="inlineStr">
        <is>
          <t>20.Jul.2026</t>
        </is>
      </c>
      <c r="L9" s="423" t="inlineStr"/>
      <c r="M9" s="422" t="inlineStr">
        <is>
          <t>—</t>
        </is>
      </c>
    </row>
    <row r="10">
      <c r="A10" s="420">
        <f>IF($B10="","",COUNTA($B$5:$B10))</f>
        <v/>
      </c>
      <c r="B10" s="421" t="inlineStr">
        <is>
          <t>32982200</t>
        </is>
      </c>
      <c r="C10" s="422" t="n">
        <v>972</v>
      </c>
      <c r="D10" s="423" t="inlineStr">
        <is>
          <t>RII-CAB-SWIVEL SWIVEL FLIGHT ATTENDANT SEAT REQUIRE REMOVAL FOR ACCESS</t>
        </is>
      </c>
      <c r="E10" s="421" t="inlineStr">
        <is>
          <t>3B9002-7P</t>
        </is>
      </c>
      <c r="F10" s="423" t="inlineStr">
        <is>
          <t>KIT - INSTALLATION</t>
        </is>
      </c>
      <c r="G10" s="422" t="inlineStr">
        <is>
          <t>1.00</t>
        </is>
      </c>
      <c r="H10" s="422" t="inlineStr">
        <is>
          <t>EA</t>
        </is>
      </c>
      <c r="I10" s="422" t="inlineStr">
        <is>
          <t>NOT AVAILABLE</t>
        </is>
      </c>
      <c r="J10" s="422" t="inlineStr">
        <is>
          <t>—</t>
        </is>
      </c>
      <c r="K10" s="422" t="inlineStr">
        <is>
          <t>21.Jul.2026</t>
        </is>
      </c>
      <c r="L10" s="423" t="inlineStr">
        <is>
          <t>(T18214026) , 
P26661126, 05 EA, NEW PO, EDD 04 SEP26</t>
        </is>
      </c>
      <c r="M10" s="422" t="inlineStr">
        <is>
          <t>—</t>
        </is>
      </c>
    </row>
    <row r="11">
      <c r="A11" s="420">
        <f>IF($B11="","",COUNTA($B$5:$B11))</f>
        <v/>
      </c>
      <c r="B11" s="421" t="inlineStr">
        <is>
          <t>32985832</t>
        </is>
      </c>
      <c r="C11" s="422" t="n">
        <v>1061</v>
      </c>
      <c r="D11" s="423" t="inlineStr">
        <is>
          <t>CAB -RII DURING OXYGEN GENERATOR CHECK FOUND GREEN LANYARD MISSING AND  BRIDLE ASSY  AT SEAT# 1 AC,2AC ,4AC,5AC,30ABC,31ABC,32ABC,34ABC,35ABC,36ABC,37ABC,38ABC,40ABC,41ABC,42ABC,43ABC,44ABC,</t>
        </is>
      </c>
      <c r="E11" s="421" t="inlineStr">
        <is>
          <t>E61445-00</t>
        </is>
      </c>
      <c r="F11" s="423" t="inlineStr">
        <is>
          <t>RPOE TENSIONING</t>
        </is>
      </c>
      <c r="G11" s="422" t="inlineStr">
        <is>
          <t>18.00</t>
        </is>
      </c>
      <c r="H11" s="422" t="inlineStr">
        <is>
          <t>EA</t>
        </is>
      </c>
      <c r="I11" s="422" t="inlineStr">
        <is>
          <t>NOT AVAILABLE</t>
        </is>
      </c>
      <c r="J11" s="422" t="inlineStr">
        <is>
          <t>—</t>
        </is>
      </c>
      <c r="K11" s="422" t="inlineStr">
        <is>
          <t>21.Jul.2026</t>
        </is>
      </c>
      <c r="L11" s="423" t="inlineStr">
        <is>
          <t>(I/W</t>
        </is>
      </c>
      <c r="M11" s="422" t="inlineStr">
        <is>
          <t>—</t>
        </is>
      </c>
    </row>
    <row r="12">
      <c r="A12" s="420">
        <f>IF($B12="","",COUNTA($B$5:$B12))</f>
        <v/>
      </c>
      <c r="B12" s="421" t="inlineStr">
        <is>
          <t>32985833</t>
        </is>
      </c>
      <c r="C12" s="422" t="n">
        <v>1062</v>
      </c>
      <c r="D12" s="423" t="inlineStr">
        <is>
          <t>CAB -RII DURING OXYGEN GENERATOR CHECK FOUND GREEN LANYARD MISSING AND  BRIDLE ASSY  AT SEAT# 2JL,4JL,30JKL,31JKL32JKL,34JKL,36JKL,37JKL,38JKL,39JKL,40JKL,41JKL,42JKL,43JKL,44JKL.</t>
        </is>
      </c>
      <c r="E12" s="421" t="inlineStr">
        <is>
          <t>E61445-00</t>
        </is>
      </c>
      <c r="F12" s="423" t="inlineStr">
        <is>
          <t>RPOE TENSIONING</t>
        </is>
      </c>
      <c r="G12" s="422" t="inlineStr">
        <is>
          <t>15.00</t>
        </is>
      </c>
      <c r="H12" s="422" t="inlineStr">
        <is>
          <t>EA</t>
        </is>
      </c>
      <c r="I12" s="422" t="inlineStr">
        <is>
          <t>NOT AVAILABLE</t>
        </is>
      </c>
      <c r="J12" s="422" t="inlineStr">
        <is>
          <t>—</t>
        </is>
      </c>
      <c r="K12" s="422" t="inlineStr">
        <is>
          <t>21.Jul.2026</t>
        </is>
      </c>
      <c r="L12" s="423" t="inlineStr">
        <is>
          <t>(I/W</t>
        </is>
      </c>
      <c r="M12" s="422" t="inlineStr">
        <is>
          <t>30.Jul.2026</t>
        </is>
      </c>
    </row>
    <row r="13">
      <c r="A13" s="420">
        <f>IF($B13="","",COUNTA($B$5:$B13))</f>
        <v/>
      </c>
      <c r="B13" s="421" t="inlineStr">
        <is>
          <t>32988850</t>
        </is>
      </c>
      <c r="C13" s="422" t="n">
        <v>1121</v>
      </c>
      <c r="D13" s="423" t="inlineStr">
        <is>
          <t>CAB - NO CALLBACK - FWD GALLEY FWD GALLEY 8 EA AIR FLAP SEAL DETERIORATED.</t>
        </is>
      </c>
      <c r="E13" s="421" t="inlineStr">
        <is>
          <t>SP1395</t>
        </is>
      </c>
      <c r="F13" s="423" t="inlineStr">
        <is>
          <t>VALVE ASSY-FLAP</t>
        </is>
      </c>
      <c r="G13" s="422" t="inlineStr">
        <is>
          <t>6.00</t>
        </is>
      </c>
      <c r="H13" s="422" t="inlineStr">
        <is>
          <t>EA</t>
        </is>
      </c>
      <c r="I13" s="422" t="inlineStr">
        <is>
          <t>NOT AVAILABLE</t>
        </is>
      </c>
      <c r="J13" s="422" t="inlineStr">
        <is>
          <t>—</t>
        </is>
      </c>
      <c r="K13" s="422" t="inlineStr">
        <is>
          <t>27.Jul.2026</t>
        </is>
      </c>
      <c r="L13" s="423" t="inlineStr">
        <is>
          <t>02 EA ISSUED TO ACFT, PO P26712626, 03 EA, NEW PO, U/APPROVAL.</t>
        </is>
      </c>
      <c r="M13" s="422" t="inlineStr">
        <is>
          <t>—</t>
        </is>
      </c>
    </row>
    <row r="14">
      <c r="A14" s="420">
        <f>IF($B14="","",COUNTA($B$5:$B14))</f>
        <v/>
      </c>
      <c r="B14" s="421" t="inlineStr">
        <is>
          <t>33022800</t>
        </is>
      </c>
      <c r="C14" s="422" t="n">
        <v>1343</v>
      </c>
      <c r="D14" s="423" t="inlineStr">
        <is>
          <t>CAB - NO CALLBACK - FWD FLOOR MAT J/C ENTRY WAY AND FWD GALLEY FLOOR MAT REQUIRE REPLACEMENT.</t>
        </is>
      </c>
      <c r="E14" s="421" t="inlineStr">
        <is>
          <t>918J8028</t>
        </is>
      </c>
      <c r="F14" s="423" t="inlineStr">
        <is>
          <t>SEALANT GERFLOR FLOOR MAT</t>
        </is>
      </c>
      <c r="G14" s="422" t="inlineStr">
        <is>
          <t>4.00</t>
        </is>
      </c>
      <c r="H14" s="422" t="inlineStr">
        <is>
          <t>EA</t>
        </is>
      </c>
      <c r="I14" s="422" t="inlineStr">
        <is>
          <t>NOT AVAILABLE</t>
        </is>
      </c>
      <c r="J14" s="422" t="inlineStr">
        <is>
          <t>—</t>
        </is>
      </c>
      <c r="K14" s="422" t="inlineStr">
        <is>
          <t>28.Jul.2026</t>
        </is>
      </c>
      <c r="L14" s="423" t="inlineStr">
        <is>
          <t>PO shipped DHL AWB#1799713963 , DELIVERED   *IK</t>
        </is>
      </c>
      <c r="M14" s="422" t="inlineStr">
        <is>
          <t>—</t>
        </is>
      </c>
    </row>
    <row r="15">
      <c r="A15" s="420">
        <f>IF($B15="","",COUNTA($B$5:$B15))</f>
        <v/>
      </c>
      <c r="B15" s="421" t="inlineStr">
        <is>
          <t>33025667</t>
        </is>
      </c>
      <c r="C15" s="422" t="n">
        <v>1360</v>
      </c>
      <c r="D15" s="423" t="inlineStr">
        <is>
          <t>CAB - RII - R2 DOOR PANEL ASSY-FLOOR L2 &amp; R2 DOOR PANEL FLOOR ASSY  WITH DAMAGE</t>
        </is>
      </c>
      <c r="E15" s="421" t="inlineStr">
        <is>
          <t>D5367680500300</t>
        </is>
      </c>
      <c r="F15" s="423" t="inlineStr">
        <is>
          <t>PANEL ASSY-FLOOR</t>
        </is>
      </c>
      <c r="G15" s="422" t="inlineStr">
        <is>
          <t>1.00</t>
        </is>
      </c>
      <c r="H15" s="422" t="inlineStr">
        <is>
          <t>EA</t>
        </is>
      </c>
      <c r="I15" s="422" t="inlineStr">
        <is>
          <t>NOT AVAILABLE</t>
        </is>
      </c>
      <c r="J15" s="422" t="inlineStr">
        <is>
          <t>—</t>
        </is>
      </c>
      <c r="K15" s="422" t="inlineStr">
        <is>
          <t>28.Jul.2026</t>
        </is>
      </c>
      <c r="L15" s="423" t="inlineStr"/>
      <c r="M15" s="422" t="inlineStr">
        <is>
          <t>—</t>
        </is>
      </c>
    </row>
    <row r="16">
      <c r="A16" s="420">
        <f>IF($B16="","",COUNTA($B$5:$B16))</f>
        <v/>
      </c>
      <c r="B16" s="421" t="inlineStr">
        <is>
          <t>33023803</t>
        </is>
      </c>
      <c r="C16" s="422" t="n">
        <v>1356</v>
      </c>
      <c r="D16" s="423" t="inlineStr">
        <is>
          <t>CAB - RII - 3RD OCCUPANT FLIGHT DECK 3RD OCCUPANT LOWER SHROUD NEXT TO LIFE VEST COVER DEFORMED.</t>
        </is>
      </c>
      <c r="E16" s="421" t="inlineStr">
        <is>
          <t>16800-01-00</t>
        </is>
      </c>
      <c r="F16" s="423" t="inlineStr">
        <is>
          <t>THIRD OCCUPANT SEAT ASSY</t>
        </is>
      </c>
      <c r="G16" s="422" t="inlineStr">
        <is>
          <t>1.00</t>
        </is>
      </c>
      <c r="H16" s="422" t="inlineStr">
        <is>
          <t>EA</t>
        </is>
      </c>
      <c r="I16" s="422" t="inlineStr">
        <is>
          <t>NOT AVAILABLE</t>
        </is>
      </c>
      <c r="J16" s="422" t="inlineStr">
        <is>
          <t>TRANSFER_NEEDED</t>
        </is>
      </c>
      <c r="K16" s="422" t="inlineStr">
        <is>
          <t>28.Jul.2026</t>
        </is>
      </c>
      <c r="L16" s="423" t="inlineStr">
        <is>
          <t>AVBL</t>
        </is>
      </c>
      <c r="M16" s="422" t="inlineStr">
        <is>
          <t>—</t>
        </is>
      </c>
    </row>
    <row r="17">
      <c r="A17" s="420">
        <f>IF($B17="","",COUNTA($B$5:$B17))</f>
        <v/>
      </c>
      <c r="B17" s="421" t="inlineStr">
        <is>
          <t>33022670</t>
        </is>
      </c>
      <c r="C17" s="422" t="n">
        <v>1342</v>
      </c>
      <c r="D17" s="423" t="inlineStr">
        <is>
          <t>CAB - NO CALL BACK - GALLEY G2 GALLEY FOOT STEP LEVER MISSING</t>
        </is>
      </c>
      <c r="E17" s="421" t="inlineStr">
        <is>
          <t>3212MU01SA41</t>
        </is>
      </c>
      <c r="F17" s="423" t="inlineStr">
        <is>
          <t>FOOTSTEP ASSY</t>
        </is>
      </c>
      <c r="G17" s="422" t="inlineStr">
        <is>
          <t>1.00</t>
        </is>
      </c>
      <c r="H17" s="422" t="inlineStr">
        <is>
          <t>EA</t>
        </is>
      </c>
      <c r="I17" s="422" t="inlineStr">
        <is>
          <t>NOT AVAILABLE</t>
        </is>
      </c>
      <c r="J17" s="422" t="inlineStr">
        <is>
          <t>—</t>
        </is>
      </c>
      <c r="K17" s="422" t="inlineStr">
        <is>
          <t>30.Jul.2026</t>
        </is>
      </c>
      <c r="L17" s="423" t="inlineStr"/>
      <c r="M17" s="422" t="inlineStr">
        <is>
          <t>—</t>
        </is>
      </c>
    </row>
    <row r="18">
      <c r="A18" s="420">
        <f>IF($B18="","",COUNTA($B$5:$B18))</f>
        <v/>
      </c>
      <c r="B18" s="421" t="inlineStr">
        <is>
          <t>32985350</t>
        </is>
      </c>
      <c r="C18" s="422" t="n">
        <v>1049</v>
      </c>
      <c r="D18" s="423" t="inlineStr">
        <is>
          <t>CAB - NO CALLBACK L1 DOOR OUTBOARD F/A SEAT LOWER BACK CUSHION WORN OUT</t>
        </is>
      </c>
      <c r="E18" s="421" t="inlineStr">
        <is>
          <t>2E7002-11APX</t>
        </is>
      </c>
      <c r="F18" s="423" t="inlineStr">
        <is>
          <t>COVER ASSY-BACK</t>
        </is>
      </c>
      <c r="G18" s="422" t="inlineStr">
        <is>
          <t>1.00</t>
        </is>
      </c>
      <c r="H18" s="422" t="inlineStr">
        <is>
          <t>EA</t>
        </is>
      </c>
      <c r="I18" s="422" t="inlineStr">
        <is>
          <t>NOT AVAILABLE</t>
        </is>
      </c>
      <c r="J18" s="422" t="inlineStr">
        <is>
          <t>—</t>
        </is>
      </c>
      <c r="K18" s="422" t="inlineStr">
        <is>
          <t>30.Jul.2026</t>
        </is>
      </c>
      <c r="L18" s="423" t="inlineStr">
        <is>
          <t>(SIT,DHL) DHL 3896281771, EDD 29JUL26. , P25997026, 10 EA. ,
03 EA ISSUED TO ACFT, AVBL (RUH=1).</t>
        </is>
      </c>
      <c r="M18" s="422" t="inlineStr">
        <is>
          <t>—</t>
        </is>
      </c>
    </row>
    <row r="19">
      <c r="A19" s="420">
        <f>IF($B19="","",COUNTA($B$5:$B19))</f>
        <v/>
      </c>
      <c r="B19" s="421" t="inlineStr">
        <is>
          <t>32985304</t>
        </is>
      </c>
      <c r="C19" s="422" t="n">
        <v>1036</v>
      </c>
      <c r="D19" s="423" t="inlineStr">
        <is>
          <t>CAB - NO CALLBACK L1 DOOR INBOARD F/A SEAT LOWER BACK CUSHION WORN OUT</t>
        </is>
      </c>
      <c r="E19" s="421" t="inlineStr">
        <is>
          <t>2E7002-11APX</t>
        </is>
      </c>
      <c r="F19" s="423" t="inlineStr">
        <is>
          <t>COVER ASSY-BACK</t>
        </is>
      </c>
      <c r="G19" s="422" t="inlineStr">
        <is>
          <t>1.00</t>
        </is>
      </c>
      <c r="H19" s="422" t="inlineStr">
        <is>
          <t>EA</t>
        </is>
      </c>
      <c r="I19" s="422" t="inlineStr">
        <is>
          <t>NOT AVAILABLE</t>
        </is>
      </c>
      <c r="J19" s="422" t="inlineStr">
        <is>
          <t>—</t>
        </is>
      </c>
      <c r="K19" s="422" t="inlineStr">
        <is>
          <t>30.Jul.2026</t>
        </is>
      </c>
      <c r="L19" s="423" t="inlineStr">
        <is>
          <t>(SIT,DHL) DHL 3896281771, EDD 29JUL26. , P25997026, 10 EA. ,
03 EA ISSUED TO ACFT, AVBL (RUH=1).</t>
        </is>
      </c>
      <c r="M19" s="422" t="inlineStr">
        <is>
          <t>—</t>
        </is>
      </c>
    </row>
    <row r="20">
      <c r="A20" s="420">
        <f>IF($B20="","",COUNTA($B$5:$B20))</f>
        <v/>
      </c>
      <c r="B20" s="421" t="inlineStr">
        <is>
          <t>32985304</t>
        </is>
      </c>
      <c r="C20" s="422" t="n">
        <v>1036</v>
      </c>
      <c r="D20" s="423" t="inlineStr">
        <is>
          <t>CAB - NO CALLBACK L1 DOOR INBOARD F/A SEAT LOWER BACK CUSHION WORN OUT</t>
        </is>
      </c>
      <c r="E20" s="421" t="inlineStr">
        <is>
          <t>2E7003-1</t>
        </is>
      </c>
      <c r="F20" s="423" t="inlineStr">
        <is>
          <t>CUSHION-BACK</t>
        </is>
      </c>
      <c r="G20" s="422" t="inlineStr">
        <is>
          <t>1.00</t>
        </is>
      </c>
      <c r="H20" s="422" t="inlineStr">
        <is>
          <t>EA</t>
        </is>
      </c>
      <c r="I20" s="422" t="inlineStr">
        <is>
          <t>NOT AVAILABLE</t>
        </is>
      </c>
      <c r="J20" s="422" t="inlineStr">
        <is>
          <t>—</t>
        </is>
      </c>
      <c r="K20" s="422" t="inlineStr">
        <is>
          <t>30.Jul.2026</t>
        </is>
      </c>
      <c r="L20" s="423" t="inlineStr">
        <is>
          <t>AVBL (JED=1,RUH=5).</t>
        </is>
      </c>
      <c r="M20" s="422" t="inlineStr">
        <is>
          <t>—</t>
        </is>
      </c>
    </row>
    <row r="21">
      <c r="A21" s="420">
        <f>IF($B21="","",COUNTA($B$5:$B21))</f>
        <v/>
      </c>
      <c r="B21" s="421" t="inlineStr">
        <is>
          <t>32982202</t>
        </is>
      </c>
      <c r="C21" s="422" t="n">
        <v>973</v>
      </c>
      <c r="D21" s="423" t="inlineStr">
        <is>
          <t>RII-CALLBACK-R2 DOUBLE WALL-MOUNTED R2 DOUBLE WALL-MOUNTED FLIGHT ATTENDANT SEAT REQUIRE REMOVAL FOR ACCESS</t>
        </is>
      </c>
      <c r="E21" s="421" t="inlineStr">
        <is>
          <t>2E1135-0532</t>
        </is>
      </c>
      <c r="F21" s="423" t="inlineStr">
        <is>
          <t>WASHER</t>
        </is>
      </c>
      <c r="G21" s="422" t="n">
        <v>8</v>
      </c>
      <c r="H21" s="422" t="inlineStr">
        <is>
          <t>EA</t>
        </is>
      </c>
      <c r="I21" s="422" t="inlineStr">
        <is>
          <t>NOT AVAILABLE</t>
        </is>
      </c>
      <c r="J21" s="422" t="inlineStr">
        <is>
          <t>—</t>
        </is>
      </c>
      <c r="K21" s="422" t="inlineStr">
        <is>
          <t>30.Jul.2026</t>
        </is>
      </c>
      <c r="L21" s="423" t="inlineStr"/>
      <c r="M21" s="422" t="inlineStr">
        <is>
          <t>—</t>
        </is>
      </c>
    </row>
    <row r="22">
      <c r="A22" s="420">
        <f>IF($B22="","",COUNTA($B$5:$B22))</f>
        <v/>
      </c>
      <c r="B22" s="421" t="inlineStr">
        <is>
          <t>32991511</t>
        </is>
      </c>
      <c r="C22" s="422" t="n">
        <v>1202</v>
      </c>
      <c r="D22" s="423" t="inlineStr">
        <is>
          <t>CAB - RII - LAV E LAV E ACCESS DOOR WASTE COMPARTMENT WITH SMALL CRACK NEXT TO LATCH.</t>
        </is>
      </c>
      <c r="E22" s="421" t="inlineStr">
        <is>
          <t>A225400429-750</t>
        </is>
      </c>
      <c r="F22" s="423" t="inlineStr">
        <is>
          <t>DOOR ASSY-WASHBASIN</t>
        </is>
      </c>
      <c r="G22" s="422" t="n">
        <v>1</v>
      </c>
      <c r="H22" s="422" t="inlineStr">
        <is>
          <t>EA</t>
        </is>
      </c>
      <c r="I22" s="422" t="inlineStr">
        <is>
          <t>NOT AVAILABLE</t>
        </is>
      </c>
      <c r="J22" s="422" t="inlineStr">
        <is>
          <t>—</t>
        </is>
      </c>
      <c r="K22" s="422" t="inlineStr">
        <is>
          <t>30.Jul.2026</t>
        </is>
      </c>
      <c r="L22" s="423" t="inlineStr"/>
      <c r="M22" s="422" t="inlineStr">
        <is>
          <t>—</t>
        </is>
      </c>
    </row>
    <row r="23">
      <c r="A23" s="420">
        <f>IF($B23="","",COUNTA($B$5:$B23))</f>
        <v/>
      </c>
      <c r="B23" s="421" t="inlineStr">
        <is>
          <t>32985350</t>
        </is>
      </c>
      <c r="C23" s="422" t="n">
        <v>1049</v>
      </c>
      <c r="D23" s="423" t="inlineStr">
        <is>
          <t>CAB - NO CALLBACK L1 DOOR OUTBOARD F/A SEAT LOWER BACK CUSHION WORN OUT</t>
        </is>
      </c>
      <c r="E23" s="421" t="inlineStr">
        <is>
          <t>2E7003-1</t>
        </is>
      </c>
      <c r="F23" s="423" t="inlineStr">
        <is>
          <t>CUSHION-BACK</t>
        </is>
      </c>
      <c r="G23" s="422" t="inlineStr">
        <is>
          <t>1.00</t>
        </is>
      </c>
      <c r="H23" s="422" t="inlineStr">
        <is>
          <t>EA</t>
        </is>
      </c>
      <c r="I23" s="422" t="inlineStr">
        <is>
          <t>NOT AVAILABLE</t>
        </is>
      </c>
      <c r="J23" s="422" t="inlineStr">
        <is>
          <t>—</t>
        </is>
      </c>
      <c r="K23" s="422" t="inlineStr">
        <is>
          <t>30.Jul.2026</t>
        </is>
      </c>
      <c r="L23" s="423" t="inlineStr">
        <is>
          <t>AVBL (JED=1,RUH=5).</t>
        </is>
      </c>
      <c r="M23" s="422" t="inlineStr">
        <is>
          <t>—</t>
        </is>
      </c>
    </row>
    <row r="24">
      <c r="A24" s="420">
        <f>IF($B24="","",COUNTA($B$5:$B24))</f>
        <v/>
      </c>
      <c r="B24" s="421" t="inlineStr">
        <is>
          <t>32982199</t>
        </is>
      </c>
      <c r="C24" s="422" t="n">
        <v>971</v>
      </c>
      <c r="D24" s="423" t="inlineStr">
        <is>
          <t>RII-CAB-L1 INBOARD AND OUTBOARD L1 INBOARD AND OUTBOARD WALL-MOUNTED FLIGHT ATTENDANT SEAT REQUIRE REMOVAL FOR ACCESS.</t>
        </is>
      </c>
      <c r="E24" s="421" t="inlineStr">
        <is>
          <t>2E1135-0532</t>
        </is>
      </c>
      <c r="F24" s="423" t="inlineStr">
        <is>
          <t>WASHER</t>
        </is>
      </c>
      <c r="G24" s="422" t="inlineStr">
        <is>
          <t>12.00</t>
        </is>
      </c>
      <c r="H24" s="422" t="inlineStr">
        <is>
          <t>EA</t>
        </is>
      </c>
      <c r="I24" s="422" t="inlineStr">
        <is>
          <t>NOT AVAILABLE</t>
        </is>
      </c>
      <c r="J24" s="422" t="inlineStr">
        <is>
          <t>—</t>
        </is>
      </c>
      <c r="K24" s="422" t="inlineStr">
        <is>
          <t>30.Jul.2026</t>
        </is>
      </c>
      <c r="L24" s="423" t="inlineStr"/>
      <c r="M24" s="422" t="inlineStr">
        <is>
          <t>—</t>
        </is>
      </c>
    </row>
    <row r="25">
      <c r="A25" s="420">
        <f>IF($B25="","",COUNTA($B$5:$B25))</f>
        <v/>
      </c>
      <c r="B25" s="421" t="inlineStr">
        <is>
          <t>33019264</t>
        </is>
      </c>
      <c r="C25" s="422" t="inlineStr">
        <is>
          <t>1321</t>
        </is>
      </c>
      <c r="D25" s="423" t="inlineStr">
        <is>
          <t>ESCAPE SLIDE -RII FWD PAX DOOR L/H ESCAPE SLIDE RQE REMOVED FOR ACCESS  P/N : D30664-709         S/N: M18949</t>
        </is>
      </c>
      <c r="E25" s="421" t="inlineStr">
        <is>
          <t>FE240-221-001</t>
        </is>
      </c>
      <c r="F25" s="423" t="inlineStr">
        <is>
          <t>DIAPHRAGM SEAL</t>
        </is>
      </c>
      <c r="G25" s="422" t="inlineStr">
        <is>
          <t>1.00</t>
        </is>
      </c>
      <c r="H25" s="422" t="inlineStr">
        <is>
          <t>EA</t>
        </is>
      </c>
      <c r="I25" s="422" t="inlineStr">
        <is>
          <t>NOT AVAILABLE</t>
        </is>
      </c>
      <c r="J25" s="422" t="inlineStr">
        <is>
          <t>—</t>
        </is>
      </c>
      <c r="K25" s="422" t="inlineStr"/>
      <c r="L25" s="423" t="inlineStr"/>
      <c r="M25" s="422" t="inlineStr">
        <is>
          <t>—</t>
        </is>
      </c>
    </row>
    <row r="26">
      <c r="A26" s="420">
        <f>IF($B26="","",COUNTA($B$5:$B26))</f>
        <v/>
      </c>
      <c r="B26" s="421" t="inlineStr">
        <is>
          <t>33019327</t>
        </is>
      </c>
      <c r="C26" s="422" t="inlineStr">
        <is>
          <t>1323</t>
        </is>
      </c>
      <c r="D26" s="423" t="inlineStr">
        <is>
          <t>ESCAPE SLIDE RII FWD PAX DOOR ESCAPE SLIDE R/H RQE REMOVAL FOR ACCESS  PN/: D30664-709             S/N : C0740</t>
        </is>
      </c>
      <c r="E26" s="421" t="inlineStr">
        <is>
          <t>FE240-221-001</t>
        </is>
      </c>
      <c r="F26" s="423" t="inlineStr">
        <is>
          <t>DIAPHRAGM SEAL</t>
        </is>
      </c>
      <c r="G26" s="422" t="inlineStr">
        <is>
          <t>1.00</t>
        </is>
      </c>
      <c r="H26" s="422" t="inlineStr">
        <is>
          <t>EA</t>
        </is>
      </c>
      <c r="I26" s="422" t="inlineStr">
        <is>
          <t>NOT AVAILABLE</t>
        </is>
      </c>
      <c r="J26" s="422" t="inlineStr">
        <is>
          <t>—</t>
        </is>
      </c>
      <c r="K26" s="422" t="inlineStr"/>
      <c r="L26" s="423" t="inlineStr"/>
      <c r="M26" s="422" t="inlineStr">
        <is>
          <t>—</t>
        </is>
      </c>
    </row>
    <row r="27">
      <c r="A27" s="420">
        <f>IF($B27="","",COUNTA($B$5:$B27))</f>
        <v/>
      </c>
      <c r="B27" s="421" t="inlineStr">
        <is>
          <t>33019384</t>
        </is>
      </c>
      <c r="C27" s="422" t="inlineStr">
        <is>
          <t>1324</t>
        </is>
      </c>
      <c r="D27" s="423" t="inlineStr">
        <is>
          <t>ESCAPE SLIDE RII AFT PAX DOOR ESCAPE SLIDE R/H RQE REMOVED FOR ACCESS  PN/ D30665-709        SN/ M8479</t>
        </is>
      </c>
      <c r="E27" s="421" t="inlineStr">
        <is>
          <t>FE240-221-001</t>
        </is>
      </c>
      <c r="F27" s="423" t="inlineStr">
        <is>
          <t>DIAPHRAGM SEAL</t>
        </is>
      </c>
      <c r="G27" s="422" t="inlineStr">
        <is>
          <t>1.00</t>
        </is>
      </c>
      <c r="H27" s="422" t="inlineStr">
        <is>
          <t>EA</t>
        </is>
      </c>
      <c r="I27" s="422" t="inlineStr">
        <is>
          <t>NOT AVAILABLE</t>
        </is>
      </c>
      <c r="J27" s="422" t="inlineStr">
        <is>
          <t>—</t>
        </is>
      </c>
      <c r="K27" s="422" t="inlineStr"/>
      <c r="L27" s="423" t="inlineStr"/>
      <c r="M27" s="422" t="inlineStr">
        <is>
          <t>—</t>
        </is>
      </c>
    </row>
    <row r="28">
      <c r="A28" s="420">
        <f>IF($B28="","",COUNTA($B$5:$B28))</f>
        <v/>
      </c>
      <c r="B28" s="421" t="inlineStr">
        <is>
          <t>32982199</t>
        </is>
      </c>
      <c r="C28" s="422" t="n">
        <v>971</v>
      </c>
      <c r="D28" s="423" t="inlineStr">
        <is>
          <t>RII-CAB-L1 INBOARD AND OUTBOARD L1 INBOARD AND OUTBOARD WALL-MOUNTED FLIGHT ATTENDANT SEAT REQUIRE REMOVAL FOR ACCESS.</t>
        </is>
      </c>
      <c r="E28" s="421" t="inlineStr">
        <is>
          <t>2E1135-0533</t>
        </is>
      </c>
      <c r="F28" s="423" t="inlineStr">
        <is>
          <t>WASHER</t>
        </is>
      </c>
      <c r="G28" s="422" t="n">
        <v>12</v>
      </c>
      <c r="H28" s="422" t="inlineStr">
        <is>
          <t>EA</t>
        </is>
      </c>
      <c r="I28" s="422" t="inlineStr">
        <is>
          <t>NOT AVAILABLE</t>
        </is>
      </c>
      <c r="J28" s="422" t="inlineStr">
        <is>
          <t>—</t>
        </is>
      </c>
      <c r="K28" s="422" t="inlineStr"/>
      <c r="L28" s="423" t="inlineStr"/>
      <c r="M28" s="422" t="inlineStr">
        <is>
          <t>—</t>
        </is>
      </c>
    </row>
    <row r="29">
      <c r="A29" s="420">
        <f>IF($B29="","",COUNTA($B$5:$B29))</f>
        <v/>
      </c>
      <c r="B29" s="421" t="n"/>
      <c r="C29" s="422" t="n"/>
      <c r="D29" s="423" t="n"/>
      <c r="E29" s="421" t="n"/>
      <c r="F29" s="423" t="n"/>
      <c r="G29" s="422" t="n"/>
      <c r="H29" s="422" t="n"/>
      <c r="I29" s="422" t="n"/>
      <c r="J29" s="422" t="n"/>
      <c r="K29" s="422" t="n"/>
      <c r="L29" s="423" t="n"/>
      <c r="M29" s="422" t="n"/>
    </row>
    <row r="30">
      <c r="A30" s="420">
        <f>IF($B30="","",COUNTA($B$5:$B30))</f>
        <v/>
      </c>
      <c r="B30" s="421" t="n"/>
      <c r="C30" s="422" t="n"/>
      <c r="D30" s="423" t="n"/>
      <c r="E30" s="421" t="n"/>
      <c r="F30" s="423" t="n"/>
      <c r="G30" s="422" t="n"/>
      <c r="H30" s="422" t="n"/>
      <c r="I30" s="422" t="n"/>
      <c r="J30" s="422" t="n"/>
      <c r="K30" s="422" t="n"/>
      <c r="L30" s="423" t="n"/>
      <c r="M30" s="422" t="n"/>
    </row>
    <row r="31">
      <c r="A31" s="420">
        <f>IF($B31="","",COUNTA($B$5:$B31))</f>
        <v/>
      </c>
      <c r="B31" s="421" t="n"/>
      <c r="C31" s="422" t="n"/>
      <c r="D31" s="423" t="n"/>
      <c r="E31" s="421" t="n"/>
      <c r="F31" s="423" t="n"/>
      <c r="G31" s="422" t="n"/>
      <c r="H31" s="422" t="n"/>
      <c r="I31" s="422" t="n"/>
      <c r="J31" s="422" t="n"/>
      <c r="K31" s="422" t="n"/>
      <c r="L31" s="423" t="n"/>
      <c r="M31" s="422" t="n"/>
    </row>
    <row r="32">
      <c r="A32" s="420">
        <f>IF($B32="","",COUNTA($B$5:$B32))</f>
        <v/>
      </c>
      <c r="B32" s="421" t="n"/>
      <c r="C32" s="422" t="n"/>
      <c r="D32" s="423" t="n"/>
      <c r="E32" s="421" t="n"/>
      <c r="F32" s="423" t="n"/>
      <c r="G32" s="422" t="n"/>
      <c r="H32" s="422" t="n"/>
      <c r="I32" s="422" t="n"/>
      <c r="J32" s="422" t="n"/>
      <c r="K32" s="422" t="n"/>
      <c r="L32" s="423" t="n"/>
      <c r="M32" s="422" t="n"/>
    </row>
    <row r="33">
      <c r="A33" s="420">
        <f>IF($B33="","",COUNTA($B$5:$B33))</f>
        <v/>
      </c>
      <c r="B33" s="421" t="n"/>
      <c r="C33" s="422" t="n"/>
      <c r="D33" s="423" t="n"/>
      <c r="E33" s="421" t="n"/>
      <c r="F33" s="423" t="n"/>
      <c r="G33" s="422" t="n"/>
      <c r="H33" s="422" t="n"/>
      <c r="I33" s="422" t="n"/>
      <c r="J33" s="422" t="n"/>
      <c r="K33" s="422" t="n"/>
      <c r="L33" s="423" t="n"/>
      <c r="M33" s="422" t="n"/>
    </row>
    <row r="34">
      <c r="A34" s="420">
        <f>IF($B34="","",COUNTA($B$5:$B34))</f>
        <v/>
      </c>
      <c r="B34" s="421" t="n"/>
      <c r="C34" s="422" t="n"/>
      <c r="D34" s="423" t="n"/>
      <c r="E34" s="421" t="n"/>
      <c r="F34" s="423" t="n"/>
      <c r="G34" s="422" t="n"/>
      <c r="H34" s="422" t="n"/>
      <c r="I34" s="422" t="n"/>
      <c r="J34" s="422" t="n"/>
      <c r="K34" s="422" t="n"/>
      <c r="L34" s="423" t="n"/>
      <c r="M34" s="422" t="n"/>
    </row>
    <row r="35">
      <c r="A35" s="420">
        <f>IF($B35="","",COUNTA($B$5:$B35))</f>
        <v/>
      </c>
      <c r="B35" s="421" t="n"/>
      <c r="C35" s="422" t="n"/>
      <c r="D35" s="423" t="n"/>
      <c r="E35" s="421" t="n"/>
      <c r="F35" s="423" t="n"/>
      <c r="G35" s="422" t="n"/>
      <c r="H35" s="422" t="n"/>
      <c r="I35" s="422" t="n"/>
      <c r="J35" s="422" t="n"/>
      <c r="K35" s="422" t="n"/>
      <c r="L35" s="423" t="n"/>
      <c r="M35" s="422" t="n"/>
    </row>
    <row r="36">
      <c r="A36" s="420">
        <f>IF($B36="","",COUNTA($B$5:$B36))</f>
        <v/>
      </c>
      <c r="B36" s="421" t="n"/>
      <c r="C36" s="422" t="n"/>
      <c r="D36" s="423" t="n"/>
      <c r="E36" s="421" t="n"/>
      <c r="F36" s="423" t="n"/>
      <c r="G36" s="422" t="n"/>
      <c r="H36" s="422" t="n"/>
      <c r="I36" s="422" t="n"/>
      <c r="J36" s="422" t="n"/>
      <c r="K36" s="422" t="n"/>
      <c r="L36" s="423" t="n"/>
      <c r="M36" s="422" t="n"/>
    </row>
    <row r="37">
      <c r="A37" s="420">
        <f>IF($B37="","",COUNTA($B$5:$B37))</f>
        <v/>
      </c>
      <c r="B37" s="421" t="n"/>
      <c r="C37" s="422" t="n"/>
      <c r="D37" s="423" t="n"/>
      <c r="E37" s="421" t="n"/>
      <c r="F37" s="423" t="n"/>
      <c r="G37" s="422" t="n"/>
      <c r="H37" s="422" t="n"/>
      <c r="I37" s="422" t="n"/>
      <c r="J37" s="422" t="n"/>
      <c r="K37" s="422" t="n"/>
      <c r="L37" s="423" t="n"/>
      <c r="M37" s="422" t="n"/>
    </row>
    <row r="38">
      <c r="A38" s="420">
        <f>IF($B38="","",COUNTA($B$5:$B38))</f>
        <v/>
      </c>
      <c r="B38" s="421" t="n"/>
      <c r="C38" s="422" t="n"/>
      <c r="D38" s="423" t="n"/>
      <c r="E38" s="421" t="n"/>
      <c r="F38" s="423" t="n"/>
      <c r="G38" s="422" t="n"/>
      <c r="H38" s="422" t="n"/>
      <c r="I38" s="422" t="n"/>
      <c r="J38" s="422" t="n"/>
      <c r="K38" s="422" t="n"/>
      <c r="L38" s="423" t="n"/>
      <c r="M38" s="422" t="n"/>
    </row>
    <row r="39">
      <c r="A39" s="420">
        <f>IF($B39="","",COUNTA($B$5:$B39))</f>
        <v/>
      </c>
      <c r="B39" s="421" t="n"/>
      <c r="C39" s="422" t="n"/>
      <c r="D39" s="423" t="n"/>
      <c r="E39" s="421" t="n"/>
      <c r="F39" s="423" t="n"/>
      <c r="G39" s="422" t="n"/>
      <c r="H39" s="422" t="n"/>
      <c r="I39" s="422" t="n"/>
      <c r="J39" s="422" t="n"/>
      <c r="K39" s="422" t="n"/>
      <c r="L39" s="423" t="n"/>
      <c r="M39" s="422" t="n"/>
    </row>
    <row r="40">
      <c r="A40" s="420">
        <f>IF($B40="","",COUNTA($B$5:$B40))</f>
        <v/>
      </c>
      <c r="B40" s="421" t="n"/>
      <c r="C40" s="422" t="n"/>
      <c r="D40" s="423" t="n"/>
      <c r="E40" s="421" t="n"/>
      <c r="F40" s="423" t="n"/>
      <c r="G40" s="422" t="n"/>
      <c r="H40" s="422" t="n"/>
      <c r="I40" s="422" t="n"/>
      <c r="J40" s="422" t="n"/>
      <c r="K40" s="422" t="n"/>
      <c r="L40" s="423" t="n"/>
      <c r="M40" s="422" t="n"/>
    </row>
    <row r="41">
      <c r="A41" s="420">
        <f>IF($B41="","",COUNTA($B$5:$B41))</f>
        <v/>
      </c>
      <c r="B41" s="421" t="n"/>
      <c r="C41" s="422" t="n"/>
      <c r="D41" s="423" t="n"/>
      <c r="E41" s="421" t="n"/>
      <c r="F41" s="423" t="n"/>
      <c r="G41" s="422" t="n"/>
      <c r="H41" s="422" t="n"/>
      <c r="I41" s="422" t="n"/>
      <c r="J41" s="422" t="n"/>
      <c r="K41" s="422" t="n"/>
      <c r="L41" s="423" t="n"/>
      <c r="M41" s="422" t="n"/>
    </row>
    <row r="42">
      <c r="A42" s="420">
        <f>IF($B42="","",COUNTA($B$5:$B42))</f>
        <v/>
      </c>
      <c r="B42" s="421" t="n"/>
      <c r="C42" s="422" t="n"/>
      <c r="D42" s="423" t="n"/>
      <c r="E42" s="421" t="n"/>
      <c r="F42" s="423" t="n"/>
      <c r="G42" s="422" t="n"/>
      <c r="H42" s="422" t="n"/>
      <c r="I42" s="422" t="n"/>
      <c r="J42" s="422" t="n"/>
      <c r="K42" s="422" t="n"/>
      <c r="L42" s="423" t="n"/>
      <c r="M42" s="422" t="n"/>
    </row>
    <row r="43">
      <c r="A43" s="420">
        <f>IF($B43="","",COUNTA($B$5:$B43))</f>
        <v/>
      </c>
      <c r="B43" s="421" t="n"/>
      <c r="C43" s="422" t="n"/>
      <c r="D43" s="423" t="n"/>
      <c r="E43" s="421" t="n"/>
      <c r="F43" s="423" t="n"/>
      <c r="G43" s="422" t="n"/>
      <c r="H43" s="422" t="n"/>
      <c r="I43" s="422" t="n"/>
      <c r="J43" s="422" t="n"/>
      <c r="K43" s="422" t="n"/>
      <c r="L43" s="423" t="n"/>
      <c r="M43" s="422" t="n"/>
    </row>
    <row r="44">
      <c r="A44" s="420">
        <f>IF($B44="","",COUNTA($B$5:$B44))</f>
        <v/>
      </c>
      <c r="B44" s="421" t="n"/>
      <c r="C44" s="422" t="n"/>
      <c r="D44" s="423" t="n"/>
      <c r="E44" s="421" t="n"/>
      <c r="F44" s="423" t="n"/>
      <c r="G44" s="422" t="n"/>
      <c r="H44" s="422" t="n"/>
      <c r="I44" s="422" t="n"/>
      <c r="J44" s="422" t="n"/>
      <c r="K44" s="422" t="n"/>
      <c r="L44" s="423" t="n"/>
      <c r="M44" s="422" t="n"/>
    </row>
    <row r="45">
      <c r="A45" s="420">
        <f>IF($B45="","",COUNTA($B$5:$B45))</f>
        <v/>
      </c>
      <c r="B45" s="421" t="n"/>
      <c r="C45" s="422" t="n"/>
      <c r="D45" s="423" t="n"/>
      <c r="E45" s="421" t="n"/>
      <c r="F45" s="423" t="n"/>
      <c r="G45" s="422" t="n"/>
      <c r="H45" s="422" t="n"/>
      <c r="I45" s="422" t="n"/>
      <c r="J45" s="422" t="n"/>
      <c r="K45" s="422" t="n"/>
      <c r="L45" s="423" t="n"/>
      <c r="M45" s="422" t="n"/>
    </row>
    <row r="46">
      <c r="A46" s="420">
        <f>IF($B46="","",COUNTA($B$5:$B46))</f>
        <v/>
      </c>
      <c r="B46" s="421" t="n"/>
      <c r="C46" s="422" t="n"/>
      <c r="D46" s="423" t="n"/>
      <c r="E46" s="421" t="n"/>
      <c r="F46" s="423" t="n"/>
      <c r="G46" s="422" t="n"/>
      <c r="H46" s="422" t="n"/>
      <c r="I46" s="422" t="n"/>
      <c r="J46" s="422" t="n"/>
      <c r="K46" s="422" t="n"/>
      <c r="L46" s="423" t="n"/>
      <c r="M46" s="422" t="n"/>
    </row>
    <row r="47">
      <c r="A47" s="420">
        <f>IF($B47="","",COUNTA($B$5:$B47))</f>
        <v/>
      </c>
      <c r="B47" s="421" t="n"/>
      <c r="C47" s="422" t="n"/>
      <c r="D47" s="423" t="n"/>
      <c r="E47" s="421" t="n"/>
      <c r="F47" s="423" t="n"/>
      <c r="G47" s="422" t="n"/>
      <c r="H47" s="422" t="n"/>
      <c r="I47" s="422" t="n"/>
      <c r="J47" s="422" t="n"/>
      <c r="K47" s="422" t="n"/>
      <c r="L47" s="423" t="n"/>
      <c r="M47" s="422" t="n"/>
    </row>
    <row r="48">
      <c r="A48" s="420">
        <f>IF($B48="","",COUNTA($B$5:$B48))</f>
        <v/>
      </c>
      <c r="B48" s="421" t="n"/>
      <c r="C48" s="422" t="n"/>
      <c r="D48" s="423" t="n"/>
      <c r="E48" s="421" t="n"/>
      <c r="F48" s="423" t="n"/>
      <c r="G48" s="422" t="n"/>
      <c r="H48" s="422" t="n"/>
      <c r="I48" s="422" t="n"/>
      <c r="J48" s="422" t="n"/>
      <c r="K48" s="422" t="n"/>
      <c r="L48" s="423" t="n"/>
      <c r="M48" s="422" t="n"/>
    </row>
    <row r="49">
      <c r="A49" s="420">
        <f>IF($B49="","",COUNTA($B$5:$B49))</f>
        <v/>
      </c>
      <c r="B49" s="421" t="n"/>
      <c r="C49" s="422" t="n"/>
      <c r="D49" s="423" t="n"/>
      <c r="E49" s="421" t="n"/>
      <c r="F49" s="423" t="n"/>
      <c r="G49" s="422" t="n"/>
      <c r="H49" s="422" t="n"/>
      <c r="I49" s="422" t="n"/>
      <c r="J49" s="422" t="n"/>
      <c r="K49" s="422" t="n"/>
      <c r="L49" s="423" t="n"/>
      <c r="M49" s="422" t="n"/>
    </row>
    <row r="50">
      <c r="A50" s="420">
        <f>IF($B50="","",COUNTA($B$5:$B50))</f>
        <v/>
      </c>
      <c r="B50" s="421" t="n"/>
      <c r="C50" s="422" t="n"/>
      <c r="D50" s="423" t="n"/>
      <c r="E50" s="421" t="n"/>
      <c r="F50" s="423" t="n"/>
      <c r="G50" s="422" t="n"/>
      <c r="H50" s="422" t="n"/>
      <c r="I50" s="422" t="n"/>
      <c r="J50" s="422" t="n"/>
      <c r="K50" s="422" t="n"/>
      <c r="L50" s="423" t="n"/>
      <c r="M50" s="422" t="n"/>
    </row>
    <row r="51">
      <c r="A51" s="420">
        <f>IF($B51="","",COUNTA($B$5:$B51))</f>
        <v/>
      </c>
      <c r="B51" s="421" t="n"/>
      <c r="C51" s="422" t="n"/>
      <c r="D51" s="423" t="n"/>
      <c r="E51" s="421" t="n"/>
      <c r="F51" s="423" t="n"/>
      <c r="G51" s="422" t="n"/>
      <c r="H51" s="422" t="n"/>
      <c r="I51" s="422" t="n"/>
      <c r="J51" s="422" t="n"/>
      <c r="K51" s="422" t="n"/>
      <c r="L51" s="423" t="n"/>
      <c r="M51" s="422" t="n"/>
    </row>
    <row r="52">
      <c r="A52" s="420">
        <f>IF($B52="","",COUNTA($B$5:$B52))</f>
        <v/>
      </c>
      <c r="B52" s="421" t="n"/>
      <c r="C52" s="422" t="n"/>
      <c r="D52" s="423" t="n"/>
      <c r="E52" s="421" t="n"/>
      <c r="F52" s="423" t="n"/>
      <c r="G52" s="422" t="n"/>
      <c r="H52" s="422" t="n"/>
      <c r="I52" s="422" t="n"/>
      <c r="J52" s="422" t="n"/>
      <c r="K52" s="422" t="n"/>
      <c r="L52" s="423" t="n"/>
      <c r="M52" s="422" t="n"/>
    </row>
    <row r="53">
      <c r="A53" s="420">
        <f>IF($B53="","",COUNTA($B$5:$B53))</f>
        <v/>
      </c>
      <c r="B53" s="421" t="n"/>
      <c r="C53" s="422" t="n"/>
      <c r="D53" s="423" t="n"/>
      <c r="E53" s="421" t="n"/>
      <c r="F53" s="423" t="n"/>
      <c r="G53" s="422" t="n"/>
      <c r="H53" s="422" t="n"/>
      <c r="I53" s="422" t="n"/>
      <c r="J53" s="422" t="n"/>
      <c r="K53" s="422" t="n"/>
      <c r="L53" s="423" t="n"/>
      <c r="M53" s="422" t="n"/>
    </row>
    <row r="54">
      <c r="A54" s="420">
        <f>IF($B54="","",COUNTA($B$5:$B54))</f>
        <v/>
      </c>
      <c r="B54" s="421" t="n"/>
      <c r="C54" s="422" t="n"/>
      <c r="D54" s="423" t="n"/>
      <c r="E54" s="421" t="n"/>
      <c r="F54" s="423" t="n"/>
      <c r="G54" s="422" t="n"/>
      <c r="H54" s="422" t="n"/>
      <c r="I54" s="422" t="n"/>
      <c r="J54" s="422" t="n"/>
      <c r="K54" s="422" t="n"/>
      <c r="L54" s="423" t="n"/>
      <c r="M54" s="422" t="n"/>
    </row>
    <row r="55">
      <c r="A55" s="420">
        <f>IF($B55="","",COUNTA($B$5:$B55))</f>
        <v/>
      </c>
      <c r="B55" s="421" t="n"/>
      <c r="C55" s="422" t="n"/>
      <c r="D55" s="423" t="n"/>
      <c r="E55" s="421" t="n"/>
      <c r="F55" s="423" t="n"/>
      <c r="G55" s="422" t="n"/>
      <c r="H55" s="422" t="n"/>
      <c r="I55" s="422" t="n"/>
      <c r="J55" s="422" t="n"/>
      <c r="K55" s="422" t="n"/>
      <c r="L55" s="423" t="n"/>
      <c r="M55" s="422" t="n"/>
    </row>
    <row r="56">
      <c r="A56" s="420">
        <f>IF($B56="","",COUNTA($B$5:$B56))</f>
        <v/>
      </c>
      <c r="B56" s="421" t="n"/>
      <c r="C56" s="422" t="n"/>
      <c r="D56" s="423" t="n"/>
      <c r="E56" s="421" t="n"/>
      <c r="F56" s="423" t="n"/>
      <c r="G56" s="422" t="n"/>
      <c r="H56" s="422" t="n"/>
      <c r="I56" s="422" t="n"/>
      <c r="J56" s="422" t="n"/>
      <c r="K56" s="422" t="n"/>
      <c r="L56" s="423" t="n"/>
      <c r="M56" s="422" t="n"/>
    </row>
    <row r="57">
      <c r="A57" s="420">
        <f>IF($B57="","",COUNTA($B$5:$B57))</f>
        <v/>
      </c>
      <c r="B57" s="421" t="n"/>
      <c r="C57" s="422" t="n"/>
      <c r="D57" s="423" t="n"/>
      <c r="E57" s="421" t="n"/>
      <c r="F57" s="423" t="n"/>
      <c r="G57" s="422" t="n"/>
      <c r="H57" s="422" t="n"/>
      <c r="I57" s="422" t="n"/>
      <c r="J57" s="422" t="n"/>
      <c r="K57" s="422" t="n"/>
      <c r="L57" s="423" t="n"/>
      <c r="M57" s="422" t="n"/>
    </row>
    <row r="58">
      <c r="A58" s="420">
        <f>IF($B58="","",COUNTA($B$5:$B58))</f>
        <v/>
      </c>
      <c r="B58" s="421" t="n"/>
      <c r="C58" s="422" t="n"/>
      <c r="D58" s="423" t="n"/>
      <c r="E58" s="421" t="n"/>
      <c r="F58" s="423" t="n"/>
      <c r="G58" s="422" t="n"/>
      <c r="H58" s="422" t="n"/>
      <c r="I58" s="422" t="n"/>
      <c r="J58" s="422" t="n"/>
      <c r="K58" s="422" t="n"/>
      <c r="L58" s="423" t="n"/>
      <c r="M58" s="422" t="n"/>
    </row>
    <row r="59">
      <c r="A59" s="420">
        <f>IF($B59="","",COUNTA($B$5:$B59))</f>
        <v/>
      </c>
      <c r="B59" s="421" t="n"/>
      <c r="C59" s="422" t="n"/>
      <c r="D59" s="423" t="n"/>
      <c r="E59" s="421" t="n"/>
      <c r="F59" s="423" t="n"/>
      <c r="G59" s="422" t="n"/>
      <c r="H59" s="422" t="n"/>
      <c r="I59" s="422" t="n"/>
      <c r="J59" s="422" t="n"/>
      <c r="K59" s="422" t="n"/>
      <c r="L59" s="423" t="n"/>
      <c r="M59" s="422" t="n"/>
    </row>
    <row r="60">
      <c r="A60" s="420">
        <f>IF($B60="","",COUNTA($B$5:$B60))</f>
        <v/>
      </c>
      <c r="B60" s="421" t="n"/>
      <c r="C60" s="422" t="n"/>
      <c r="D60" s="423" t="n"/>
      <c r="E60" s="421" t="n"/>
      <c r="F60" s="423" t="n"/>
      <c r="G60" s="422" t="n"/>
      <c r="H60" s="422" t="n"/>
      <c r="I60" s="422" t="n"/>
      <c r="J60" s="422" t="n"/>
      <c r="K60" s="422" t="n"/>
      <c r="L60" s="423" t="n"/>
      <c r="M60" s="422" t="n"/>
    </row>
    <row r="61">
      <c r="A61" s="420">
        <f>IF($B61="","",COUNTA($B$5:$B61))</f>
        <v/>
      </c>
      <c r="B61" s="421" t="n"/>
      <c r="C61" s="422" t="n"/>
      <c r="D61" s="423" t="n"/>
      <c r="E61" s="421" t="n"/>
      <c r="F61" s="423" t="n"/>
      <c r="G61" s="422" t="n"/>
      <c r="H61" s="422" t="n"/>
      <c r="I61" s="422" t="n"/>
      <c r="J61" s="422" t="n"/>
      <c r="K61" s="422" t="n"/>
      <c r="L61" s="423" t="n"/>
      <c r="M61" s="422" t="n"/>
    </row>
    <row r="62">
      <c r="A62" s="420">
        <f>IF($B62="","",COUNTA($B$5:$B62))</f>
        <v/>
      </c>
      <c r="B62" s="421" t="n"/>
      <c r="C62" s="422" t="n"/>
      <c r="D62" s="423" t="n"/>
      <c r="E62" s="421" t="n"/>
      <c r="F62" s="423" t="n"/>
      <c r="G62" s="422" t="n"/>
      <c r="H62" s="422" t="n"/>
      <c r="I62" s="422" t="n"/>
      <c r="J62" s="422" t="n"/>
      <c r="K62" s="422" t="n"/>
      <c r="L62" s="423" t="n"/>
      <c r="M62" s="422" t="n"/>
    </row>
    <row r="63">
      <c r="A63" s="420">
        <f>IF($B63="","",COUNTA($B$5:$B63))</f>
        <v/>
      </c>
      <c r="B63" s="421" t="n"/>
      <c r="C63" s="422" t="n"/>
      <c r="D63" s="423" t="n"/>
      <c r="E63" s="421" t="n"/>
      <c r="F63" s="423" t="n"/>
      <c r="G63" s="422" t="n"/>
      <c r="H63" s="422" t="n"/>
      <c r="I63" s="422" t="n"/>
      <c r="J63" s="422" t="n"/>
      <c r="K63" s="422" t="n"/>
      <c r="L63" s="423" t="n"/>
      <c r="M63" s="422" t="n"/>
    </row>
    <row r="64">
      <c r="A64" s="420">
        <f>IF($B64="","",COUNTA($B$5:$B64))</f>
        <v/>
      </c>
      <c r="B64" s="421" t="n"/>
      <c r="C64" s="422" t="n"/>
      <c r="D64" s="423" t="n"/>
      <c r="E64" s="421" t="n"/>
      <c r="F64" s="423" t="n"/>
      <c r="G64" s="422" t="n"/>
      <c r="H64" s="422" t="n"/>
      <c r="I64" s="422" t="n"/>
      <c r="J64" s="422" t="n"/>
      <c r="K64" s="422" t="n"/>
      <c r="L64" s="423" t="n"/>
      <c r="M64" s="422" t="n"/>
    </row>
    <row r="65">
      <c r="A65" s="420">
        <f>IF($B65="","",COUNTA($B$5:$B65))</f>
        <v/>
      </c>
      <c r="B65" s="421" t="n"/>
      <c r="C65" s="422" t="n"/>
      <c r="D65" s="423" t="n"/>
      <c r="E65" s="421" t="n"/>
      <c r="F65" s="423" t="n"/>
      <c r="G65" s="422" t="n"/>
      <c r="H65" s="422" t="n"/>
      <c r="I65" s="422" t="n"/>
      <c r="J65" s="422" t="n"/>
      <c r="K65" s="422" t="n"/>
      <c r="L65" s="423" t="n"/>
      <c r="M65" s="422" t="n"/>
    </row>
    <row r="66">
      <c r="A66" s="420">
        <f>IF($B66="","",COUNTA($B$5:$B66))</f>
        <v/>
      </c>
      <c r="B66" s="421" t="n"/>
      <c r="C66" s="422" t="n"/>
      <c r="D66" s="423" t="n"/>
      <c r="E66" s="421" t="n"/>
      <c r="F66" s="423" t="n"/>
      <c r="G66" s="422" t="n"/>
      <c r="H66" s="422" t="n"/>
      <c r="I66" s="422" t="n"/>
      <c r="J66" s="422" t="n"/>
      <c r="K66" s="422" t="n"/>
      <c r="L66" s="423" t="n"/>
      <c r="M66" s="422" t="n"/>
    </row>
    <row r="67">
      <c r="A67" s="420">
        <f>IF($B67="","",COUNTA($B$5:$B67))</f>
        <v/>
      </c>
      <c r="B67" s="421" t="n"/>
      <c r="C67" s="422" t="n"/>
      <c r="D67" s="423" t="n"/>
      <c r="E67" s="421" t="n"/>
      <c r="F67" s="423" t="n"/>
      <c r="G67" s="422" t="n"/>
      <c r="H67" s="422" t="n"/>
      <c r="I67" s="422" t="n"/>
      <c r="J67" s="422" t="n"/>
      <c r="K67" s="422" t="n"/>
      <c r="L67" s="423" t="n"/>
      <c r="M67" s="422" t="n"/>
    </row>
    <row r="68">
      <c r="A68" s="420">
        <f>IF($B68="","",COUNTA($B$5:$B68))</f>
        <v/>
      </c>
      <c r="B68" s="421" t="n"/>
      <c r="C68" s="422" t="n"/>
      <c r="D68" s="423" t="n"/>
      <c r="E68" s="421" t="n"/>
      <c r="F68" s="423" t="n"/>
      <c r="G68" s="422" t="n"/>
      <c r="H68" s="422" t="n"/>
      <c r="I68" s="422" t="n"/>
      <c r="J68" s="422" t="n"/>
      <c r="K68" s="422" t="n"/>
      <c r="L68" s="423" t="n"/>
      <c r="M68" s="422" t="n"/>
    </row>
    <row r="69">
      <c r="A69" s="420">
        <f>IF($B69="","",COUNTA($B$5:$B69))</f>
        <v/>
      </c>
      <c r="B69" s="421" t="n"/>
      <c r="C69" s="422" t="n"/>
      <c r="D69" s="423" t="n"/>
      <c r="E69" s="421" t="n"/>
      <c r="F69" s="423" t="n"/>
      <c r="G69" s="422" t="n"/>
      <c r="H69" s="422" t="n"/>
      <c r="I69" s="422" t="n"/>
      <c r="J69" s="422" t="n"/>
      <c r="K69" s="422" t="n"/>
      <c r="L69" s="423" t="n"/>
      <c r="M69" s="422" t="n"/>
    </row>
    <row r="70">
      <c r="A70" s="420">
        <f>IF($B70="","",COUNTA($B$5:$B70))</f>
        <v/>
      </c>
      <c r="B70" s="421" t="n"/>
      <c r="C70" s="422" t="n"/>
      <c r="D70" s="423" t="n"/>
      <c r="E70" s="421" t="n"/>
      <c r="F70" s="423" t="n"/>
      <c r="G70" s="422" t="n"/>
      <c r="H70" s="422" t="n"/>
      <c r="I70" s="422" t="n"/>
      <c r="J70" s="422" t="n"/>
      <c r="K70" s="422" t="n"/>
      <c r="L70" s="423" t="n"/>
      <c r="M70" s="422" t="n"/>
    </row>
    <row r="71">
      <c r="A71" s="420">
        <f>IF($B71="","",COUNTA($B$5:$B71))</f>
        <v/>
      </c>
      <c r="B71" s="421" t="n"/>
      <c r="C71" s="422" t="n"/>
      <c r="D71" s="423" t="n"/>
      <c r="E71" s="421" t="n"/>
      <c r="F71" s="423" t="n"/>
      <c r="G71" s="422" t="n"/>
      <c r="H71" s="422" t="n"/>
      <c r="I71" s="422" t="n"/>
      <c r="J71" s="422" t="n"/>
      <c r="K71" s="422" t="n"/>
      <c r="L71" s="423" t="n"/>
      <c r="M71" s="422" t="n"/>
    </row>
    <row r="72">
      <c r="A72" s="420">
        <f>IF($B72="","",COUNTA($B$5:$B72))</f>
        <v/>
      </c>
      <c r="B72" s="421" t="n"/>
      <c r="C72" s="422" t="n"/>
      <c r="D72" s="423" t="n"/>
      <c r="E72" s="421" t="n"/>
      <c r="F72" s="423" t="n"/>
      <c r="G72" s="422" t="n"/>
      <c r="H72" s="422" t="n"/>
      <c r="I72" s="422" t="n"/>
      <c r="J72" s="422" t="n"/>
      <c r="K72" s="422" t="n"/>
      <c r="L72" s="423" t="n"/>
      <c r="M72" s="422" t="n"/>
    </row>
    <row r="73">
      <c r="A73" s="420">
        <f>IF($B73="","",COUNTA($B$5:$B73))</f>
        <v/>
      </c>
      <c r="B73" s="421" t="n"/>
      <c r="C73" s="422" t="n"/>
      <c r="D73" s="423" t="n"/>
      <c r="E73" s="421" t="n"/>
      <c r="F73" s="423" t="n"/>
      <c r="G73" s="422" t="n"/>
      <c r="H73" s="422" t="n"/>
      <c r="I73" s="422" t="n"/>
      <c r="J73" s="422" t="n"/>
      <c r="K73" s="422" t="n"/>
      <c r="L73" s="423" t="n"/>
      <c r="M73" s="422" t="n"/>
    </row>
    <row r="74">
      <c r="A74" s="420">
        <f>IF($B74="","",COUNTA($B$5:$B74))</f>
        <v/>
      </c>
      <c r="B74" s="421" t="n"/>
      <c r="C74" s="422" t="n"/>
      <c r="D74" s="423" t="n"/>
      <c r="E74" s="421" t="n"/>
      <c r="F74" s="423" t="n"/>
      <c r="G74" s="422" t="n"/>
      <c r="H74" s="422" t="n"/>
      <c r="I74" s="422" t="n"/>
      <c r="J74" s="422" t="n"/>
      <c r="K74" s="422" t="n"/>
      <c r="L74" s="423" t="n"/>
      <c r="M74" s="422" t="n"/>
    </row>
    <row r="75">
      <c r="A75" s="420">
        <f>IF($B75="","",COUNTA($B$5:$B75))</f>
        <v/>
      </c>
      <c r="B75" s="421" t="n"/>
      <c r="C75" s="422" t="n"/>
      <c r="D75" s="423" t="n"/>
      <c r="E75" s="421" t="n"/>
      <c r="F75" s="423" t="n"/>
      <c r="G75" s="422" t="n"/>
      <c r="H75" s="422" t="n"/>
      <c r="I75" s="422" t="n"/>
      <c r="J75" s="422" t="n"/>
      <c r="K75" s="422" t="n"/>
      <c r="L75" s="423" t="n"/>
      <c r="M75" s="422" t="n"/>
    </row>
    <row r="76">
      <c r="A76" s="420">
        <f>IF($B76="","",COUNTA($B$5:$B76))</f>
        <v/>
      </c>
      <c r="B76" s="421" t="n"/>
      <c r="C76" s="422" t="n"/>
      <c r="D76" s="423" t="n"/>
      <c r="E76" s="421" t="n"/>
      <c r="F76" s="423" t="n"/>
      <c r="G76" s="422" t="n"/>
      <c r="H76" s="422" t="n"/>
      <c r="I76" s="422" t="n"/>
      <c r="J76" s="422" t="n"/>
      <c r="K76" s="422" t="n"/>
      <c r="L76" s="423" t="n"/>
      <c r="M76" s="422" t="n"/>
    </row>
    <row r="77">
      <c r="A77" s="420">
        <f>IF($B77="","",COUNTA($B$5:$B77))</f>
        <v/>
      </c>
      <c r="B77" s="421" t="n"/>
      <c r="C77" s="422" t="n"/>
      <c r="D77" s="423" t="n"/>
      <c r="E77" s="421" t="n"/>
      <c r="F77" s="423" t="n"/>
      <c r="G77" s="422" t="n"/>
      <c r="H77" s="422" t="n"/>
      <c r="I77" s="422" t="n"/>
      <c r="J77" s="422" t="n"/>
      <c r="K77" s="422" t="n"/>
      <c r="L77" s="423" t="n"/>
      <c r="M77" s="422" t="n"/>
    </row>
    <row r="78">
      <c r="A78" s="420">
        <f>IF($B78="","",COUNTA($B$5:$B78))</f>
        <v/>
      </c>
      <c r="B78" s="421" t="n"/>
      <c r="C78" s="422" t="n"/>
      <c r="D78" s="423" t="n"/>
      <c r="E78" s="421" t="n"/>
      <c r="F78" s="423" t="n"/>
      <c r="G78" s="422" t="n"/>
      <c r="H78" s="422" t="n"/>
      <c r="I78" s="422" t="n"/>
      <c r="J78" s="422" t="n"/>
      <c r="K78" s="422" t="n"/>
      <c r="L78" s="423" t="n"/>
      <c r="M78" s="422" t="n"/>
    </row>
    <row r="79">
      <c r="A79" s="420">
        <f>IF($B79="","",COUNTA($B$5:$B79))</f>
        <v/>
      </c>
      <c r="B79" s="421" t="n"/>
      <c r="C79" s="422" t="n"/>
      <c r="D79" s="423" t="n"/>
      <c r="E79" s="421" t="n"/>
      <c r="F79" s="423" t="n"/>
      <c r="G79" s="422" t="n"/>
      <c r="H79" s="422" t="n"/>
      <c r="I79" s="422" t="n"/>
      <c r="J79" s="422" t="n"/>
      <c r="K79" s="422" t="n"/>
      <c r="L79" s="423" t="n"/>
      <c r="M79" s="422" t="n"/>
    </row>
    <row r="80">
      <c r="A80" s="420">
        <f>IF($B80="","",COUNTA($B$5:$B80))</f>
        <v/>
      </c>
      <c r="B80" s="421" t="n"/>
      <c r="C80" s="422" t="n"/>
      <c r="D80" s="423" t="n"/>
      <c r="E80" s="421" t="n"/>
      <c r="F80" s="423" t="n"/>
      <c r="G80" s="422" t="n"/>
      <c r="H80" s="422" t="n"/>
      <c r="I80" s="422" t="n"/>
      <c r="J80" s="422" t="n"/>
      <c r="K80" s="422" t="n"/>
      <c r="L80" s="423" t="n"/>
      <c r="M80" s="422" t="n"/>
    </row>
    <row r="81">
      <c r="A81" s="420">
        <f>IF($B81="","",COUNTA($B$5:$B81))</f>
        <v/>
      </c>
      <c r="B81" s="421" t="n"/>
      <c r="C81" s="422" t="n"/>
      <c r="D81" s="423" t="n"/>
      <c r="E81" s="421" t="n"/>
      <c r="F81" s="423" t="n"/>
      <c r="G81" s="422" t="n"/>
      <c r="H81" s="422" t="n"/>
      <c r="I81" s="422" t="n"/>
      <c r="J81" s="422" t="n"/>
      <c r="K81" s="422" t="n"/>
      <c r="L81" s="423" t="n"/>
      <c r="M81" s="422" t="n"/>
    </row>
    <row r="82">
      <c r="A82" s="420">
        <f>IF($B82="","",COUNTA($B$5:$B82))</f>
        <v/>
      </c>
      <c r="B82" s="421" t="n"/>
      <c r="C82" s="422" t="n"/>
      <c r="D82" s="423" t="n"/>
      <c r="E82" s="421" t="n"/>
      <c r="F82" s="423" t="n"/>
      <c r="G82" s="422" t="n"/>
      <c r="H82" s="422" t="n"/>
      <c r="I82" s="422" t="n"/>
      <c r="J82" s="422" t="n"/>
      <c r="K82" s="422" t="n"/>
      <c r="L82" s="423" t="n"/>
      <c r="M82" s="422" t="n"/>
    </row>
    <row r="83">
      <c r="A83" s="420">
        <f>IF($B83="","",COUNTA($B$5:$B83))</f>
        <v/>
      </c>
      <c r="B83" s="421" t="n"/>
      <c r="C83" s="422" t="n"/>
      <c r="D83" s="423" t="n"/>
      <c r="E83" s="421" t="n"/>
      <c r="F83" s="423" t="n"/>
      <c r="G83" s="422" t="n"/>
      <c r="H83" s="422" t="n"/>
      <c r="I83" s="422" t="n"/>
      <c r="J83" s="422" t="n"/>
      <c r="K83" s="422" t="n"/>
      <c r="L83" s="423" t="n"/>
      <c r="M83" s="422" t="n"/>
    </row>
    <row r="84">
      <c r="A84" s="420">
        <f>IF($B84="","",COUNTA($B$5:$B84))</f>
        <v/>
      </c>
      <c r="B84" s="421" t="n"/>
      <c r="C84" s="422" t="n"/>
      <c r="D84" s="423" t="n"/>
      <c r="E84" s="421" t="n"/>
      <c r="F84" s="423" t="n"/>
      <c r="G84" s="422" t="n"/>
      <c r="H84" s="422" t="n"/>
      <c r="I84" s="422" t="n"/>
      <c r="J84" s="422" t="n"/>
      <c r="K84" s="422" t="n"/>
      <c r="L84" s="423" t="n"/>
      <c r="M84" s="422" t="n"/>
    </row>
    <row r="85">
      <c r="A85" s="420">
        <f>IF($B85="","",COUNTA($B$5:$B85))</f>
        <v/>
      </c>
      <c r="B85" s="421" t="n"/>
      <c r="C85" s="422" t="n"/>
      <c r="D85" s="423" t="n"/>
      <c r="E85" s="421" t="n"/>
      <c r="F85" s="423" t="n"/>
      <c r="G85" s="422" t="n"/>
      <c r="H85" s="422" t="n"/>
      <c r="I85" s="422" t="n"/>
      <c r="J85" s="422" t="n"/>
      <c r="K85" s="422" t="n"/>
      <c r="L85" s="423" t="n"/>
      <c r="M85" s="422" t="n"/>
    </row>
    <row r="86">
      <c r="A86" s="420">
        <f>IF($B86="","",COUNTA($B$5:$B86))</f>
        <v/>
      </c>
      <c r="B86" s="421" t="n"/>
      <c r="C86" s="422" t="n"/>
      <c r="D86" s="423" t="n"/>
      <c r="E86" s="421" t="n"/>
      <c r="F86" s="423" t="n"/>
      <c r="G86" s="422" t="n"/>
      <c r="H86" s="422" t="n"/>
      <c r="I86" s="422" t="n"/>
      <c r="J86" s="422" t="n"/>
      <c r="K86" s="422" t="n"/>
      <c r="L86" s="423" t="n"/>
      <c r="M86" s="422" t="n"/>
    </row>
    <row r="87">
      <c r="A87" s="420">
        <f>IF($B87="","",COUNTA($B$5:$B87))</f>
        <v/>
      </c>
      <c r="B87" s="421" t="n"/>
      <c r="C87" s="422" t="n"/>
      <c r="D87" s="423" t="n"/>
      <c r="E87" s="421" t="n"/>
      <c r="F87" s="423" t="n"/>
      <c r="G87" s="422" t="n"/>
      <c r="H87" s="422" t="n"/>
      <c r="I87" s="422" t="n"/>
      <c r="J87" s="422" t="n"/>
      <c r="K87" s="422" t="n"/>
      <c r="L87" s="423" t="n"/>
      <c r="M87" s="422" t="n"/>
    </row>
    <row r="88">
      <c r="A88" s="420">
        <f>IF($B88="","",COUNTA($B$5:$B88))</f>
        <v/>
      </c>
      <c r="B88" s="421" t="n"/>
      <c r="C88" s="422" t="n"/>
      <c r="D88" s="423" t="n"/>
      <c r="E88" s="421" t="n"/>
      <c r="F88" s="423" t="n"/>
      <c r="G88" s="422" t="n"/>
      <c r="H88" s="422" t="n"/>
      <c r="I88" s="422" t="n"/>
      <c r="J88" s="422" t="n"/>
      <c r="K88" s="422" t="n"/>
      <c r="L88" s="423" t="n"/>
      <c r="M88" s="422" t="n"/>
    </row>
    <row r="89">
      <c r="A89" s="420">
        <f>IF($B89="","",COUNTA($B$5:$B89))</f>
        <v/>
      </c>
      <c r="B89" s="421" t="n"/>
      <c r="C89" s="422" t="n"/>
      <c r="D89" s="423" t="n"/>
      <c r="E89" s="421" t="n"/>
      <c r="F89" s="423" t="n"/>
      <c r="G89" s="422" t="n"/>
      <c r="H89" s="422" t="n"/>
      <c r="I89" s="422" t="n"/>
      <c r="J89" s="422" t="n"/>
      <c r="K89" s="422" t="n"/>
      <c r="L89" s="423" t="n"/>
      <c r="M89" s="422" t="n"/>
    </row>
    <row r="90">
      <c r="A90" s="420">
        <f>IF($B90="","",COUNTA($B$5:$B90))</f>
        <v/>
      </c>
      <c r="B90" s="421" t="n"/>
      <c r="C90" s="422" t="n"/>
      <c r="D90" s="423" t="n"/>
      <c r="E90" s="421" t="n"/>
      <c r="F90" s="423" t="n"/>
      <c r="G90" s="422" t="n"/>
      <c r="H90" s="422" t="n"/>
      <c r="I90" s="422" t="n"/>
      <c r="J90" s="422" t="n"/>
      <c r="K90" s="422" t="n"/>
      <c r="L90" s="423" t="n"/>
      <c r="M90" s="422" t="n"/>
    </row>
    <row r="91">
      <c r="A91" s="420">
        <f>IF($B91="","",COUNTA($B$5:$B91))</f>
        <v/>
      </c>
      <c r="B91" s="421" t="n"/>
      <c r="C91" s="422" t="n"/>
      <c r="D91" s="423" t="n"/>
      <c r="E91" s="421" t="n"/>
      <c r="F91" s="423" t="n"/>
      <c r="G91" s="422" t="n"/>
      <c r="H91" s="422" t="n"/>
      <c r="I91" s="422" t="n"/>
      <c r="J91" s="422" t="n"/>
      <c r="K91" s="422" t="n"/>
      <c r="L91" s="423" t="n"/>
      <c r="M91" s="422" t="n"/>
    </row>
    <row r="92">
      <c r="A92" s="420">
        <f>IF($B92="","",COUNTA($B$5:$B92))</f>
        <v/>
      </c>
      <c r="B92" s="421" t="n"/>
      <c r="C92" s="422" t="n"/>
      <c r="D92" s="423" t="n"/>
      <c r="E92" s="421" t="n"/>
      <c r="F92" s="423" t="n"/>
      <c r="G92" s="422" t="n"/>
      <c r="H92" s="422" t="n"/>
      <c r="I92" s="422" t="n"/>
      <c r="J92" s="422" t="n"/>
      <c r="K92" s="422" t="n"/>
      <c r="L92" s="423" t="n"/>
      <c r="M92" s="422" t="n"/>
    </row>
    <row r="93">
      <c r="A93" s="420">
        <f>IF($B93="","",COUNTA($B$5:$B93))</f>
        <v/>
      </c>
      <c r="B93" s="421" t="n"/>
      <c r="C93" s="422" t="n"/>
      <c r="D93" s="423" t="n"/>
      <c r="E93" s="421" t="n"/>
      <c r="F93" s="423" t="n"/>
      <c r="G93" s="422" t="n"/>
      <c r="H93" s="422" t="n"/>
      <c r="I93" s="422" t="n"/>
      <c r="J93" s="422" t="n"/>
      <c r="K93" s="422" t="n"/>
      <c r="L93" s="423" t="n"/>
      <c r="M93" s="422" t="n"/>
    </row>
    <row r="94">
      <c r="A94" s="420">
        <f>IF($B94="","",COUNTA($B$5:$B94))</f>
        <v/>
      </c>
      <c r="B94" s="421" t="n"/>
      <c r="C94" s="422" t="n"/>
      <c r="D94" s="423" t="n"/>
      <c r="E94" s="421" t="n"/>
      <c r="F94" s="423" t="n"/>
      <c r="G94" s="422" t="n"/>
      <c r="H94" s="422" t="n"/>
      <c r="I94" s="422" t="n"/>
      <c r="J94" s="422" t="n"/>
      <c r="K94" s="422" t="n"/>
      <c r="L94" s="423" t="n"/>
      <c r="M94" s="422" t="n"/>
    </row>
    <row r="95">
      <c r="A95" s="420">
        <f>IF($B95="","",COUNTA($B$5:$B95))</f>
        <v/>
      </c>
      <c r="B95" s="421" t="n"/>
      <c r="C95" s="422" t="n"/>
      <c r="D95" s="423" t="n"/>
      <c r="E95" s="421" t="n"/>
      <c r="F95" s="423" t="n"/>
      <c r="G95" s="422" t="n"/>
      <c r="H95" s="422" t="n"/>
      <c r="I95" s="422" t="n"/>
      <c r="J95" s="422" t="n"/>
      <c r="K95" s="422" t="n"/>
      <c r="L95" s="423" t="n"/>
      <c r="M95" s="422" t="n"/>
    </row>
    <row r="96">
      <c r="A96" s="420">
        <f>IF($B96="","",COUNTA($B$5:$B96))</f>
        <v/>
      </c>
      <c r="B96" s="421" t="n"/>
      <c r="C96" s="422" t="n"/>
      <c r="D96" s="423" t="n"/>
      <c r="E96" s="421" t="n"/>
      <c r="F96" s="423" t="n"/>
      <c r="G96" s="422" t="n"/>
      <c r="H96" s="422" t="n"/>
      <c r="I96" s="422" t="n"/>
      <c r="J96" s="422" t="n"/>
      <c r="K96" s="422" t="n"/>
      <c r="L96" s="423" t="n"/>
      <c r="M96" s="422" t="n"/>
    </row>
    <row r="97">
      <c r="A97" s="420">
        <f>IF($B97="","",COUNTA($B$5:$B97))</f>
        <v/>
      </c>
      <c r="B97" s="421" t="n"/>
      <c r="C97" s="422" t="n"/>
      <c r="D97" s="423" t="n"/>
      <c r="E97" s="421" t="n"/>
      <c r="F97" s="423" t="n"/>
      <c r="G97" s="422" t="n"/>
      <c r="H97" s="422" t="n"/>
      <c r="I97" s="422" t="n"/>
      <c r="J97" s="422" t="n"/>
      <c r="K97" s="422" t="n"/>
      <c r="L97" s="423" t="n"/>
      <c r="M97" s="422" t="n"/>
    </row>
    <row r="98">
      <c r="A98" s="420">
        <f>IF($B98="","",COUNTA($B$5:$B98))</f>
        <v/>
      </c>
      <c r="B98" s="421" t="n"/>
      <c r="C98" s="422" t="n"/>
      <c r="D98" s="423" t="n"/>
      <c r="E98" s="421" t="n"/>
      <c r="F98" s="423" t="n"/>
      <c r="G98" s="422" t="n"/>
      <c r="H98" s="422" t="n"/>
      <c r="I98" s="422" t="n"/>
      <c r="J98" s="422" t="n"/>
      <c r="K98" s="422" t="n"/>
      <c r="L98" s="423" t="n"/>
      <c r="M98" s="422" t="n"/>
    </row>
    <row r="99">
      <c r="A99" s="420">
        <f>IF($B99="","",COUNTA($B$5:$B99))</f>
        <v/>
      </c>
      <c r="B99" s="421" t="n"/>
      <c r="C99" s="422" t="n"/>
      <c r="D99" s="423" t="n"/>
      <c r="E99" s="421" t="n"/>
      <c r="F99" s="423" t="n"/>
      <c r="G99" s="422" t="n"/>
      <c r="H99" s="422" t="n"/>
      <c r="I99" s="422" t="n"/>
      <c r="J99" s="422" t="n"/>
      <c r="K99" s="422" t="n"/>
      <c r="L99" s="423" t="n"/>
      <c r="M99" s="422" t="n"/>
    </row>
    <row r="100">
      <c r="A100" s="420">
        <f>IF($B100="","",COUNTA($B$5:$B100))</f>
        <v/>
      </c>
      <c r="B100" s="421" t="n"/>
      <c r="C100" s="422" t="n"/>
      <c r="D100" s="423" t="n"/>
      <c r="E100" s="421" t="n"/>
      <c r="F100" s="423" t="n"/>
      <c r="G100" s="422" t="n"/>
      <c r="H100" s="422" t="n"/>
      <c r="I100" s="422" t="n"/>
      <c r="J100" s="422" t="n"/>
      <c r="K100" s="422" t="n"/>
      <c r="L100" s="423" t="n"/>
      <c r="M100" s="422" t="n"/>
    </row>
    <row r="101">
      <c r="A101" s="420">
        <f>IF($B101="","",COUNTA($B$5:$B101))</f>
        <v/>
      </c>
      <c r="B101" s="421" t="n"/>
      <c r="C101" s="422" t="n"/>
      <c r="D101" s="423" t="n"/>
      <c r="E101" s="421" t="n"/>
      <c r="F101" s="423" t="n"/>
      <c r="G101" s="422" t="n"/>
      <c r="H101" s="422" t="n"/>
      <c r="I101" s="422" t="n"/>
      <c r="J101" s="422" t="n"/>
      <c r="K101" s="422" t="n"/>
      <c r="L101" s="423" t="n"/>
      <c r="M101" s="422" t="n"/>
    </row>
    <row r="102">
      <c r="A102" s="420">
        <f>IF($B102="","",COUNTA($B$5:$B102))</f>
        <v/>
      </c>
      <c r="B102" s="421" t="n"/>
      <c r="C102" s="422" t="n"/>
      <c r="D102" s="423" t="n"/>
      <c r="E102" s="421" t="n"/>
      <c r="F102" s="423" t="n"/>
      <c r="G102" s="422" t="n"/>
      <c r="H102" s="422" t="n"/>
      <c r="I102" s="422" t="n"/>
      <c r="J102" s="422" t="n"/>
      <c r="K102" s="422" t="n"/>
      <c r="L102" s="423" t="n"/>
      <c r="M102" s="422" t="n"/>
    </row>
    <row r="103">
      <c r="A103" s="420">
        <f>IF($B103="","",COUNTA($B$5:$B103))</f>
        <v/>
      </c>
      <c r="B103" s="421" t="n"/>
      <c r="C103" s="422" t="n"/>
      <c r="D103" s="423" t="n"/>
      <c r="E103" s="421" t="n"/>
      <c r="F103" s="423" t="n"/>
      <c r="G103" s="422" t="n"/>
      <c r="H103" s="422" t="n"/>
      <c r="I103" s="422" t="n"/>
      <c r="J103" s="422" t="n"/>
      <c r="K103" s="422" t="n"/>
      <c r="L103" s="423" t="n"/>
      <c r="M103" s="422" t="n"/>
    </row>
    <row r="104">
      <c r="A104" s="420">
        <f>IF($B104="","",COUNTA($B$5:$B104))</f>
        <v/>
      </c>
      <c r="B104" s="421" t="n"/>
      <c r="C104" s="422" t="n"/>
      <c r="D104" s="423" t="n"/>
      <c r="E104" s="421" t="n"/>
      <c r="F104" s="423" t="n"/>
      <c r="G104" s="422" t="n"/>
      <c r="H104" s="422" t="n"/>
      <c r="I104" s="422" t="n"/>
      <c r="J104" s="422" t="n"/>
      <c r="K104" s="422" t="n"/>
      <c r="L104" s="423" t="n"/>
      <c r="M104" s="422" t="n"/>
    </row>
    <row r="105">
      <c r="A105" s="420">
        <f>IF($B105="","",COUNTA($B$5:$B105))</f>
        <v/>
      </c>
      <c r="B105" s="421" t="n"/>
      <c r="C105" s="422" t="n"/>
      <c r="D105" s="423" t="n"/>
      <c r="E105" s="421" t="n"/>
      <c r="F105" s="423" t="n"/>
      <c r="G105" s="422" t="n"/>
      <c r="H105" s="422" t="n"/>
      <c r="I105" s="422" t="n"/>
      <c r="J105" s="422" t="n"/>
      <c r="K105" s="422" t="n"/>
      <c r="L105" s="423" t="n"/>
      <c r="M105" s="422" t="n"/>
    </row>
    <row r="106">
      <c r="A106" s="420">
        <f>IF($B106="","",COUNTA($B$5:$B106))</f>
        <v/>
      </c>
      <c r="B106" s="421" t="n"/>
      <c r="C106" s="422" t="n"/>
      <c r="D106" s="423" t="n"/>
      <c r="E106" s="421" t="n"/>
      <c r="F106" s="423" t="n"/>
      <c r="G106" s="422" t="n"/>
      <c r="H106" s="422" t="n"/>
      <c r="I106" s="422" t="n"/>
      <c r="J106" s="422" t="n"/>
      <c r="K106" s="422" t="n"/>
      <c r="L106" s="423" t="n"/>
      <c r="M106" s="422" t="n"/>
    </row>
    <row r="107">
      <c r="A107" s="420">
        <f>IF($B107="","",COUNTA($B$5:$B107))</f>
        <v/>
      </c>
      <c r="B107" s="421" t="n"/>
      <c r="C107" s="422" t="n"/>
      <c r="D107" s="423" t="n"/>
      <c r="E107" s="421" t="n"/>
      <c r="F107" s="423" t="n"/>
      <c r="G107" s="422" t="n"/>
      <c r="H107" s="422" t="n"/>
      <c r="I107" s="422" t="n"/>
      <c r="J107" s="422" t="n"/>
      <c r="K107" s="422" t="n"/>
      <c r="L107" s="423" t="n"/>
      <c r="M107" s="422" t="n"/>
    </row>
    <row r="108">
      <c r="A108" s="420">
        <f>IF($B108="","",COUNTA($B$5:$B108))</f>
        <v/>
      </c>
      <c r="B108" s="421" t="n"/>
      <c r="C108" s="422" t="n"/>
      <c r="D108" s="423" t="n"/>
      <c r="E108" s="421" t="n"/>
      <c r="F108" s="423" t="n"/>
      <c r="G108" s="422" t="n"/>
      <c r="H108" s="422" t="n"/>
      <c r="I108" s="422" t="n"/>
      <c r="J108" s="422" t="n"/>
      <c r="K108" s="422" t="n"/>
      <c r="L108" s="423" t="n"/>
      <c r="M108" s="422" t="n"/>
    </row>
    <row r="109">
      <c r="A109" s="420">
        <f>IF($B109="","",COUNTA($B$5:$B109))</f>
        <v/>
      </c>
      <c r="B109" s="421" t="n"/>
      <c r="C109" s="422" t="n"/>
      <c r="D109" s="423" t="n"/>
      <c r="E109" s="421" t="n"/>
      <c r="F109" s="423" t="n"/>
      <c r="G109" s="422" t="n"/>
      <c r="H109" s="422" t="n"/>
      <c r="I109" s="422" t="n"/>
      <c r="J109" s="422" t="n"/>
      <c r="K109" s="422" t="n"/>
      <c r="L109" s="423" t="n"/>
      <c r="M109" s="422" t="n"/>
    </row>
    <row r="110">
      <c r="A110" s="420">
        <f>IF($B110="","",COUNTA($B$5:$B110))</f>
        <v/>
      </c>
      <c r="B110" s="421" t="n"/>
      <c r="C110" s="422" t="n"/>
      <c r="D110" s="423" t="n"/>
      <c r="E110" s="421" t="n"/>
      <c r="F110" s="423" t="n"/>
      <c r="G110" s="422" t="n"/>
      <c r="H110" s="422" t="n"/>
      <c r="I110" s="422" t="n"/>
      <c r="J110" s="422" t="n"/>
      <c r="K110" s="422" t="n"/>
      <c r="L110" s="423" t="n"/>
      <c r="M110" s="422" t="n"/>
    </row>
    <row r="111">
      <c r="A111" s="420">
        <f>IF($B111="","",COUNTA($B$5:$B111))</f>
        <v/>
      </c>
      <c r="B111" s="421" t="n"/>
      <c r="C111" s="422" t="n"/>
      <c r="D111" s="423" t="n"/>
      <c r="E111" s="421" t="n"/>
      <c r="F111" s="423" t="n"/>
      <c r="G111" s="422" t="n"/>
      <c r="H111" s="422" t="n"/>
      <c r="I111" s="422" t="n"/>
      <c r="J111" s="422" t="n"/>
      <c r="K111" s="422" t="n"/>
      <c r="L111" s="423" t="n"/>
      <c r="M111" s="422" t="n"/>
    </row>
    <row r="112">
      <c r="A112" s="420">
        <f>IF($B112="","",COUNTA($B$5:$B112))</f>
        <v/>
      </c>
      <c r="B112" s="421" t="n"/>
      <c r="C112" s="422" t="n"/>
      <c r="D112" s="423" t="n"/>
      <c r="E112" s="421" t="n"/>
      <c r="F112" s="423" t="n"/>
      <c r="G112" s="422" t="n"/>
      <c r="H112" s="422" t="n"/>
      <c r="I112" s="422" t="n"/>
      <c r="J112" s="422" t="n"/>
      <c r="K112" s="422" t="n"/>
      <c r="L112" s="423" t="n"/>
      <c r="M112" s="422" t="n"/>
    </row>
    <row r="113">
      <c r="A113" s="420">
        <f>IF($B113="","",COUNTA($B$5:$B113))</f>
        <v/>
      </c>
      <c r="B113" s="421" t="n"/>
      <c r="C113" s="422" t="n"/>
      <c r="D113" s="423" t="n"/>
      <c r="E113" s="421" t="n"/>
      <c r="F113" s="423" t="n"/>
      <c r="G113" s="422" t="n"/>
      <c r="H113" s="422" t="n"/>
      <c r="I113" s="422" t="n"/>
      <c r="J113" s="422" t="n"/>
      <c r="K113" s="422" t="n"/>
      <c r="L113" s="423" t="n"/>
      <c r="M113" s="422" t="n"/>
    </row>
    <row r="114">
      <c r="A114" s="420">
        <f>IF($B114="","",COUNTA($B$5:$B114))</f>
        <v/>
      </c>
      <c r="B114" s="421" t="n"/>
      <c r="C114" s="422" t="n"/>
      <c r="D114" s="423" t="n"/>
      <c r="E114" s="421" t="n"/>
      <c r="F114" s="423" t="n"/>
      <c r="G114" s="422" t="n"/>
      <c r="H114" s="422" t="n"/>
      <c r="I114" s="422" t="n"/>
      <c r="J114" s="422" t="n"/>
      <c r="K114" s="422" t="n"/>
      <c r="L114" s="423" t="n"/>
      <c r="M114" s="422" t="n"/>
    </row>
    <row r="115">
      <c r="A115" s="420">
        <f>IF($B115="","",COUNTA($B$5:$B115))</f>
        <v/>
      </c>
      <c r="B115" s="421" t="n"/>
      <c r="C115" s="422" t="n"/>
      <c r="D115" s="423" t="n"/>
      <c r="E115" s="421" t="n"/>
      <c r="F115" s="423" t="n"/>
      <c r="G115" s="422" t="n"/>
      <c r="H115" s="422" t="n"/>
      <c r="I115" s="422" t="n"/>
      <c r="J115" s="422" t="n"/>
      <c r="K115" s="422" t="n"/>
      <c r="L115" s="423" t="n"/>
      <c r="M115" s="422" t="n"/>
    </row>
    <row r="116">
      <c r="A116" s="420">
        <f>IF($B116="","",COUNTA($B$5:$B116))</f>
        <v/>
      </c>
      <c r="B116" s="421" t="n"/>
      <c r="C116" s="422" t="n"/>
      <c r="D116" s="423" t="n"/>
      <c r="E116" s="421" t="n"/>
      <c r="F116" s="423" t="n"/>
      <c r="G116" s="422" t="n"/>
      <c r="H116" s="422" t="n"/>
      <c r="I116" s="422" t="n"/>
      <c r="J116" s="422" t="n"/>
      <c r="K116" s="422" t="n"/>
      <c r="L116" s="423" t="n"/>
      <c r="M116" s="422" t="n"/>
    </row>
    <row r="117">
      <c r="A117" s="420">
        <f>IF($B117="","",COUNTA($B$5:$B117))</f>
        <v/>
      </c>
      <c r="B117" s="421" t="n"/>
      <c r="C117" s="422" t="n"/>
      <c r="D117" s="423" t="n"/>
      <c r="E117" s="421" t="n"/>
      <c r="F117" s="423" t="n"/>
      <c r="G117" s="422" t="n"/>
      <c r="H117" s="422" t="n"/>
      <c r="I117" s="422" t="n"/>
      <c r="J117" s="422" t="n"/>
      <c r="K117" s="422" t="n"/>
      <c r="L117" s="423" t="n"/>
      <c r="M117" s="422" t="n"/>
    </row>
    <row r="118">
      <c r="A118" s="420">
        <f>IF($B118="","",COUNTA($B$5:$B118))</f>
        <v/>
      </c>
      <c r="B118" s="421" t="n"/>
      <c r="C118" s="422" t="n"/>
      <c r="D118" s="423" t="n"/>
      <c r="E118" s="421" t="n"/>
      <c r="F118" s="423" t="n"/>
      <c r="G118" s="422" t="n"/>
      <c r="H118" s="422" t="n"/>
      <c r="I118" s="422" t="n"/>
      <c r="J118" s="422" t="n"/>
      <c r="K118" s="422" t="n"/>
      <c r="L118" s="423" t="n"/>
      <c r="M118" s="422" t="n"/>
    </row>
    <row r="119">
      <c r="A119" s="420">
        <f>IF($B119="","",COUNTA($B$5:$B119))</f>
        <v/>
      </c>
      <c r="B119" s="421" t="n"/>
      <c r="C119" s="422" t="n"/>
      <c r="D119" s="423" t="n"/>
      <c r="E119" s="421" t="n"/>
      <c r="F119" s="423" t="n"/>
      <c r="G119" s="422" t="n"/>
      <c r="H119" s="422" t="n"/>
      <c r="I119" s="422" t="n"/>
      <c r="J119" s="422" t="n"/>
      <c r="K119" s="422" t="n"/>
      <c r="L119" s="423" t="n"/>
      <c r="M119" s="422" t="n"/>
    </row>
    <row r="120">
      <c r="A120" s="420">
        <f>IF($B120="","",COUNTA($B$5:$B120))</f>
        <v/>
      </c>
      <c r="B120" s="421" t="n"/>
      <c r="C120" s="422" t="n"/>
      <c r="D120" s="423" t="n"/>
      <c r="E120" s="421" t="n"/>
      <c r="F120" s="423" t="n"/>
      <c r="G120" s="422" t="n"/>
      <c r="H120" s="422" t="n"/>
      <c r="I120" s="422" t="n"/>
      <c r="J120" s="422" t="n"/>
      <c r="K120" s="422" t="n"/>
      <c r="L120" s="423" t="n"/>
      <c r="M120" s="422" t="n"/>
    </row>
    <row r="121">
      <c r="A121" s="420">
        <f>IF($B121="","",COUNTA($B$5:$B121))</f>
        <v/>
      </c>
      <c r="B121" s="421" t="n"/>
      <c r="C121" s="422" t="n"/>
      <c r="D121" s="423" t="n"/>
      <c r="E121" s="421" t="n"/>
      <c r="F121" s="423" t="n"/>
      <c r="G121" s="422" t="n"/>
      <c r="H121" s="422" t="n"/>
      <c r="I121" s="422" t="n"/>
      <c r="J121" s="422" t="n"/>
      <c r="K121" s="422" t="n"/>
      <c r="L121" s="423" t="n"/>
      <c r="M121" s="422" t="n"/>
    </row>
    <row r="122">
      <c r="A122" s="420">
        <f>IF($B122="","",COUNTA($B$5:$B122))</f>
        <v/>
      </c>
      <c r="B122" s="421" t="n"/>
      <c r="C122" s="422" t="n"/>
      <c r="D122" s="423" t="n"/>
      <c r="E122" s="421" t="n"/>
      <c r="F122" s="423" t="n"/>
      <c r="G122" s="422" t="n"/>
      <c r="H122" s="422" t="n"/>
      <c r="I122" s="422" t="n"/>
      <c r="J122" s="422" t="n"/>
      <c r="K122" s="422" t="n"/>
      <c r="L122" s="423" t="n"/>
      <c r="M122" s="422" t="n"/>
    </row>
    <row r="123">
      <c r="A123" s="420">
        <f>IF($B123="","",COUNTA($B$5:$B123))</f>
        <v/>
      </c>
      <c r="B123" s="421" t="n"/>
      <c r="C123" s="422" t="n"/>
      <c r="D123" s="423" t="n"/>
      <c r="E123" s="421" t="n"/>
      <c r="F123" s="423" t="n"/>
      <c r="G123" s="422" t="n"/>
      <c r="H123" s="422" t="n"/>
      <c r="I123" s="422" t="n"/>
      <c r="J123" s="422" t="n"/>
      <c r="K123" s="422" t="n"/>
      <c r="L123" s="423" t="n"/>
      <c r="M123" s="422" t="n"/>
    </row>
    <row r="124">
      <c r="A124" s="420">
        <f>IF($B124="","",COUNTA($B$5:$B124))</f>
        <v/>
      </c>
      <c r="B124" s="421" t="n"/>
      <c r="C124" s="422" t="n"/>
      <c r="D124" s="423" t="n"/>
      <c r="E124" s="421" t="n"/>
      <c r="F124" s="423" t="n"/>
      <c r="G124" s="422" t="n"/>
      <c r="H124" s="422" t="n"/>
      <c r="I124" s="422" t="n"/>
      <c r="J124" s="422" t="n"/>
      <c r="K124" s="422" t="n"/>
      <c r="L124" s="423" t="n"/>
      <c r="M124" s="422" t="n"/>
    </row>
    <row r="125">
      <c r="A125" s="420">
        <f>IF($B125="","",COUNTA($B$5:$B125))</f>
        <v/>
      </c>
      <c r="B125" s="421" t="n"/>
      <c r="C125" s="422" t="n"/>
      <c r="D125" s="423" t="n"/>
      <c r="E125" s="421" t="n"/>
      <c r="F125" s="423" t="n"/>
      <c r="G125" s="422" t="n"/>
      <c r="H125" s="422" t="n"/>
      <c r="I125" s="422" t="n"/>
      <c r="J125" s="422" t="n"/>
      <c r="K125" s="422" t="n"/>
      <c r="L125" s="423" t="n"/>
      <c r="M125" s="422" t="n"/>
    </row>
    <row r="126">
      <c r="A126" s="420">
        <f>IF($B126="","",COUNTA($B$5:$B126))</f>
        <v/>
      </c>
      <c r="B126" s="421" t="n"/>
      <c r="C126" s="422" t="n"/>
      <c r="D126" s="423" t="n"/>
      <c r="E126" s="421" t="n"/>
      <c r="F126" s="423" t="n"/>
      <c r="G126" s="422" t="n"/>
      <c r="H126" s="422" t="n"/>
      <c r="I126" s="422" t="n"/>
      <c r="J126" s="422" t="n"/>
      <c r="K126" s="422" t="n"/>
      <c r="L126" s="423" t="n"/>
      <c r="M126" s="422" t="n"/>
    </row>
    <row r="127">
      <c r="A127" s="420">
        <f>IF($B127="","",COUNTA($B$5:$B127))</f>
        <v/>
      </c>
      <c r="B127" s="421" t="n"/>
      <c r="C127" s="422" t="n"/>
      <c r="D127" s="423" t="n"/>
      <c r="E127" s="421" t="n"/>
      <c r="F127" s="423" t="n"/>
      <c r="G127" s="422" t="n"/>
      <c r="H127" s="422" t="n"/>
      <c r="I127" s="422" t="n"/>
      <c r="J127" s="422" t="n"/>
      <c r="K127" s="422" t="n"/>
      <c r="L127" s="423" t="n"/>
      <c r="M127" s="422" t="n"/>
    </row>
    <row r="128">
      <c r="A128" s="420">
        <f>IF($B128="","",COUNTA($B$5:$B128))</f>
        <v/>
      </c>
      <c r="B128" s="421" t="n"/>
      <c r="C128" s="422" t="n"/>
      <c r="D128" s="423" t="n"/>
      <c r="E128" s="421" t="n"/>
      <c r="F128" s="423" t="n"/>
      <c r="G128" s="422" t="n"/>
      <c r="H128" s="422" t="n"/>
      <c r="I128" s="422" t="n"/>
      <c r="J128" s="422" t="n"/>
      <c r="K128" s="422" t="n"/>
      <c r="L128" s="423" t="n"/>
      <c r="M128" s="422" t="n"/>
    </row>
    <row r="129">
      <c r="A129" s="420">
        <f>IF($B129="","",COUNTA($B$5:$B129))</f>
        <v/>
      </c>
      <c r="B129" s="421" t="n"/>
      <c r="C129" s="422" t="n"/>
      <c r="D129" s="423" t="n"/>
      <c r="E129" s="421" t="n"/>
      <c r="F129" s="423" t="n"/>
      <c r="G129" s="422" t="n"/>
      <c r="H129" s="422" t="n"/>
      <c r="I129" s="422" t="n"/>
      <c r="J129" s="422" t="n"/>
      <c r="K129" s="422" t="n"/>
      <c r="L129" s="423" t="n"/>
      <c r="M129" s="422" t="n"/>
    </row>
    <row r="130">
      <c r="A130" s="420">
        <f>IF($B130="","",COUNTA($B$5:$B130))</f>
        <v/>
      </c>
      <c r="B130" s="421" t="n"/>
      <c r="C130" s="422" t="n"/>
      <c r="D130" s="423" t="n"/>
      <c r="E130" s="421" t="n"/>
      <c r="F130" s="423" t="n"/>
      <c r="G130" s="422" t="n"/>
      <c r="H130" s="422" t="n"/>
      <c r="I130" s="422" t="n"/>
      <c r="J130" s="422" t="n"/>
      <c r="K130" s="422" t="n"/>
      <c r="L130" s="423" t="n"/>
      <c r="M130" s="422" t="n"/>
    </row>
    <row r="131">
      <c r="A131" s="420">
        <f>IF($B131="","",COUNTA($B$5:$B131))</f>
        <v/>
      </c>
      <c r="B131" s="421" t="n"/>
      <c r="C131" s="422" t="n"/>
      <c r="D131" s="423" t="n"/>
      <c r="E131" s="421" t="n"/>
      <c r="F131" s="423" t="n"/>
      <c r="G131" s="422" t="n"/>
      <c r="H131" s="422" t="n"/>
      <c r="I131" s="422" t="n"/>
      <c r="J131" s="422" t="n"/>
      <c r="K131" s="422" t="n"/>
      <c r="L131" s="423" t="n"/>
      <c r="M131" s="422" t="n"/>
    </row>
    <row r="132">
      <c r="A132" s="420">
        <f>IF($B132="","",COUNTA($B$5:$B132))</f>
        <v/>
      </c>
      <c r="B132" s="421" t="n"/>
      <c r="C132" s="422" t="n"/>
      <c r="D132" s="423" t="n"/>
      <c r="E132" s="421" t="n"/>
      <c r="F132" s="423" t="n"/>
      <c r="G132" s="422" t="n"/>
      <c r="H132" s="422" t="n"/>
      <c r="I132" s="422" t="n"/>
      <c r="J132" s="422" t="n"/>
      <c r="K132" s="422" t="n"/>
      <c r="L132" s="423" t="n"/>
      <c r="M132" s="422" t="n"/>
    </row>
    <row r="133">
      <c r="A133" s="420">
        <f>IF($B133="","",COUNTA($B$5:$B133))</f>
        <v/>
      </c>
      <c r="B133" s="421" t="n"/>
      <c r="C133" s="422" t="n"/>
      <c r="D133" s="423" t="n"/>
      <c r="E133" s="421" t="n"/>
      <c r="F133" s="423" t="n"/>
      <c r="G133" s="422" t="n"/>
      <c r="H133" s="422" t="n"/>
      <c r="I133" s="422" t="n"/>
      <c r="J133" s="422" t="n"/>
      <c r="K133" s="422" t="n"/>
      <c r="L133" s="423" t="n"/>
      <c r="M133" s="422" t="n"/>
    </row>
    <row r="134">
      <c r="A134" s="420">
        <f>IF($B134="","",COUNTA($B$5:$B134))</f>
        <v/>
      </c>
      <c r="B134" s="421" t="n"/>
      <c r="C134" s="422" t="n"/>
      <c r="D134" s="423" t="n"/>
      <c r="E134" s="421" t="n"/>
      <c r="F134" s="423" t="n"/>
      <c r="G134" s="422" t="n"/>
      <c r="H134" s="422" t="n"/>
      <c r="I134" s="422" t="n"/>
      <c r="J134" s="422" t="n"/>
      <c r="K134" s="422" t="n"/>
      <c r="L134" s="423" t="n"/>
      <c r="M134" s="422" t="n"/>
    </row>
    <row r="135">
      <c r="A135" s="420">
        <f>IF($B135="","",COUNTA($B$5:$B135))</f>
        <v/>
      </c>
      <c r="B135" s="421" t="n"/>
      <c r="C135" s="422" t="n"/>
      <c r="D135" s="423" t="n"/>
      <c r="E135" s="421" t="n"/>
      <c r="F135" s="423" t="n"/>
      <c r="G135" s="422" t="n"/>
      <c r="H135" s="422" t="n"/>
      <c r="I135" s="422" t="n"/>
      <c r="J135" s="422" t="n"/>
      <c r="K135" s="422" t="n"/>
      <c r="L135" s="423" t="n"/>
      <c r="M135" s="422" t="n"/>
    </row>
    <row r="136">
      <c r="A136" s="420">
        <f>IF($B136="","",COUNTA($B$5:$B136))</f>
        <v/>
      </c>
      <c r="B136" s="421" t="n"/>
      <c r="C136" s="422" t="n"/>
      <c r="D136" s="423" t="n"/>
      <c r="E136" s="421" t="n"/>
      <c r="F136" s="423" t="n"/>
      <c r="G136" s="422" t="n"/>
      <c r="H136" s="422" t="n"/>
      <c r="I136" s="422" t="n"/>
      <c r="J136" s="422" t="n"/>
      <c r="K136" s="422" t="n"/>
      <c r="L136" s="423" t="n"/>
      <c r="M136" s="422" t="n"/>
    </row>
    <row r="137">
      <c r="A137" s="420">
        <f>IF($B137="","",COUNTA($B$5:$B137))</f>
        <v/>
      </c>
      <c r="B137" s="421" t="n"/>
      <c r="C137" s="422" t="n"/>
      <c r="D137" s="423" t="n"/>
      <c r="E137" s="421" t="n"/>
      <c r="F137" s="423" t="n"/>
      <c r="G137" s="422" t="n"/>
      <c r="H137" s="422" t="n"/>
      <c r="I137" s="422" t="n"/>
      <c r="J137" s="422" t="n"/>
      <c r="K137" s="422" t="n"/>
      <c r="L137" s="423" t="n"/>
      <c r="M137" s="422" t="n"/>
    </row>
    <row r="138">
      <c r="A138" s="420">
        <f>IF($B138="","",COUNTA($B$5:$B138))</f>
        <v/>
      </c>
      <c r="B138" s="421" t="n"/>
      <c r="C138" s="422" t="n"/>
      <c r="D138" s="423" t="n"/>
      <c r="E138" s="421" t="n"/>
      <c r="F138" s="423" t="n"/>
      <c r="G138" s="422" t="n"/>
      <c r="H138" s="422" t="n"/>
      <c r="I138" s="422" t="n"/>
      <c r="J138" s="422" t="n"/>
      <c r="K138" s="422" t="n"/>
      <c r="L138" s="423" t="n"/>
      <c r="M138" s="422" t="n"/>
    </row>
    <row r="139">
      <c r="A139" s="420">
        <f>IF($B139="","",COUNTA($B$5:$B139))</f>
        <v/>
      </c>
      <c r="B139" s="421" t="n"/>
      <c r="C139" s="422" t="n"/>
      <c r="D139" s="423" t="n"/>
      <c r="E139" s="421" t="n"/>
      <c r="F139" s="423" t="n"/>
      <c r="G139" s="422" t="n"/>
      <c r="H139" s="422" t="n"/>
      <c r="I139" s="422" t="n"/>
      <c r="J139" s="422" t="n"/>
      <c r="K139" s="422" t="n"/>
      <c r="L139" s="423" t="n"/>
      <c r="M139" s="422" t="n"/>
    </row>
    <row r="140">
      <c r="A140" s="420">
        <f>IF($B140="","",COUNTA($B$5:$B140))</f>
        <v/>
      </c>
      <c r="B140" s="421" t="n"/>
      <c r="C140" s="422" t="n"/>
      <c r="D140" s="423" t="n"/>
      <c r="E140" s="421" t="n"/>
      <c r="F140" s="423" t="n"/>
      <c r="G140" s="422" t="n"/>
      <c r="H140" s="422" t="n"/>
      <c r="I140" s="422" t="n"/>
      <c r="J140" s="422" t="n"/>
      <c r="K140" s="422" t="n"/>
      <c r="L140" s="423" t="n"/>
      <c r="M140" s="422" t="n"/>
    </row>
    <row r="141">
      <c r="A141" s="420">
        <f>IF($B141="","",COUNTA($B$5:$B141))</f>
        <v/>
      </c>
      <c r="B141" s="421" t="n"/>
      <c r="C141" s="422" t="n"/>
      <c r="D141" s="423" t="n"/>
      <c r="E141" s="421" t="n"/>
      <c r="F141" s="423" t="n"/>
      <c r="G141" s="422" t="n"/>
      <c r="H141" s="422" t="n"/>
      <c r="I141" s="422" t="n"/>
      <c r="J141" s="422" t="n"/>
      <c r="K141" s="422" t="n"/>
      <c r="L141" s="423" t="n"/>
      <c r="M141" s="422" t="n"/>
    </row>
    <row r="142">
      <c r="A142" s="420">
        <f>IF($B142="","",COUNTA($B$5:$B142))</f>
        <v/>
      </c>
      <c r="B142" s="421" t="n"/>
      <c r="C142" s="422" t="n"/>
      <c r="D142" s="423" t="n"/>
      <c r="E142" s="421" t="n"/>
      <c r="F142" s="423" t="n"/>
      <c r="G142" s="422" t="n"/>
      <c r="H142" s="422" t="n"/>
      <c r="I142" s="422" t="n"/>
      <c r="J142" s="422" t="n"/>
      <c r="K142" s="422" t="n"/>
      <c r="L142" s="423" t="n"/>
      <c r="M142" s="422" t="n"/>
    </row>
    <row r="143">
      <c r="A143" s="420">
        <f>IF($B143="","",COUNTA($B$5:$B143))</f>
        <v/>
      </c>
      <c r="B143" s="421" t="n"/>
      <c r="C143" s="422" t="n"/>
      <c r="D143" s="423" t="n"/>
      <c r="E143" s="421" t="n"/>
      <c r="F143" s="423" t="n"/>
      <c r="G143" s="422" t="n"/>
      <c r="H143" s="422" t="n"/>
      <c r="I143" s="422" t="n"/>
      <c r="J143" s="422" t="n"/>
      <c r="K143" s="422" t="n"/>
      <c r="L143" s="423" t="n"/>
      <c r="M143" s="422" t="n"/>
    </row>
    <row r="144">
      <c r="A144" s="420">
        <f>IF($B144="","",COUNTA($B$5:$B144))</f>
        <v/>
      </c>
      <c r="B144" s="421" t="n"/>
      <c r="C144" s="422" t="n"/>
      <c r="D144" s="423" t="n"/>
      <c r="E144" s="421" t="n"/>
      <c r="F144" s="423" t="n"/>
      <c r="G144" s="422" t="n"/>
      <c r="H144" s="422" t="n"/>
      <c r="I144" s="422" t="n"/>
      <c r="J144" s="422" t="n"/>
      <c r="K144" s="422" t="n"/>
      <c r="L144" s="423" t="n"/>
      <c r="M144" s="422" t="n"/>
    </row>
    <row r="145">
      <c r="A145" s="420">
        <f>IF($B145="","",COUNTA($B$5:$B145))</f>
        <v/>
      </c>
      <c r="B145" s="421" t="n"/>
      <c r="C145" s="422" t="n"/>
      <c r="D145" s="423" t="n"/>
      <c r="E145" s="421" t="n"/>
      <c r="F145" s="423" t="n"/>
      <c r="G145" s="422" t="n"/>
      <c r="H145" s="422" t="n"/>
      <c r="I145" s="422" t="n"/>
      <c r="J145" s="422" t="n"/>
      <c r="K145" s="422" t="n"/>
      <c r="L145" s="423" t="n"/>
      <c r="M145" s="422" t="n"/>
    </row>
    <row r="146">
      <c r="A146" s="420">
        <f>IF($B146="","",COUNTA($B$5:$B146))</f>
        <v/>
      </c>
      <c r="B146" s="421" t="n"/>
      <c r="C146" s="422" t="n"/>
      <c r="D146" s="423" t="n"/>
      <c r="E146" s="421" t="n"/>
      <c r="F146" s="423" t="n"/>
      <c r="G146" s="422" t="n"/>
      <c r="H146" s="422" t="n"/>
      <c r="I146" s="422" t="n"/>
      <c r="J146" s="422" t="n"/>
      <c r="K146" s="422" t="n"/>
      <c r="L146" s="423" t="n"/>
      <c r="M146" s="422" t="n"/>
    </row>
    <row r="147">
      <c r="A147" s="420">
        <f>IF($B147="","",COUNTA($B$5:$B147))</f>
        <v/>
      </c>
      <c r="B147" s="421" t="n"/>
      <c r="C147" s="422" t="n"/>
      <c r="D147" s="423" t="n"/>
      <c r="E147" s="421" t="n"/>
      <c r="F147" s="423" t="n"/>
      <c r="G147" s="422" t="n"/>
      <c r="H147" s="422" t="n"/>
      <c r="I147" s="422" t="n"/>
      <c r="J147" s="422" t="n"/>
      <c r="K147" s="422" t="n"/>
      <c r="L147" s="423" t="n"/>
      <c r="M147" s="422" t="n"/>
    </row>
    <row r="148">
      <c r="A148" s="420">
        <f>IF($B148="","",COUNTA($B$5:$B148))</f>
        <v/>
      </c>
      <c r="B148" s="421" t="n"/>
      <c r="C148" s="422" t="n"/>
      <c r="D148" s="423" t="n"/>
      <c r="E148" s="421" t="n"/>
      <c r="F148" s="423" t="n"/>
      <c r="G148" s="422" t="n"/>
      <c r="H148" s="422" t="n"/>
      <c r="I148" s="422" t="n"/>
      <c r="J148" s="422" t="n"/>
      <c r="K148" s="422" t="n"/>
      <c r="L148" s="423" t="n"/>
      <c r="M148" s="422" t="n"/>
    </row>
    <row r="149">
      <c r="A149" s="420">
        <f>IF($B149="","",COUNTA($B$5:$B149))</f>
        <v/>
      </c>
      <c r="B149" s="421" t="n"/>
      <c r="C149" s="422" t="n"/>
      <c r="D149" s="423" t="n"/>
      <c r="E149" s="421" t="n"/>
      <c r="F149" s="423" t="n"/>
      <c r="G149" s="422" t="n"/>
      <c r="H149" s="422" t="n"/>
      <c r="I149" s="422" t="n"/>
      <c r="J149" s="422" t="n"/>
      <c r="K149" s="422" t="n"/>
      <c r="L149" s="423" t="n"/>
      <c r="M149" s="422" t="n"/>
    </row>
    <row r="150">
      <c r="A150" s="420">
        <f>IF($B150="","",COUNTA($B$5:$B150))</f>
        <v/>
      </c>
      <c r="B150" s="421" t="n"/>
      <c r="C150" s="422" t="n"/>
      <c r="D150" s="423" t="n"/>
      <c r="E150" s="421" t="n"/>
      <c r="F150" s="423" t="n"/>
      <c r="G150" s="422" t="n"/>
      <c r="H150" s="422" t="n"/>
      <c r="I150" s="422" t="n"/>
      <c r="J150" s="422" t="n"/>
      <c r="K150" s="422" t="n"/>
      <c r="L150" s="423" t="n"/>
      <c r="M150" s="422" t="n"/>
    </row>
    <row r="151">
      <c r="A151" s="420">
        <f>IF($B151="","",COUNTA($B$5:$B151))</f>
        <v/>
      </c>
      <c r="B151" s="421" t="n"/>
      <c r="C151" s="422" t="n"/>
      <c r="D151" s="423" t="n"/>
      <c r="E151" s="421" t="n"/>
      <c r="F151" s="423" t="n"/>
      <c r="G151" s="422" t="n"/>
      <c r="H151" s="422" t="n"/>
      <c r="I151" s="422" t="n"/>
      <c r="J151" s="422" t="n"/>
      <c r="K151" s="422" t="n"/>
      <c r="L151" s="423" t="n"/>
      <c r="M151" s="422" t="n"/>
    </row>
    <row r="152">
      <c r="A152" s="420">
        <f>IF($B152="","",COUNTA($B$5:$B152))</f>
        <v/>
      </c>
      <c r="B152" s="421" t="n"/>
      <c r="C152" s="422" t="n"/>
      <c r="D152" s="423" t="n"/>
      <c r="E152" s="421" t="n"/>
      <c r="F152" s="423" t="n"/>
      <c r="G152" s="422" t="n"/>
      <c r="H152" s="422" t="n"/>
      <c r="I152" s="422" t="n"/>
      <c r="J152" s="422" t="n"/>
      <c r="K152" s="422" t="n"/>
      <c r="L152" s="423" t="n"/>
      <c r="M152" s="422" t="n"/>
    </row>
    <row r="153">
      <c r="A153" s="420">
        <f>IF($B153="","",COUNTA($B$5:$B153))</f>
        <v/>
      </c>
      <c r="B153" s="421" t="n"/>
      <c r="C153" s="422" t="n"/>
      <c r="D153" s="423" t="n"/>
      <c r="E153" s="421" t="n"/>
      <c r="F153" s="423" t="n"/>
      <c r="G153" s="422" t="n"/>
      <c r="H153" s="422" t="n"/>
      <c r="I153" s="422" t="n"/>
      <c r="J153" s="422" t="n"/>
      <c r="K153" s="422" t="n"/>
      <c r="L153" s="423" t="n"/>
      <c r="M153" s="422" t="n"/>
    </row>
    <row r="154">
      <c r="A154" s="420">
        <f>IF($B154="","",COUNTA($B$5:$B154))</f>
        <v/>
      </c>
      <c r="B154" s="421" t="n"/>
      <c r="C154" s="422" t="n"/>
      <c r="D154" s="423" t="n"/>
      <c r="E154" s="421" t="n"/>
      <c r="F154" s="423" t="n"/>
      <c r="G154" s="422" t="n"/>
      <c r="H154" s="422" t="n"/>
      <c r="I154" s="422" t="n"/>
      <c r="J154" s="422" t="n"/>
      <c r="K154" s="422" t="n"/>
      <c r="L154" s="423" t="n"/>
      <c r="M154" s="422" t="n"/>
    </row>
    <row r="155">
      <c r="A155" s="420">
        <f>IF($B155="","",COUNTA($B$5:$B155))</f>
        <v/>
      </c>
      <c r="B155" s="421" t="n"/>
      <c r="C155" s="422" t="n"/>
      <c r="D155" s="423" t="n"/>
      <c r="E155" s="421" t="n"/>
      <c r="F155" s="423" t="n"/>
      <c r="G155" s="422" t="n"/>
      <c r="H155" s="422" t="n"/>
      <c r="I155" s="422" t="n"/>
      <c r="J155" s="422" t="n"/>
      <c r="K155" s="422" t="n"/>
      <c r="L155" s="423" t="n"/>
      <c r="M155" s="422" t="n"/>
    </row>
    <row r="156">
      <c r="A156" s="420">
        <f>IF($B156="","",COUNTA($B$5:$B156))</f>
        <v/>
      </c>
      <c r="B156" s="421" t="n"/>
      <c r="C156" s="422" t="n"/>
      <c r="D156" s="423" t="n"/>
      <c r="E156" s="421" t="n"/>
      <c r="F156" s="423" t="n"/>
      <c r="G156" s="422" t="n"/>
      <c r="H156" s="422" t="n"/>
      <c r="I156" s="422" t="n"/>
      <c r="J156" s="422" t="n"/>
      <c r="K156" s="422" t="n"/>
      <c r="L156" s="423" t="n"/>
      <c r="M156" s="422" t="n"/>
    </row>
    <row r="157">
      <c r="A157" s="420">
        <f>IF($B157="","",COUNTA($B$5:$B157))</f>
        <v/>
      </c>
      <c r="B157" s="421" t="n"/>
      <c r="C157" s="422" t="n"/>
      <c r="D157" s="423" t="n"/>
      <c r="E157" s="421" t="n"/>
      <c r="F157" s="423" t="n"/>
      <c r="G157" s="422" t="n"/>
      <c r="H157" s="422" t="n"/>
      <c r="I157" s="422" t="n"/>
      <c r="J157" s="422" t="n"/>
      <c r="K157" s="422" t="n"/>
      <c r="L157" s="423" t="n"/>
      <c r="M157" s="422" t="n"/>
    </row>
    <row r="158">
      <c r="A158" s="420">
        <f>IF($B158="","",COUNTA($B$5:$B158))</f>
        <v/>
      </c>
      <c r="B158" s="421" t="n"/>
      <c r="C158" s="422" t="n"/>
      <c r="D158" s="423" t="n"/>
      <c r="E158" s="421" t="n"/>
      <c r="F158" s="423" t="n"/>
      <c r="G158" s="422" t="n"/>
      <c r="H158" s="422" t="n"/>
      <c r="I158" s="422" t="n"/>
      <c r="J158" s="422" t="n"/>
      <c r="K158" s="422" t="n"/>
      <c r="L158" s="423" t="n"/>
      <c r="M158" s="422" t="n"/>
    </row>
    <row r="159">
      <c r="A159" s="420">
        <f>IF($B159="","",COUNTA($B$5:$B159))</f>
        <v/>
      </c>
      <c r="B159" s="421" t="n"/>
      <c r="C159" s="422" t="n"/>
      <c r="D159" s="423" t="n"/>
      <c r="E159" s="421" t="n"/>
      <c r="F159" s="423" t="n"/>
      <c r="G159" s="422" t="n"/>
      <c r="H159" s="422" t="n"/>
      <c r="I159" s="422" t="n"/>
      <c r="J159" s="422" t="n"/>
      <c r="K159" s="422" t="n"/>
      <c r="L159" s="423" t="n"/>
      <c r="M159" s="422" t="n"/>
    </row>
    <row r="160">
      <c r="A160" s="420">
        <f>IF($B160="","",COUNTA($B$5:$B160))</f>
        <v/>
      </c>
      <c r="B160" s="421" t="n"/>
      <c r="C160" s="422" t="n"/>
      <c r="D160" s="423" t="n"/>
      <c r="E160" s="421" t="n"/>
      <c r="F160" s="423" t="n"/>
      <c r="G160" s="422" t="n"/>
      <c r="H160" s="422" t="n"/>
      <c r="I160" s="422" t="n"/>
      <c r="J160" s="422" t="n"/>
      <c r="K160" s="422" t="n"/>
      <c r="L160" s="423" t="n"/>
      <c r="M160" s="422" t="n"/>
    </row>
    <row r="161">
      <c r="A161" s="420">
        <f>IF($B161="","",COUNTA($B$5:$B161))</f>
        <v/>
      </c>
      <c r="B161" s="421" t="n"/>
      <c r="C161" s="422" t="n"/>
      <c r="D161" s="423" t="n"/>
      <c r="E161" s="421" t="n"/>
      <c r="F161" s="423" t="n"/>
      <c r="G161" s="422" t="n"/>
      <c r="H161" s="422" t="n"/>
      <c r="I161" s="422" t="n"/>
      <c r="J161" s="422" t="n"/>
      <c r="K161" s="422" t="n"/>
      <c r="L161" s="423" t="n"/>
      <c r="M161" s="422" t="n"/>
    </row>
    <row r="162">
      <c r="A162" s="420">
        <f>IF($B162="","",COUNTA($B$5:$B162))</f>
        <v/>
      </c>
      <c r="B162" s="421" t="n"/>
      <c r="C162" s="422" t="n"/>
      <c r="D162" s="423" t="n"/>
      <c r="E162" s="421" t="n"/>
      <c r="F162" s="423" t="n"/>
      <c r="G162" s="422" t="n"/>
      <c r="H162" s="422" t="n"/>
      <c r="I162" s="422" t="n"/>
      <c r="J162" s="422" t="n"/>
      <c r="K162" s="422" t="n"/>
      <c r="L162" s="423" t="n"/>
      <c r="M162" s="422" t="n"/>
    </row>
    <row r="163">
      <c r="A163" s="420">
        <f>IF($B163="","",COUNTA($B$5:$B163))</f>
        <v/>
      </c>
      <c r="B163" s="421" t="n"/>
      <c r="C163" s="422" t="n"/>
      <c r="D163" s="423" t="n"/>
      <c r="E163" s="421" t="n"/>
      <c r="F163" s="423" t="n"/>
      <c r="G163" s="422" t="n"/>
      <c r="H163" s="422" t="n"/>
      <c r="I163" s="422" t="n"/>
      <c r="J163" s="422" t="n"/>
      <c r="K163" s="422" t="n"/>
      <c r="L163" s="423" t="n"/>
      <c r="M163" s="422" t="n"/>
    </row>
    <row r="164">
      <c r="A164" s="420">
        <f>IF($B164="","",COUNTA($B$5:$B164))</f>
        <v/>
      </c>
      <c r="B164" s="421" t="n"/>
      <c r="C164" s="422" t="n"/>
      <c r="D164" s="423" t="n"/>
      <c r="E164" s="421" t="n"/>
      <c r="F164" s="423" t="n"/>
      <c r="G164" s="422" t="n"/>
      <c r="H164" s="422" t="n"/>
      <c r="I164" s="422" t="n"/>
      <c r="J164" s="422" t="n"/>
      <c r="K164" s="422" t="n"/>
      <c r="L164" s="423" t="n"/>
      <c r="M164" s="422" t="n"/>
    </row>
    <row r="165">
      <c r="A165" s="420">
        <f>IF($B165="","",COUNTA($B$5:$B165))</f>
        <v/>
      </c>
      <c r="B165" s="421" t="n"/>
      <c r="C165" s="422" t="n"/>
      <c r="D165" s="423" t="n"/>
      <c r="E165" s="421" t="n"/>
      <c r="F165" s="423" t="n"/>
      <c r="G165" s="422" t="n"/>
      <c r="H165" s="422" t="n"/>
      <c r="I165" s="422" t="n"/>
      <c r="J165" s="422" t="n"/>
      <c r="K165" s="422" t="n"/>
      <c r="L165" s="423" t="n"/>
      <c r="M165" s="422" t="n"/>
    </row>
    <row r="166">
      <c r="A166" s="420">
        <f>IF($B166="","",COUNTA($B$5:$B166))</f>
        <v/>
      </c>
      <c r="B166" s="421" t="n"/>
      <c r="C166" s="422" t="n"/>
      <c r="D166" s="423" t="n"/>
      <c r="E166" s="421" t="n"/>
      <c r="F166" s="423" t="n"/>
      <c r="G166" s="422" t="n"/>
      <c r="H166" s="422" t="n"/>
      <c r="I166" s="422" t="n"/>
      <c r="J166" s="422" t="n"/>
      <c r="K166" s="422" t="n"/>
      <c r="L166" s="423" t="n"/>
      <c r="M166" s="422" t="n"/>
    </row>
    <row r="167">
      <c r="A167" s="420">
        <f>IF($B167="","",COUNTA($B$5:$B167))</f>
        <v/>
      </c>
      <c r="B167" s="421" t="n"/>
      <c r="C167" s="422" t="n"/>
      <c r="D167" s="423" t="n"/>
      <c r="E167" s="421" t="n"/>
      <c r="F167" s="423" t="n"/>
      <c r="G167" s="422" t="n"/>
      <c r="H167" s="422" t="n"/>
      <c r="I167" s="422" t="n"/>
      <c r="J167" s="422" t="n"/>
      <c r="K167" s="422" t="n"/>
      <c r="L167" s="423" t="n"/>
      <c r="M167" s="422" t="n"/>
    </row>
    <row r="168">
      <c r="A168" s="420">
        <f>IF($B168="","",COUNTA($B$5:$B168))</f>
        <v/>
      </c>
      <c r="B168" s="421" t="n"/>
      <c r="C168" s="422" t="n"/>
      <c r="D168" s="423" t="n"/>
      <c r="E168" s="421" t="n"/>
      <c r="F168" s="423" t="n"/>
      <c r="G168" s="422" t="n"/>
      <c r="H168" s="422" t="n"/>
      <c r="I168" s="422" t="n"/>
      <c r="J168" s="422" t="n"/>
      <c r="K168" s="422" t="n"/>
      <c r="L168" s="423" t="n"/>
      <c r="M168" s="422" t="n"/>
    </row>
    <row r="169">
      <c r="A169" s="420">
        <f>IF($B169="","",COUNTA($B$5:$B169))</f>
        <v/>
      </c>
      <c r="B169" s="421" t="n"/>
      <c r="C169" s="422" t="n"/>
      <c r="D169" s="423" t="n"/>
      <c r="E169" s="421" t="n"/>
      <c r="F169" s="423" t="n"/>
      <c r="G169" s="422" t="n"/>
      <c r="H169" s="422" t="n"/>
      <c r="I169" s="422" t="n"/>
      <c r="J169" s="422" t="n"/>
      <c r="K169" s="422" t="n"/>
      <c r="L169" s="423" t="n"/>
      <c r="M169" s="422" t="n"/>
    </row>
    <row r="170">
      <c r="A170" s="420">
        <f>IF($B170="","",COUNTA($B$5:$B170))</f>
        <v/>
      </c>
      <c r="B170" s="421" t="n"/>
      <c r="C170" s="422" t="n"/>
      <c r="D170" s="423" t="n"/>
      <c r="E170" s="421" t="n"/>
      <c r="F170" s="423" t="n"/>
      <c r="G170" s="422" t="n"/>
      <c r="H170" s="422" t="n"/>
      <c r="I170" s="422" t="n"/>
      <c r="J170" s="422" t="n"/>
      <c r="K170" s="422" t="n"/>
      <c r="L170" s="423" t="n"/>
      <c r="M170" s="422" t="n"/>
    </row>
    <row r="171">
      <c r="A171" s="420">
        <f>IF($B171="","",COUNTA($B$5:$B171))</f>
        <v/>
      </c>
      <c r="B171" s="421" t="n"/>
      <c r="C171" s="422" t="n"/>
      <c r="D171" s="423" t="n"/>
      <c r="E171" s="421" t="n"/>
      <c r="F171" s="423" t="n"/>
      <c r="G171" s="422" t="n"/>
      <c r="H171" s="422" t="n"/>
      <c r="I171" s="422" t="n"/>
      <c r="J171" s="422" t="n"/>
      <c r="K171" s="422" t="n"/>
      <c r="L171" s="423" t="n"/>
      <c r="M171" s="422" t="n"/>
    </row>
    <row r="172">
      <c r="A172" s="420">
        <f>IF($B172="","",COUNTA($B$5:$B172))</f>
        <v/>
      </c>
      <c r="B172" s="421" t="n"/>
      <c r="C172" s="422" t="n"/>
      <c r="D172" s="423" t="n"/>
      <c r="E172" s="421" t="n"/>
      <c r="F172" s="423" t="n"/>
      <c r="G172" s="422" t="n"/>
      <c r="H172" s="422" t="n"/>
      <c r="I172" s="422" t="n"/>
      <c r="J172" s="422" t="n"/>
      <c r="K172" s="422" t="n"/>
      <c r="L172" s="423" t="n"/>
      <c r="M172" s="422" t="n"/>
    </row>
    <row r="173">
      <c r="A173" s="420">
        <f>IF($B173="","",COUNTA($B$5:$B173))</f>
        <v/>
      </c>
      <c r="B173" s="421" t="n"/>
      <c r="C173" s="422" t="n"/>
      <c r="D173" s="423" t="n"/>
      <c r="E173" s="421" t="n"/>
      <c r="F173" s="423" t="n"/>
      <c r="G173" s="422" t="n"/>
      <c r="H173" s="422" t="n"/>
      <c r="I173" s="422" t="n"/>
      <c r="J173" s="422" t="n"/>
      <c r="K173" s="422" t="n"/>
      <c r="L173" s="423" t="n"/>
      <c r="M173" s="422" t="n"/>
    </row>
    <row r="174">
      <c r="A174" s="420">
        <f>IF($B174="","",COUNTA($B$5:$B174))</f>
        <v/>
      </c>
      <c r="B174" s="421" t="n"/>
      <c r="C174" s="422" t="n"/>
      <c r="D174" s="423" t="n"/>
      <c r="E174" s="421" t="n"/>
      <c r="F174" s="423" t="n"/>
      <c r="G174" s="422" t="n"/>
      <c r="H174" s="422" t="n"/>
      <c r="I174" s="422" t="n"/>
      <c r="J174" s="422" t="n"/>
      <c r="K174" s="422" t="n"/>
      <c r="L174" s="423" t="n"/>
      <c r="M174" s="422" t="n"/>
    </row>
    <row r="175">
      <c r="A175" s="420">
        <f>IF($B175="","",COUNTA($B$5:$B175))</f>
        <v/>
      </c>
      <c r="B175" s="421" t="n"/>
      <c r="C175" s="422" t="n"/>
      <c r="D175" s="423" t="n"/>
      <c r="E175" s="421" t="n"/>
      <c r="F175" s="423" t="n"/>
      <c r="G175" s="422" t="n"/>
      <c r="H175" s="422" t="n"/>
      <c r="I175" s="422" t="n"/>
      <c r="J175" s="422" t="n"/>
      <c r="K175" s="422" t="n"/>
      <c r="L175" s="423" t="n"/>
      <c r="M175" s="422" t="n"/>
    </row>
    <row r="176">
      <c r="A176" s="420">
        <f>IF($B176="","",COUNTA($B$5:$B176))</f>
        <v/>
      </c>
      <c r="B176" s="421" t="n"/>
      <c r="C176" s="422" t="n"/>
      <c r="D176" s="423" t="n"/>
      <c r="E176" s="421" t="n"/>
      <c r="F176" s="423" t="n"/>
      <c r="G176" s="422" t="n"/>
      <c r="H176" s="422" t="n"/>
      <c r="I176" s="422" t="n"/>
      <c r="J176" s="422" t="n"/>
      <c r="K176" s="422" t="n"/>
      <c r="L176" s="423" t="n"/>
      <c r="M176" s="422" t="n"/>
    </row>
    <row r="177">
      <c r="A177" s="420">
        <f>IF($B177="","",COUNTA($B$5:$B177))</f>
        <v/>
      </c>
      <c r="B177" s="421" t="n"/>
      <c r="C177" s="422" t="n"/>
      <c r="D177" s="423" t="n"/>
      <c r="E177" s="421" t="n"/>
      <c r="F177" s="423" t="n"/>
      <c r="G177" s="422" t="n"/>
      <c r="H177" s="422" t="n"/>
      <c r="I177" s="422" t="n"/>
      <c r="J177" s="422" t="n"/>
      <c r="K177" s="422" t="n"/>
      <c r="L177" s="423" t="n"/>
      <c r="M177" s="422" t="n"/>
    </row>
    <row r="178">
      <c r="A178" s="420">
        <f>IF($B178="","",COUNTA($B$5:$B178))</f>
        <v/>
      </c>
      <c r="B178" s="421" t="n"/>
      <c r="C178" s="422" t="n"/>
      <c r="D178" s="423" t="n"/>
      <c r="E178" s="421" t="n"/>
      <c r="F178" s="423" t="n"/>
      <c r="G178" s="422" t="n"/>
      <c r="H178" s="422" t="n"/>
      <c r="I178" s="422" t="n"/>
      <c r="J178" s="422" t="n"/>
      <c r="K178" s="422" t="n"/>
      <c r="L178" s="423" t="n"/>
      <c r="M178" s="422" t="n"/>
    </row>
    <row r="179">
      <c r="A179" s="420">
        <f>IF($B179="","",COUNTA($B$5:$B179))</f>
        <v/>
      </c>
      <c r="B179" s="421" t="n"/>
      <c r="C179" s="422" t="n"/>
      <c r="D179" s="423" t="n"/>
      <c r="E179" s="421" t="n"/>
      <c r="F179" s="423" t="n"/>
      <c r="G179" s="422" t="n"/>
      <c r="H179" s="422" t="n"/>
      <c r="I179" s="422" t="n"/>
      <c r="J179" s="422" t="n"/>
      <c r="K179" s="422" t="n"/>
      <c r="L179" s="423" t="n"/>
      <c r="M179" s="422" t="n"/>
    </row>
    <row r="180">
      <c r="A180" s="420">
        <f>IF($B180="","",COUNTA($B$5:$B180))</f>
        <v/>
      </c>
      <c r="B180" s="421" t="n"/>
      <c r="C180" s="422" t="n"/>
      <c r="D180" s="423" t="n"/>
      <c r="E180" s="421" t="n"/>
      <c r="F180" s="423" t="n"/>
      <c r="G180" s="422" t="n"/>
      <c r="H180" s="422" t="n"/>
      <c r="I180" s="422" t="n"/>
      <c r="J180" s="422" t="n"/>
      <c r="K180" s="422" t="n"/>
      <c r="L180" s="423" t="n"/>
      <c r="M180" s="422" t="n"/>
    </row>
    <row r="181">
      <c r="A181" s="420">
        <f>IF($B181="","",COUNTA($B$5:$B181))</f>
        <v/>
      </c>
      <c r="B181" s="421" t="n"/>
      <c r="C181" s="422" t="n"/>
      <c r="D181" s="423" t="n"/>
      <c r="E181" s="421" t="n"/>
      <c r="F181" s="423" t="n"/>
      <c r="G181" s="422" t="n"/>
      <c r="H181" s="422" t="n"/>
      <c r="I181" s="422" t="n"/>
      <c r="J181" s="422" t="n"/>
      <c r="K181" s="422" t="n"/>
      <c r="L181" s="423" t="n"/>
      <c r="M181" s="422" t="n"/>
    </row>
    <row r="182">
      <c r="A182" s="420">
        <f>IF($B182="","",COUNTA($B$5:$B182))</f>
        <v/>
      </c>
      <c r="B182" s="421" t="n"/>
      <c r="C182" s="422" t="n"/>
      <c r="D182" s="423" t="n"/>
      <c r="E182" s="421" t="n"/>
      <c r="F182" s="423" t="n"/>
      <c r="G182" s="422" t="n"/>
      <c r="H182" s="422" t="n"/>
      <c r="I182" s="422" t="n"/>
      <c r="J182" s="422" t="n"/>
      <c r="K182" s="422" t="n"/>
      <c r="L182" s="423" t="n"/>
      <c r="M182" s="422" t="n"/>
    </row>
    <row r="183">
      <c r="A183" s="420">
        <f>IF($B183="","",COUNTA($B$5:$B183))</f>
        <v/>
      </c>
      <c r="B183" s="421" t="n"/>
      <c r="C183" s="422" t="n"/>
      <c r="D183" s="423" t="n"/>
      <c r="E183" s="421" t="n"/>
      <c r="F183" s="423" t="n"/>
      <c r="G183" s="422" t="n"/>
      <c r="H183" s="422" t="n"/>
      <c r="I183" s="422" t="n"/>
      <c r="J183" s="422" t="n"/>
      <c r="K183" s="422" t="n"/>
      <c r="L183" s="423" t="n"/>
      <c r="M183" s="422" t="n"/>
    </row>
    <row r="184">
      <c r="A184" s="420">
        <f>IF($B184="","",COUNTA($B$5:$B184))</f>
        <v/>
      </c>
      <c r="B184" s="421" t="n"/>
      <c r="C184" s="422" t="n"/>
      <c r="D184" s="423" t="n"/>
      <c r="E184" s="421" t="n"/>
      <c r="F184" s="423" t="n"/>
      <c r="G184" s="422" t="n"/>
      <c r="H184" s="422" t="n"/>
      <c r="I184" s="422" t="n"/>
      <c r="J184" s="422" t="n"/>
      <c r="K184" s="422" t="n"/>
      <c r="L184" s="423" t="n"/>
      <c r="M184" s="422" t="n"/>
    </row>
    <row r="185">
      <c r="A185" s="420">
        <f>IF($B185="","",COUNTA($B$5:$B185))</f>
        <v/>
      </c>
      <c r="B185" s="421" t="n"/>
      <c r="C185" s="422" t="n"/>
      <c r="D185" s="423" t="n"/>
      <c r="E185" s="421" t="n"/>
      <c r="F185" s="423" t="n"/>
      <c r="G185" s="422" t="n"/>
      <c r="H185" s="422" t="n"/>
      <c r="I185" s="422" t="n"/>
      <c r="J185" s="422" t="n"/>
      <c r="K185" s="422" t="n"/>
      <c r="L185" s="423" t="n"/>
      <c r="M185" s="422" t="n"/>
    </row>
    <row r="186">
      <c r="A186" s="420">
        <f>IF($B186="","",COUNTA($B$5:$B186))</f>
        <v/>
      </c>
      <c r="B186" s="421" t="n"/>
      <c r="C186" s="422" t="n"/>
      <c r="D186" s="423" t="n"/>
      <c r="E186" s="421" t="n"/>
      <c r="F186" s="423" t="n"/>
      <c r="G186" s="422" t="n"/>
      <c r="H186" s="422" t="n"/>
      <c r="I186" s="422" t="n"/>
      <c r="J186" s="422" t="n"/>
      <c r="K186" s="422" t="n"/>
      <c r="L186" s="423" t="n"/>
      <c r="M186" s="422" t="n"/>
    </row>
    <row r="187">
      <c r="A187" s="420">
        <f>IF($B187="","",COUNTA($B$5:$B187))</f>
        <v/>
      </c>
      <c r="B187" s="421" t="n"/>
      <c r="C187" s="422" t="n"/>
      <c r="D187" s="423" t="n"/>
      <c r="E187" s="421" t="n"/>
      <c r="F187" s="423" t="n"/>
      <c r="G187" s="422" t="n"/>
      <c r="H187" s="422" t="n"/>
      <c r="I187" s="422" t="n"/>
      <c r="J187" s="422" t="n"/>
      <c r="K187" s="422" t="n"/>
      <c r="L187" s="423" t="n"/>
      <c r="M187" s="422" t="n"/>
    </row>
    <row r="188">
      <c r="A188" s="420">
        <f>IF($B188="","",COUNTA($B$5:$B188))</f>
        <v/>
      </c>
      <c r="B188" s="421" t="n"/>
      <c r="C188" s="422" t="n"/>
      <c r="D188" s="423" t="n"/>
      <c r="E188" s="421" t="n"/>
      <c r="F188" s="423" t="n"/>
      <c r="G188" s="422" t="n"/>
      <c r="H188" s="422" t="n"/>
      <c r="I188" s="422" t="n"/>
      <c r="J188" s="422" t="n"/>
      <c r="K188" s="422" t="n"/>
      <c r="L188" s="423" t="n"/>
      <c r="M188" s="422" t="n"/>
    </row>
    <row r="189">
      <c r="A189" s="420">
        <f>IF($B189="","",COUNTA($B$5:$B189))</f>
        <v/>
      </c>
      <c r="B189" s="421" t="n"/>
      <c r="C189" s="422" t="n"/>
      <c r="D189" s="423" t="n"/>
      <c r="E189" s="421" t="n"/>
      <c r="F189" s="423" t="n"/>
      <c r="G189" s="422" t="n"/>
      <c r="H189" s="422" t="n"/>
      <c r="I189" s="422" t="n"/>
      <c r="J189" s="422" t="n"/>
      <c r="K189" s="422" t="n"/>
      <c r="L189" s="423" t="n"/>
      <c r="M189" s="422" t="n"/>
    </row>
    <row r="190">
      <c r="A190" s="420">
        <f>IF($B190="","",COUNTA($B$5:$B190))</f>
        <v/>
      </c>
      <c r="B190" s="421" t="n"/>
      <c r="C190" s="422" t="n"/>
      <c r="D190" s="423" t="n"/>
      <c r="E190" s="421" t="n"/>
      <c r="F190" s="423" t="n"/>
      <c r="G190" s="422" t="n"/>
      <c r="H190" s="422" t="n"/>
      <c r="I190" s="422" t="n"/>
      <c r="J190" s="422" t="n"/>
      <c r="K190" s="422" t="n"/>
      <c r="L190" s="423" t="n"/>
      <c r="M190" s="422" t="n"/>
    </row>
    <row r="191">
      <c r="A191" s="420">
        <f>IF($B191="","",COUNTA($B$5:$B191))</f>
        <v/>
      </c>
      <c r="B191" s="421" t="n"/>
      <c r="C191" s="422" t="n"/>
      <c r="D191" s="423" t="n"/>
      <c r="E191" s="421" t="n"/>
      <c r="F191" s="423" t="n"/>
      <c r="G191" s="422" t="n"/>
      <c r="H191" s="422" t="n"/>
      <c r="I191" s="422" t="n"/>
      <c r="J191" s="422" t="n"/>
      <c r="K191" s="422" t="n"/>
      <c r="L191" s="423" t="n"/>
      <c r="M191" s="422" t="n"/>
    </row>
    <row r="192">
      <c r="A192" s="420">
        <f>IF($B192="","",COUNTA($B$5:$B192))</f>
        <v/>
      </c>
      <c r="B192" s="421" t="n"/>
      <c r="C192" s="422" t="n"/>
      <c r="D192" s="423" t="n"/>
      <c r="E192" s="421" t="n"/>
      <c r="F192" s="423" t="n"/>
      <c r="G192" s="422" t="n"/>
      <c r="H192" s="422" t="n"/>
      <c r="I192" s="422" t="n"/>
      <c r="J192" s="422" t="n"/>
      <c r="K192" s="422" t="n"/>
      <c r="L192" s="423" t="n"/>
      <c r="M192" s="422" t="n"/>
    </row>
    <row r="193">
      <c r="A193" s="420">
        <f>IF($B193="","",COUNTA($B$5:$B193))</f>
        <v/>
      </c>
      <c r="B193" s="421" t="n"/>
      <c r="C193" s="422" t="n"/>
      <c r="D193" s="423" t="n"/>
      <c r="E193" s="421" t="n"/>
      <c r="F193" s="423" t="n"/>
      <c r="G193" s="422" t="n"/>
      <c r="H193" s="422" t="n"/>
      <c r="I193" s="422" t="n"/>
      <c r="J193" s="422" t="n"/>
      <c r="K193" s="422" t="n"/>
      <c r="L193" s="423" t="n"/>
      <c r="M193" s="422" t="n"/>
    </row>
    <row r="194">
      <c r="A194" s="420">
        <f>IF($B194="","",COUNTA($B$5:$B194))</f>
        <v/>
      </c>
      <c r="B194" s="421" t="n"/>
      <c r="C194" s="422" t="n"/>
      <c r="D194" s="423" t="n"/>
      <c r="E194" s="421" t="n"/>
      <c r="F194" s="423" t="n"/>
      <c r="G194" s="422" t="n"/>
      <c r="H194" s="422" t="n"/>
      <c r="I194" s="422" t="n"/>
      <c r="J194" s="422" t="n"/>
      <c r="K194" s="422" t="n"/>
      <c r="L194" s="423" t="n"/>
      <c r="M194" s="422" t="n"/>
    </row>
    <row r="195">
      <c r="A195" s="420">
        <f>IF($B195="","",COUNTA($B$5:$B195))</f>
        <v/>
      </c>
      <c r="B195" s="421" t="n"/>
      <c r="C195" s="422" t="n"/>
      <c r="D195" s="423" t="n"/>
      <c r="E195" s="421" t="n"/>
      <c r="F195" s="423" t="n"/>
      <c r="G195" s="422" t="n"/>
      <c r="H195" s="422" t="n"/>
      <c r="I195" s="422" t="n"/>
      <c r="J195" s="422" t="n"/>
      <c r="K195" s="422" t="n"/>
      <c r="L195" s="423" t="n"/>
      <c r="M195" s="422" t="n"/>
    </row>
    <row r="196">
      <c r="A196" s="420">
        <f>IF($B196="","",COUNTA($B$5:$B196))</f>
        <v/>
      </c>
      <c r="B196" s="421" t="n"/>
      <c r="C196" s="422" t="n"/>
      <c r="D196" s="423" t="n"/>
      <c r="E196" s="421" t="n"/>
      <c r="F196" s="423" t="n"/>
      <c r="G196" s="422" t="n"/>
      <c r="H196" s="422" t="n"/>
      <c r="I196" s="422" t="n"/>
      <c r="J196" s="422" t="n"/>
      <c r="K196" s="422" t="n"/>
      <c r="L196" s="423" t="n"/>
      <c r="M196" s="422" t="n"/>
    </row>
    <row r="197">
      <c r="A197" s="420">
        <f>IF($B197="","",COUNTA($B$5:$B197))</f>
        <v/>
      </c>
      <c r="B197" s="421" t="n"/>
      <c r="C197" s="422" t="n"/>
      <c r="D197" s="423" t="n"/>
      <c r="E197" s="421" t="n"/>
      <c r="F197" s="423" t="n"/>
      <c r="G197" s="422" t="n"/>
      <c r="H197" s="422" t="n"/>
      <c r="I197" s="422" t="n"/>
      <c r="J197" s="422" t="n"/>
      <c r="K197" s="422" t="n"/>
      <c r="L197" s="423" t="n"/>
      <c r="M197" s="422" t="n"/>
    </row>
    <row r="198">
      <c r="A198" s="420">
        <f>IF($B198="","",COUNTA($B$5:$B198))</f>
        <v/>
      </c>
      <c r="B198" s="421" t="n"/>
      <c r="C198" s="422" t="n"/>
      <c r="D198" s="423" t="n"/>
      <c r="E198" s="421" t="n"/>
      <c r="F198" s="423" t="n"/>
      <c r="G198" s="422" t="n"/>
      <c r="H198" s="422" t="n"/>
      <c r="I198" s="422" t="n"/>
      <c r="J198" s="422" t="n"/>
      <c r="K198" s="422" t="n"/>
      <c r="L198" s="423" t="n"/>
      <c r="M198" s="422" t="n"/>
    </row>
    <row r="199">
      <c r="A199" s="420">
        <f>IF($B199="","",COUNTA($B$5:$B199))</f>
        <v/>
      </c>
      <c r="B199" s="421" t="n"/>
      <c r="C199" s="422" t="n"/>
      <c r="D199" s="423" t="n"/>
      <c r="E199" s="421" t="n"/>
      <c r="F199" s="423" t="n"/>
      <c r="G199" s="422" t="n"/>
      <c r="H199" s="422" t="n"/>
      <c r="I199" s="422" t="n"/>
      <c r="J199" s="422" t="n"/>
      <c r="K199" s="422" t="n"/>
      <c r="L199" s="423" t="n"/>
      <c r="M199" s="422" t="n"/>
    </row>
    <row r="200">
      <c r="A200" s="420">
        <f>IF($B200="","",COUNTA($B$5:$B200))</f>
        <v/>
      </c>
      <c r="B200" s="421" t="n"/>
      <c r="C200" s="422" t="n"/>
      <c r="D200" s="423" t="n"/>
      <c r="E200" s="421" t="n"/>
      <c r="F200" s="423" t="n"/>
      <c r="G200" s="422" t="n"/>
      <c r="H200" s="422" t="n"/>
      <c r="I200" s="422" t="n"/>
      <c r="J200" s="422" t="n"/>
      <c r="K200" s="422" t="n"/>
      <c r="L200" s="423" t="n"/>
      <c r="M200" s="422" t="n"/>
    </row>
  </sheetData>
  <autoFilter ref="A4:M200"/>
  <mergeCells count="2">
    <mergeCell ref="A2:M2"/>
    <mergeCell ref="A1:M1"/>
  </mergeCells>
  <conditionalFormatting sqref="A5:M200">
    <cfRule type="expression" priority="1" dxfId="136">
      <formula>$I5="NOT AVAILABLE"</formula>
    </cfRule>
    <cfRule type="expression" priority="2" dxfId="137">
      <formula>$I5="AVAILABLE"</formula>
    </cfRule>
    <cfRule type="expression" priority="3" dxfId="138">
      <formula>$I5="ORDERED"</formula>
    </cfRule>
    <cfRule type="expression" priority="4" dxfId="132">
      <formula>$I5="TRANSFER NEEDED"</formula>
    </cfRule>
    <cfRule type="expression" priority="5" dxfId="139">
      <formula>$I5="ISSUED"</formula>
    </cfRule>
  </conditionalFormatting>
  <conditionalFormatting sqref="I5:I200">
    <cfRule type="expression" priority="6" dxfId="140">
      <formula>$I5="NOT AVAILABLE"</formula>
    </cfRule>
  </conditionalFormatting>
  <dataValidations count="1">
    <dataValidation sqref="I5: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2026-07-31T14:14:55Z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