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OLD (formulas)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3" customWidth="1" min="4" max="4"/>
    <col width="26" customWidth="1" min="5" max="5"/>
    <col width="14" customWidth="1" min="6" max="6"/>
    <col width="3" customWidth="1" min="7" max="7"/>
    <col width="26" customWidth="1" min="8" max="8"/>
    <col width="14" customWidth="1" min="9" max="9"/>
    <col width="3" customWidth="1" min="10" max="10"/>
    <col width="14" customWidth="1" min="12" max="12"/>
    <col width="13" customWidth="1" min="13" max="13"/>
  </cols>
  <sheetData>
    <row r="1">
      <c r="A1" t="inlineStr">
        <is>
          <t>📊  ASD C2+6Y-CHECK — WORK PACKAGE DASHBOARD</t>
        </is>
      </c>
      <c r="I1">
        <f>IF(OR(NOT(ISNUMBER($M$1)),NOT(ISNUMBER($M$2))),"PENDING","DAY "&amp;MAX(MIN(TODAY()-$M$1+1,$M$2-$M$1+1),0)&amp;"/"&amp;($M$2-$M$1+1))</f>
        <v/>
      </c>
      <c r="L1" t="inlineStr">
        <is>
          <t>CHECK START →</t>
        </is>
      </c>
      <c r="M1">
        <f>DASHBOARD!$M$1</f>
        <v/>
      </c>
    </row>
    <row r="2">
      <c r="A2">
        <f>IF(AND($M$1="",$M$2=""),"⚙️  Set CHECK START (M1) and CHECK END (M2) dates → schedule alert activates automatically",IF(OR(NOT(ISNUMBER($M$1)),NOT(ISNUMBER($M$2))),"⚠️ Date not recognized — clear M1/M2 and re-type as  2026-07-01  (year-month-day)",IF($M$2&lt;=$M$1,"⚠️ CHECK END must be after CHECK START — please review M1/M2",IF(AND(TODAY()&gt;$M$2,(COUNTIFS('HZ-ASD Tracker'!$A$5:$A$993,"&lt;&gt;",'HZ-ASD Tracker'!$E$5:$E$993,"Closed")/COUNTIF('HZ-ASD Tracker'!$A$5:$A$993,"&lt;&gt;"))&lt;1),"❌ CHECK PERIOD ENDED — Completion "&amp;TEXT((COUNTIFS('HZ-ASD Tracker'!$A$5:$A$993,"&lt;&gt;",'HZ-ASD Tracker'!$E$5:$E$993,"Closed")/COUNTIF('HZ-ASD Tracker'!$A$5:$A$993,"&lt;&gt;")),"0%")&amp;"  ·  Overdue by "&amp;(TODAY()-$M$2)&amp;" days",IF((COUNTIFS('HZ-ASD Tracker'!$A$5:$A$993,"&lt;&gt;",'HZ-ASD Tracker'!$E$5:$E$993,"Closed")/COUNTIF('HZ-ASD Tracker'!$A$5:$A$993,"&lt;&gt;"))&gt;=((TODAY()-$M$1)/($M$2-$M$1))-0.05,"✅ ON TRACK — "&amp;"Completed "&amp;TEXT((COUNTIFS('HZ-ASD Tracker'!$A$5:$A$993,"&lt;&gt;",'HZ-ASD Tracker'!$E$5:$E$993,"Closed")/COUNTIF('HZ-ASD Tracker'!$A$5:$A$993,"&lt;&gt;")),"0%")&amp;" vs Time "&amp;TEXT(MAX(MIN(((TODAY()-$M$1)/($M$2-$M$1)),1),0),"0%")&amp;"  ·  Days Left: "&amp;MAX($M$2-TODAY(),0)&amp;"  ·  Pace needed: "&amp;TEXT((COUNTIF('HZ-ASD Tracker'!$A$5:$A$993,"&lt;&gt;")-COUNTIFS('HZ-ASD Tracker'!$A$5:$A$993,"&lt;&gt;",'HZ-ASD Tracker'!$E$5:$E$993,"Closed"))/MAX($M$2-TODAY(),1),"0.0")&amp;"/day vs avg "&amp;TEXT(COUNTIFS('HZ-ASD Tracker'!$A$5:$A$993,"&lt;&gt;",'HZ-ASD Tracker'!$E$5:$E$993,"Closed")/MAX(TODAY()-$M$1,1),"0.0")&amp;"/day",IF((COUNTIFS('HZ-ASD Tracker'!$A$5:$A$993,"&lt;&gt;",'HZ-ASD Tracker'!$E$5:$E$993,"Closed")/COUNTIF('HZ-ASD Tracker'!$A$5:$A$993,"&lt;&gt;"))&gt;=((TODAY()-$M$1)/($M$2-$M$1))-0.15,"⚠️ WARNING — "&amp;"Completed "&amp;TEXT((COUNTIFS('HZ-ASD Tracker'!$A$5:$A$993,"&lt;&gt;",'HZ-ASD Tracker'!$E$5:$E$993,"Closed")/COUNTIF('HZ-ASD Tracker'!$A$5:$A$993,"&lt;&gt;")),"0%")&amp;" vs Time "&amp;TEXT(MAX(MIN(((TODAY()-$M$1)/($M$2-$M$1)),1),0),"0%")&amp;"  ·  Days Left: "&amp;MAX($M$2-TODAY(),0)&amp;"  ·  Pace needed: "&amp;TEXT((COUNTIF('HZ-ASD Tracker'!$A$5:$A$993,"&lt;&gt;")-COUNTIFS('HZ-ASD Tracker'!$A$5:$A$993,"&lt;&gt;",'HZ-ASD Tracker'!$E$5:$E$993,"Closed"))/MAX($M$2-TODAY(),1),"0.0")&amp;"/day vs avg "&amp;TEXT(COUNTIFS('HZ-ASD Tracker'!$A$5:$A$993,"&lt;&gt;",'HZ-ASD Tracker'!$E$5:$E$993,"Closed")/MAX(TODAY()-$M$1,1),"0.0")&amp;"/day","🔴 CRITICAL — "&amp;"Completed "&amp;TEXT((COUNTIFS('HZ-ASD Tracker'!$A$5:$A$993,"&lt;&gt;",'HZ-ASD Tracker'!$E$5:$E$993,"Closed")/COUNTIF('HZ-ASD Tracker'!$A$5:$A$993,"&lt;&gt;")),"0%")&amp;" vs Time "&amp;TEXT(MAX(MIN(((TODAY()-$M$1)/($M$2-$M$1)),1),0),"0%")&amp;"  ·  Days Left: "&amp;MAX($M$2-TODAY(),0)&amp;"  ·  Pace needed: "&amp;TEXT((COUNTIF('HZ-ASD Tracker'!$A$5:$A$993,"&lt;&gt;")-COUNTIFS('HZ-ASD Tracker'!$A$5:$A$993,"&lt;&gt;",'HZ-ASD Tracker'!$E$5:$E$993,"Closed"))/MAX($M$2-TODAY(),1),"0.0")&amp;"/day vs avg "&amp;TEXT(COUNTIFS('HZ-ASD Tracker'!$A$5:$A$993,"&lt;&gt;",'HZ-ASD Tracker'!$E$5:$E$993,"Closed")/MAX(TODAY()-$M$1,1),"0.0")&amp;"/day"))))))</f>
        <v/>
      </c>
      <c r="L2" t="inlineStr">
        <is>
          <t>CHECK END →</t>
        </is>
      </c>
      <c r="M2">
        <f>DASHBOARD!$M$2</f>
        <v/>
      </c>
    </row>
    <row r="3">
      <c r="A3" t="inlineStr">
        <is>
          <t xml:space="preserve">  STATUS OVERVIEW</t>
        </is>
      </c>
      <c r="H3">
        <f>IF(NOT(ISNUMBER(LAYOVER!$B$19)),"⏳ set findings cutoff (LAYOVER)",IF(TODAY()&gt;LAYOVER!$B$19,"🔒 FINDINGS WINDOW CLOSED","⏳ Findings window closes in: "&amp;(LAYOVER!$B$19-TODAY())&amp;" day(s)"))</f>
        <v/>
      </c>
    </row>
    <row r="5">
      <c r="B5" t="inlineStr">
        <is>
          <t>Total Items/WOs</t>
        </is>
      </c>
      <c r="C5">
        <f>COUNTIF('HZ-ASD Tracker'!A5:A993,"&lt;&gt;")</f>
        <v/>
      </c>
      <c r="E5" t="inlineStr">
        <is>
          <t>Closed</t>
        </is>
      </c>
      <c r="F5">
        <f>COUNTIFS('HZ-ASD Tracker'!A5:A993,"&lt;&gt;",'HZ-ASD Tracker'!E5:E993,"Closed")</f>
        <v/>
      </c>
      <c r="H5" t="inlineStr">
        <is>
          <t>Completion</t>
        </is>
      </c>
      <c r="I5">
        <f>TEXT(IFERROR(COUNTIFS('HZ-ASD Tracker'!A5:A993,"&lt;&gt;",'HZ-ASD Tracker'!E5:E993,"Closed")/COUNTIF('HZ-ASD Tracker'!A5:A993,"&lt;&gt;"),0),"0%")</f>
        <v/>
      </c>
    </row>
    <row r="7">
      <c r="B7" t="inlineStr">
        <is>
          <t>Open</t>
        </is>
      </c>
      <c r="C7">
        <f>COUNTIFS('HZ-ASD Tracker'!A5:A993,"&lt;&gt;",'HZ-ASD Tracker'!E5:E993,"Open")</f>
        <v/>
      </c>
      <c r="E7" t="inlineStr">
        <is>
          <t>In Work  (I/W)</t>
        </is>
      </c>
      <c r="F7">
        <f>COUNTIFS('HZ-ASD Tracker'!A5:A993,"&lt;&gt;",'HZ-ASD Tracker'!E5:E993,"I/W")</f>
        <v/>
      </c>
      <c r="H7" t="inlineStr">
        <is>
          <t>Deferred / Hold</t>
        </is>
      </c>
      <c r="I7">
        <f>COUNTIFS('HZ-ASD Tracker'!A5:A993,"&lt;&gt;",'HZ-ASD Tracker'!E5:E993,"Deferred")+COUNTIFS('HZ-ASD Tracker'!A5:A993,"&lt;&gt;",'HZ-ASD Tracker'!E5:E993,"On Hold")</f>
        <v/>
      </c>
    </row>
    <row r="9">
      <c r="A9" t="inlineStr">
        <is>
          <t xml:space="preserve">  PRIORITY ALERTS</t>
        </is>
      </c>
      <c r="H9">
        <f>IFERROR("📅 Next: "&amp;INDEX(LAYOVER!$A$41:$A$48,MATCH(AGGREGATE(15,6,LAYOVER!$B$41:$B$48/(LAYOVER!$B$41:$B$48&gt;=TODAY()),1),LAYOVER!$B$41:$B$48,0))&amp;IF(AGGREGATE(15,6,LAYOVER!$B$41:$B$48/(LAYOVER!$B$41:$B$48&gt;=TODAY()),1)=TODAY()," — TODAY"," in "&amp;(AGGREGATE(15,6,LAYOVER!$B$41:$B$48/(LAYOVER!$B$41:$B$48&gt;=TODAY()),1)-TODAY())&amp;" day(s)"),"📅 no upcoming milestone set")</f>
        <v/>
      </c>
    </row>
    <row r="11">
      <c r="B11" t="inlineStr">
        <is>
          <t>AOG</t>
        </is>
      </c>
      <c r="C11">
        <f>COUNTIFS('HZ-ASD Tracker'!A5:A993,"&lt;&gt;",'HZ-ASD Tracker'!F5:F993,"AOG")</f>
        <v/>
      </c>
      <c r="E11" t="inlineStr">
        <is>
          <t>Critical</t>
        </is>
      </c>
      <c r="F11">
        <f>COUNTIFS('HZ-ASD Tracker'!A5:A993,"&lt;&gt;",'HZ-ASD Tracker'!F5:F993,"Critical")</f>
        <v/>
      </c>
      <c r="H11" t="inlineStr">
        <is>
          <t>🚨 AOG/CRIT — STILL OPEN</t>
        </is>
      </c>
      <c r="I11">
        <f>COUNTIFS('HZ-ASD Tracker'!$A$5:$A$993,"&lt;&gt;",'HZ-ASD Tracker'!$F$5:$F$993,"AOG",'HZ-ASD Tracker'!$E$5:$E$993,"&lt;&gt;Closed")+COUNTIFS('HZ-ASD Tracker'!$A$5:$A$993,"&lt;&gt;",'HZ-ASD Tracker'!$F$5:$F$993,"Critical",'HZ-ASD Tracker'!$E$5:$E$993,"&lt;&gt;Closed")</f>
        <v/>
      </c>
    </row>
    <row r="13">
      <c r="A13" t="inlineStr">
        <is>
          <t xml:space="preserve">  BY SOURCE  —  ROUTINE  ·  ENG ORDERS  ·  FINDINGS</t>
        </is>
      </c>
      <c r="G13">
        <f>IF(NOT(ISNUMBER(LAYOVER!$B$7)),"📍 Phase: awaiting official schedule","📍 Now: "&amp;IF(AND(ISNUMBER(LAYOVER!$B$37),TODAY()&gt;=LAYOVER!$B$37),"PHASE 5 — Release",IF(AND(ISNUMBER(LAYOVER!$B$27),TODAY()&gt;=LAYOVER!$B$27),"PHASE 4 — Close Up &amp; Final",IF(AND(ISNUMBER(LAYOVER!$B$21),TODAY()&gt;=LAYOVER!$B$21),"PHASE 3 — Mod &amp; Rectification",IF(AND(ISNUMBER(LAYOVER!$B$14),TODAY()&gt;=LAYOVER!$B$14),"PHASE 2 — Inspection","PHASE 1 — Pre Hangar")))))</f>
        <v/>
      </c>
    </row>
    <row r="15">
      <c r="B15" t="inlineStr">
        <is>
          <t>ROUTINE TASKS  (WP)</t>
        </is>
      </c>
      <c r="C15">
        <f>(COUNTIFS('HZ-ASD Tracker'!$A$5:$A$993,"&lt;&gt;",'HZ-ASD Tracker'!$E$5:$E$993,"Closed")-SUMPRODUCT(('HZ-ASD Tracker'!$A$5:$A$993&lt;&gt;"")*(LEN('HZ-ASD Tracker'!$A$5:$A$993)=8)*ISNUMBER(--'HZ-ASD Tracker'!$A$5:$A$993)*('HZ-ASD Tracker'!$E$5:$E$993="Closed"))+SUMPRODUCT(('HZ-ASD Tracker'!$A$5:$A$993&lt;&gt;"")*(LEN('HZ-ASD Tracker'!$A$5:$A$993)=8)*ISNUMBER(--'HZ-ASD Tracker'!$A$5:$A$993)*(((LEFT('HZ-ASD Tracker'!$B$5:$B$993,3)="6Y_")+(LEFT('HZ-ASD Tracker'!$B$5:$B$993,4)="A_N ")+(LEFT('HZ-ASD Tracker'!$B$5:$B$993,4)="C_N ")+(LEFT('HZ-ASD Tracker'!$B$5:$B$993,4)="DCC-")+(LEFT('HZ-ASD Tracker'!$B$5:$B$993,4)="CCC-")+(LEFT('HZ-ASD Tracker'!$B$5:$B$993,4)="ISC-")+(LEFT('HZ-ASD Tracker'!$B$5:$B$993,7)="WEEKLY-"))&gt;0)*('HZ-ASD Tracker'!$E$5:$E$993="Closed")))&amp;" / "&amp;(COUNTIF('HZ-ASD Tracker'!$A$5:$A$993,"&lt;&gt;")-SUMPRODUCT(('HZ-ASD Tracker'!$A$5:$A$993&lt;&gt;"")*(LEN('HZ-ASD Tracker'!$A$5:$A$993)=8)*ISNUMBER(--'HZ-ASD Tracker'!$A$5:$A$993))+SUMPRODUCT(('HZ-ASD Tracker'!$A$5:$A$993&lt;&gt;"")*(LEN('HZ-ASD Tracker'!$A$5:$A$993)=8)*ISNUMBER(--'HZ-ASD Tracker'!$A$5:$A$993)*(((LEFT('HZ-ASD Tracker'!$B$5:$B$993,3)="6Y_")+(LEFT('HZ-ASD Tracker'!$B$5:$B$993,4)="A_N ")+(LEFT('HZ-ASD Tracker'!$B$5:$B$993,4)="C_N ")+(LEFT('HZ-ASD Tracker'!$B$5:$B$993,4)="DCC-")+(LEFT('HZ-ASD Tracker'!$B$5:$B$993,4)="CCC-")+(LEFT('HZ-ASD Tracker'!$B$5:$B$993,4)="ISC-")+(LEFT('HZ-ASD Tracker'!$B$5:$B$993,7)="WEEKLY-"))&gt;0)))</f>
        <v/>
      </c>
      <c r="E15" t="inlineStr">
        <is>
          <t>ENG ORDERS  (EOD/AD/EO)</t>
        </is>
      </c>
      <c r="F15">
        <f>SUMPRODUCT(('HZ-ASD Tracker'!$A$5:$A$993&lt;&gt;"")*(LEN('HZ-ASD Tracker'!$A$5:$A$993)=8)*ISNUMBER(--'HZ-ASD Tracker'!$A$5:$A$993)*(((LEFT('HZ-ASD Tracker'!$B$5:$B$993,4)="EOD-")+(LEFT('HZ-ASD Tracker'!$B$5:$B$993,3)="EO-")+(LEFT('HZ-ASD Tracker'!$B$5:$B$993,3)="ER-")+(LEFT('HZ-ASD Tracker'!$B$5:$B$993,5)="FRSEO")+(LEFT('HZ-ASD Tracker'!$B$5:$B$993,1)="S")*ISNUMBER(--MID('HZ-ASD Tracker'!$B$5:$B$993,2,2))*(MID('HZ-ASD Tracker'!$B$5:$B$993,4,2)="-R")+(LEFT('HZ-ASD Tracker'!$B$5:$B$993,8)="REPLACE ")+ISNUMBER(SEARCH("/AD-",'HZ-ASD Tracker'!$B$5:$B$993)))&gt;0)*('HZ-ASD Tracker'!$E$5:$E$993="Closed"))&amp;" / "&amp;SUMPRODUCT(('HZ-ASD Tracker'!$A$5:$A$993&lt;&gt;"")*(LEN('HZ-ASD Tracker'!$A$5:$A$993)=8)*ISNUMBER(--'HZ-ASD Tracker'!$A$5:$A$993)*(((LEFT('HZ-ASD Tracker'!$B$5:$B$993,4)="EOD-")+(LEFT('HZ-ASD Tracker'!$B$5:$B$993,3)="EO-")+(LEFT('HZ-ASD Tracker'!$B$5:$B$993,3)="ER-")+(LEFT('HZ-ASD Tracker'!$B$5:$B$993,5)="FRSEO")+(LEFT('HZ-ASD Tracker'!$B$5:$B$993,1)="S")*ISNUMBER(--MID('HZ-ASD Tracker'!$B$5:$B$993,2,2))*(MID('HZ-ASD Tracker'!$B$5:$B$993,4,2)="-R")+(LEFT('HZ-ASD Tracker'!$B$5:$B$993,8)="REPLACE ")+ISNUMBER(SEARCH("/AD-",'HZ-ASD Tracker'!$B$5:$B$993)))&gt;0))</f>
        <v/>
      </c>
      <c r="H15" t="inlineStr">
        <is>
          <t>FINDINGS  (AMOS WOs)</t>
        </is>
      </c>
      <c r="I15">
        <f>(SUMPRODUCT(('HZ-ASD Tracker'!$A$5:$A$993&lt;&gt;"")*(LEN('HZ-ASD Tracker'!$A$5:$A$993)=8)*ISNUMBER(--'HZ-ASD Tracker'!$A$5:$A$993)*('HZ-ASD Tracker'!$E$5:$E$993="Closed"))-SUMPRODUCT(('HZ-ASD Tracker'!$A$5:$A$993&lt;&gt;"")*(LEN('HZ-ASD Tracker'!$A$5:$A$993)=8)*ISNUMBER(--'HZ-ASD Tracker'!$A$5:$A$993)*(((LEFT('HZ-ASD Tracker'!$B$5:$B$993,4)="EOD-")+(LEFT('HZ-ASD Tracker'!$B$5:$B$993,3)="EO-")+(LEFT('HZ-ASD Tracker'!$B$5:$B$993,3)="ER-")+(LEFT('HZ-ASD Tracker'!$B$5:$B$993,5)="FRSEO")+(LEFT('HZ-ASD Tracker'!$B$5:$B$993,1)="S")*ISNUMBER(--MID('HZ-ASD Tracker'!$B$5:$B$993,2,2))*(MID('HZ-ASD Tracker'!$B$5:$B$993,4,2)="-R")+(LEFT('HZ-ASD Tracker'!$B$5:$B$993,8)="REPLACE ")+ISNUMBER(SEARCH("/AD-",'HZ-ASD Tracker'!$B$5:$B$993)))&gt;0)*('HZ-ASD Tracker'!$E$5:$E$993="Closed"))-SUMPRODUCT(('HZ-ASD Tracker'!$A$5:$A$993&lt;&gt;"")*(LEN('HZ-ASD Tracker'!$A$5:$A$993)=8)*ISNUMBER(--'HZ-ASD Tracker'!$A$5:$A$993)*(((LEFT('HZ-ASD Tracker'!$B$5:$B$993,3)="6Y_")+(LEFT('HZ-ASD Tracker'!$B$5:$B$993,4)="A_N ")+(LEFT('HZ-ASD Tracker'!$B$5:$B$993,4)="C_N ")+(LEFT('HZ-ASD Tracker'!$B$5:$B$993,4)="DCC-")+(LEFT('HZ-ASD Tracker'!$B$5:$B$993,4)="CCC-")+(LEFT('HZ-ASD Tracker'!$B$5:$B$993,4)="ISC-")+(LEFT('HZ-ASD Tracker'!$B$5:$B$993,7)="WEEKLY-"))&gt;0)*('HZ-ASD Tracker'!$E$5:$E$993="Closed")))&amp;" / "&amp;(SUMPRODUCT(('HZ-ASD Tracker'!$A$5:$A$993&lt;&gt;"")*(LEN('HZ-ASD Tracker'!$A$5:$A$993)=8)*ISNUMBER(--'HZ-ASD Tracker'!$A$5:$A$993))-SUMPRODUCT(('HZ-ASD Tracker'!$A$5:$A$993&lt;&gt;"")*(LEN('HZ-ASD Tracker'!$A$5:$A$993)=8)*ISNUMBER(--'HZ-ASD Tracker'!$A$5:$A$993)*(((LEFT('HZ-ASD Tracker'!$B$5:$B$993,4)="EOD-")+(LEFT('HZ-ASD Tracker'!$B$5:$B$993,3)="EO-")+(LEFT('HZ-ASD Tracker'!$B$5:$B$993,3)="ER-")+(LEFT('HZ-ASD Tracker'!$B$5:$B$993,5)="FRSEO")+(LEFT('HZ-ASD Tracker'!$B$5:$B$993,1)="S")*ISNUMBER(--MID('HZ-ASD Tracker'!$B$5:$B$993,2,2))*(MID('HZ-ASD Tracker'!$B$5:$B$993,4,2)="-R")+(LEFT('HZ-ASD Tracker'!$B$5:$B$993,8)="REPLACE ")+ISNUMBER(SEARCH("/AD-",'HZ-ASD Tracker'!$B$5:$B$993)))&gt;0))-SUMPRODUCT(('HZ-ASD Tracker'!$A$5:$A$993&lt;&gt;"")*(LEN('HZ-ASD Tracker'!$A$5:$A$993)=8)*ISNUMBER(--'HZ-ASD Tracker'!$A$5:$A$993)*(((LEFT('HZ-ASD Tracker'!$B$5:$B$993,3)="6Y_")+(LEFT('HZ-ASD Tracker'!$B$5:$B$993,4)="A_N ")+(LEFT('HZ-ASD Tracker'!$B$5:$B$993,4)="C_N ")+(LEFT('HZ-ASD Tracker'!$B$5:$B$993,4)="DCC-")+(LEFT('HZ-ASD Tracker'!$B$5:$B$993,4)="CCC-")+(LEFT('HZ-ASD Tracker'!$B$5:$B$993,4)="ISC-")+(LEFT('HZ-ASD Tracker'!$B$5:$B$993,7)="WEEKLY-"))&gt;0)))</f>
        <v/>
      </c>
    </row>
    <row r="16">
      <c r="B16">
        <f>IFERROR("Completion: "&amp;TEXT((COUNTIFS('HZ-ASD Tracker'!$A$5:$A$993,"&lt;&gt;",'HZ-ASD Tracker'!$E$5:$E$993,"Closed")-SUMPRODUCT(('HZ-ASD Tracker'!$A$5:$A$993&lt;&gt;"")*(LEN('HZ-ASD Tracker'!$A$5:$A$993)=8)*ISNUMBER(--'HZ-ASD Tracker'!$A$5:$A$993)*('HZ-ASD Tracker'!$E$5:$E$993="Closed"))+SUMPRODUCT(('HZ-ASD Tracker'!$A$5:$A$993&lt;&gt;"")*(LEN('HZ-ASD Tracker'!$A$5:$A$993)=8)*ISNUMBER(--'HZ-ASD Tracker'!$A$5:$A$993)*(((LEFT('HZ-ASD Tracker'!$B$5:$B$993,3)="6Y_")+(LEFT('HZ-ASD Tracker'!$B$5:$B$993,4)="A_N ")+(LEFT('HZ-ASD Tracker'!$B$5:$B$993,4)="C_N ")+(LEFT('HZ-ASD Tracker'!$B$5:$B$993,4)="DCC-")+(LEFT('HZ-ASD Tracker'!$B$5:$B$993,4)="CCC-")+(LEFT('HZ-ASD Tracker'!$B$5:$B$993,4)="ISC-")+(LEFT('HZ-ASD Tracker'!$B$5:$B$993,7)="WEEKLY-"))&gt;0)*('HZ-ASD Tracker'!$E$5:$E$993="Closed")))/(COUNTIF('HZ-ASD Tracker'!$A$5:$A$993,"&lt;&gt;")-SUMPRODUCT(('HZ-ASD Tracker'!$A$5:$A$993&lt;&gt;"")*(LEN('HZ-ASD Tracker'!$A$5:$A$993)=8)*ISNUMBER(--'HZ-ASD Tracker'!$A$5:$A$993))+SUMPRODUCT(('HZ-ASD Tracker'!$A$5:$A$993&lt;&gt;"")*(LEN('HZ-ASD Tracker'!$A$5:$A$993)=8)*ISNUMBER(--'HZ-ASD Tracker'!$A$5:$A$993)*(((LEFT('HZ-ASD Tracker'!$B$5:$B$993,3)="6Y_")+(LEFT('HZ-ASD Tracker'!$B$5:$B$993,4)="A_N ")+(LEFT('HZ-ASD Tracker'!$B$5:$B$993,4)="C_N ")+(LEFT('HZ-ASD Tracker'!$B$5:$B$993,4)="DCC-")+(LEFT('HZ-ASD Tracker'!$B$5:$B$993,4)="CCC-")+(LEFT('HZ-ASD Tracker'!$B$5:$B$993,4)="ISC-")+(LEFT('HZ-ASD Tracker'!$B$5:$B$993,7)="WEEKLY-"))&gt;0))),"0%"),"-")</f>
        <v/>
      </c>
      <c r="E16">
        <f>IFERROR("Completion: "&amp;TEXT(SUMPRODUCT(('HZ-ASD Tracker'!$A$5:$A$993&lt;&gt;"")*(LEN('HZ-ASD Tracker'!$A$5:$A$993)=8)*ISNUMBER(--'HZ-ASD Tracker'!$A$5:$A$993)*(((LEFT('HZ-ASD Tracker'!$B$5:$B$993,4)="EOD-")+(LEFT('HZ-ASD Tracker'!$B$5:$B$993,3)="EO-")+(LEFT('HZ-ASD Tracker'!$B$5:$B$993,3)="ER-")+(LEFT('HZ-ASD Tracker'!$B$5:$B$993,5)="FRSEO")+(LEFT('HZ-ASD Tracker'!$B$5:$B$993,1)="S")*ISNUMBER(--MID('HZ-ASD Tracker'!$B$5:$B$993,2,2))*(MID('HZ-ASD Tracker'!$B$5:$B$993,4,2)="-R")+(LEFT('HZ-ASD Tracker'!$B$5:$B$993,8)="REPLACE ")+ISNUMBER(SEARCH("/AD-",'HZ-ASD Tracker'!$B$5:$B$993)))&gt;0)*('HZ-ASD Tracker'!$E$5:$E$993="Closed"))/SUMPRODUCT(('HZ-ASD Tracker'!$A$5:$A$993&lt;&gt;"")*(LEN('HZ-ASD Tracker'!$A$5:$A$993)=8)*ISNUMBER(--'HZ-ASD Tracker'!$A$5:$A$993)*(((LEFT('HZ-ASD Tracker'!$B$5:$B$993,4)="EOD-")+(LEFT('HZ-ASD Tracker'!$B$5:$B$993,3)="EO-")+(LEFT('HZ-ASD Tracker'!$B$5:$B$993,3)="ER-")+(LEFT('HZ-ASD Tracker'!$B$5:$B$993,5)="FRSEO")+(LEFT('HZ-ASD Tracker'!$B$5:$B$993,1)="S")*ISNUMBER(--MID('HZ-ASD Tracker'!$B$5:$B$993,2,2))*(MID('HZ-ASD Tracker'!$B$5:$B$993,4,2)="-R")+(LEFT('HZ-ASD Tracker'!$B$5:$B$993,8)="REPLACE ")+ISNUMBER(SEARCH("/AD-",'HZ-ASD Tracker'!$B$5:$B$993)))&gt;0)),"0%"),"-")&amp;IF(AND(ISNUMBER(LAYOVER!$B$22),ISNUMBER(LAYOVER!$C$22)),"  ·  Window: "&amp;TEXT(MIN(MAX((TODAY()-LAYOVER!$B$22)/(LAYOVER!$C$22-LAYOVER!$B$22),0),1),"0%")&amp;" elapsed","")</f>
        <v/>
      </c>
      <c r="H16">
        <f>IFERROR("Completion: "&amp;TEXT((SUMPRODUCT(('HZ-ASD Tracker'!$A$5:$A$993&lt;&gt;"")*(LEN('HZ-ASD Tracker'!$A$5:$A$993)=8)*ISNUMBER(--'HZ-ASD Tracker'!$A$5:$A$993)*('HZ-ASD Tracker'!$E$5:$E$993="Closed"))-SUMPRODUCT(('HZ-ASD Tracker'!$A$5:$A$993&lt;&gt;"")*(LEN('HZ-ASD Tracker'!$A$5:$A$993)=8)*ISNUMBER(--'HZ-ASD Tracker'!$A$5:$A$993)*(((LEFT('HZ-ASD Tracker'!$B$5:$B$993,4)="EOD-")+(LEFT('HZ-ASD Tracker'!$B$5:$B$993,3)="EO-")+(LEFT('HZ-ASD Tracker'!$B$5:$B$993,3)="ER-")+(LEFT('HZ-ASD Tracker'!$B$5:$B$993,5)="FRSEO")+(LEFT('HZ-ASD Tracker'!$B$5:$B$993,1)="S")*ISNUMBER(--MID('HZ-ASD Tracker'!$B$5:$B$993,2,2))*(MID('HZ-ASD Tracker'!$B$5:$B$993,4,2)="-R")+(LEFT('HZ-ASD Tracker'!$B$5:$B$993,8)="REPLACE ")+ISNUMBER(SEARCH("/AD-",'HZ-ASD Tracker'!$B$5:$B$993)))&gt;0)*('HZ-ASD Tracker'!$E$5:$E$993="Closed"))-SUMPRODUCT(('HZ-ASD Tracker'!$A$5:$A$993&lt;&gt;"")*(LEN('HZ-ASD Tracker'!$A$5:$A$993)=8)*ISNUMBER(--'HZ-ASD Tracker'!$A$5:$A$993)*(((LEFT('HZ-ASD Tracker'!$B$5:$B$993,3)="6Y_")+(LEFT('HZ-ASD Tracker'!$B$5:$B$993,4)="A_N ")+(LEFT('HZ-ASD Tracker'!$B$5:$B$993,4)="C_N ")+(LEFT('HZ-ASD Tracker'!$B$5:$B$993,4)="DCC-")+(LEFT('HZ-ASD Tracker'!$B$5:$B$993,4)="CCC-")+(LEFT('HZ-ASD Tracker'!$B$5:$B$993,4)="ISC-")+(LEFT('HZ-ASD Tracker'!$B$5:$B$993,7)="WEEKLY-"))&gt;0)*('HZ-ASD Tracker'!$E$5:$E$993="Closed")))/(SUMPRODUCT(('HZ-ASD Tracker'!$A$5:$A$993&lt;&gt;"")*(LEN('HZ-ASD Tracker'!$A$5:$A$993)=8)*ISNUMBER(--'HZ-ASD Tracker'!$A$5:$A$993))-SUMPRODUCT(('HZ-ASD Tracker'!$A$5:$A$993&lt;&gt;"")*(LEN('HZ-ASD Tracker'!$A$5:$A$993)=8)*ISNUMBER(--'HZ-ASD Tracker'!$A$5:$A$993)*(((LEFT('HZ-ASD Tracker'!$B$5:$B$993,4)="EOD-")+(LEFT('HZ-ASD Tracker'!$B$5:$B$993,3)="EO-")+(LEFT('HZ-ASD Tracker'!$B$5:$B$993,3)="ER-")+(LEFT('HZ-ASD Tracker'!$B$5:$B$993,5)="FRSEO")+(LEFT('HZ-ASD Tracker'!$B$5:$B$993,1)="S")*ISNUMBER(--MID('HZ-ASD Tracker'!$B$5:$B$993,2,2))*(MID('HZ-ASD Tracker'!$B$5:$B$993,4,2)="-R")+(LEFT('HZ-ASD Tracker'!$B$5:$B$993,8)="REPLACE ")+ISNUMBER(SEARCH("/AD-",'HZ-ASD Tracker'!$B$5:$B$993)))&gt;0))-SUMPRODUCT(('HZ-ASD Tracker'!$A$5:$A$993&lt;&gt;"")*(LEN('HZ-ASD Tracker'!$A$5:$A$993)=8)*ISNUMBER(--'HZ-ASD Tracker'!$A$5:$A$993)*(((LEFT('HZ-ASD Tracker'!$B$5:$B$993,3)="6Y_")+(LEFT('HZ-ASD Tracker'!$B$5:$B$993,4)="A_N ")+(LEFT('HZ-ASD Tracker'!$B$5:$B$993,4)="C_N ")+(LEFT('HZ-ASD Tracker'!$B$5:$B$993,4)="DCC-")+(LEFT('HZ-ASD Tracker'!$B$5:$B$993,4)="CCC-")+(LEFT('HZ-ASD Tracker'!$B$5:$B$993,4)="ISC-")+(LEFT('HZ-ASD Tracker'!$B$5:$B$993,7)="WEEKLY-"))&gt;0))),"0%"),"-")&amp;"  ·  Share: "&amp;TEXT(IFERROR((SUMPRODUCT(('HZ-ASD Tracker'!$A$5:$A$993&lt;&gt;"")*(LEN('HZ-ASD Tracker'!$A$5:$A$993)=8)*ISNUMBER(--'HZ-ASD Tracker'!$A$5:$A$993))-SUMPRODUCT(('HZ-ASD Tracker'!$A$5:$A$993&lt;&gt;"")*(LEN('HZ-ASD Tracker'!$A$5:$A$993)=8)*ISNUMBER(--'HZ-ASD Tracker'!$A$5:$A$993)*(((LEFT('HZ-ASD Tracker'!$B$5:$B$993,4)="EOD-")+(LEFT('HZ-ASD Tracker'!$B$5:$B$993,3)="EO-")+(LEFT('HZ-ASD Tracker'!$B$5:$B$993,3)="ER-")+(LEFT('HZ-ASD Tracker'!$B$5:$B$993,5)="FRSEO")+(LEFT('HZ-ASD Tracker'!$B$5:$B$993,1)="S")*ISNUMBER(--MID('HZ-ASD Tracker'!$B$5:$B$993,2,2))*(MID('HZ-ASD Tracker'!$B$5:$B$993,4,2)="-R")+(LEFT('HZ-ASD Tracker'!$B$5:$B$993,8)="REPLACE ")+ISNUMBER(SEARCH("/AD-",'HZ-ASD Tracker'!$B$5:$B$993)))&gt;0))-SUMPRODUCT(('HZ-ASD Tracker'!$A$5:$A$993&lt;&gt;"")*(LEN('HZ-ASD Tracker'!$A$5:$A$993)=8)*ISNUMBER(--'HZ-ASD Tracker'!$A$5:$A$993)*(((LEFT('HZ-ASD Tracker'!$B$5:$B$993,3)="6Y_")+(LEFT('HZ-ASD Tracker'!$B$5:$B$993,4)="A_N ")+(LEFT('HZ-ASD Tracker'!$B$5:$B$993,4)="C_N ")+(LEFT('HZ-ASD Tracker'!$B$5:$B$993,4)="DCC-")+(LEFT('HZ-ASD Tracker'!$B$5:$B$993,4)="CCC-")+(LEFT('HZ-ASD Tracker'!$B$5:$B$993,4)="ISC-")+(LEFT('HZ-ASD Tracker'!$B$5:$B$993,7)="WEEKLY-"))&gt;0)))/COUNTIF('HZ-ASD Tracker'!$A$5:$A$993,"&lt;&gt;"),0),"0%")&amp;IF(AND(ISNUMBER(LAYOVER!$B$21),ISNUMBER(LAYOVER!$C$21)),"  ·  Window: "&amp;TEXT(MIN(MAX((TODAY()-LAYOVER!$B$21)/(LAYOVER!$C$21-LAYOVER!$B$21),0),1),"0%")&amp;" elapsed","")</f>
        <v/>
      </c>
    </row>
    <row r="18">
      <c r="A18" t="inlineStr">
        <is>
          <t xml:space="preserve">  OPEN UP / ACCESS  —  removed items</t>
        </is>
      </c>
      <c r="G18">
        <f>IF(NOT(ISNUMBER(LAYOVER!$C$28)),"🔒 Cabin close-up: date TBD",IF(TODAY()&gt;LAYOVER!$C$28,"🔒 Close-up date passed — "&amp;COUNTIFS('OPEN UP-ACCESS'!$B$4:$B$504,"&lt;&gt;",'OPEN UP-ACCESS'!$F$4:$F$504,"Open")&amp;" still open","🔒 Close-up in "&amp;(LAYOVER!$C$28-TODAY())&amp;" day(s)  ·  "&amp;COUNTIFS('OPEN UP-ACCESS'!$B$4:$B$504,"&lt;&gt;",'OPEN UP-ACCESS'!$F$4:$F$504,"Open")&amp;" still open"))</f>
        <v/>
      </c>
    </row>
    <row r="20">
      <c r="B20" t="inlineStr">
        <is>
          <t>⚠️ STILL OPEN</t>
        </is>
      </c>
      <c r="C20">
        <f>COUNTIFS('OPEN UP-ACCESS'!$B$4:$B$504,"&lt;&gt;",'OPEN UP-ACCESS'!$F$4:$F$504,"Open")</f>
        <v/>
      </c>
      <c r="E20" t="inlineStr">
        <is>
          <t>PARTIALLY</t>
        </is>
      </c>
      <c r="F20">
        <f>COUNTIFS('OPEN UP-ACCESS'!$B$4:$B$504,"&lt;&gt;",'OPEN UP-ACCESS'!$F$4:$F$504,"Partially")</f>
        <v/>
      </c>
      <c r="H20" t="inlineStr">
        <is>
          <t>RE-INSTALLED</t>
        </is>
      </c>
      <c r="I20">
        <f>COUNTIFS('OPEN UP-ACCESS'!$B$4:$B$504,"&lt;&gt;",'OPEN UP-ACCESS'!$F$4:$F$504,"Re-Installed")</f>
        <v/>
      </c>
    </row>
    <row r="21">
      <c r="B21">
        <f>"of "&amp;COUNTIF('OPEN UP-ACCESS'!$B$4:$B$504,"&lt;&gt;")&amp;" recorded items"</f>
        <v/>
      </c>
      <c r="E21">
        <f>"need completion before closing"</f>
        <v/>
      </c>
      <c r="H21">
        <f>IFERROR("Restoration: "&amp;TEXT(COUNTIFS('OPEN UP-ACCESS'!$B$4:$B$504,"&lt;&gt;",'OPEN UP-ACCESS'!$F$4:$F$504,"Re-Installed")/COUNTIF('OPEN UP-ACCESS'!$B$4:$B$504,"&lt;&gt;"),"0%"),"-")</f>
        <v/>
      </c>
    </row>
    <row r="23">
      <c r="A23" t="inlineStr">
        <is>
          <t xml:space="preserve">  BY CATEGORY</t>
        </is>
      </c>
    </row>
    <row r="25">
      <c r="B25" t="inlineStr">
        <is>
          <t>ACFT GENERAL T/C</t>
        </is>
      </c>
      <c r="C25">
        <f>IFERROR(COUNTIFS('HZ-ASD Tracker'!$A$5:$A$993,"&lt;&gt;",'HZ-ASD Tracker'!$D$5:$D$993,"ACFT GENERAL T/C",'HZ-ASD Tracker'!$E$5:$E$993,"Closed")&amp;" / "&amp;COUNTIFS('HZ-ASD Tracker'!$A$5:$A$993,"&lt;&gt;",'HZ-ASD Tracker'!$D$5:$D$993,"ACFT GENERAL T/C"),"-")</f>
        <v/>
      </c>
      <c r="E25" t="inlineStr">
        <is>
          <t>LAVATORY</t>
        </is>
      </c>
      <c r="F25">
        <f>IFERROR(COUNTIFS('HZ-ASD Tracker'!$A$5:$A$993,"&lt;&gt;",'HZ-ASD Tracker'!$D$5:$D$993,"LAVATORY",'HZ-ASD Tracker'!$E$5:$E$993,"Closed")&amp;" / "&amp;COUNTIFS('HZ-ASD Tracker'!$A$5:$A$993,"&lt;&gt;",'HZ-ASD Tracker'!$D$5:$D$993,"LAVATORY"),"-")</f>
        <v/>
      </c>
      <c r="H25" t="inlineStr">
        <is>
          <t>GALLEY</t>
        </is>
      </c>
      <c r="I25">
        <f>IFERROR(COUNTIFS('HZ-ASD Tracker'!$A$5:$A$993,"&lt;&gt;",'HZ-ASD Tracker'!$D$5:$D$993,"GALLEY",'HZ-ASD Tracker'!$E$5:$E$993,"Closed")&amp;" / "&amp;COUNTIFS('HZ-ASD Tracker'!$A$5:$A$993,"&lt;&gt;",'HZ-ASD Tracker'!$D$5:$D$993,"GALLEY"),"-")</f>
        <v/>
      </c>
    </row>
    <row r="26">
      <c r="B26">
        <f>IFERROR("Completion: "&amp;TEXT(COUNTIFS('HZ-ASD Tracker'!$A$5:$A$993,"&lt;&gt;",'HZ-ASD Tracker'!$D$5:$D$993,"ACFT GENERAL T/C",'HZ-ASD Tracker'!$E$5:$E$993,"Closed")/COUNTIFS('HZ-ASD Tracker'!$A$5:$A$993,"&lt;&gt;",'HZ-ASD Tracker'!$D$5:$D$993,"ACFT GENERAL T/C"),"0%"),"-")</f>
        <v/>
      </c>
      <c r="E26">
        <f>IFERROR("Completion: "&amp;TEXT(COUNTIFS('HZ-ASD Tracker'!$A$5:$A$993,"&lt;&gt;",'HZ-ASD Tracker'!$D$5:$D$993,"LAVATORY",'HZ-ASD Tracker'!$E$5:$E$993,"Closed")/COUNTIFS('HZ-ASD Tracker'!$A$5:$A$993,"&lt;&gt;",'HZ-ASD Tracker'!$D$5:$D$993,"LAVATORY"),"0%"),"-")</f>
        <v/>
      </c>
      <c r="H26">
        <f>IFERROR("Completion: "&amp;TEXT(COUNTIFS('HZ-ASD Tracker'!$A$5:$A$993,"&lt;&gt;",'HZ-ASD Tracker'!$D$5:$D$993,"GALLEY",'HZ-ASD Tracker'!$E$5:$E$993,"Closed")/COUNTIFS('HZ-ASD Tracker'!$A$5:$A$993,"&lt;&gt;",'HZ-ASD Tracker'!$D$5:$D$993,"GALLEY"),"0%"),"-")</f>
        <v/>
      </c>
    </row>
    <row r="28">
      <c r="B28" t="inlineStr">
        <is>
          <t>GENERAL CABIN</t>
        </is>
      </c>
      <c r="C28">
        <f>IFERROR(COUNTIFS('HZ-ASD Tracker'!$D$5:$D$993,"GENERAL CABIN",'HZ-ASD Tracker'!$E$5:$E$993,"Closed",'HZ-ASD Tracker'!$A$5:$A$993,"&lt;&gt;")&amp;" / "&amp;COUNTIFS('HZ-ASD Tracker'!$D$5:$D$993,"GENERAL CABIN",'HZ-ASD Tracker'!$A$5:$A$993,"&lt;&gt;"),"-")</f>
        <v/>
      </c>
      <c r="E28" t="inlineStr">
        <is>
          <t>TEDLAR/SIDEWALL</t>
        </is>
      </c>
      <c r="F28">
        <f>IFERROR(COUNTIFS('HZ-ASD Tracker'!$A$5:$A$993,"&lt;&gt;",'HZ-ASD Tracker'!$D$5:$D$993,"TEDLAR/SIDEWALL",'HZ-ASD Tracker'!$E$5:$E$993,"Closed")&amp;" / "&amp;COUNTIFS('HZ-ASD Tracker'!$A$5:$A$993,"&lt;&gt;",'HZ-ASD Tracker'!$D$5:$D$993,"TEDLAR/SIDEWALL"),"-")</f>
        <v/>
      </c>
      <c r="H28" t="inlineStr">
        <is>
          <t>PAX SEAT</t>
        </is>
      </c>
      <c r="I28">
        <f>IFERROR(COUNTIFS('HZ-ASD Tracker'!$A$5:$A$993,"&lt;&gt;",'HZ-ASD Tracker'!$D$5:$D$993,"PAX SEAT",'HZ-ASD Tracker'!$E$5:$E$993,"Closed")&amp;" / "&amp;COUNTIFS('HZ-ASD Tracker'!$A$5:$A$993,"&lt;&gt;",'HZ-ASD Tracker'!$D$5:$D$993,"PAX SEAT"),"-")</f>
        <v/>
      </c>
    </row>
    <row r="29">
      <c r="B29">
        <f>IFERROR("Completion: "&amp;TEXT(COUNTIFS('HZ-ASD Tracker'!$D$5:$D$993,"GENERAL CABIN",'HZ-ASD Tracker'!$E$5:$E$993,"Closed",'HZ-ASD Tracker'!$A$5:$A$993,"&lt;&gt;")/COUNTIFS('HZ-ASD Tracker'!$D$5:$D$993,"GENERAL CABIN",'HZ-ASD Tracker'!$A$5:$A$993,"&lt;&gt;"),"0%"),"-")</f>
        <v/>
      </c>
      <c r="E29">
        <f>IFERROR("Completion: "&amp;TEXT(COUNTIFS('HZ-ASD Tracker'!$A$5:$A$993,"&lt;&gt;",'HZ-ASD Tracker'!$D$5:$D$993,"TEDLAR/SIDEWALL",'HZ-ASD Tracker'!$E$5:$E$993,"Closed")/COUNTIFS('HZ-ASD Tracker'!$A$5:$A$993,"&lt;&gt;",'HZ-ASD Tracker'!$D$5:$D$993,"TEDLAR/SIDEWALL"),"0%"),"-")</f>
        <v/>
      </c>
      <c r="H29">
        <f>IFERROR("Completion: "&amp;TEXT(COUNTIFS('HZ-ASD Tracker'!$A$5:$A$993,"&lt;&gt;",'HZ-ASD Tracker'!$D$5:$D$993,"PAX SEAT",'HZ-ASD Tracker'!$E$5:$E$993,"Closed")/COUNTIFS('HZ-ASD Tracker'!$A$5:$A$993,"&lt;&gt;",'HZ-ASD Tracker'!$D$5:$D$993,"PAX SEAT"),"0%"),"-")</f>
        <v/>
      </c>
    </row>
    <row r="31">
      <c r="B31" t="inlineStr">
        <is>
          <t>PAX DOORS</t>
        </is>
      </c>
      <c r="C31">
        <f>IFERROR(COUNTIFS('HZ-ASD Tracker'!$A$5:$A$993,"&lt;&gt;",'HZ-ASD Tracker'!$D$5:$D$993,"PAX DOORS",'HZ-ASD Tracker'!$E$5:$E$993,"Closed")&amp;" / "&amp;COUNTIFS('HZ-ASD Tracker'!$A$5:$A$993,"&lt;&gt;",'HZ-ASD Tracker'!$D$5:$D$993,"PAX DOORS"),"-")</f>
        <v/>
      </c>
      <c r="E31" t="inlineStr">
        <is>
          <t>F/A SEAT</t>
        </is>
      </c>
      <c r="F31">
        <f>IFERROR(COUNTIFS('HZ-ASD Tracker'!$A$5:$A$993,"&lt;&gt;",'HZ-ASD Tracker'!$D$5:$D$993,"F/A SEAT",'HZ-ASD Tracker'!$E$5:$E$993,"Closed")&amp;" / "&amp;COUNTIFS('HZ-ASD Tracker'!$A$5:$A$993,"&lt;&gt;",'HZ-ASD Tracker'!$D$5:$D$993,"F/A SEAT"),"-")</f>
        <v/>
      </c>
      <c r="H31">
        <f>IF($M$31=0,"—",$L$31&amp;" / "&amp;$M$31)</f>
        <v/>
      </c>
      <c r="I31">
        <f>IFERROR((COUNTIFS('HZ-ASD Tracker'!$A$5:$A$993,"&lt;&gt;",'HZ-ASD Tracker'!$E$5:$E$993,"Closed")-(COUNTIFS('HZ-ASD Tracker'!$A$5:$A$993,"&lt;&gt;",'HZ-ASD Tracker'!$D$5:$D$993,"ACFT GENERAL T/C",'HZ-ASD Tracker'!$E$5:$E$993,"Closed")+COUNTIFS('HZ-ASD Tracker'!$A$5:$A$993,"&lt;&gt;",'HZ-ASD Tracker'!$D$5:$D$993,"LAVATORY",'HZ-ASD Tracker'!$E$5:$E$993,"Closed")+COUNTIFS('HZ-ASD Tracker'!$A$5:$A$993,"&lt;&gt;",'HZ-ASD Tracker'!$D$5:$D$993,"GALLEY",'HZ-ASD Tracker'!$E$5:$E$993,"Closed")+COUNTIFS('HZ-ASD Tracker'!$A$5:$A$993,"&lt;&gt;",'HZ-ASD Tracker'!$D$5:$D$993,"GENERAL CABIN",'HZ-ASD Tracker'!$E$5:$E$993,"Closed")+COUNTIFS('HZ-ASD Tracker'!$A$5:$A$993,"&lt;&gt;",'HZ-ASD Tracker'!$D$5:$D$993,"TEDLAR/SIDEWALL",'HZ-ASD Tracker'!$E$5:$E$993,"Closed")+COUNTIFS('HZ-ASD Tracker'!$A$5:$A$993,"&lt;&gt;",'HZ-ASD Tracker'!$D$5:$D$993,"PAX SEAT",'HZ-ASD Tracker'!$E$5:$E$993,"Closed")+COUNTIFS('HZ-ASD Tracker'!$A$5:$A$993,"&lt;&gt;",'HZ-ASD Tracker'!$D$5:$D$993,"PAX DOORS",'HZ-ASD Tracker'!$E$5:$E$993,"Closed")+COUNTIFS('HZ-ASD Tracker'!$A$5:$A$993,"&lt;&gt;",'HZ-ASD Tracker'!$D$5:$D$993,"F/A SEAT",'HZ-ASD Tracker'!$E$5:$E$993,"Closed")+COUNTIFS('HZ-ASD Tracker'!$A$5:$A$993,"&lt;&gt;",'HZ-ASD Tracker'!$D$5:$D$993,"OFAR/OFCR",'HZ-ASD Tracker'!$E$5:$E$993,"Closed")+COUNTIFS('HZ-ASD Tracker'!$A$5:$A$993,"&lt;&gt;",'HZ-ASD Tracker'!$D$5:$D$993,"ACCESS")+COUNTIFS('HZ-ASD Tracker'!$A$5:$A$993,"&lt;&gt;",'HZ-ASD Tracker'!$D$5:$D$993,"ACCESS",'HZ-ASD Tracker'!$E$5:$E$993,"Closed")+COUNTIFS('HZ-ASD Tracker'!$A$5:$A$993,"&lt;&gt;",'HZ-ASD Tracker'!$D$5:$D$993,"FLIGHT DECK",'HZ-ASD Tracker'!$E$5:$E$993,"Closed")))&amp;" / "&amp;(COUNTIFS('HZ-ASD Tracker'!$A$5:$A$993,"&lt;&gt;")-(COUNTIFS('HZ-ASD Tracker'!$A$5:$A$993,"&lt;&gt;",'HZ-ASD Tracker'!$D$5:$D$993,"ACFT GENERAL T/C")+COUNTIFS('HZ-ASD Tracker'!$A$5:$A$993,"&lt;&gt;",'HZ-ASD Tracker'!$D$5:$D$993,"LAVATORY")+COUNTIFS('HZ-ASD Tracker'!$A$5:$A$993,"&lt;&gt;",'HZ-ASD Tracker'!$D$5:$D$993,"GALLEY")+COUNTIFS('HZ-ASD Tracker'!$A$5:$A$993,"&lt;&gt;",'HZ-ASD Tracker'!$D$5:$D$993,"GENERAL CABIN")+COUNTIFS('HZ-ASD Tracker'!$A$5:$A$993,"&lt;&gt;",'HZ-ASD Tracker'!$D$5:$D$993,"TEDLAR/SIDEWALL")+COUNTIFS('HZ-ASD Tracker'!$A$5:$A$993,"&lt;&gt;",'HZ-ASD Tracker'!$D$5:$D$993,"PAX SEAT")+COUNTIFS('HZ-ASD Tracker'!$A$5:$A$993,"&lt;&gt;",'HZ-ASD Tracker'!$D$5:$D$993,"PAX DOORS")+COUNTIFS('HZ-ASD Tracker'!$A$5:$A$993,"&lt;&gt;",'HZ-ASD Tracker'!$D$5:$D$993,"F/A SEAT")+COUNTIFS('HZ-ASD Tracker'!$A$5:$A$993,"&lt;&gt;",'HZ-ASD Tracker'!$D$5:$D$993,"OFAR/OFCR")+COUNTIFS('HZ-ASD Tracker'!$A$5:$A$993,"&lt;&gt;",'HZ-ASD Tracker'!$D$5:$D$993,"ACCESS")+COUNTIFS('HZ-ASD Tracker'!$A$5:$A$993,"&lt;&gt;",'HZ-ASD Tracker'!$D$5:$D$993,"FLIGHT DECK"))),"-")</f>
        <v/>
      </c>
      <c r="L31">
        <f>COUNTIFS('HZ-ASD Tracker'!$A$5:$A$993,"&lt;&gt;",'HZ-ASD Tracker'!$E$5:$E$993,"Closed")-(COUNTIFS('HZ-ASD Tracker'!$A$5:$A$993,"&lt;&gt;",'HZ-ASD Tracker'!$D$5:$D$993,"ACFT GENERAL T/C",'HZ-ASD Tracker'!$E$5:$E$993,"Closed")+COUNTIFS('HZ-ASD Tracker'!$A$5:$A$993,"&lt;&gt;",'HZ-ASD Tracker'!$D$5:$D$993,"LAVATORY",'HZ-ASD Tracker'!$E$5:$E$993,"Closed")+COUNTIFS('HZ-ASD Tracker'!$A$5:$A$993,"&lt;&gt;",'HZ-ASD Tracker'!$D$5:$D$993,"GALLEY",'HZ-ASD Tracker'!$E$5:$E$993,"Closed")+COUNTIFS('HZ-ASD Tracker'!$A$5:$A$993,"&lt;&gt;",'HZ-ASD Tracker'!$D$5:$D$993,"GENERAL CABIN",'HZ-ASD Tracker'!$E$5:$E$993,"Closed")+COUNTIFS('HZ-ASD Tracker'!$A$5:$A$993,"&lt;&gt;",'HZ-ASD Tracker'!$D$5:$D$993,"TEDLAR/SIDEWALL",'HZ-ASD Tracker'!$E$5:$E$993,"Closed")+COUNTIFS('HZ-ASD Tracker'!$A$5:$A$993,"&lt;&gt;",'HZ-ASD Tracker'!$D$5:$D$993,"PAX SEAT",'HZ-ASD Tracker'!$E$5:$E$993,"Closed")+COUNTIFS('HZ-ASD Tracker'!$A$5:$A$993,"&lt;&gt;",'HZ-ASD Tracker'!$D$5:$D$993,"PAX DOORS",'HZ-ASD Tracker'!$E$5:$E$993,"Closed")+COUNTIFS('HZ-ASD Tracker'!$A$5:$A$993,"&lt;&gt;",'HZ-ASD Tracker'!$D$5:$D$993,"F/A SEAT",'HZ-ASD Tracker'!$E$5:$E$993,"Closed")+COUNTIFS('HZ-ASD Tracker'!$A$5:$A$993,"&lt;&gt;",'HZ-ASD Tracker'!$D$5:$D$993,"OFAR/OFCR",'HZ-ASD Tracker'!$E$5:$E$993,"Closed")+COUNTIFS('HZ-ASD Tracker'!$A$5:$A$993,"&lt;&gt;",'HZ-ASD Tracker'!$D$5:$D$993,"FLIGHT DECK",'HZ-ASD Tracker'!$E$5:$E$993,"Closed")+COUNTIFS('HZ-ASD Tracker'!$A$5:$A$993,"&lt;&gt;",'HZ-ASD Tracker'!$D$5:$D$993,"ACCESS",'HZ-ASD Tracker'!$E$5:$E$993,"Closed"))</f>
        <v/>
      </c>
      <c r="M31">
        <f>COUNTIF('HZ-ASD Tracker'!$A$5:$A$993,"&lt;&gt;")-(COUNTIFS('HZ-ASD Tracker'!$A$5:$A$993,"&lt;&gt;",'HZ-ASD Tracker'!$D$5:$D$993,"ACFT GENERAL T/C")+COUNTIFS('HZ-ASD Tracker'!$A$5:$A$993,"&lt;&gt;",'HZ-ASD Tracker'!$D$5:$D$993,"LAVATORY")+COUNTIFS('HZ-ASD Tracker'!$A$5:$A$993,"&lt;&gt;",'HZ-ASD Tracker'!$D$5:$D$993,"GALLEY")+COUNTIFS('HZ-ASD Tracker'!$A$5:$A$993,"&lt;&gt;",'HZ-ASD Tracker'!$D$5:$D$993,"GENERAL CABIN")+COUNTIFS('HZ-ASD Tracker'!$A$5:$A$993,"&lt;&gt;",'HZ-ASD Tracker'!$D$5:$D$993,"TEDLAR/SIDEWALL")+COUNTIFS('HZ-ASD Tracker'!$A$5:$A$993,"&lt;&gt;",'HZ-ASD Tracker'!$D$5:$D$993,"PAX SEAT")+COUNTIFS('HZ-ASD Tracker'!$A$5:$A$993,"&lt;&gt;",'HZ-ASD Tracker'!$D$5:$D$993,"PAX DOORS")+COUNTIFS('HZ-ASD Tracker'!$A$5:$A$993,"&lt;&gt;",'HZ-ASD Tracker'!$D$5:$D$993,"F/A SEAT")+COUNTIFS('HZ-ASD Tracker'!$A$5:$A$993,"&lt;&gt;",'HZ-ASD Tracker'!$D$5:$D$993,"OFAR/OFCR")+COUNTIFS('HZ-ASD Tracker'!$A$5:$A$993,"&lt;&gt;",'HZ-ASD Tracker'!$D$5:$D$993,"FLIGHT DECK")+COUNTIFS('HZ-ASD Tracker'!$A$5:$A$993,"&lt;&gt;",'HZ-ASD Tracker'!$D$5:$D$993,"ACCESS"))</f>
        <v/>
      </c>
    </row>
    <row r="32">
      <c r="B32">
        <f>IFERROR("Completion: "&amp;TEXT(COUNTIFS('HZ-ASD Tracker'!$A$5:$A$993,"&lt;&gt;",'HZ-ASD Tracker'!$D$5:$D$993,"PAX DOORS",'HZ-ASD Tracker'!$E$5:$E$993,"Closed")/COUNTIFS('HZ-ASD Tracker'!$A$5:$A$993,"&lt;&gt;",'HZ-ASD Tracker'!$D$5:$D$993,"PAX DOORS"),"0%"),"-")</f>
        <v/>
      </c>
      <c r="E32">
        <f>IFERROR("Completion: "&amp;TEXT(COUNTIFS('HZ-ASD Tracker'!$A$5:$A$993,"&lt;&gt;",'HZ-ASD Tracker'!$D$5:$D$993,"F/A SEAT",'HZ-ASD Tracker'!$E$5:$E$993,"Closed")/COUNTIFS('HZ-ASD Tracker'!$A$5:$A$993,"&lt;&gt;",'HZ-ASD Tracker'!$D$5:$D$993,"F/A SEAT"),"0%"),"-")</f>
        <v/>
      </c>
      <c r="H32">
        <f>IF($M$31=0,"—","Completion: "&amp;TEXT(IFERROR($L$31/$M$31,0),"0%"))</f>
        <v/>
      </c>
    </row>
    <row r="34">
      <c r="B34" t="inlineStr">
        <is>
          <t>FLIGHT DECK</t>
        </is>
      </c>
      <c r="C34">
        <f>IFERROR(COUNTIFS('HZ-ASD Tracker'!$A$5:$A$993,"&lt;&gt;",'HZ-ASD Tracker'!$D$5:$D$993,"FLIGHT DECK",'HZ-ASD Tracker'!$E$5:$E$993,"Closed")&amp;" / "&amp;COUNTIFS('HZ-ASD Tracker'!$A$5:$A$993,"&lt;&gt;",'HZ-ASD Tracker'!$D$5:$D$993,"FLIGHT DECK"),"-")</f>
        <v/>
      </c>
      <c r="E34" t="inlineStr">
        <is>
          <t>ACCESS</t>
        </is>
      </c>
      <c r="F34">
        <f>IFERROR(COUNTIFS('HZ-ASD Tracker'!$A$5:$A$993,"&lt;&gt;",'HZ-ASD Tracker'!$D$5:$D$993,"ACCESS",'HZ-ASD Tracker'!$E$5:$E$993,"Closed")&amp;" / "&amp;COUNTIFS('HZ-ASD Tracker'!$A$5:$A$993,"&lt;&gt;",'HZ-ASD Tracker'!$D$5:$D$993,"ACCESS"),"-")</f>
        <v/>
      </c>
    </row>
    <row r="35">
      <c r="B35">
        <f>IFERROR("Completion: "&amp;TEXT(COUNTIFS('HZ-ASD Tracker'!$A$5:$A$993,"&lt;&gt;",'HZ-ASD Tracker'!$D$5:$D$993,"FLIGHT DECK",'HZ-ASD Tracker'!$E$5:$E$993,"Closed")/COUNTIFS('HZ-ASD Tracker'!$A$5:$A$993,"&lt;&gt;",'HZ-ASD Tracker'!$D$5:$D$993,"FLIGHT DECK"),"0%"),"-")</f>
        <v/>
      </c>
      <c r="E35">
        <f>IFERROR("Completion: "&amp;TEXT(COUNTIFS('HZ-ASD Tracker'!$A$5:$A$993,"&lt;&gt;",'HZ-ASD Tracker'!$D$5:$D$993,"ACCESS",'HZ-ASD Tracker'!$E$5:$E$993,"Closed")/COUNTIFS('HZ-ASD Tracker'!$A$5:$A$993,"&lt;&gt;",'HZ-ASD Tracker'!$D$5:$D$993,"ACCESS"),"0%"),"-")</f>
        <v/>
      </c>
    </row>
    <row r="37">
      <c r="A37" t="inlineStr">
        <is>
          <t xml:space="preserve">  SPECIALTY</t>
        </is>
      </c>
    </row>
    <row r="39">
      <c r="B39" t="inlineStr">
        <is>
          <t>CABIN</t>
        </is>
      </c>
      <c r="C39">
        <f>IFERROR(COUNTIFS('HZ-ASD Tracker'!$A$5:$A$993,"&lt;&gt;",'HZ-ASD Tracker'!$G$5:$G$993,"CAB",'HZ-ASD Tracker'!$E$5:$E$993,"Closed")&amp;" / "&amp;COUNTIFS('HZ-ASD Tracker'!$A$5:$A$993,"&lt;&gt;",'HZ-ASD Tracker'!$G$5:$G$993,"CAB"),"-")</f>
        <v/>
      </c>
      <c r="E39" t="inlineStr">
        <is>
          <t>SEAT SHOP</t>
        </is>
      </c>
      <c r="F39">
        <f>IFERROR(COUNTIFS('HZ-ASD Tracker'!$A$5:$A$993,"&lt;&gt;",'HZ-ASD Tracker'!$G$5:$G$993,"SEAT",'HZ-ASD Tracker'!$E$5:$E$993,"Closed")&amp;" / "&amp;COUNTIFS('HZ-ASD Tracker'!$A$5:$A$993,"&lt;&gt;",'HZ-ASD Tracker'!$G$5:$G$993,"SEAT"),"-")</f>
        <v/>
      </c>
      <c r="H39" t="inlineStr">
        <is>
          <t>AV/FOMAX</t>
        </is>
      </c>
      <c r="I39">
        <f>IFERROR(COUNTIFS('HZ-ASD Tracker'!$A$5:$A$993,"&lt;&gt;",'HZ-ASD Tracker'!$G$5:$G$993,"AV",'HZ-ASD Tracker'!$E$5:$E$993,"Closed")&amp;" / "&amp;COUNTIFS('HZ-ASD Tracker'!$A$5:$A$993,"&lt;&gt;",'HZ-ASD Tracker'!$G$5:$G$993,"AV"),"-")</f>
        <v/>
      </c>
    </row>
    <row r="40">
      <c r="B40">
        <f>IFERROR("Completion: "&amp;TEXT(COUNTIFS('HZ-ASD Tracker'!$A$5:$A$993,"&lt;&gt;",'HZ-ASD Tracker'!$G$5:$G$993,"CAB",'HZ-ASD Tracker'!$E$5:$E$993,"Closed")/COUNTIFS('HZ-ASD Tracker'!$A$5:$A$993,"&lt;&gt;",'HZ-ASD Tracker'!$G$5:$G$993,"CAB"),"0%"),"-")</f>
        <v/>
      </c>
      <c r="E40">
        <f>IFERROR("Completion: "&amp;TEXT(COUNTIFS('HZ-ASD Tracker'!$A$5:$A$993,"&lt;&gt;",'HZ-ASD Tracker'!$G$5:$G$993,"SEAT",'HZ-ASD Tracker'!$E$5:$E$993,"Closed")/COUNTIFS('HZ-ASD Tracker'!$A$5:$A$993,"&lt;&gt;",'HZ-ASD Tracker'!$G$5:$G$993,"SEAT"),"0%"),"-")</f>
        <v/>
      </c>
      <c r="H40">
        <f>IFERROR("Completion: "&amp;TEXT(COUNTIFS('HZ-ASD Tracker'!$A$5:$A$993,"&lt;&gt;",'HZ-ASD Tracker'!$G$5:$G$993,"AV",'HZ-ASD Tracker'!$E$5:$E$993,"Closed")/COUNTIFS('HZ-ASD Tracker'!$A$5:$A$993,"&lt;&gt;",'HZ-ASD Tracker'!$G$5:$G$993,"AV"),"0%"),"-")</f>
        <v/>
      </c>
    </row>
    <row r="42">
      <c r="B42" t="inlineStr">
        <is>
          <t>SIDEWALL</t>
        </is>
      </c>
      <c r="C42">
        <f>IFERROR(COUNTIFS('HZ-ASD Tracker'!$A$5:$A$993,"&lt;&gt;",'HZ-ASD Tracker'!$G$5:$G$993,"WALL",'HZ-ASD Tracker'!$E$5:$E$993,"Closed")&amp;" / "&amp;COUNTIFS('HZ-ASD Tracker'!$A$5:$A$993,"&lt;&gt;",'HZ-ASD Tracker'!$G$5:$G$993,"WALL"),"-")</f>
        <v/>
      </c>
      <c r="E42" t="inlineStr">
        <is>
          <t>S/M</t>
        </is>
      </c>
      <c r="F42">
        <f>IFERROR(COUNTIFS('HZ-ASD Tracker'!$A$5:$A$993,"&lt;&gt;",'HZ-ASD Tracker'!$G$5:$G$993,"S/M",'HZ-ASD Tracker'!$E$5:$E$993,"Closed")&amp;" / "&amp;COUNTIFS('HZ-ASD Tracker'!$A$5:$A$993,"&lt;&gt;",'HZ-ASD Tracker'!$G$5:$G$993,"S/M"),"-")</f>
        <v/>
      </c>
      <c r="H42" t="inlineStr">
        <is>
          <t>PAINT</t>
        </is>
      </c>
      <c r="I42">
        <f>IFERROR(COUNTIFS('HZ-ASD Tracker'!$A$5:$A$993,"&lt;&gt;",'HZ-ASD Tracker'!$G$5:$G$993,"PAINT",'HZ-ASD Tracker'!$E$5:$E$993,"Closed")&amp;" / "&amp;COUNTIFS('HZ-ASD Tracker'!$A$5:$A$993,"&lt;&gt;",'HZ-ASD Tracker'!$G$5:$G$993,"PAINT"),"-")</f>
        <v/>
      </c>
    </row>
    <row r="43">
      <c r="B43">
        <f>IFERROR("Completion: "&amp;TEXT(COUNTIFS('HZ-ASD Tracker'!$A$5:$A$993,"&lt;&gt;",'HZ-ASD Tracker'!$G$5:$G$993,"WALL",'HZ-ASD Tracker'!$E$5:$E$993,"Closed")/COUNTIFS('HZ-ASD Tracker'!$A$5:$A$993,"&lt;&gt;",'HZ-ASD Tracker'!$G$5:$G$993,"WALL"),"0%"),"-")</f>
        <v/>
      </c>
      <c r="E43">
        <f>IFERROR("Completion: "&amp;TEXT(COUNTIFS('HZ-ASD Tracker'!$A$5:$A$993,"&lt;&gt;",'HZ-ASD Tracker'!$G$5:$G$993,"S/M",'HZ-ASD Tracker'!$E$5:$E$993,"Closed")/COUNTIFS('HZ-ASD Tracker'!$A$5:$A$993,"&lt;&gt;",'HZ-ASD Tracker'!$G$5:$G$993,"S/M"),"0%"),"-")</f>
        <v/>
      </c>
      <c r="H43">
        <f>IFERROR("Completion: "&amp;TEXT(COUNTIFS('HZ-ASD Tracker'!$A$5:$A$993,"&lt;&gt;",'HZ-ASD Tracker'!$G$5:$G$993,"PAINT",'HZ-ASD Tracker'!$E$5:$E$993,"Closed")/COUNTIFS('HZ-ASD Tracker'!$A$5:$A$993,"&lt;&gt;",'HZ-ASD Tracker'!$G$5:$G$993,"PAINT"),"0%"),"-")</f>
        <v/>
      </c>
    </row>
    <row r="45">
      <c r="B45" t="inlineStr">
        <is>
          <t>JOINT</t>
        </is>
      </c>
      <c r="C45">
        <f>IFERROR(COUNTIFS('HZ-ASD Tracker'!$A$5:$A$993,"&lt;&gt;",'HZ-ASD Tracker'!$G$5:$G$993,"JOINT",'HZ-ASD Tracker'!$E$5:$E$993,"Closed")&amp;" / "&amp;COUNTIFS('HZ-ASD Tracker'!$A$5:$A$993,"&lt;&gt;",'HZ-ASD Tracker'!$G$5:$G$993,"JOINT"),"-")</f>
        <v/>
      </c>
      <c r="E45" t="inlineStr">
        <is>
          <t>INSP</t>
        </is>
      </c>
      <c r="F45">
        <f>IFERROR(COUNTIFS('HZ-ASD Tracker'!$A$5:$A$993,"&lt;&gt;",'HZ-ASD Tracker'!$G$5:$G$993,"INSP",'HZ-ASD Tracker'!$E$5:$E$993,"Closed")&amp;" / "&amp;COUNTIFS('HZ-ASD Tracker'!$A$5:$A$993,"&lt;&gt;",'HZ-ASD Tracker'!$G$5:$G$993,"INSP"),"-")</f>
        <v/>
      </c>
      <c r="H45" t="inlineStr">
        <is>
          <t>A/P</t>
        </is>
      </c>
      <c r="I45">
        <f>IFERROR(COUNTIFS('HZ-ASD Tracker'!$A$5:$A$993,"&lt;&gt;",'HZ-ASD Tracker'!$G$5:$G$993,"AP",'HZ-ASD Tracker'!$E$5:$E$993,"Closed")&amp;" / "&amp;COUNTIFS('HZ-ASD Tracker'!$A$5:$A$993,"&lt;&gt;",'HZ-ASD Tracker'!$G$5:$G$993,"AP"),"-")</f>
        <v/>
      </c>
    </row>
    <row r="46">
      <c r="B46">
        <f>IFERROR("Completion: "&amp;TEXT(COUNTIFS('HZ-ASD Tracker'!$A$5:$A$993,"&lt;&gt;",'HZ-ASD Tracker'!$G$5:$G$993,"JOINT",'HZ-ASD Tracker'!$E$5:$E$993,"Closed")/COUNTIFS('HZ-ASD Tracker'!$A$5:$A$993,"&lt;&gt;",'HZ-ASD Tracker'!$G$5:$G$993,"JOINT"),"0%"),"-")</f>
        <v/>
      </c>
      <c r="E46">
        <f>IFERROR("Completion: "&amp;TEXT(COUNTIFS('HZ-ASD Tracker'!$A$5:$A$993,"&lt;&gt;",'HZ-ASD Tracker'!$G$5:$G$993,"INSP",'HZ-ASD Tracker'!$E$5:$E$993,"Closed")/COUNTIFS('HZ-ASD Tracker'!$A$5:$A$993,"&lt;&gt;",'HZ-ASD Tracker'!$G$5:$G$993,"INSP"),"0%"),"-")</f>
        <v/>
      </c>
      <c r="H46">
        <f>IFERROR("Completion: "&amp;TEXT(COUNTIFS('HZ-ASD Tracker'!$A$5:$A$993,"&lt;&gt;",'HZ-ASD Tracker'!$G$5:$G$993,"AP",'HZ-ASD Tracker'!$E$5:$E$993,"Closed")/COUNTIFS('HZ-ASD Tracker'!$A$5:$A$993,"&lt;&gt;",'HZ-ASD Tracker'!$G$5:$G$993,"AP"),"0%"),"-")</f>
        <v/>
      </c>
    </row>
    <row r="48">
      <c r="A48" t="inlineStr">
        <is>
          <t xml:space="preserve">  PARTS REQUIREMENTS  (count of WOs with each status)</t>
        </is>
      </c>
    </row>
    <row r="50">
      <c r="B50" t="inlineStr">
        <is>
          <t>Requested</t>
        </is>
      </c>
      <c r="C50">
        <f>COUNTIFS('HZ-ASD Tracker'!A5:A993,"&lt;&gt;",'HZ-ASD Tracker'!H5:H993,"Requested")</f>
        <v/>
      </c>
      <c r="E50" t="inlineStr">
        <is>
          <t>Requested – CR</t>
        </is>
      </c>
      <c r="F50">
        <f>COUNTIFS('HZ-ASD Tracker'!A5:A993,"&lt;&gt;",'HZ-ASD Tracker'!H5:H993,"Requested - CR")</f>
        <v/>
      </c>
      <c r="H50" t="inlineStr">
        <is>
          <t>Requested – R</t>
        </is>
      </c>
      <c r="I50">
        <f>COUNTIFS('HZ-ASD Tracker'!A5:A993,"&lt;&gt;",'HZ-ASD Tracker'!H5:H993,"Requested - R")</f>
        <v/>
      </c>
    </row>
    <row r="52">
      <c r="B52" t="inlineStr">
        <is>
          <t>Pending - Require Evaluation</t>
        </is>
      </c>
      <c r="C52">
        <f>COUNTIFS('HZ-ASD Tracker'!A5:A993,"&lt;&gt;",'HZ-ASD Tracker'!H5:H993,"Pending EVAL")</f>
        <v/>
      </c>
      <c r="E52" t="inlineStr">
        <is>
          <t>N/R  (not required)</t>
        </is>
      </c>
      <c r="F52">
        <f>COUNTIFS('HZ-ASD Tracker'!A5:A993,"&lt;&gt;",'HZ-ASD Tracker'!H5:H993,"N/R")</f>
        <v/>
      </c>
      <c r="H52" t="inlineStr">
        <is>
          <t>N/A (Not available)</t>
        </is>
      </c>
      <c r="I52">
        <f>COUNTIFS('HZ-ASD Tracker'!A5:A993,"&lt;&gt;",'HZ-ASD Tracker'!H5:H993,"N/A")</f>
        <v/>
      </c>
    </row>
  </sheetData>
  <mergeCells count="40">
    <mergeCell ref="E43:F43"/>
    <mergeCell ref="A23:J23"/>
    <mergeCell ref="B16:C16"/>
    <mergeCell ref="H29:I29"/>
    <mergeCell ref="H43:I43"/>
    <mergeCell ref="B46:C46"/>
    <mergeCell ref="A18:F18"/>
    <mergeCell ref="A1:H1"/>
    <mergeCell ref="H40:I40"/>
    <mergeCell ref="B43:C43"/>
    <mergeCell ref="E35:F35"/>
    <mergeCell ref="B21:C21"/>
    <mergeCell ref="H21:I21"/>
    <mergeCell ref="A9:G9"/>
    <mergeCell ref="E29:F29"/>
    <mergeCell ref="H46:I46"/>
    <mergeCell ref="A48:J48"/>
    <mergeCell ref="H3:J3"/>
    <mergeCell ref="E40:F40"/>
    <mergeCell ref="B29:C29"/>
    <mergeCell ref="H16:I16"/>
    <mergeCell ref="E46:F46"/>
    <mergeCell ref="H32:I32"/>
    <mergeCell ref="A13:F13"/>
    <mergeCell ref="B40:C40"/>
    <mergeCell ref="E26:F26"/>
    <mergeCell ref="I1:J1"/>
    <mergeCell ref="G13:J13"/>
    <mergeCell ref="A37:J37"/>
    <mergeCell ref="G18:J18"/>
    <mergeCell ref="E16:F16"/>
    <mergeCell ref="B26:C26"/>
    <mergeCell ref="E32:F32"/>
    <mergeCell ref="A3:G3"/>
    <mergeCell ref="B32:C32"/>
    <mergeCell ref="H9:J9"/>
    <mergeCell ref="A2:J2"/>
    <mergeCell ref="B35:C35"/>
    <mergeCell ref="E21:F21"/>
    <mergeCell ref="H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Backup of the retired DASHBOARD OLD sheet (removed 31-Jul-2026).</t>
        </is>
      </c>
    </row>
    <row r="2">
      <c r="A2" t="inlineStr">
        <is>
          <t>Formulas preserved as text where applicable. Restore: copy cells back into a sheet named DASHBOARD 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2026-07-31T20:35:30Z</dcterms:created>
  <dcterms:modified xmlns:dcterms="http://purl.org/dc/terms/" xmlns:xsi="http://www.w3.org/2001/XMLSchema-instance" xsi:type="dcterms:W3CDTF">2026-07-31T20:35:30Z</dcterms:modified>
</cp:coreProperties>
</file>